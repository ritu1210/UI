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namedSheetViews/namedSheetView1.xml" ContentType="application/vnd.ms-excel.namedsheetviews+xml"/>
  <Override PartName="/xl/pivotTables/pivotTable2.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24226"/>
  <mc:AlternateContent xmlns:mc="http://schemas.openxmlformats.org/markup-compatibility/2006">
    <mc:Choice Requires="x15">
      <x15ac:absPath xmlns:x15ac="http://schemas.microsoft.com/office/spreadsheetml/2010/11/ac" url="https://share.philips.com/sites/STETKPIDashboard-FTEData/Shared Documents/FTE Data/"/>
    </mc:Choice>
  </mc:AlternateContent>
  <xr:revisionPtr revIDLastSave="5945" documentId="120_S{231D6674-A3B5-5106-83E3-A9533F68D865}" xr6:coauthVersionLast="47" xr6:coauthVersionMax="47" xr10:uidLastSave="{0AB67078-637C-4A86-9821-EF9B91F4F868}"/>
  <bookViews>
    <workbookView xWindow="-108" yWindow="-108" windowWidth="23256" windowHeight="12456" tabRatio="709" firstSheet="1" activeTab="4" xr2:uid="{00000000-000D-0000-FFFF-FFFF00000000}"/>
  </bookViews>
  <sheets>
    <sheet name="FTE Summary" sheetId="15" state="hidden" r:id="rId1"/>
    <sheet name="Sheet3" sheetId="38" r:id="rId2"/>
    <sheet name="exportFteData" sheetId="33" r:id="rId3"/>
    <sheet name="Sheet2" sheetId="35" state="hidden" r:id="rId4"/>
    <sheet name="Working data" sheetId="18" r:id="rId5"/>
    <sheet name="Sheet1" sheetId="28" state="hidden" r:id="rId6"/>
    <sheet name="Trainings &amp; Events" sheetId="10" state="hidden" r:id="rId7"/>
    <sheet name="Allocation Status" sheetId="34" r:id="rId8"/>
    <sheet name="Not Uploaded to SYSTEUR Tool" sheetId="14" r:id="rId9"/>
  </sheets>
  <definedNames>
    <definedName name="_xlnm._FilterDatabase" localSheetId="2" hidden="1">exportFteData!$A$2:$S$1240</definedName>
    <definedName name="_xlnm._FilterDatabase" localSheetId="8" hidden="1">'Not Uploaded to SYSTEUR Tool'!$A$1:$D$1</definedName>
    <definedName name="_xlnm._FilterDatabase" localSheetId="3" hidden="1">Sheet2!$A$1:$A$270</definedName>
    <definedName name="_xlnm._FilterDatabase" localSheetId="1" hidden="1">Sheet3!$D$2:$E$627</definedName>
    <definedName name="_xlnm._FilterDatabase" localSheetId="6" hidden="1">'Trainings &amp; Events'!$A$1:$R$84</definedName>
    <definedName name="_xlnm._FilterDatabase" localSheetId="4" hidden="1">'Working data'!$A$1:$V$1265</definedName>
  </definedNames>
  <calcPr calcId="191028"/>
  <pivotCaches>
    <pivotCache cacheId="0" r:id="rId10"/>
    <pivotCache cacheId="1"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5" l="1"/>
  <c r="B7" i="15"/>
  <c r="J10" i="15" l="1"/>
  <c r="C25" i="15" l="1"/>
  <c r="B25" i="15"/>
  <c r="C7" i="1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3572C32-F195-45DE-8C59-9EB472BB268A}" keepAlive="1" name="Query - 8+10 Working Data" description="Connection to the '8+10 Working Data' query in the workbook." type="5" refreshedVersion="8" background="1" saveData="1">
    <dbPr connection="Provider=Microsoft.Mashup.OleDb.1;Data Source=$Workbook$;Location=&quot;8+10 Working Data&quot;;Extended Properties=&quot;&quot;" command="SELECT * FROM [8+10 Working Data]"/>
  </connection>
  <connection id="2" xr16:uid="{AA1E6069-3397-454C-BA17-8C3A05FFC384}" keepAlive="1" name="Query - 8+10 Working Data (2)" description="Connection to the '8+10 Working Data (2)' query in the workbook." type="5" refreshedVersion="8" background="1" saveData="1">
    <dbPr connection="Provider=Microsoft.Mashup.OleDb.1;Data Source=$Workbook$;Location=&quot;8+10 Working Data (2)&quot;;Extended Properties=&quot;&quot;" command="SELECT * FROM [8+10 Working Data (2)]"/>
  </connection>
  <connection id="3" xr16:uid="{17FD449A-8AEB-4448-BE42-9D3D5721BE50}" keepAlive="1" name="Query - 8+10 Working Data (3)" description="Connection to the '8+10 Working Data (3)' query in the workbook." type="5" refreshedVersion="8" background="1" saveData="1">
    <dbPr connection="Provider=Microsoft.Mashup.OleDb.1;Data Source=$Workbook$;Location=&quot;8+10 Working Data (3)&quot;;Extended Properties=&quot;&quot;" command="SELECT * FROM [8+10 Working Data (3)]"/>
  </connection>
  <connection id="4" xr16:uid="{23E36834-541B-4634-97F9-0BA68EE997D2}" keepAlive="1" name="Query - 8+10 Working Data (4)" description="Connection to the '8+10 Working Data (4)' query in the workbook." type="5" refreshedVersion="8" background="1" saveData="1">
    <dbPr connection="Provider=Microsoft.Mashup.OleDb.1;Data Source=$Workbook$;Location=&quot;8+10 Working Data (4)&quot;;Extended Properties=&quot;&quot;" command="SELECT * FROM [8+10 Working Data (4)]"/>
  </connection>
  <connection id="5" xr16:uid="{CD3909BF-258E-40A9-8675-1BAFEC2B576E}" keepAlive="1" name="Query - 8+10 Working Data (5)" description="Connection to the '8+10 Working Data (5)' query in the workbook." type="5" refreshedVersion="8" background="1" saveData="1">
    <dbPr connection="Provider=Microsoft.Mashup.OleDb.1;Data Source=$Workbook$;Location=&quot;8+10 Working Data (5)&quot;;Extended Properties=&quot;&quot;" command="SELECT * FROM [8+10 Working Data (5)]"/>
  </connection>
  <connection id="6" xr16:uid="{17D6A2E6-DF8A-4703-9935-EB28B76DF0C5}" keepAlive="1" name="Query - 8+10 Working Data (6)" description="Connection to the '8+10 Working Data (6)' query in the workbook." type="5" refreshedVersion="8" background="1" saveData="1">
    <dbPr connection="Provider=Microsoft.Mashup.OleDb.1;Data Source=$Workbook$;Location=&quot;8+10 Working Data (6)&quot;;Extended Properties=&quot;&quot;" command="SELECT * FROM [8+10 Working Data (6)]"/>
  </connection>
  <connection id="7" xr16:uid="{CAB8714C-4181-4D2D-9BA6-1448CBD057EE}" keepAlive="1" name="Query - 8+10 Working Data (7)" description="Connection to the '8+10 Working Data (7)' query in the workbook." type="5" refreshedVersion="8" background="1" saveData="1">
    <dbPr connection="Provider=Microsoft.Mashup.OleDb.1;Data Source=$Workbook$;Location=&quot;8+10 Working Data (7)&quot;;Extended Properties=&quot;&quot;" command="SELECT * FROM [8+10 Working Data (7)]"/>
  </connection>
  <connection id="8" xr16:uid="{DB3EE5AD-0E79-475E-ADD8-18D84103CCF4}" keepAlive="1" name="Query - Catalyst Ext" description="Connection to the 'Catalyst Ext' query in the workbook." type="5" refreshedVersion="0" background="1">
    <dbPr connection="Provider=Microsoft.Mashup.OleDb.1;Data Source=$Workbook$;Location=&quot;Catalyst Ext&quot;;Extended Properties=&quot;&quot;" command="SELECT * FROM [Catalyst Ext]"/>
  </connection>
  <connection id="9" xr16:uid="{8B26CEA2-D76F-43B1-876F-217C03135A0D}" keepAlive="1" name="Query - Catalyst Ext (10)" description="Connection to the 'Catalyst Ext (10)' query in the workbook." type="5" refreshedVersion="0" background="1">
    <dbPr connection="Provider=Microsoft.Mashup.OleDb.1;Data Source=$Workbook$;Location=&quot;Catalyst Ext (10)&quot;;Extended Properties=&quot;&quot;" command="SELECT * FROM [Catalyst Ext (10)]"/>
  </connection>
  <connection id="10" xr16:uid="{F9B1B506-E18D-4E23-AF3B-2F77BF8D38E7}" keepAlive="1" name="Query - Catalyst Ext (2)" description="Connection to the 'Catalyst Ext (2)' query in the workbook." type="5" refreshedVersion="0" background="1">
    <dbPr connection="Provider=Microsoft.Mashup.OleDb.1;Data Source=$Workbook$;Location=&quot;Catalyst Ext (2)&quot;;Extended Properties=&quot;&quot;" command="SELECT * FROM [Catalyst Ext (2)]"/>
  </connection>
  <connection id="11" xr16:uid="{BBCBADDF-C1BA-4E04-99FF-2DBAD46D47DA}" keepAlive="1" name="Query - Catalyst Ext (3)" description="Connection to the 'Catalyst Ext (3)' query in the workbook." type="5" refreshedVersion="0" background="1">
    <dbPr connection="Provider=Microsoft.Mashup.OleDb.1;Data Source=$Workbook$;Location=&quot;Catalyst Ext (3)&quot;;Extended Properties=&quot;&quot;" command="SELECT * FROM [Catalyst Ext (3)]"/>
  </connection>
  <connection id="12" xr16:uid="{5E1320A7-99C8-4EE9-B79D-1585D1410322}" keepAlive="1" name="Query - Catalyst Ext (4)" description="Connection to the 'Catalyst Ext (4)' query in the workbook." type="5" refreshedVersion="0" background="1">
    <dbPr connection="Provider=Microsoft.Mashup.OleDb.1;Data Source=$Workbook$;Location=&quot;Catalyst Ext (4)&quot;;Extended Properties=&quot;&quot;" command="SELECT * FROM [Catalyst Ext (4)]"/>
  </connection>
  <connection id="13" xr16:uid="{914C106F-52AB-4E8B-BEBB-8ADFD79F5B13}" keepAlive="1" name="Query - Catalyst Ext (5)" description="Connection to the 'Catalyst Ext (5)' query in the workbook." type="5" refreshedVersion="0" background="1">
    <dbPr connection="Provider=Microsoft.Mashup.OleDb.1;Data Source=$Workbook$;Location=&quot;Catalyst Ext (5)&quot;;Extended Properties=&quot;&quot;" command="SELECT * FROM [Catalyst Ext (5)]"/>
  </connection>
  <connection id="14" xr16:uid="{989B0EDB-49F2-4CE5-9D1E-730A00F2DF7B}" keepAlive="1" name="Query - Catalyst Ext (6)" description="Connection to the 'Catalyst Ext (6)' query in the workbook." type="5" refreshedVersion="0" background="1">
    <dbPr connection="Provider=Microsoft.Mashup.OleDb.1;Data Source=$Workbook$;Location=&quot;Catalyst Ext (6)&quot;;Extended Properties=&quot;&quot;" command="SELECT * FROM [Catalyst Ext (6)]"/>
  </connection>
  <connection id="15" xr16:uid="{E679D74D-9AB1-4E22-9765-616330F46395}" keepAlive="1" name="Query - Catalyst Ext (7)" description="Connection to the 'Catalyst Ext (7)' query in the workbook." type="5" refreshedVersion="0" background="1">
    <dbPr connection="Provider=Microsoft.Mashup.OleDb.1;Data Source=$Workbook$;Location=&quot;Catalyst Ext (7)&quot;;Extended Properties=&quot;&quot;" command="SELECT * FROM [Catalyst Ext (7)]"/>
  </connection>
  <connection id="16" xr16:uid="{F7952591-38F0-4BCD-84C4-3B8BE74D47B9}" keepAlive="1" name="Query - Catalyst Ext (8)" description="Connection to the 'Catalyst Ext (8)' query in the workbook." type="5" refreshedVersion="0" background="1">
    <dbPr connection="Provider=Microsoft.Mashup.OleDb.1;Data Source=$Workbook$;Location=&quot;Catalyst Ext (8)&quot;;Extended Properties=&quot;&quot;" command="SELECT * FROM [Catalyst Ext (8)]"/>
  </connection>
  <connection id="17" xr16:uid="{171495DF-E9B9-4888-8507-4BA11D10A540}" keepAlive="1" name="Query - Catalyst Ext (9)" description="Connection to the 'Catalyst Ext (9)' query in the workbook." type="5" refreshedVersion="0" background="1">
    <dbPr connection="Provider=Microsoft.Mashup.OleDb.1;Data Source=$Workbook$;Location=&quot;Catalyst Ext (9)&quot;;Extended Properties=&quot;&quot;" command="SELECT * FROM [Catalyst Ext (9)]"/>
  </connection>
  <connection id="18" xr16:uid="{1329AEA4-72EB-45D7-B1C7-1568D1A6B2C8}" keepAlive="1" name="Query - exportFteData Final" description="Connection to the 'exportFteData Final' query in the workbook." type="5" refreshedVersion="8" background="1" saveData="1">
    <dbPr connection="Provider=Microsoft.Mashup.OleDb.1;Data Source=$Workbook$;Location=&quot;exportFteData Final&quot;;Extended Properties=&quot;&quot;" command="SELECT * FROM [exportFteData Final]"/>
  </connection>
  <connection id="19" xr16:uid="{346EFD2F-7781-460A-9746-FD92E8BFA136}" keepAlive="1" name="Query - exportFteData Final (10)" description="Connection to the 'exportFteData Final (10)' query in the workbook." type="5" refreshedVersion="0" background="1">
    <dbPr connection="Provider=Microsoft.Mashup.OleDb.1;Data Source=$Workbook$;Location=&quot;exportFteData Final (10)&quot;;Extended Properties=&quot;&quot;" command="SELECT * FROM [exportFteData Final (10)]"/>
  </connection>
  <connection id="20" xr16:uid="{5F3F4B0F-8010-4584-846B-0FE149EAF3EC}" keepAlive="1" name="Query - exportFteData Final (2)" description="Connection to the 'exportFteData Final (2)' query in the workbook." type="5" refreshedVersion="0" background="1">
    <dbPr connection="Provider=Microsoft.Mashup.OleDb.1;Data Source=$Workbook$;Location=&quot;exportFteData Final (2)&quot;;Extended Properties=&quot;&quot;" command="SELECT * FROM [exportFteData Final (2)]"/>
  </connection>
  <connection id="21" xr16:uid="{7EB6B1F6-8330-4FD3-936F-A8F8E2EA3119}" keepAlive="1" name="Query - exportFteData Final (3)" description="Connection to the 'exportFteData Final (3)' query in the workbook." type="5" refreshedVersion="8" background="1" saveData="1">
    <dbPr connection="Provider=Microsoft.Mashup.OleDb.1;Data Source=$Workbook$;Location=&quot;exportFteData Final (3)&quot;;Extended Properties=&quot;&quot;" command="SELECT * FROM [exportFteData Final (3)]"/>
  </connection>
  <connection id="22" xr16:uid="{67ABDFF0-D9C8-43CB-AB33-4AE7DE59F8E1}" keepAlive="1" name="Query - exportFteData Final (4)" description="Connection to the 'exportFteData Final (4)' query in the workbook." type="5" refreshedVersion="0" background="1">
    <dbPr connection="Provider=Microsoft.Mashup.OleDb.1;Data Source=$Workbook$;Location=&quot;exportFteData Final (4)&quot;;Extended Properties=&quot;&quot;" command="SELECT * FROM [exportFteData Final (4)]"/>
  </connection>
  <connection id="23" xr16:uid="{AF95A9C4-57C0-4C53-B038-F0322864B7F9}" keepAlive="1" name="Query - exportFteData Final (5)" description="Connection to the 'exportFteData Final (5)' query in the workbook." type="5" refreshedVersion="8" background="1" saveData="1">
    <dbPr connection="Provider=Microsoft.Mashup.OleDb.1;Data Source=$Workbook$;Location=&quot;exportFteData Final (5)&quot;;Extended Properties=&quot;&quot;" command="SELECT * FROM [exportFteData Final (5)]"/>
  </connection>
  <connection id="24" xr16:uid="{2C82691F-66E4-448C-86CA-482E752E3E1E}" keepAlive="1" name="Query - exportFteData Final (6)" description="Connection to the 'exportFteData Final (6)' query in the workbook." type="5" refreshedVersion="0" background="1">
    <dbPr connection="Provider=Microsoft.Mashup.OleDb.1;Data Source=$Workbook$;Location=&quot;exportFteData Final (6)&quot;;Extended Properties=&quot;&quot;" command="SELECT * FROM [exportFteData Final (6)]"/>
  </connection>
  <connection id="25" xr16:uid="{0327D9A1-9505-4345-84BA-AC1DCCE62DD4}" keepAlive="1" name="Query - exportFteData Final (7)" description="Connection to the 'exportFteData Final (7)' query in the workbook." type="5" refreshedVersion="0" background="1">
    <dbPr connection="Provider=Microsoft.Mashup.OleDb.1;Data Source=$Workbook$;Location=&quot;exportFteData Final (7)&quot;;Extended Properties=&quot;&quot;" command="SELECT * FROM [exportFteData Final (7)]"/>
  </connection>
  <connection id="26" xr16:uid="{23F5FD9D-0929-4295-923B-FE4DC3234BFE}" keepAlive="1" name="Query - exportFteData Final (8)" description="Connection to the 'exportFteData Final (8)' query in the workbook." type="5" refreshedVersion="0" background="1">
    <dbPr connection="Provider=Microsoft.Mashup.OleDb.1;Data Source=$Workbook$;Location=&quot;exportFteData Final (8)&quot;;Extended Properties=&quot;&quot;" command="SELECT * FROM [exportFteData Final (8)]"/>
  </connection>
  <connection id="27" xr16:uid="{00A0B086-4064-488A-A4BB-7252EAD81BBA}" keepAlive="1" name="Query - exportFteData Final (9)" description="Connection to the 'exportFteData Final (9)' query in the workbook." type="5" refreshedVersion="0" background="1">
    <dbPr connection="Provider=Microsoft.Mashup.OleDb.1;Data Source=$Workbook$;Location=&quot;exportFteData Final (9)&quot;;Extended Properties=&quot;&quot;" command="SELECT * FROM [exportFteData Final (9)]"/>
  </connection>
  <connection id="28" xr16:uid="{46F016B4-8699-441E-9604-35DF6471F67F}" keepAlive="1" name="Query - FTE merge ready" description="Connection to the 'FTE merge ready' query in the workbook." type="5" refreshedVersion="0" background="1">
    <dbPr connection="Provider=Microsoft.Mashup.OleDb.1;Data Source=$Workbook$;Location=&quot;FTE merge ready&quot;;Extended Properties=&quot;&quot;" command="SELECT * FROM [FTE merge ready]"/>
  </connection>
  <connection id="29" xr16:uid="{7110C9B4-9F81-4976-9518-799AAC4AB97D}" keepAlive="1" name="Query - FTE merge ready (10)" description="Connection to the 'FTE merge ready (10)' query in the workbook." type="5" refreshedVersion="0" background="1">
    <dbPr connection="Provider=Microsoft.Mashup.OleDb.1;Data Source=$Workbook$;Location=&quot;FTE merge ready (10)&quot;;Extended Properties=&quot;&quot;" command="SELECT * FROM [FTE merge ready (10)]"/>
  </connection>
  <connection id="30" xr16:uid="{A1B2AC36-FABB-4DD6-932D-684B281EAB38}" keepAlive="1" name="Query - FTE merge ready (2)" description="Connection to the 'FTE merge ready (2)' query in the workbook." type="5" refreshedVersion="0" background="1">
    <dbPr connection="Provider=Microsoft.Mashup.OleDb.1;Data Source=$Workbook$;Location=&quot;FTE merge ready (2)&quot;;Extended Properties=&quot;&quot;" command="SELECT * FROM [FTE merge ready (2)]"/>
  </connection>
  <connection id="31" xr16:uid="{44410CC4-0D09-4B50-8A6E-E85FCE4994E4}" keepAlive="1" name="Query - FTE merge ready (3)" description="Connection to the 'FTE merge ready (3)' query in the workbook." type="5" refreshedVersion="0" background="1">
    <dbPr connection="Provider=Microsoft.Mashup.OleDb.1;Data Source=$Workbook$;Location=&quot;FTE merge ready (3)&quot;;Extended Properties=&quot;&quot;" command="SELECT * FROM [FTE merge ready (3)]"/>
  </connection>
  <connection id="32" xr16:uid="{3DE34D9B-E0B9-4B56-9BA9-CD84E82A5A54}" keepAlive="1" name="Query - FTE merge ready (4)" description="Connection to the 'FTE merge ready (4)' query in the workbook." type="5" refreshedVersion="0" background="1">
    <dbPr connection="Provider=Microsoft.Mashup.OleDb.1;Data Source=$Workbook$;Location=&quot;FTE merge ready (4)&quot;;Extended Properties=&quot;&quot;" command="SELECT * FROM [FTE merge ready (4)]"/>
  </connection>
  <connection id="33" xr16:uid="{1F1CCDC9-55D5-46B2-A89E-0ABDB380F97A}" keepAlive="1" name="Query - FTE merge ready (5)" description="Connection to the 'FTE merge ready (5)' query in the workbook." type="5" refreshedVersion="0" background="1">
    <dbPr connection="Provider=Microsoft.Mashup.OleDb.1;Data Source=$Workbook$;Location=&quot;FTE merge ready (5)&quot;;Extended Properties=&quot;&quot;" command="SELECT * FROM [FTE merge ready (5)]"/>
  </connection>
  <connection id="34" xr16:uid="{ECA74E96-BF8F-420E-BCB6-96D4C0BA9E6D}" keepAlive="1" name="Query - FTE merge ready (6)" description="Connection to the 'FTE merge ready (6)' query in the workbook." type="5" refreshedVersion="0" background="1">
    <dbPr connection="Provider=Microsoft.Mashup.OleDb.1;Data Source=$Workbook$;Location=&quot;FTE merge ready (6)&quot;;Extended Properties=&quot;&quot;" command="SELECT * FROM [FTE merge ready (6)]"/>
  </connection>
  <connection id="35" xr16:uid="{0B842220-F6C5-47FE-A44A-AF95E7326B02}" keepAlive="1" name="Query - FTE merge ready (7)" description="Connection to the 'FTE merge ready (7)' query in the workbook." type="5" refreshedVersion="0" background="1">
    <dbPr connection="Provider=Microsoft.Mashup.OleDb.1;Data Source=$Workbook$;Location=&quot;FTE merge ready (7)&quot;;Extended Properties=&quot;&quot;" command="SELECT * FROM [FTE merge ready (7)]"/>
  </connection>
  <connection id="36" xr16:uid="{62042A7F-D3B8-423E-AA79-ED12FAAE38E1}" keepAlive="1" name="Query - FTE merge ready (8)" description="Connection to the 'FTE merge ready (8)' query in the workbook." type="5" refreshedVersion="0" background="1">
    <dbPr connection="Provider=Microsoft.Mashup.OleDb.1;Data Source=$Workbook$;Location=&quot;FTE merge ready (8)&quot;;Extended Properties=&quot;&quot;" command="SELECT * FROM [FTE merge ready (8)]"/>
  </connection>
  <connection id="37" xr16:uid="{F6AFF919-D4AD-4BA9-AAB3-24FF88AC9ACE}" keepAlive="1" name="Query - FTE merge ready (9)" description="Connection to the 'FTE merge ready (9)' query in the workbook." type="5" refreshedVersion="0" background="1">
    <dbPr connection="Provider=Microsoft.Mashup.OleDb.1;Data Source=$Workbook$;Location=&quot;FTE merge ready (9)&quot;;Extended Properties=&quot;&quot;" command="SELECT * FROM [FTE merge ready (9)]"/>
  </connection>
  <connection id="38" xr16:uid="{5B5A714C-05D3-456E-BF76-943906A450ED}" keepAlive="1" name="Query - Manual Allocations EXT" description="Connection to the 'Manual Allocations EXT' query in the workbook." type="5" refreshedVersion="0" background="1">
    <dbPr connection="Provider=Microsoft.Mashup.OleDb.1;Data Source=$Workbook$;Location=&quot;Manual Allocations EXT&quot;;Extended Properties=&quot;&quot;" command="SELECT * FROM [Manual Allocations EXT]"/>
  </connection>
  <connection id="39" xr16:uid="{126ABF03-D857-43EE-9F0C-E4CF529412FD}" keepAlive="1" name="Query - Manual Allocations EXT (10)" description="Connection to the 'Manual Allocations EXT (10)' query in the workbook." type="5" refreshedVersion="0" background="1">
    <dbPr connection="Provider=Microsoft.Mashup.OleDb.1;Data Source=$Workbook$;Location=&quot;Manual Allocations EXT (10)&quot;;Extended Properties=&quot;&quot;" command="SELECT * FROM [Manual Allocations EXT (10)]"/>
  </connection>
  <connection id="40" xr16:uid="{BB6B90DF-339A-4A38-82E5-FE7FCAB3E703}" keepAlive="1" name="Query - Manual Allocations EXT (2)" description="Connection to the 'Manual Allocations EXT (2)' query in the workbook." type="5" refreshedVersion="0" background="1">
    <dbPr connection="Provider=Microsoft.Mashup.OleDb.1;Data Source=$Workbook$;Location=&quot;Manual Allocations EXT (2)&quot;;Extended Properties=&quot;&quot;" command="SELECT * FROM [Manual Allocations EXT (2)]"/>
  </connection>
  <connection id="41" xr16:uid="{059D198E-7833-4BED-AF03-82EE10EA9C98}" keepAlive="1" name="Query - Manual Allocations EXT (3)" description="Connection to the 'Manual Allocations EXT (3)' query in the workbook." type="5" refreshedVersion="0" background="1">
    <dbPr connection="Provider=Microsoft.Mashup.OleDb.1;Data Source=$Workbook$;Location=&quot;Manual Allocations EXT (3)&quot;;Extended Properties=&quot;&quot;" command="SELECT * FROM [Manual Allocations EXT (3)]"/>
  </connection>
  <connection id="42" xr16:uid="{D2D4E3EE-68C3-4C69-B0BB-EA9A033FD446}" keepAlive="1" name="Query - Manual Allocations EXT (4)" description="Connection to the 'Manual Allocations EXT (4)' query in the workbook." type="5" refreshedVersion="0" background="1">
    <dbPr connection="Provider=Microsoft.Mashup.OleDb.1;Data Source=$Workbook$;Location=&quot;Manual Allocations EXT (4)&quot;;Extended Properties=&quot;&quot;" command="SELECT * FROM [Manual Allocations EXT (4)]"/>
  </connection>
  <connection id="43" xr16:uid="{17C32C7D-A5E6-4167-8033-AC7CBCD0334C}" keepAlive="1" name="Query - Manual Allocations EXT (5)" description="Connection to the 'Manual Allocations EXT (5)' query in the workbook." type="5" refreshedVersion="0" background="1">
    <dbPr connection="Provider=Microsoft.Mashup.OleDb.1;Data Source=$Workbook$;Location=&quot;Manual Allocations EXT (5)&quot;;Extended Properties=&quot;&quot;" command="SELECT * FROM [Manual Allocations EXT (5)]"/>
  </connection>
  <connection id="44" xr16:uid="{847348D9-0F18-47C2-8BDA-9D64BAE2B7F1}" keepAlive="1" name="Query - Manual Allocations EXT (6)" description="Connection to the 'Manual Allocations EXT (6)' query in the workbook." type="5" refreshedVersion="0" background="1">
    <dbPr connection="Provider=Microsoft.Mashup.OleDb.1;Data Source=$Workbook$;Location=&quot;Manual Allocations EXT (6)&quot;;Extended Properties=&quot;&quot;" command="SELECT * FROM [Manual Allocations EXT (6)]"/>
  </connection>
  <connection id="45" xr16:uid="{1A9C8C60-6171-4DAC-9895-7C9713B9B1E9}" keepAlive="1" name="Query - Manual Allocations EXT (7)" description="Connection to the 'Manual Allocations EXT (7)' query in the workbook." type="5" refreshedVersion="0" background="1">
    <dbPr connection="Provider=Microsoft.Mashup.OleDb.1;Data Source=$Workbook$;Location=&quot;Manual Allocations EXT (7)&quot;;Extended Properties=&quot;&quot;" command="SELECT * FROM [Manual Allocations EXT (7)]"/>
  </connection>
  <connection id="46" xr16:uid="{21EB937F-93B0-418D-B108-874E5FD29D7B}" keepAlive="1" name="Query - Manual Allocations EXT (8)" description="Connection to the 'Manual Allocations EXT (8)' query in the workbook." type="5" refreshedVersion="0" background="1">
    <dbPr connection="Provider=Microsoft.Mashup.OleDb.1;Data Source=$Workbook$;Location=&quot;Manual Allocations EXT (8)&quot;;Extended Properties=&quot;&quot;" command="SELECT * FROM [Manual Allocations EXT (8)]"/>
  </connection>
  <connection id="47" xr16:uid="{2C9345AE-013A-4B23-BE19-66D804B6F52F}" keepAlive="1" name="Query - Manual Allocations EXT (9)" description="Connection to the 'Manual Allocations EXT (9)' query in the workbook." type="5" refreshedVersion="0" background="1">
    <dbPr connection="Provider=Microsoft.Mashup.OleDb.1;Data Source=$Workbook$;Location=&quot;Manual Allocations EXT (9)&quot;;Extended Properties=&quot;&quot;" command="SELECT * FROM [Manual Allocations EXT (9)]"/>
  </connection>
  <connection id="48" xr16:uid="{BB5AFAEC-6D0B-447F-9047-9BF616EC6043}" keepAlive="1" name="Query - Query1" description="Connection to the 'Query1' query in the workbook." type="5" refreshedVersion="8" background="1" saveData="1">
    <dbPr connection="Provider=Microsoft.Mashup.OleDb.1;Data Source=$Workbook$;Location=Query1;Extended Properties=&quot;&quot;" command="SELECT * FROM [Query1]"/>
  </connection>
  <connection id="49" xr16:uid="{2119F531-77BC-4F79-A54C-90526A68ECA7}" keepAlive="1" name="Query - Query1 (2)" description="Connection to the 'Query1 (2)' query in the workbook." type="5" refreshedVersion="8" background="1" saveData="1">
    <dbPr connection="Provider=Microsoft.Mashup.OleDb.1;Data Source=$Workbook$;Location=&quot;Query1 (2)&quot;;Extended Properties=&quot;&quot;" command="SELECT * FROM [Query1 (2)]"/>
  </connection>
  <connection id="50" xr16:uid="{3FB07139-7975-49C8-9E73-E4D5ABB5BECA}" keepAlive="1" name="Query - Zero_Allocation Ext" description="Connection to the 'Zero_Allocation Ext' query in the workbook." type="5" refreshedVersion="0" background="1">
    <dbPr connection="Provider=Microsoft.Mashup.OleDb.1;Data Source=$Workbook$;Location=&quot;Zero_Allocation Ext&quot;;Extended Properties=&quot;&quot;" command="SELECT * FROM [Zero_Allocation Ext]"/>
  </connection>
  <connection id="51" xr16:uid="{4C11F31A-80CE-4271-91A2-43D3712CD594}" keepAlive="1" name="Query - Zero_Allocation Ext (2)" description="Connection to the 'Zero_Allocation Ext (2)' query in the workbook." type="5" refreshedVersion="0" background="1">
    <dbPr connection="Provider=Microsoft.Mashup.OleDb.1;Data Source=$Workbook$;Location=&quot;Zero_Allocation Ext (2)&quot;;Extended Properties=&quot;&quot;" command="SELECT * FROM [Zero_Allocation Ext (2)]"/>
  </connection>
  <connection id="52" xr16:uid="{0E28FC2F-6385-41CF-B6CD-B33A8F0DED39}" keepAlive="1" name="Query - Zero_Allocation Ext (3)" description="Connection to the 'Zero_Allocation Ext (3)' query in the workbook." type="5" refreshedVersion="0" background="1">
    <dbPr connection="Provider=Microsoft.Mashup.OleDb.1;Data Source=$Workbook$;Location=&quot;Zero_Allocation Ext (3)&quot;;Extended Properties=&quot;&quot;" command="SELECT * FROM [Zero_Allocation Ext (3)]"/>
  </connection>
  <connection id="53" xr16:uid="{55FD5937-2B71-45E0-91AD-AD53EFA59CB1}" keepAlive="1" name="Query - Zero_Allocation Ext (4)" description="Connection to the 'Zero_Allocation Ext (4)' query in the workbook." type="5" refreshedVersion="0" background="1">
    <dbPr connection="Provider=Microsoft.Mashup.OleDb.1;Data Source=$Workbook$;Location=&quot;Zero_Allocation Ext (4)&quot;;Extended Properties=&quot;&quot;" command="SELECT * FROM [Zero_Allocation Ext (4)]"/>
  </connection>
  <connection id="54" xr16:uid="{73F24980-31DD-4AB1-BB24-5C0C31243961}" keepAlive="1" name="Query - Zero_Allocation Ext (5)" description="Connection to the 'Zero_Allocation Ext (5)' query in the workbook." type="5" refreshedVersion="0" background="1">
    <dbPr connection="Provider=Microsoft.Mashup.OleDb.1;Data Source=$Workbook$;Location=&quot;Zero_Allocation Ext (5)&quot;;Extended Properties=&quot;&quot;" command="SELECT * FROM [Zero_Allocation Ext (5)]"/>
  </connection>
  <connection id="55" xr16:uid="{7ED5C0B1-4938-44C3-AF91-A9F4E3672036}" keepAlive="1" name="Query - Zero_Allocation Ext (6)" description="Connection to the 'Zero_Allocation Ext (6)' query in the workbook." type="5" refreshedVersion="0" background="1">
    <dbPr connection="Provider=Microsoft.Mashup.OleDb.1;Data Source=$Workbook$;Location=&quot;Zero_Allocation Ext (6)&quot;;Extended Properties=&quot;&quot;" command="SELECT * FROM [Zero_Allocation Ext (6)]"/>
  </connection>
  <connection id="56" xr16:uid="{32CABE92-486F-4FE4-84F3-48B32B811DA8}" keepAlive="1" name="Query - Zero_Allocation Ext (7)" description="Connection to the 'Zero_Allocation Ext (7)' query in the workbook." type="5" refreshedVersion="0" background="1">
    <dbPr connection="Provider=Microsoft.Mashup.OleDb.1;Data Source=$Workbook$;Location=&quot;Zero_Allocation Ext (7)&quot;;Extended Properties=&quot;&quot;" command="SELECT * FROM [Zero_Allocation Ext (7)]"/>
  </connection>
</connections>
</file>

<file path=xl/sharedStrings.xml><?xml version="1.0" encoding="utf-8"?>
<sst xmlns="http://schemas.openxmlformats.org/spreadsheetml/2006/main" count="57538" uniqueCount="2454">
  <si>
    <t>*Headcount number is calculated basis the status = On board</t>
  </si>
  <si>
    <t>Number of individuals per category from Wip pivot after applying relevant filters</t>
  </si>
  <si>
    <t>Philips Employees</t>
  </si>
  <si>
    <t>Contingent Employee</t>
  </si>
  <si>
    <t>Working data</t>
  </si>
  <si>
    <t>Onboard Employees</t>
  </si>
  <si>
    <t>Allocated to projects</t>
  </si>
  <si>
    <t>Allocated Employees</t>
  </si>
  <si>
    <t>Training</t>
  </si>
  <si>
    <t>Allocated Resource Amount</t>
  </si>
  <si>
    <t>Funnel Activity</t>
  </si>
  <si>
    <t>Difference</t>
  </si>
  <si>
    <t>Long Leave</t>
  </si>
  <si>
    <t>Events</t>
  </si>
  <si>
    <t>Zero Allocate</t>
  </si>
  <si>
    <t>Total</t>
  </si>
  <si>
    <t>FTE Amount</t>
  </si>
  <si>
    <t>Only for FTE's</t>
  </si>
  <si>
    <t>#Resources</t>
  </si>
  <si>
    <t>Allocation = 1</t>
  </si>
  <si>
    <t>Allocation &gt; 1</t>
  </si>
  <si>
    <t>Allocation &lt; 1</t>
  </si>
  <si>
    <t>Resources Vs Total Allocation</t>
  </si>
  <si>
    <t>*The total headcount is excluding Funnel activity, Long Leave, Events and trainings</t>
  </si>
  <si>
    <t>Row Labels</t>
  </si>
  <si>
    <t>Sum of ResourceAmount</t>
  </si>
  <si>
    <t>Grand Total</t>
  </si>
  <si>
    <t>Aaliya Shaikh</t>
  </si>
  <si>
    <t>Abhijit Raje</t>
  </si>
  <si>
    <t>Aarya Sangle</t>
  </si>
  <si>
    <t>M Anija</t>
  </si>
  <si>
    <t>Abhay Shivanker</t>
  </si>
  <si>
    <t>Sayali Govind Kulkarni</t>
  </si>
  <si>
    <t>Abhijit Dingare</t>
  </si>
  <si>
    <t>Swapnil Kamerkar</t>
  </si>
  <si>
    <t>Shailesh Nikam</t>
  </si>
  <si>
    <t>Abhijit Sawkar</t>
  </si>
  <si>
    <t>Gowtham</t>
  </si>
  <si>
    <t>Abhishek Bhargav Jadhav</t>
  </si>
  <si>
    <t>Hanupriya Deora</t>
  </si>
  <si>
    <t>Abhishek Patil</t>
  </si>
  <si>
    <t>Freddy Yan</t>
  </si>
  <si>
    <t>Abinash Kumar Bharati</t>
  </si>
  <si>
    <t>Pankaj Chaudhari</t>
  </si>
  <si>
    <t>Abishek Dumpala</t>
  </si>
  <si>
    <t>Girish Kulkarni</t>
  </si>
  <si>
    <t>Adarsh Hanjar</t>
  </si>
  <si>
    <t>Satheesh Nair</t>
  </si>
  <si>
    <t>Adarsh Shrivastava</t>
  </si>
  <si>
    <t>Gourav Krishna Parab</t>
  </si>
  <si>
    <t>Adireddyvamsi krishna Reddy</t>
  </si>
  <si>
    <t>Aditi Bhatta</t>
  </si>
  <si>
    <t>Aditya Bhavsar</t>
  </si>
  <si>
    <t>Aditya Kumar</t>
  </si>
  <si>
    <t>Aditya Tikale</t>
  </si>
  <si>
    <t>Adnan Arif</t>
  </si>
  <si>
    <t>Adrianna Davis</t>
  </si>
  <si>
    <t>Advait Ashokrao Patil</t>
  </si>
  <si>
    <t>Aishwarya Akul</t>
  </si>
  <si>
    <t>Ajay M Chougale</t>
  </si>
  <si>
    <t>Ajit Solankure</t>
  </si>
  <si>
    <t>Ajit Wagh</t>
  </si>
  <si>
    <t>Akash Deep</t>
  </si>
  <si>
    <t>Akash Jadav</t>
  </si>
  <si>
    <t>Akash Janardhanan</t>
  </si>
  <si>
    <t>Akash Kadam</t>
  </si>
  <si>
    <t>Akash Khavare</t>
  </si>
  <si>
    <t>Akash Pawar</t>
  </si>
  <si>
    <t>Akash Sharma</t>
  </si>
  <si>
    <t>Akhil Wankhede</t>
  </si>
  <si>
    <t>Akshatha S Bhat</t>
  </si>
  <si>
    <t>Akshay Avadhut Devdikar</t>
  </si>
  <si>
    <t>Akshay Jain</t>
  </si>
  <si>
    <t>Akshay Lunge</t>
  </si>
  <si>
    <t>Akshay Prashant Rajadnya</t>
  </si>
  <si>
    <t>Al Pautz</t>
  </si>
  <si>
    <t>Albert Huang</t>
  </si>
  <si>
    <t>Alok Kumar Yadav</t>
  </si>
  <si>
    <t>Alok Vishambhar Dayal Pandey</t>
  </si>
  <si>
    <t>Ameya Wadiker</t>
  </si>
  <si>
    <t>Amit Kumar</t>
  </si>
  <si>
    <t>Amol Bagul</t>
  </si>
  <si>
    <t>Amol Khejbhat</t>
  </si>
  <si>
    <t>Amol Ravindra Balkawade</t>
  </si>
  <si>
    <t>Amruta Kulkarni</t>
  </si>
  <si>
    <t>Anand Deepak Kulkarni</t>
  </si>
  <si>
    <t>Anand Jambagi</t>
  </si>
  <si>
    <t>Anand Navalagi</t>
  </si>
  <si>
    <t>Aniket Mitkeri</t>
  </si>
  <si>
    <t>Anil C S</t>
  </si>
  <si>
    <t>Anil Kambar</t>
  </si>
  <si>
    <t>Anil Kumar</t>
  </si>
  <si>
    <t>Anish Lale</t>
  </si>
  <si>
    <t>Anjali Juikar</t>
  </si>
  <si>
    <t>Anjali Nigam</t>
  </si>
  <si>
    <t>Anjali Shringi</t>
  </si>
  <si>
    <t>Anjan Naik</t>
  </si>
  <si>
    <t>Anjana Parakhe</t>
  </si>
  <si>
    <t>Antima Sahu</t>
  </si>
  <si>
    <t>Anupama B</t>
  </si>
  <si>
    <t>Anupoju Chanti</t>
  </si>
  <si>
    <t>Anupoju Madhu</t>
  </si>
  <si>
    <t>Arjun Halli</t>
  </si>
  <si>
    <t>Arjun Sunar</t>
  </si>
  <si>
    <t>Arjun V</t>
  </si>
  <si>
    <t>Arun Kumar</t>
  </si>
  <si>
    <t>Arunachala Arul P</t>
  </si>
  <si>
    <t>AryaVeer Garg</t>
  </si>
  <si>
    <t>Ashish Shinde</t>
  </si>
  <si>
    <t>Ashwin Jayant Satalkar</t>
  </si>
  <si>
    <t>Ashwini Jibhkate</t>
  </si>
  <si>
    <t>Asif Shaikh</t>
  </si>
  <si>
    <t>Asish Mondal</t>
  </si>
  <si>
    <t>Asmita Bhaire</t>
  </si>
  <si>
    <t>Asmita Jagtap</t>
  </si>
  <si>
    <t>Asmita Joshi</t>
  </si>
  <si>
    <t>Asmita Marathe</t>
  </si>
  <si>
    <t>Athun Siva B</t>
  </si>
  <si>
    <t>Atishkumar Sathe</t>
  </si>
  <si>
    <t>Atul Arun Ahiwale</t>
  </si>
  <si>
    <t>Atul Kulkarni</t>
  </si>
  <si>
    <t>Avani Pitale</t>
  </si>
  <si>
    <t>Aveen Kumar Dasari</t>
  </si>
  <si>
    <t>Avinash Gosavi</t>
  </si>
  <si>
    <t>Avinash Shikalgar</t>
  </si>
  <si>
    <t>Avirup Ray</t>
  </si>
  <si>
    <t>Azhar Momin</t>
  </si>
  <si>
    <t>Basavaraj Sanikop</t>
  </si>
  <si>
    <t>Bejoy Thomas</t>
  </si>
  <si>
    <t>Bennada Deviprasad</t>
  </si>
  <si>
    <t>Bhagyashri Tambe</t>
  </si>
  <si>
    <t>Bhalchandra Bhosale</t>
  </si>
  <si>
    <t>Bhushan Barve</t>
  </si>
  <si>
    <t>Bindushree Narayanaswami</t>
  </si>
  <si>
    <t>Binesh Pillai</t>
  </si>
  <si>
    <t>Bingbing Song (Ryan)</t>
  </si>
  <si>
    <t>BK Raghava</t>
  </si>
  <si>
    <t>C Dhanvi</t>
  </si>
  <si>
    <t>Chandra Bhushan Kumar</t>
  </si>
  <si>
    <t>Chandrasekhar Panneeti</t>
  </si>
  <si>
    <t>Changgang Zou (Jeffrey)</t>
  </si>
  <si>
    <t>Changping Shi</t>
  </si>
  <si>
    <t>Charles Moses</t>
  </si>
  <si>
    <t>Cherian J Purakkary</t>
  </si>
  <si>
    <t>Chetan Barve</t>
  </si>
  <si>
    <t>Chetan Deepak Puri</t>
  </si>
  <si>
    <t>Chetan Gade</t>
  </si>
  <si>
    <t>Chetan Lohar</t>
  </si>
  <si>
    <t>Chetan Mantri</t>
  </si>
  <si>
    <t>Chetan ramlingappa Yalasangi</t>
  </si>
  <si>
    <t>Chris Kvaka</t>
  </si>
  <si>
    <t>Chris McDaniel</t>
  </si>
  <si>
    <t>Chuanjing Xiao (Tiger)</t>
  </si>
  <si>
    <t>Chunyan Miao (Michael)</t>
  </si>
  <si>
    <t>Damodar Sarnobat</t>
  </si>
  <si>
    <t>Dayal Mirthinti</t>
  </si>
  <si>
    <t>Debabrata das</t>
  </si>
  <si>
    <t>Deepak Kataruka</t>
  </si>
  <si>
    <t>Deepak Tambe</t>
  </si>
  <si>
    <t>Deepshikha Singh</t>
  </si>
  <si>
    <t>Denny Varghese</t>
  </si>
  <si>
    <t>Devraj Kote</t>
  </si>
  <si>
    <t>Dhanshree Bhinge</t>
  </si>
  <si>
    <t>Dharani Kumaresan</t>
  </si>
  <si>
    <t>Dharshan Ramakrishnan</t>
  </si>
  <si>
    <t>Dhiraj Kumar</t>
  </si>
  <si>
    <t>Dibyajiban Padhihari</t>
  </si>
  <si>
    <t>Dinesh Borapareddy</t>
  </si>
  <si>
    <t>Dipesh Bhagwat</t>
  </si>
  <si>
    <t>Dipti Ghatge</t>
  </si>
  <si>
    <t>Dongfang Zhu(Ailin)</t>
  </si>
  <si>
    <t>Dongsheng Jia (Jason)</t>
  </si>
  <si>
    <t>Dylan Xu</t>
  </si>
  <si>
    <t>Elton Pinto</t>
  </si>
  <si>
    <t>Eshita Mandot</t>
  </si>
  <si>
    <t>Fan Li</t>
  </si>
  <si>
    <t>Fancy Wu</t>
  </si>
  <si>
    <t>Felix BAI</t>
  </si>
  <si>
    <t>Fred Cai</t>
  </si>
  <si>
    <t>Gaius paul S</t>
  </si>
  <si>
    <t>Gajanan Patil</t>
  </si>
  <si>
    <t>Ganesh Bhat</t>
  </si>
  <si>
    <t>Ganesh Kumar</t>
  </si>
  <si>
    <t>Ganesh Sapte</t>
  </si>
  <si>
    <t>Ganesh Shivnarayanji Lahoti</t>
  </si>
  <si>
    <t>Gaurav Bhirud</t>
  </si>
  <si>
    <t>Gaurav Kumar Pal</t>
  </si>
  <si>
    <t>Gauresh Nagzarkar</t>
  </si>
  <si>
    <t>Gayatri Tetgure</t>
  </si>
  <si>
    <t>Geert Lievens</t>
  </si>
  <si>
    <t>George Xu</t>
  </si>
  <si>
    <t>Gitimaya Behera</t>
  </si>
  <si>
    <t>Gopal Kamila</t>
  </si>
  <si>
    <t>Gouri Adsure</t>
  </si>
  <si>
    <t>Gowrav PuttakamaiahVijayakumar</t>
  </si>
  <si>
    <t>Gulam Goush</t>
  </si>
  <si>
    <t>Guo Shuai Chen(Gershon)</t>
  </si>
  <si>
    <t>Hai Feng XIN</t>
  </si>
  <si>
    <t>Haibo Zhao</t>
  </si>
  <si>
    <t>Hao Xu (Bob)</t>
  </si>
  <si>
    <t>Hao Yu (York)</t>
  </si>
  <si>
    <t>Harish Kumar S</t>
  </si>
  <si>
    <t>Harish Mala</t>
  </si>
  <si>
    <t>Hariprasad K</t>
  </si>
  <si>
    <t>Harishraj M N</t>
  </si>
  <si>
    <t>Haseeb Ahmed</t>
  </si>
  <si>
    <t>Heather Wang</t>
  </si>
  <si>
    <t>Hemendra Singh Rao</t>
  </si>
  <si>
    <t>Harsh Thakur</t>
  </si>
  <si>
    <t>Himanshu Pravin Pathak</t>
  </si>
  <si>
    <t>Homeshwar Prasad</t>
  </si>
  <si>
    <t>Hongxu Jiang (Johnson)</t>
  </si>
  <si>
    <t>Hritish Goud Kandukuri</t>
  </si>
  <si>
    <t>Ishan Gupta</t>
  </si>
  <si>
    <t>Ishtiaque Anwar Shaikh</t>
  </si>
  <si>
    <t>Jack YAN</t>
  </si>
  <si>
    <t>Jake Cetnar</t>
  </si>
  <si>
    <t>James Pan</t>
  </si>
  <si>
    <t>Jaspal Sinh Yadav</t>
  </si>
  <si>
    <t>Jatin Bachal</t>
  </si>
  <si>
    <t>Jayesh Sharma</t>
  </si>
  <si>
    <t>Jessica Palmer</t>
  </si>
  <si>
    <t>Jian LV (Michael)</t>
  </si>
  <si>
    <t>Jianhua Zhou</t>
  </si>
  <si>
    <t>Jianjun Chen (JJ)</t>
  </si>
  <si>
    <t>Jiashun LI (Aaron)</t>
  </si>
  <si>
    <t>Jiayan Li (Michael)</t>
  </si>
  <si>
    <t>Jiayi Ma (Johnny)</t>
  </si>
  <si>
    <t>Jidhish Sidharthan</t>
  </si>
  <si>
    <t>Jingang Zhang (Gage)</t>
  </si>
  <si>
    <t>Jitendra Patel</t>
  </si>
  <si>
    <t>Jitesh Gala</t>
  </si>
  <si>
    <t>Joel Vargas</t>
  </si>
  <si>
    <t>Jones Ren</t>
  </si>
  <si>
    <t>Joshua Huett</t>
  </si>
  <si>
    <t>Joyce Wu (Wenling Wu)</t>
  </si>
  <si>
    <t>Jun Chi</t>
  </si>
  <si>
    <t>Jun Zhang</t>
  </si>
  <si>
    <t>Kai Wang</t>
  </si>
  <si>
    <t>Kaihua Zhu (Kalvin)</t>
  </si>
  <si>
    <t>Kapil Gupta</t>
  </si>
  <si>
    <t>Kapil Kumar</t>
  </si>
  <si>
    <t>Karthik Ramamurthy</t>
  </si>
  <si>
    <t>Kathiravan Saminathan</t>
  </si>
  <si>
    <t>Kamal Singh</t>
  </si>
  <si>
    <t>Kavita Fadanvis</t>
  </si>
  <si>
    <t>Kavitha Ajay</t>
  </si>
  <si>
    <t>Kavyashri Venkatesh</t>
  </si>
  <si>
    <t>Karen Yu</t>
  </si>
  <si>
    <t>Kenny Yu</t>
  </si>
  <si>
    <t>Keshav Sharma</t>
  </si>
  <si>
    <t>Kartik Kalbande</t>
  </si>
  <si>
    <t>Ketaki Rao</t>
  </si>
  <si>
    <t>Kevin Wang</t>
  </si>
  <si>
    <t>Kevin Wolter</t>
  </si>
  <si>
    <t>Kiran Borse</t>
  </si>
  <si>
    <t>Kiran Kumar Allaka</t>
  </si>
  <si>
    <t>Kiran Kumar Pydisetti</t>
  </si>
  <si>
    <t>Kiran MR</t>
  </si>
  <si>
    <t>Kirti Laxman Katkar</t>
  </si>
  <si>
    <t>Kirubakaran Palanisamy</t>
  </si>
  <si>
    <t>Kishor Bankar</t>
  </si>
  <si>
    <t>Kishor Gomkale</t>
  </si>
  <si>
    <t>Komal Dhumal</t>
  </si>
  <si>
    <t>Koustubh Vijay Sambhare</t>
  </si>
  <si>
    <t>Krishna Baberwal</t>
  </si>
  <si>
    <t>Kirti Deshpande</t>
  </si>
  <si>
    <t>Krishna Prasad K</t>
  </si>
  <si>
    <t>Krishna RS</t>
  </si>
  <si>
    <t>Kulasekhar K</t>
  </si>
  <si>
    <t>Kumar, Singampalli Sridhar</t>
  </si>
  <si>
    <t>Kun Wang (Richard)</t>
  </si>
  <si>
    <t>Kun Wu (Mike)</t>
  </si>
  <si>
    <t>Lakshmi B</t>
  </si>
  <si>
    <t>Lalit Subhash</t>
  </si>
  <si>
    <t>Laxman Thorat</t>
  </si>
  <si>
    <t>Lijie Wang (Jackie)</t>
  </si>
  <si>
    <t>Likhit V</t>
  </si>
  <si>
    <t>M.V.D Srinivas</t>
  </si>
  <si>
    <t>Madduri Chinnaiah</t>
  </si>
  <si>
    <t>Madhuri Sambharam</t>
  </si>
  <si>
    <t>Mahaveer K Gogi</t>
  </si>
  <si>
    <t>Mahendra Pounikar</t>
  </si>
  <si>
    <t>Mahesh Ishwar Rodge</t>
  </si>
  <si>
    <t>Mahesh Patil</t>
  </si>
  <si>
    <t>Makarand Dharmadhikari</t>
  </si>
  <si>
    <t>Malapati Rajasekhara Reddy</t>
  </si>
  <si>
    <t>Malisetty Likhitha</t>
  </si>
  <si>
    <t>Manasvini Vaya</t>
  </si>
  <si>
    <t>Mandar Shridhar Joshi</t>
  </si>
  <si>
    <t>Manish Kumar Sharma</t>
  </si>
  <si>
    <t>Mahesh Dhumal</t>
  </si>
  <si>
    <t>Manish More</t>
  </si>
  <si>
    <t>Manish Sharma</t>
  </si>
  <si>
    <t>Manish Srivastav</t>
  </si>
  <si>
    <t>Manjunath Pattar</t>
  </si>
  <si>
    <t>Manohar lal Sonwan</t>
  </si>
  <si>
    <t>Manoj Bhadane</t>
  </si>
  <si>
    <t>Manoj Ojha</t>
  </si>
  <si>
    <t>Manoj Suryawanshi</t>
  </si>
  <si>
    <t>Manoj Verma</t>
  </si>
  <si>
    <t>Mansi Ramchandra Upadhye</t>
  </si>
  <si>
    <t>Marco Albarran Guerrero</t>
  </si>
  <si>
    <t>Marivel Pillai</t>
  </si>
  <si>
    <t>Mark Zhang</t>
  </si>
  <si>
    <t>Meenakshi Devi</t>
  </si>
  <si>
    <t>Megha Shankaralingappa</t>
  </si>
  <si>
    <t>Michael Prakansha</t>
  </si>
  <si>
    <t>Michael S Fernandis</t>
  </si>
  <si>
    <t>Mihir Ponkshe</t>
  </si>
  <si>
    <t>Mingzhu Di (Pearl)</t>
  </si>
  <si>
    <t>Minlai Ji (Steven)</t>
  </si>
  <si>
    <t>Maria Jackson</t>
  </si>
  <si>
    <t>Mithun NS</t>
  </si>
  <si>
    <t>Mohammad Ateeb Ahmad</t>
  </si>
  <si>
    <t>Mohammad Suhail</t>
  </si>
  <si>
    <t>Mohan Suklal Ahire</t>
  </si>
  <si>
    <t>Mohit Akhilesh Singh</t>
  </si>
  <si>
    <t>Mohit Deshmukh</t>
  </si>
  <si>
    <t>Mrunal Kunal Kale</t>
  </si>
  <si>
    <t>Mrunal Mahesh Deshpande</t>
  </si>
  <si>
    <t>Mudassar Inamdar</t>
  </si>
  <si>
    <t>Mukesh Kumar Rathore</t>
  </si>
  <si>
    <t>Mithali Manohar</t>
  </si>
  <si>
    <t>Mukti Lakra</t>
  </si>
  <si>
    <t>Nageswararao Soodani</t>
  </si>
  <si>
    <t>Namitha Chandran Poduval</t>
  </si>
  <si>
    <t>Namrata Raskar</t>
  </si>
  <si>
    <t>Narayan Bhagaram Bochkari</t>
  </si>
  <si>
    <t>Naveen Kumar T</t>
  </si>
  <si>
    <t>Navida Momin</t>
  </si>
  <si>
    <t>Navnath Kokare</t>
  </si>
  <si>
    <t>Neel patel</t>
  </si>
  <si>
    <t>Neeraj Chhabra</t>
  </si>
  <si>
    <t>Nicholas Oldakowski</t>
  </si>
  <si>
    <t>Nikhil Bhosale</t>
  </si>
  <si>
    <t>Nikhil Chavan</t>
  </si>
  <si>
    <t>Nikhil Navle</t>
  </si>
  <si>
    <t>Nikint Kshirsagar</t>
  </si>
  <si>
    <t>Nikita Dilip Deshmukh</t>
  </si>
  <si>
    <t>Ninad Surve</t>
  </si>
  <si>
    <t>NIRANJAN K</t>
  </si>
  <si>
    <t>Nishant Nair</t>
  </si>
  <si>
    <t>Nishil Shetty</t>
  </si>
  <si>
    <t>Nishita Rabha</t>
  </si>
  <si>
    <t>Nitesh Girase</t>
  </si>
  <si>
    <t>Nitin Tapase</t>
  </si>
  <si>
    <t>Nitin Totre</t>
  </si>
  <si>
    <t>Nitin Yadav</t>
  </si>
  <si>
    <t>Nutan Dinkar Patil</t>
  </si>
  <si>
    <t>Omkar Sapre</t>
  </si>
  <si>
    <t>P Dhanapal</t>
  </si>
  <si>
    <t>Palash Shah</t>
  </si>
  <si>
    <t>Pallavi Joshi</t>
  </si>
  <si>
    <t>Panchal, Gaurav</t>
  </si>
  <si>
    <t>Pankaj Patil</t>
  </si>
  <si>
    <t>Pankaj Singh</t>
  </si>
  <si>
    <t>Parag Kulkarni</t>
  </si>
  <si>
    <t>Paresh Jagannath Sapale</t>
  </si>
  <si>
    <t>Noah Hugunine</t>
  </si>
  <si>
    <t>Paresh Yeole</t>
  </si>
  <si>
    <t>Patil, Siddhi Abhishek</t>
  </si>
  <si>
    <t>Patrick Petraglia</t>
  </si>
  <si>
    <t>Pavan Bhutekar</t>
  </si>
  <si>
    <t>Pawan Jaiswal</t>
  </si>
  <si>
    <t>Pawel Gacia</t>
  </si>
  <si>
    <t>Phil Jenkins</t>
  </si>
  <si>
    <t>Pon S Chinnaraja (Raj)</t>
  </si>
  <si>
    <t>Pooja Singh</t>
  </si>
  <si>
    <t>Pooja Vishwakarma</t>
  </si>
  <si>
    <t>Prachi Rathore</t>
  </si>
  <si>
    <t>Prachi Tipole</t>
  </si>
  <si>
    <t>Pradeep Kochare</t>
  </si>
  <si>
    <t>Prafulla Attarde</t>
  </si>
  <si>
    <t>Pramila Devi</t>
  </si>
  <si>
    <t>Pramila Mote</t>
  </si>
  <si>
    <t>Pramod Mane</t>
  </si>
  <si>
    <t>Pranav R Menon</t>
  </si>
  <si>
    <t>Pranita Ashok Mane</t>
  </si>
  <si>
    <t>Prasad Dilip Sonawne</t>
  </si>
  <si>
    <t>Pooja Nambiar</t>
  </si>
  <si>
    <t>Prasad Joshi</t>
  </si>
  <si>
    <t>PRASANNA Baskaran</t>
  </si>
  <si>
    <t>Prashant KaranWalkar</t>
  </si>
  <si>
    <t>Prashant Kumar</t>
  </si>
  <si>
    <t>Praveen E</t>
  </si>
  <si>
    <t>Praveen Shetty</t>
  </si>
  <si>
    <t>Pravin Bhatiya</t>
  </si>
  <si>
    <t>Pravin Birsingh Sahrawat</t>
  </si>
  <si>
    <t>Preffy Thomas</t>
  </si>
  <si>
    <t>Priya Desai</t>
  </si>
  <si>
    <t>Priyadarshini Adiga</t>
  </si>
  <si>
    <t>Puja Singh</t>
  </si>
  <si>
    <t>Purnendu Jena</t>
  </si>
  <si>
    <t>Pushkal Singh</t>
  </si>
  <si>
    <t>Qiong Fang (Amy)</t>
  </si>
  <si>
    <t>Raghavendra Gaonkar</t>
  </si>
  <si>
    <t>Raghavendra K S (Koneri)</t>
  </si>
  <si>
    <t>Pratik Aher</t>
  </si>
  <si>
    <t>Raghavendra Kumar Singh</t>
  </si>
  <si>
    <t>Raghunath S</t>
  </si>
  <si>
    <t>Rahul Bhandari</t>
  </si>
  <si>
    <t>Rahul Kakol</t>
  </si>
  <si>
    <t>Rahul Maruti Dhokale</t>
  </si>
  <si>
    <t>Rahul Singh</t>
  </si>
  <si>
    <t>Rahul Sonawane</t>
  </si>
  <si>
    <t>Rahul Suryawanshi</t>
  </si>
  <si>
    <t>Rajaram Dadasaheb Patil</t>
  </si>
  <si>
    <t>Rajesh Chavan</t>
  </si>
  <si>
    <t>Rajesh Kulkarni</t>
  </si>
  <si>
    <t>Rajesh Yadav</t>
  </si>
  <si>
    <t>Radhaprasanna Merugu</t>
  </si>
  <si>
    <t>Rajkiran Somvanshi</t>
  </si>
  <si>
    <t>Rajkumar Hiralal Gokharu</t>
  </si>
  <si>
    <t>Ramesh Bijili</t>
  </si>
  <si>
    <t>Ramkumar K</t>
  </si>
  <si>
    <t>Ranjeet Patil</t>
  </si>
  <si>
    <t>Ranjith Kumar Madupalli</t>
  </si>
  <si>
    <t>Rashmi Khawale</t>
  </si>
  <si>
    <t>Rashmita Prabhan</t>
  </si>
  <si>
    <t>Ratish Rajaram Ganve</t>
  </si>
  <si>
    <t>Ratnadip Birajdar</t>
  </si>
  <si>
    <t>Ravindra Kudalkar</t>
  </si>
  <si>
    <t>Ravindra Mohite</t>
  </si>
  <si>
    <t>Raviteja Gangisetty</t>
  </si>
  <si>
    <t>RICHARD FAUSTINO</t>
  </si>
  <si>
    <t>Ritesh Kumar Kurrel</t>
  </si>
  <si>
    <t>Ritu Mehta</t>
  </si>
  <si>
    <t>Rohan Nirwal</t>
  </si>
  <si>
    <t>Rohit Bakare</t>
  </si>
  <si>
    <t>Rohit Dabas</t>
  </si>
  <si>
    <t>Rong Wang (Sara)</t>
  </si>
  <si>
    <t>Roshan Yadav</t>
  </si>
  <si>
    <t>Rupali Gobbur</t>
  </si>
  <si>
    <t>Rupali Murumkar</t>
  </si>
  <si>
    <t>Rupesh Jain</t>
  </si>
  <si>
    <t>Sabir Yusuf Shaikh</t>
  </si>
  <si>
    <t>Sachin Joshi</t>
  </si>
  <si>
    <t>Sachin Khot</t>
  </si>
  <si>
    <t>Sachin Shelake</t>
  </si>
  <si>
    <t>Sachin Shinde</t>
  </si>
  <si>
    <t>Sagar Chatur</t>
  </si>
  <si>
    <t>Sagar Gayakwad</t>
  </si>
  <si>
    <t>Sagar More</t>
  </si>
  <si>
    <t>Sagar Toragal</t>
  </si>
  <si>
    <t>Sainath Hiragong</t>
  </si>
  <si>
    <t>Sakshi Sahare</t>
  </si>
  <si>
    <t>Sam Zhao</t>
  </si>
  <si>
    <t>Samadhan Babar</t>
  </si>
  <si>
    <t>Samar Rajan Dash</t>
  </si>
  <si>
    <t>Sandeep Darjipati</t>
  </si>
  <si>
    <t>Sandeep Singh</t>
  </si>
  <si>
    <t>Sachin Gavhane</t>
  </si>
  <si>
    <t>Sandeep Surwase</t>
  </si>
  <si>
    <t>Sandip Savale</t>
  </si>
  <si>
    <t>Sanghmitra Abhijeet Gaikwad</t>
  </si>
  <si>
    <t>Sanjay K Rudraswamy</t>
  </si>
  <si>
    <t>Sanjay Rao Pulluri</t>
  </si>
  <si>
    <t>Sanjeev Kumar</t>
  </si>
  <si>
    <t>Sanjeevani Kumbhar</t>
  </si>
  <si>
    <t>Sankar Ramasamy</t>
  </si>
  <si>
    <t>Sanket Kothekar</t>
  </si>
  <si>
    <t>Sanket Tapar</t>
  </si>
  <si>
    <t>Saravana Palani</t>
  </si>
  <si>
    <t>Saravanan Jayarajan</t>
  </si>
  <si>
    <t>Saroj Yadav</t>
  </si>
  <si>
    <t>Satish Biradar</t>
  </si>
  <si>
    <t>Satish Duraikannnan</t>
  </si>
  <si>
    <t>Satish Ganesh Rathod</t>
  </si>
  <si>
    <t>Satish Kumar</t>
  </si>
  <si>
    <t>Saurabh Agrawal</t>
  </si>
  <si>
    <t>Saurabh Khedkar</t>
  </si>
  <si>
    <t>Sayali Chandrakant Pingale</t>
  </si>
  <si>
    <t>Seema Goudar</t>
  </si>
  <si>
    <t>Sha sha Shi</t>
  </si>
  <si>
    <t>Shabazbaig Mirza</t>
  </si>
  <si>
    <t>Shailesh Kashinath Patil</t>
  </si>
  <si>
    <t>Shanmuganathan Nadimuthu</t>
  </si>
  <si>
    <t>Sharad Patil</t>
  </si>
  <si>
    <t>Sharad Rayguru</t>
  </si>
  <si>
    <t>Sharique Shaikh</t>
  </si>
  <si>
    <t>Sharvari Jagtap</t>
  </si>
  <si>
    <t>Shashank Pimpalgaonkar</t>
  </si>
  <si>
    <t>Shashikant Patil</t>
  </si>
  <si>
    <t>Sheikh firoj Kayyum</t>
  </si>
  <si>
    <t>Shelly Lan</t>
  </si>
  <si>
    <t>Shengyang Dai (Matthew)</t>
  </si>
  <si>
    <t>Shijun Ren (Leon)</t>
  </si>
  <si>
    <t>Shine Zhang</t>
  </si>
  <si>
    <t>Shirish Dilip Kulkarni</t>
  </si>
  <si>
    <t>Shiv Kumar</t>
  </si>
  <si>
    <t>Shivam Sarswat</t>
  </si>
  <si>
    <t>Shivam Zagade</t>
  </si>
  <si>
    <t>Shivaraj C Havanur</t>
  </si>
  <si>
    <t>Shivkumar S Biradar</t>
  </si>
  <si>
    <t>Shiwani Akkewar</t>
  </si>
  <si>
    <t>Shreeram Vijay Muley</t>
  </si>
  <si>
    <t>Shreya Vinod Tavare</t>
  </si>
  <si>
    <t>Shreyas V Koushik</t>
  </si>
  <si>
    <t>Shruti Ganesh Sarvankar</t>
  </si>
  <si>
    <t>Shubham Mahajan</t>
  </si>
  <si>
    <t>Shubham Patil</t>
  </si>
  <si>
    <t>Shubham Sathe</t>
  </si>
  <si>
    <t>Shubham Thakre</t>
  </si>
  <si>
    <t>Shubhangi Narvekar</t>
  </si>
  <si>
    <t>Shweta Garg</t>
  </si>
  <si>
    <t>Siddesh Bademmi</t>
  </si>
  <si>
    <t>Silambarasan S</t>
  </si>
  <si>
    <t>Smita Patil</t>
  </si>
  <si>
    <t>Sneha Parekh</t>
  </si>
  <si>
    <t>Snehal Badhade</t>
  </si>
  <si>
    <t>Snehal Bhandare</t>
  </si>
  <si>
    <t>Snehal Nalgirkar</t>
  </si>
  <si>
    <t>Sonal Anup Pawar</t>
  </si>
  <si>
    <t>Shivprakash Chivati</t>
  </si>
  <si>
    <t>Sonal Darade (Nareddiwar)</t>
  </si>
  <si>
    <t>Sonam Nikam</t>
  </si>
  <si>
    <t>Soundararajan Mylswamy</t>
  </si>
  <si>
    <t>Sourabh Ghatage</t>
  </si>
  <si>
    <t>Sourojyoti Pal</t>
  </si>
  <si>
    <t>Souvik Sarkar</t>
  </si>
  <si>
    <t>Sowmya Nayak</t>
  </si>
  <si>
    <t>Sreekumar M</t>
  </si>
  <si>
    <t>Sreeraj E</t>
  </si>
  <si>
    <t>Srigowtham Poranki</t>
  </si>
  <si>
    <t>Srihari R</t>
  </si>
  <si>
    <t>Steve King</t>
  </si>
  <si>
    <t>Steve Scurria</t>
  </si>
  <si>
    <t>Steven Mroch</t>
  </si>
  <si>
    <t>Subhash Jha</t>
  </si>
  <si>
    <t>Subramaniasiva Rengaswamy</t>
  </si>
  <si>
    <t>Sudhan Armugam</t>
  </si>
  <si>
    <t>Suhana Khanum</t>
  </si>
  <si>
    <t>Sumit Chaware</t>
  </si>
  <si>
    <t>Sunay Prabhune</t>
  </si>
  <si>
    <t>Sunil Dalvi</t>
  </si>
  <si>
    <t>Sunil Kokate</t>
  </si>
  <si>
    <t>Sunoj P</t>
  </si>
  <si>
    <t>Supriya Kumari</t>
  </si>
  <si>
    <t>Suraj Barad</t>
  </si>
  <si>
    <t>Suraj Mali</t>
  </si>
  <si>
    <t>Suraj More</t>
  </si>
  <si>
    <t>Suraj Ramchandani</t>
  </si>
  <si>
    <t>Suryanarayanan R</t>
  </si>
  <si>
    <t>Sushruth Rudrachary</t>
  </si>
  <si>
    <t>Suvarna Avdhutwar</t>
  </si>
  <si>
    <t>Suvidha Dhananjay Patil</t>
  </si>
  <si>
    <t>Suyamburaj Moorthilingam</t>
  </si>
  <si>
    <t>Suyash Sanghavi</t>
  </si>
  <si>
    <t>Subhankar Das</t>
  </si>
  <si>
    <t>Suyash Shastri</t>
  </si>
  <si>
    <t>Swapnil Liladhar Patil</t>
  </si>
  <si>
    <t>Swapnil Narke</t>
  </si>
  <si>
    <t>Swapnil shirish Chavan</t>
  </si>
  <si>
    <t>SWATHIKA SREEDHAR</t>
  </si>
  <si>
    <t>Swati Baikrushna Gunjal</t>
  </si>
  <si>
    <t>Tamaghna Sarkar</t>
  </si>
  <si>
    <t>Tanmay Surve</t>
  </si>
  <si>
    <t>Tanushree Das</t>
  </si>
  <si>
    <t>Tao He (Tonny)</t>
  </si>
  <si>
    <t>Tapas Ghosh</t>
  </si>
  <si>
    <t>Tejaganesh Chirunomula</t>
  </si>
  <si>
    <t>Tejashree Bhinge</t>
  </si>
  <si>
    <t>Tejashree Patil</t>
  </si>
  <si>
    <t>Thanuj Kumar</t>
  </si>
  <si>
    <t>Thomas Liu</t>
  </si>
  <si>
    <t>Tianle Xue (Taylor)</t>
  </si>
  <si>
    <t>Tim Bokelman</t>
  </si>
  <si>
    <t>Trisha Gupta</t>
  </si>
  <si>
    <t>Tushar Amodkar</t>
  </si>
  <si>
    <t>Tushar Bhoj</t>
  </si>
  <si>
    <t>Tushar Dasharath Mandhare</t>
  </si>
  <si>
    <t>Tushar Naik</t>
  </si>
  <si>
    <t>Tushar Patangray</t>
  </si>
  <si>
    <t>Umeshuday Pednekar</t>
  </si>
  <si>
    <t>Unnatee Sarjerao Parande</t>
  </si>
  <si>
    <t>Uppula Pavan Kumar</t>
  </si>
  <si>
    <t>Utsav Sarjerao Angaj</t>
  </si>
  <si>
    <t>Vaibhav Patil</t>
  </si>
  <si>
    <t>Vaishnavi Jagdale</t>
  </si>
  <si>
    <t>Vaishnavi Langar</t>
  </si>
  <si>
    <t>Vandita Katrolia</t>
  </si>
  <si>
    <t>Vedanand Amonkar</t>
  </si>
  <si>
    <t>Veeranna Virupaxi Halagatti</t>
  </si>
  <si>
    <t>Velagaleti Koteshwar Prasad</t>
  </si>
  <si>
    <t>Venkatasubramanian Kallagam Swaminathan</t>
  </si>
  <si>
    <t>Venkateswara Bellamkonda</t>
  </si>
  <si>
    <t>Vicky Chavan</t>
  </si>
  <si>
    <t>Vidyashree MJ</t>
  </si>
  <si>
    <t>Vihung Saradar</t>
  </si>
  <si>
    <t>Vijeta Mishra</t>
  </si>
  <si>
    <t>Vikram Dasharath Gawari</t>
  </si>
  <si>
    <t>Vinay Kumar</t>
  </si>
  <si>
    <t>Vinay Kumar Srivastava</t>
  </si>
  <si>
    <t>Vinayak Lohar</t>
  </si>
  <si>
    <t>Vinayak Waingankar</t>
  </si>
  <si>
    <t>Vinayaka Kulkarni</t>
  </si>
  <si>
    <t>Vinaykumar B Shanwad</t>
  </si>
  <si>
    <t>Vinayraj Gambo</t>
  </si>
  <si>
    <t>Vindhya B.S.</t>
  </si>
  <si>
    <t>Vinit Devis</t>
  </si>
  <si>
    <t>Vinod Ganesan</t>
  </si>
  <si>
    <t>Vipin Modak</t>
  </si>
  <si>
    <t>Virendra Bavjibhai Parmar</t>
  </si>
  <si>
    <t>Vishal Veeraraghavan</t>
  </si>
  <si>
    <t>Vishal Vijay Phulke</t>
  </si>
  <si>
    <t>Vivek Chitte</t>
  </si>
  <si>
    <t>Vivek Deshmukh</t>
  </si>
  <si>
    <t>Vivek Narasimman</t>
  </si>
  <si>
    <t>Vivin Walter</t>
  </si>
  <si>
    <t>Wadkar, Sumit</t>
  </si>
  <si>
    <t>Wei Zhang</t>
  </si>
  <si>
    <t>Wei Zhao</t>
  </si>
  <si>
    <t>Weibing Shao (Andy)</t>
  </si>
  <si>
    <t>Weibing Xu (Alex)</t>
  </si>
  <si>
    <t>Wenjie Zhao</t>
  </si>
  <si>
    <t>Wenping Liu (Mary)</t>
  </si>
  <si>
    <t>Xi Wang (Jerry)</t>
  </si>
  <si>
    <t>Xianrang Li (George)</t>
  </si>
  <si>
    <t>Xiaokun Xu (Chris)</t>
  </si>
  <si>
    <t>XiaoLi Zhu (Jolie)</t>
  </si>
  <si>
    <t>Xiaoqian Ren (Ida)</t>
  </si>
  <si>
    <t>Xiaoqin Wu (Anna)</t>
  </si>
  <si>
    <t>Xiaoyang Gao (Carl)</t>
  </si>
  <si>
    <t>Xiayong Wang (Thomas)</t>
  </si>
  <si>
    <t>Xiumei Li (Cindy)</t>
  </si>
  <si>
    <t>Xueping Li (Andy)</t>
  </si>
  <si>
    <t>Xuguang Wang (Devy)</t>
  </si>
  <si>
    <t>Vishwa Amit Shah</t>
  </si>
  <si>
    <t>Yanjun Wei</t>
  </si>
  <si>
    <t>Yanli Chen</t>
  </si>
  <si>
    <t>Yarasani Vedavathi</t>
  </si>
  <si>
    <t>Yash Kamble</t>
  </si>
  <si>
    <t>Vivek Sonagra</t>
  </si>
  <si>
    <t>Yash Khanwilkar</t>
  </si>
  <si>
    <t>Yaswanth Jayakumar</t>
  </si>
  <si>
    <t>Yogesh More</t>
  </si>
  <si>
    <t>Yogesh Narute</t>
  </si>
  <si>
    <t>Yogesh Posnak</t>
  </si>
  <si>
    <t>Yogesh Shelgaonkar</t>
  </si>
  <si>
    <t>Yohan Mychal A</t>
  </si>
  <si>
    <t>Yuan Xu</t>
  </si>
  <si>
    <t>Yuehua Zhai (Kevin)</t>
  </si>
  <si>
    <t>Yugandhar  Chandele</t>
  </si>
  <si>
    <t>Xia Ling Zhang</t>
  </si>
  <si>
    <t>Zhaoqi Wang (Tony)</t>
  </si>
  <si>
    <t>Zhenjie Chen</t>
  </si>
  <si>
    <t>Zhibin Wu (Jason)</t>
  </si>
  <si>
    <t>Zhixin Zhou (Jasmine)</t>
  </si>
  <si>
    <t>Zhongqiang Ding (Roy)</t>
  </si>
  <si>
    <t>Zeesha Shah</t>
  </si>
  <si>
    <t>Head count director not project level</t>
  </si>
  <si>
    <t>ProjectID</t>
  </si>
  <si>
    <t>STET POC</t>
  </si>
  <si>
    <t>ProjectName</t>
  </si>
  <si>
    <t>Directors</t>
  </si>
  <si>
    <t>ProgramManagerID</t>
  </si>
  <si>
    <t>ProcurementType</t>
  </si>
  <si>
    <t>ProjectTypeName</t>
  </si>
  <si>
    <t>SavingsCategoryName</t>
  </si>
  <si>
    <t>CommodityName</t>
  </si>
  <si>
    <t>BuName</t>
  </si>
  <si>
    <t>ClusterName</t>
  </si>
  <si>
    <t>PhaseName</t>
  </si>
  <si>
    <t>ResourceAmount</t>
  </si>
  <si>
    <t>FTE</t>
  </si>
  <si>
    <t>Region</t>
  </si>
  <si>
    <t>Tool</t>
  </si>
  <si>
    <t>FTE/Contingent</t>
  </si>
  <si>
    <t>FTE: Reporting Manager</t>
  </si>
  <si>
    <t>FTE:Director</t>
  </si>
  <si>
    <t>37900</t>
  </si>
  <si>
    <t>BD- L-arc China supply base (unit price reduction)</t>
  </si>
  <si>
    <t>Phil</t>
  </si>
  <si>
    <t/>
  </si>
  <si>
    <t>PROCUREMENT</t>
  </si>
  <si>
    <t>PRODUCTIVITY</t>
  </si>
  <si>
    <t>SOURCING</t>
  </si>
  <si>
    <t>Mechanical Parts &amp; Assemblies</t>
  </si>
  <si>
    <t>IGT-S</t>
  </si>
  <si>
    <t>IGT</t>
  </si>
  <si>
    <t>IL2</t>
  </si>
  <si>
    <t>China</t>
  </si>
  <si>
    <t>SYSTEUR</t>
  </si>
  <si>
    <t>Tim</t>
  </si>
  <si>
    <t>42516</t>
  </si>
  <si>
    <t>Tiger Xiao</t>
  </si>
  <si>
    <t>C10-3v FPC Supplier Transfer</t>
  </si>
  <si>
    <t>Key Components &amp; Electronics</t>
  </si>
  <si>
    <t>US-Trans</t>
  </si>
  <si>
    <t>PD</t>
  </si>
  <si>
    <t>IL1</t>
  </si>
  <si>
    <t>26321</t>
  </si>
  <si>
    <t>Transfer of Composites &amp; Fibres</t>
  </si>
  <si>
    <t>42069</t>
  </si>
  <si>
    <t>K Kulasekhar</t>
  </si>
  <si>
    <t>Ultrasound FRU direct buy project(was supported by Bothell) for SPS due to Samba transfer</t>
  </si>
  <si>
    <t>Repair Centers &amp; Service Parts</t>
  </si>
  <si>
    <t>US</t>
  </si>
  <si>
    <t>IL3</t>
  </si>
  <si>
    <t>43630</t>
  </si>
  <si>
    <t>EPIQ OEM Bay redesign_ Suzhou only</t>
  </si>
  <si>
    <t>CONCEPT</t>
  </si>
  <si>
    <t>36789</t>
  </si>
  <si>
    <t xml:space="preserve">Fred Cai </t>
  </si>
  <si>
    <t>BD II Cable localization with Volex Suzhou(Volex Europe--&gt;Volex Suzhou)</t>
  </si>
  <si>
    <t>CT/AMI_Funnel Activities</t>
  </si>
  <si>
    <t xml:space="preserve">NA
</t>
  </si>
  <si>
    <t>Funnel/Business case/Technical feasibility</t>
  </si>
  <si>
    <t>Funnel Activities</t>
  </si>
  <si>
    <t>CT/AMI</t>
  </si>
  <si>
    <t>USA</t>
  </si>
  <si>
    <t>MR_Funnel Activities</t>
  </si>
  <si>
    <t>MR</t>
  </si>
  <si>
    <t>CT/AMI_L&amp;A</t>
  </si>
  <si>
    <t>MISC. ENTRY TO BALANCE WITH RESOURCE DATABASE</t>
  </si>
  <si>
    <t>N/A</t>
  </si>
  <si>
    <t>L&amp;A</t>
  </si>
  <si>
    <t>Te Walvaart, Otto</t>
  </si>
  <si>
    <t>Otto</t>
  </si>
  <si>
    <t>40566</t>
  </si>
  <si>
    <t>APEX: Localization C5-1 FPC from Tech-Etch to SUIWA</t>
  </si>
  <si>
    <t>40685</t>
  </si>
  <si>
    <t>L12-5 FPC From Topsun(Tin-Lead) to SUIWA (Tin%)</t>
  </si>
  <si>
    <t>AOS</t>
  </si>
  <si>
    <t>40706</t>
  </si>
  <si>
    <t>Affiniti Handle design improvement (one shot mold)</t>
  </si>
  <si>
    <t>36791</t>
  </si>
  <si>
    <t>BD II Rotation unit localization (NTS to local supplier)</t>
  </si>
  <si>
    <t>41060</t>
  </si>
  <si>
    <t>Gust 3T Lancang Coil Project</t>
  </si>
  <si>
    <t>NPI</t>
  </si>
  <si>
    <t>26320</t>
  </si>
  <si>
    <t>BD-Sheet metal mono parts and &amp; Installation frame China localization (unit price reduction)</t>
  </si>
  <si>
    <t>IGM</t>
  </si>
  <si>
    <t>Commercial Innovation</t>
  </si>
  <si>
    <t>Personal Health</t>
  </si>
  <si>
    <t>GB</t>
  </si>
  <si>
    <t>PH</t>
  </si>
  <si>
    <t>IL5</t>
  </si>
  <si>
    <t>37934</t>
  </si>
  <si>
    <t>Hawk calibration phantom transfer from H.P to LCC</t>
  </si>
  <si>
    <t>OHC_RFS_Enrichment</t>
  </si>
  <si>
    <t>Pre CR work allotments</t>
  </si>
  <si>
    <t>LCM</t>
  </si>
  <si>
    <t>OHC</t>
  </si>
  <si>
    <t>India</t>
  </si>
  <si>
    <t>OHC_Funnel Activities</t>
  </si>
  <si>
    <t>PDTEAM525</t>
  </si>
  <si>
    <t>MVD Srinivas</t>
  </si>
  <si>
    <t>PCBA - SCOPO UI Redesign</t>
  </si>
  <si>
    <t>DXR</t>
  </si>
  <si>
    <t>IGTS Data Sustainability</t>
  </si>
  <si>
    <t>Saravanakumar Palani</t>
  </si>
  <si>
    <t>IGTS Data Sustainability Project (CSRD)</t>
  </si>
  <si>
    <t>Raj</t>
  </si>
  <si>
    <t>IGTS_LCM</t>
  </si>
  <si>
    <t>38253</t>
  </si>
  <si>
    <t>Re-use of frames_(Europe Scope Phase II)</t>
  </si>
  <si>
    <t>ART-BEST</t>
  </si>
  <si>
    <t>Vijayanand Purushothaman</t>
  </si>
  <si>
    <t>LCM Support for Best</t>
  </si>
  <si>
    <t>ART-India</t>
  </si>
  <si>
    <t>LCM Support for India</t>
  </si>
  <si>
    <t>SYNCIGTS</t>
  </si>
  <si>
    <t>Synchronize Projects Funnel Maturity</t>
  </si>
  <si>
    <t>IL0</t>
  </si>
  <si>
    <t>Contingent</t>
  </si>
  <si>
    <t>STET_IGTS_5053</t>
  </si>
  <si>
    <t>VD PPG Network Engineer</t>
  </si>
  <si>
    <t>802983</t>
  </si>
  <si>
    <t>Zollner Exit : 6 PCBA HLA Parts Transfer</t>
  </si>
  <si>
    <t>IGT-D_Training-1</t>
  </si>
  <si>
    <t>Trainings</t>
  </si>
  <si>
    <t>IGT-D</t>
  </si>
  <si>
    <t>36315</t>
  </si>
  <si>
    <t>Blue Dragon - 2nd Tier Sourcing of Castings  for Franken</t>
  </si>
  <si>
    <t>34782</t>
  </si>
  <si>
    <t>Incisive gantry Franke bearing 2nd source to SKF/NBG_Tiger</t>
  </si>
  <si>
    <t>40654</t>
  </si>
  <si>
    <t>BD III Kollmorgen motors manufacturing localization from Brno to Tianjin</t>
  </si>
  <si>
    <t>41482</t>
  </si>
  <si>
    <t>AOS - C9-4V Plastic parts transfer from Xuxin to Tontec</t>
  </si>
  <si>
    <t>27157</t>
  </si>
  <si>
    <t>Anil CS</t>
  </si>
  <si>
    <t>STET:Project Vayu - Cluster 2 (VM) + Cables @ Bizlink</t>
  </si>
  <si>
    <t>36792</t>
  </si>
  <si>
    <t>BD II Localization of 459800159532 ETHERNET CABLE 30M (from Prodrive to cable supplier)</t>
  </si>
  <si>
    <t>39056</t>
  </si>
  <si>
    <t>Localize cabinet and cables of DACC (1.5T&amp; 3T)</t>
  </si>
  <si>
    <t>34408</t>
  </si>
  <si>
    <t>ShaSha Shi</t>
  </si>
  <si>
    <t>BB/Hawk/Taichi H-Phantom transfer (CTI to Joho)</t>
  </si>
  <si>
    <t>34037</t>
  </si>
  <si>
    <t>Billy-Gradient Amp 1.6MVA</t>
  </si>
  <si>
    <t>M-26007</t>
  </si>
  <si>
    <t>Launch OTG HE to US Costco</t>
  </si>
  <si>
    <t>G&amp;B-0270</t>
  </si>
  <si>
    <t xml:space="preserve">Make new repeat mold ZC for Paladin D housing </t>
  </si>
  <si>
    <t>G&amp;B-0259</t>
  </si>
  <si>
    <t>Kratos  adhesive 132260000775 HOT MELT ADHESIVE ADVANTRA 8128 to TECH… 100</t>
  </si>
  <si>
    <t>IL4</t>
  </si>
  <si>
    <t>39122</t>
  </si>
  <si>
    <t xml:space="preserve">Incisive/Kylin cover 2nd source </t>
  </si>
  <si>
    <t>43581</t>
  </si>
  <si>
    <t>SZ_AD7 XNT table tier2 cover localization</t>
  </si>
  <si>
    <t>41485</t>
  </si>
  <si>
    <t>Transfer S5-1 FPC from Tech Etch to Shennan Circuits (SCC)</t>
  </si>
  <si>
    <t>ILR</t>
  </si>
  <si>
    <t>35092</t>
  </si>
  <si>
    <t>Bobsled-Hawk GPC sourcing transfer from GMI to LCC</t>
  </si>
  <si>
    <t>Medical ODM Markets</t>
  </si>
  <si>
    <t>DXR_Funnel Activities</t>
  </si>
  <si>
    <t>Sunil Kumar</t>
  </si>
  <si>
    <t>PDTEAM434</t>
  </si>
  <si>
    <t>STET DXR-LUNA Transfer Project</t>
  </si>
  <si>
    <t>29839</t>
  </si>
  <si>
    <t>Dual Source Tube Bending -- Boom and Mast Assembly OHC</t>
  </si>
  <si>
    <t>28347</t>
  </si>
  <si>
    <t>Dual Sourcing – Unip Syringes</t>
  </si>
  <si>
    <t>33972</t>
  </si>
  <si>
    <t>Plastic machining phase 3</t>
  </si>
  <si>
    <t>41086</t>
  </si>
  <si>
    <t>Transfer Midwest parts to LCC</t>
  </si>
  <si>
    <t>32257</t>
  </si>
  <si>
    <t>NYX Albany parts transfer</t>
  </si>
  <si>
    <t>CONQ_CY2024_20</t>
  </si>
  <si>
    <t>Rhenus warehouse damages</t>
  </si>
  <si>
    <t>CONQ</t>
  </si>
  <si>
    <t>Poland</t>
  </si>
  <si>
    <t>38793</t>
  </si>
  <si>
    <t>Zollner Exit  - Cabinet cover transfer to LTI</t>
  </si>
  <si>
    <t>CONQ_CY2023_04</t>
  </si>
  <si>
    <t>Best Transportation issues</t>
  </si>
  <si>
    <t>36779</t>
  </si>
  <si>
    <t>Ailin</t>
  </si>
  <si>
    <t>AG700 to GA31D - MR 5300 &amp; Ambition S</t>
  </si>
  <si>
    <t>PDTEAM133</t>
  </si>
  <si>
    <t>Nexha NPI</t>
  </si>
  <si>
    <t>40557</t>
  </si>
  <si>
    <t>Hawk collimator transfer to LPCM</t>
  </si>
  <si>
    <t>MR_L&amp;A</t>
  </si>
  <si>
    <t>38662</t>
  </si>
  <si>
    <t>Noah Cover VCP Project</t>
  </si>
  <si>
    <t>39686</t>
  </si>
  <si>
    <t>WDH 2.0/AN8150-4 to Next-Gen LDMOS RFA In-House - 1.5T</t>
  </si>
  <si>
    <t>33765</t>
  </si>
  <si>
    <t>STET Qin Ling DFX: High integrated circulator design</t>
  </si>
  <si>
    <t>43468</t>
  </si>
  <si>
    <t>Steven Ji</t>
  </si>
  <si>
    <t>Backup Cooling 1.5T</t>
  </si>
  <si>
    <t>43466</t>
  </si>
  <si>
    <t>Backup Cooling unit - 1.5T</t>
  </si>
  <si>
    <t>GB-0063</t>
  </si>
  <si>
    <t>RFS  Launch S793 06 to WEU v1</t>
  </si>
  <si>
    <t>GB-0062</t>
  </si>
  <si>
    <t>RFS  Launch S596 06 to WEU v1</t>
  </si>
  <si>
    <t>HPM_Sustaining_Monitoring_09122205</t>
  </si>
  <si>
    <t xml:space="preserve">Jidhish Sidharthan
</t>
  </si>
  <si>
    <t>HPM Sustaining Projects support - Monitoring</t>
  </si>
  <si>
    <t>HPM</t>
  </si>
  <si>
    <t>CC</t>
  </si>
  <si>
    <t xml:space="preserve">STET MR COILS SICR DESIGN/SPECIFICATION CHANGE </t>
  </si>
  <si>
    <t>34072</t>
  </si>
  <si>
    <t>Matt Morse</t>
  </si>
  <si>
    <t>PLS Alternate Cable Supplier</t>
  </si>
  <si>
    <t>Mexico</t>
  </si>
  <si>
    <t>PDTEAM521</t>
  </si>
  <si>
    <t>PCBA - Proactive Obsolescence of TH Controller</t>
  </si>
  <si>
    <t>PDTEAM523</t>
  </si>
  <si>
    <t>PCBA - Proactive Obsolescence of DC-axis Controller</t>
  </si>
  <si>
    <t>37955</t>
  </si>
  <si>
    <t>Taichi Calibration phanton transfer from HP to LCC</t>
  </si>
  <si>
    <t>PV - Remediation</t>
  </si>
  <si>
    <t>Process Validation remediation for IGTS BU</t>
  </si>
  <si>
    <t>CARTPDCHPM_1</t>
  </si>
  <si>
    <t>Carts PDC - HPM - Calimero material Fetal Cart</t>
  </si>
  <si>
    <t>CR0109217</t>
  </si>
  <si>
    <t>Philips risk re-classification of supply arms</t>
  </si>
  <si>
    <t>LCM_Ultrasound</t>
  </si>
  <si>
    <t>Ultrasound Sustaining Projects</t>
  </si>
  <si>
    <t>PJ-024874</t>
  </si>
  <si>
    <t>Mykonos - Anax</t>
  </si>
  <si>
    <t>CR209982</t>
  </si>
  <si>
    <t xml:space="preserve">Tsangpo Camera Puch Launch </t>
  </si>
  <si>
    <t>CR213934</t>
  </si>
  <si>
    <t>Tsangpo 3000 Mint Launch</t>
  </si>
  <si>
    <t>RTC-HSH20260200756</t>
  </si>
  <si>
    <t>Launch of QP5552/91 in Amazon US</t>
  </si>
  <si>
    <t>RTC-GRO20251101686</t>
  </si>
  <si>
    <t>MG9_OB bundle re-launch</t>
  </si>
  <si>
    <t>USM2025</t>
  </si>
  <si>
    <t>User Manual Content Creation</t>
  </si>
  <si>
    <t>DFU2025</t>
  </si>
  <si>
    <t>DFU  Content Creation</t>
  </si>
  <si>
    <t>RTC-FDEP20220800667</t>
  </si>
  <si>
    <t>Change format Inmetro logo Brazil RegMem AMB554-22068</t>
  </si>
  <si>
    <t>Shubham Thakare</t>
  </si>
  <si>
    <t>PJ-009562</t>
  </si>
  <si>
    <t>1Grooming LcM</t>
  </si>
  <si>
    <t>RfS 272677</t>
  </si>
  <si>
    <t>REGMEM AMB 554-23055 - EU - Corporate Sustainability Reporting Directive (CSRD - (EU) 2022/2464)</t>
  </si>
  <si>
    <t>DXR_L&amp;A</t>
  </si>
  <si>
    <t>PD - IC L&amp;A</t>
  </si>
  <si>
    <t>Adrianna</t>
  </si>
  <si>
    <t>PD - IC L&amp;A Allocations</t>
  </si>
  <si>
    <t>IC</t>
  </si>
  <si>
    <t>41774</t>
  </si>
  <si>
    <t>Steve Mroch</t>
  </si>
  <si>
    <t>GB_Long Leave</t>
  </si>
  <si>
    <t>Long Medical Leaves/Maternity leave/Sabbatical</t>
  </si>
  <si>
    <t>PJ-006578</t>
  </si>
  <si>
    <t>Shaving LcM</t>
  </si>
  <si>
    <t>PJ-028050</t>
  </si>
  <si>
    <t>IPL MLD/LCM - Mid End Program</t>
  </si>
  <si>
    <t>PJ-026520</t>
  </si>
  <si>
    <t>IPL S7/8/9 Sunstone 2022-2023 GL - PDLM (2) Sunstone</t>
  </si>
  <si>
    <t>PJ-028051</t>
  </si>
  <si>
    <t>IPL MLD/LCM - Mid End Technical</t>
  </si>
  <si>
    <t>40997</t>
  </si>
  <si>
    <t>FemDep_KLU_Source steel for epi discs from Aperam</t>
  </si>
  <si>
    <t>GBLCM1</t>
  </si>
  <si>
    <t>LCA G&amp;B</t>
  </si>
  <si>
    <t>PDTEAM407</t>
  </si>
  <si>
    <t>M R Kiran</t>
  </si>
  <si>
    <t>Factory Internal supplier SQN &amp; SCAR Management</t>
  </si>
  <si>
    <t>PDTEAM306</t>
  </si>
  <si>
    <t>STET Pkg COE IWD IGT-S Project Execution</t>
  </si>
  <si>
    <t>PDTEAM309</t>
  </si>
  <si>
    <t>STET Pkg COE U/S- Packaging LCM</t>
  </si>
  <si>
    <t>PDTEAM308</t>
  </si>
  <si>
    <t>STET Pkg COE U/S- NPI Packaging Support</t>
  </si>
  <si>
    <t>PDTEAM313</t>
  </si>
  <si>
    <t xml:space="preserve">MR Kiran </t>
  </si>
  <si>
    <t>Factory Best PV remediation</t>
  </si>
  <si>
    <t>TCO</t>
  </si>
  <si>
    <t>PDTEAM548</t>
  </si>
  <si>
    <t xml:space="preserve">Factory Pune Process Validation Remediation - RF Coils </t>
  </si>
  <si>
    <t>NON_12NC</t>
  </si>
  <si>
    <t>PDTEAM405</t>
  </si>
  <si>
    <t>Factory Pune Process Validation Remediation</t>
  </si>
  <si>
    <t>PDTEAM613</t>
  </si>
  <si>
    <t>STET MR LCE MECHANICAL</t>
  </si>
  <si>
    <t>PDTEAM314</t>
  </si>
  <si>
    <t>MR Kiran</t>
  </si>
  <si>
    <t>MR -RF Coil-Parts remediation</t>
  </si>
  <si>
    <t>PDTEAM315</t>
  </si>
  <si>
    <t xml:space="preserve">STET Packaging IGT </t>
  </si>
  <si>
    <t>MR_Long Leave</t>
  </si>
  <si>
    <t>IGT-MoS_L&amp;A</t>
  </si>
  <si>
    <t>IGT-MoS</t>
  </si>
  <si>
    <t>PDTEAM515</t>
  </si>
  <si>
    <t xml:space="preserve">Avinash Gosavi </t>
  </si>
  <si>
    <t xml:space="preserve">STET MR C&amp;C Project Support Electrical </t>
  </si>
  <si>
    <t>33510</t>
  </si>
  <si>
    <t>Siddarth Shetty</t>
  </si>
  <si>
    <t>Arctronics De-risking to SFO for Breast coils family</t>
  </si>
  <si>
    <t>PDTEAM623</t>
  </si>
  <si>
    <t xml:space="preserve">STET MR COILS SICR DOCUMENTATION/CLERICAL CHANGE </t>
  </si>
  <si>
    <t>35567</t>
  </si>
  <si>
    <t>Vijay Purushothaman</t>
  </si>
  <si>
    <t>Labels phase 2 (Total) transfer</t>
  </si>
  <si>
    <t>31575</t>
  </si>
  <si>
    <t>Sheet metal &amp; Casting parts localisation from Gainesville supplier base to India.</t>
  </si>
  <si>
    <t>33973</t>
  </si>
  <si>
    <t>Nicolet Plastic Parts localization to LCC- Derisking</t>
  </si>
  <si>
    <t>PDTEAM626</t>
  </si>
  <si>
    <t xml:space="preserve">Damodar Sarnobat </t>
  </si>
  <si>
    <t xml:space="preserve">STET MR COILS SICR PROCESS CHANGE </t>
  </si>
  <si>
    <t>42014</t>
  </si>
  <si>
    <t>Emerald-De-risking SC- NYX Albany 5 Parts localisation to LLS</t>
  </si>
  <si>
    <t>42005</t>
  </si>
  <si>
    <t>Madeira Merge M&amp;B cabinet (Cezanne), Best only</t>
  </si>
  <si>
    <t>Shivangi Pathak</t>
  </si>
  <si>
    <t>SICR20231024001B</t>
  </si>
  <si>
    <t>Kyle  Undesser</t>
  </si>
  <si>
    <t>SICR20231024001B_Legal name change_METROFORM</t>
  </si>
  <si>
    <t>Swati Karande</t>
  </si>
  <si>
    <t>39641</t>
  </si>
  <si>
    <t>Marvel: Cairo Connected E-Components Optimization</t>
  </si>
  <si>
    <t>CR225302</t>
  </si>
  <si>
    <t xml:space="preserve">Saurabh Agrawal
</t>
  </si>
  <si>
    <t>ODM OEM Regmemo AMB554-24073-China Product Specification</t>
  </si>
  <si>
    <t>CR225608</t>
  </si>
  <si>
    <t>Packaging design refreshment_Global</t>
  </si>
  <si>
    <t>Gopinathan Pillai Letheesh Kumar</t>
  </si>
  <si>
    <t>43309</t>
  </si>
  <si>
    <t>BD-3 Intercom CRCB interface kit localization</t>
  </si>
  <si>
    <t>43312</t>
  </si>
  <si>
    <t>BD3-AUXILARY CONNECT BOX Localization</t>
  </si>
  <si>
    <t>MR00350204</t>
  </si>
  <si>
    <t>Sarnobat, Damodar</t>
  </si>
  <si>
    <t>SICR20230628009B- AIBO REDESIGN</t>
  </si>
  <si>
    <t>38256</t>
  </si>
  <si>
    <t>TCH Control Board</t>
  </si>
  <si>
    <t>40835</t>
  </si>
  <si>
    <t>PCBA Refresh - 452212703288 - 452212914099 - CLEA EXTENSION 1</t>
  </si>
  <si>
    <t>PDTEAM421</t>
  </si>
  <si>
    <t xml:space="preserve">Srinivas, M.V.D </t>
  </si>
  <si>
    <t>STET DXR HW LCM CQ - Mechanical</t>
  </si>
  <si>
    <t>PDTEAM415</t>
  </si>
  <si>
    <t>PCBA Health DXR</t>
  </si>
  <si>
    <t>PDTEAM424</t>
  </si>
  <si>
    <t>STET DXR HW LCM - Label &amp; Packaging</t>
  </si>
  <si>
    <t>HPM_Sustaining_MRPC_09122205</t>
  </si>
  <si>
    <t>HPM Sustaining Projects support - MRPC</t>
  </si>
  <si>
    <t>GB_Training-2</t>
  </si>
  <si>
    <t>US_Funnel Activities</t>
  </si>
  <si>
    <t>Lakshmi Kumari</t>
  </si>
  <si>
    <t>GB_L&amp;A</t>
  </si>
  <si>
    <t>IGT-D_L&amp;A</t>
  </si>
  <si>
    <t>PDTEAM422</t>
  </si>
  <si>
    <t>STET DXR HW LCM CQ - Electrical</t>
  </si>
  <si>
    <t>Amol Magadum</t>
  </si>
  <si>
    <t>PRD-IGT-IGT-D-162</t>
  </si>
  <si>
    <t>IGTD Funnel building</t>
  </si>
  <si>
    <t>33508</t>
  </si>
  <si>
    <t>Arctronics De-risking to SFO for Wrist coils family</t>
  </si>
  <si>
    <t>PDTEAM601</t>
  </si>
  <si>
    <t xml:space="preserve">MR Coils Resin Harmonization </t>
  </si>
  <si>
    <t>41702</t>
  </si>
  <si>
    <t>Plastic Machining Phase 3 (Bobsled)</t>
  </si>
  <si>
    <t>PDTEAM612</t>
  </si>
  <si>
    <t>STET CT/AMI-  LCM FRU Resolutions</t>
  </si>
  <si>
    <t>39040</t>
  </si>
  <si>
    <t>Emerald-Kimball and Arctronics Flex PCBA transfer to India Supply Base</t>
  </si>
  <si>
    <t>Juby Mathew</t>
  </si>
  <si>
    <t>RfS G&amp;B-0044</t>
  </si>
  <si>
    <t>Refurbish returned refurbished IPL</t>
  </si>
  <si>
    <t>CR219541</t>
  </si>
  <si>
    <t>Discus Dental products, labeling and registration update as per REGMEM AMB-554 24049 (Malaysia)</t>
  </si>
  <si>
    <t>CR192500</t>
  </si>
  <si>
    <t>Mykonos – Anax</t>
  </si>
  <si>
    <t>42472</t>
  </si>
  <si>
    <t>BD3 Mattress L4L</t>
  </si>
  <si>
    <t>OHC_L&amp;A</t>
  </si>
  <si>
    <t>IGT-S_Long Leave</t>
  </si>
  <si>
    <t>HPM_Labelling_09122205</t>
  </si>
  <si>
    <t xml:space="preserve">HPM Labelling support </t>
  </si>
  <si>
    <t>38100</t>
  </si>
  <si>
    <t>A2K_Alternate supplier for control panel</t>
  </si>
  <si>
    <t>HPM_Sustaining_Capnography_09122205</t>
  </si>
  <si>
    <t>HPM Sustaining Projects support - Capnography</t>
  </si>
  <si>
    <t>GB_Training-1</t>
  </si>
  <si>
    <t>39228</t>
  </si>
  <si>
    <t>Carts PDC OEM bay for Epiq</t>
  </si>
  <si>
    <t>41980</t>
  </si>
  <si>
    <t>Dual source of Control Modules to Grayhill Shenzhen for Best + Suzhou [BD-3]</t>
  </si>
  <si>
    <t>Anisha Jagdale</t>
  </si>
  <si>
    <t>Krishnaraj Kalghatgi</t>
  </si>
  <si>
    <t>PDTEAM553</t>
  </si>
  <si>
    <t>NGPS PCBA Support</t>
  </si>
  <si>
    <t>PDTEAM416</t>
  </si>
  <si>
    <t>PCBA Health CT</t>
  </si>
  <si>
    <t>36944</t>
  </si>
  <si>
    <t>CSM DC axis controller</t>
  </si>
  <si>
    <t>38257</t>
  </si>
  <si>
    <t>PCBA Refresh - 451213406385 - TH controller HW</t>
  </si>
  <si>
    <t>36516</t>
  </si>
  <si>
    <t>Marvel: DD 5.0: CAIRO NON-CONNECTED PCBA FCP Improvement</t>
  </si>
  <si>
    <t>Productivity</t>
  </si>
  <si>
    <t>23170</t>
  </si>
  <si>
    <t>PV.035 RO Coil Material Change</t>
  </si>
  <si>
    <t>36654</t>
  </si>
  <si>
    <t>Capture Productivity Savings - PV035 Y-arm mold transfer to Viant</t>
  </si>
  <si>
    <t>IGT-D_Funnel Activities</t>
  </si>
  <si>
    <t>SICR20250912009G</t>
  </si>
  <si>
    <t>PLEXUS MANUFACTURING SDN BHD_100259505</t>
  </si>
  <si>
    <t>SICR20240123002D</t>
  </si>
  <si>
    <t>BIZLINK BVI CORP. LIMITED</t>
  </si>
  <si>
    <t>SICR20251013009B</t>
  </si>
  <si>
    <t>POTTERS INDUSTRIES INC._402858065</t>
  </si>
  <si>
    <t>28362</t>
  </si>
  <si>
    <t>General Sustaining</t>
  </si>
  <si>
    <t>SICR20250307004B</t>
  </si>
  <si>
    <t xml:space="preserve">Steven Mroch
</t>
  </si>
  <si>
    <t>DOCUNET CORPORATION_100323801</t>
  </si>
  <si>
    <t>PLY23001SCN21015</t>
  </si>
  <si>
    <t>PLY_23-001 (SCN 21-015)_Legal name change_CROSST</t>
  </si>
  <si>
    <t>Ajinkya Bhat</t>
  </si>
  <si>
    <t>RTC-GRO20251001677</t>
  </si>
  <si>
    <t>Regmem AMB554-25044 China Product Specs</t>
  </si>
  <si>
    <t>RTC-GRO20251101681</t>
  </si>
  <si>
    <t>Launch BG5475/50 Walmart US</t>
  </si>
  <si>
    <t>RTC-GRO20251101685</t>
  </si>
  <si>
    <t>Launch Xenon BT5761/40 in Walmart US</t>
  </si>
  <si>
    <t>41802</t>
  </si>
  <si>
    <t>Macross Box Standardization from SBS to GC1</t>
  </si>
  <si>
    <t>RTC-GRO20260101698</t>
  </si>
  <si>
    <t>Change Magnet Supplier Minitrim KLU</t>
  </si>
  <si>
    <t>RfS-G&amp;B-0271</t>
  </si>
  <si>
    <t>BRI940 PI in Argentina</t>
  </si>
  <si>
    <t>RfS-G&amp;B-0378</t>
  </si>
  <si>
    <t>SUNSTONE Series 7000/8000/9000/9900  refurbishment</t>
  </si>
  <si>
    <t>RfS-G&amp;B-0360</t>
  </si>
  <si>
    <t>-BRI95x Li-ion sticker for A-Box UN3481 contains wrong telephone number (REGMEM AMB 554-17040)</t>
  </si>
  <si>
    <t>GB_LPP_2026</t>
  </si>
  <si>
    <t>Linear performance pricing analysis of comparable 12 NC's</t>
  </si>
  <si>
    <t>GB_PIESUPPORT_2026</t>
  </si>
  <si>
    <t>PIE and ME activities support</t>
  </si>
  <si>
    <t>RTC-FDEP20250600856</t>
  </si>
  <si>
    <t>China - New AC Plug type requirements Regmem AMB 554-25031</t>
  </si>
  <si>
    <t>RfS-SHA20250701909</t>
  </si>
  <si>
    <t>Rfs China New AC Plug type requirements</t>
  </si>
  <si>
    <t>RTC-GRO20250601645</t>
  </si>
  <si>
    <t>Reg mem AMB554-25031 China plug requirements</t>
  </si>
  <si>
    <t>RTC-HSH20250700704</t>
  </si>
  <si>
    <t>QP1864/65 EU</t>
  </si>
  <si>
    <t>RTC-HSH20251200742</t>
  </si>
  <si>
    <t>Launch of Qi1864/65 Canada</t>
  </si>
  <si>
    <t>RfS-SHA20260302038</t>
  </si>
  <si>
    <t>RfS_PO S8696_86_US</t>
  </si>
  <si>
    <t>41153</t>
  </si>
  <si>
    <t>Rfs Process change from Tampo print to ink jet print for Atalas Front panel</t>
  </si>
  <si>
    <t>RfS-SHA20260302039</t>
  </si>
  <si>
    <t>RfS - Korea PO Phoenix</t>
  </si>
  <si>
    <t>RfS-SHA20251001977</t>
  </si>
  <si>
    <t>PO S9647-37, SP9XX, X5102_10 CHINA Q4 2026</t>
  </si>
  <si>
    <t>RfS-SHA20251101986</t>
  </si>
  <si>
    <t>PO Q3 Q4 2026 Japan and Korea S9, S8</t>
  </si>
  <si>
    <t>Mahesh Udupi</t>
  </si>
  <si>
    <t>Mayur Jagtap</t>
  </si>
  <si>
    <t>RTC-GRO20260101695</t>
  </si>
  <si>
    <t>Hair Clipper ranges phase-out</t>
  </si>
  <si>
    <t>RTC-GRO20260201703</t>
  </si>
  <si>
    <t>REG MEM AMB554-26002 India Battery Waste Management</t>
  </si>
  <si>
    <t>RTC-HSH20260300767</t>
  </si>
  <si>
    <t>Launch of QP6552/71 in Walmart US</t>
  </si>
  <si>
    <t>RTC-GRO20260401719</t>
  </si>
  <si>
    <t>Nose trimmer AW Update to F4F for EU</t>
  </si>
  <si>
    <t>RfS-G&amp;B-0010</t>
  </si>
  <si>
    <t>Update main PCBA BOM to remove Walsin supplier for R632/631 component in Emerald devices</t>
  </si>
  <si>
    <t>42103</t>
  </si>
  <si>
    <t>Emerald alternative e-component Kingbridge/KPA-1606SECK -&gt; Everlight/27-21/S2C-FQ2S2B/3C</t>
  </si>
  <si>
    <t>RfS-G&amp;B-0225</t>
  </si>
  <si>
    <t>Improve A-box sealing (Iskra, Videoton and Zhuhai)</t>
  </si>
  <si>
    <t>RfS-G&amp;B-0150</t>
  </si>
  <si>
    <t>Emerald PIE adapter type plates not compliant to labelling requirements</t>
  </si>
  <si>
    <t>42104</t>
  </si>
  <si>
    <t>Emerald alternative e-component (supply chain de-risk) Vishay/VOM1271T  (Toshiba/TLP3906(TPR,E) -&gt; E...</t>
  </si>
  <si>
    <t>RfS-SHA20250801946</t>
  </si>
  <si>
    <t>New product launch CC16 for US</t>
  </si>
  <si>
    <t>RfS-SHA20260202027</t>
  </si>
  <si>
    <t>20260205-RfS_WE_XP521_03</t>
  </si>
  <si>
    <t>RfS-SHA20260202028</t>
  </si>
  <si>
    <t>20260205-RfS_WE_XP5XX_03</t>
  </si>
  <si>
    <t>RfS-SHA20260302041</t>
  </si>
  <si>
    <t xml:space="preserve">RfS S5000 OneBlade bundle update_Sep'26_v2
</t>
  </si>
  <si>
    <t>RfS-SHA20260302042</t>
  </si>
  <si>
    <t xml:space="preserve">RfS S7000 OneBlade bundle update_Sep'26_v2
</t>
  </si>
  <si>
    <t>RTC-FDEP20251100881</t>
  </si>
  <si>
    <t>Regmem Middle East North Africa -Validity of test reports</t>
  </si>
  <si>
    <t>278633</t>
  </si>
  <si>
    <t>HE HH IPL in WEU and CEE</t>
  </si>
  <si>
    <t>RTC-FDEP20260200891</t>
  </si>
  <si>
    <t>EU Packaging &amp; Packaging Waste Regulation (PPWR) AMB554-26005</t>
  </si>
  <si>
    <t>278631</t>
  </si>
  <si>
    <t>ME HH IPL in WEU and CEE</t>
  </si>
  <si>
    <t>QN reduction 2026</t>
  </si>
  <si>
    <t xml:space="preserve">Vijayanand Purushothaman
</t>
  </si>
  <si>
    <t>QN reduction for IGT at Best factory</t>
  </si>
  <si>
    <t>Priyanka Gupta</t>
  </si>
  <si>
    <t>Amaravathi Madhusudhan Varma</t>
  </si>
  <si>
    <t>QN reduction_IGT_2025</t>
  </si>
  <si>
    <t>40936</t>
  </si>
  <si>
    <t>PCBA refresh - 459800330065 - Main Board FDCSIB</t>
  </si>
  <si>
    <t>Kushal Chaudhari</t>
  </si>
  <si>
    <t>40836</t>
  </si>
  <si>
    <t>PCBA Refresh - 452212702648 - 452212914099 - CLEA EXTENSION 2</t>
  </si>
  <si>
    <t>PDTEAM418</t>
  </si>
  <si>
    <t>PCBA Health IGTS</t>
  </si>
  <si>
    <t>Mansi Nerkar</t>
  </si>
  <si>
    <t>PQE Factory Support for BEST</t>
  </si>
  <si>
    <t>Process and Quality Enngineering for factory support</t>
  </si>
  <si>
    <t>Prathamesh Bhosale</t>
  </si>
  <si>
    <t>41185</t>
  </si>
  <si>
    <t>Change 2.5L oil cans to 208L Barrel</t>
  </si>
  <si>
    <t>Shweta Devekar</t>
  </si>
  <si>
    <t>38596</t>
  </si>
  <si>
    <t>Alternative materials for Conn. Box (Aux. &amp; SWCB and PWCB)</t>
  </si>
  <si>
    <t>36771</t>
  </si>
  <si>
    <t>Move ER monitors from Barco to Diva</t>
  </si>
  <si>
    <t>42564</t>
  </si>
  <si>
    <t xml:space="preserve">Resourcing AD7 cable from Silcotec to Time </t>
  </si>
  <si>
    <t>41871</t>
  </si>
  <si>
    <t>Introduce China L4L C-arc &amp; Sleeve to Best Factory (Dual Sourcing)</t>
  </si>
  <si>
    <t>42332</t>
  </si>
  <si>
    <t xml:space="preserve">H331_VDL Groep ETG_Transfer T2 Housing BoM parts to T2 ROOSEN </t>
  </si>
  <si>
    <t>34910</t>
  </si>
  <si>
    <t>Transfer of IGT clip rail systems (from Optiwa) to a different supplier MDC - LCM ART Osprey</t>
  </si>
  <si>
    <t>PDTEAM560</t>
  </si>
  <si>
    <t>US_L&amp;A</t>
  </si>
  <si>
    <t>39701</t>
  </si>
  <si>
    <t>AN8137/AR300-1 to Next-Gen LDMOS RFA In-House - 3.0T</t>
  </si>
  <si>
    <t>PDTEAM143</t>
  </si>
  <si>
    <t xml:space="preserve">Astra HCCB WP and Long Pole </t>
  </si>
  <si>
    <t>43580</t>
  </si>
  <si>
    <t>SZ_AD7 XNT table tier2 cable localization</t>
  </si>
  <si>
    <t>38118</t>
  </si>
  <si>
    <t>Hawk LCD TOUCH Panel Grayhill to Promate</t>
  </si>
  <si>
    <t>37101</t>
  </si>
  <si>
    <t>Incisive 5G Slipring 2nd source to NBG_Tiger</t>
  </si>
  <si>
    <t>PDTEAM622</t>
  </si>
  <si>
    <t>PDTEAM624</t>
  </si>
  <si>
    <t xml:space="preserve">STET MR COILS SICR MANUFACTURING SITE/PRODUCT LOCATION CHANGE </t>
  </si>
  <si>
    <t>PDTEAM621</t>
  </si>
  <si>
    <t xml:space="preserve">STET MR COILS SICR EOL/ MATERIAL CHANGE </t>
  </si>
  <si>
    <t>PDTEAM615</t>
  </si>
  <si>
    <t>STET MR LCE LABELS</t>
  </si>
  <si>
    <t>IGT-S_L&amp;A</t>
  </si>
  <si>
    <t>Lydia Joseph</t>
  </si>
  <si>
    <t>Chinnaraja Pon S</t>
  </si>
  <si>
    <t>PDTEAM138</t>
  </si>
  <si>
    <t>Ferraris - 3.0T magnet mechanical parts localization</t>
  </si>
  <si>
    <t>Maxwell - Outsource welding process for 40K end plate to Hontech</t>
  </si>
  <si>
    <t>Risk Mitigation-Maxwell: Outsource welding processes for Roll Up and End plate</t>
  </si>
  <si>
    <t>42145</t>
  </si>
  <si>
    <t>JJ Chen</t>
  </si>
  <si>
    <t>China PCA L4L - to meet Local content requirement</t>
  </si>
  <si>
    <t>44060</t>
  </si>
  <si>
    <t>BD-Sheet metal mono parts and &amp; Installation frame China localization (#26320 Gr. 3)</t>
  </si>
  <si>
    <t>44059</t>
  </si>
  <si>
    <t>BD-Sheet metal mono parts and &amp; Installation frame China localization (#26320 Gr. 2)</t>
  </si>
  <si>
    <t>34330</t>
  </si>
  <si>
    <t>Noah HLA machining parts to Laser cutting/(Scissor &amp; connecting block/seat)</t>
  </si>
  <si>
    <t>43808</t>
  </si>
  <si>
    <t>TAICHI gantry cover material change from CHIMEI 765A to LG AF366A</t>
  </si>
  <si>
    <t>37957</t>
  </si>
  <si>
    <t>Incisive gantry/couch linear actuator 2 source</t>
  </si>
  <si>
    <t>CS-2024-044</t>
  </si>
  <si>
    <t>Increase in consumption of Firewalls</t>
  </si>
  <si>
    <t>CS-2024-043</t>
  </si>
  <si>
    <t>Kulasekhar (KK)</t>
  </si>
  <si>
    <t>&gt;100% Consumption YOY: UPS 1Phase Data Integrity Controller SP (459801117161)</t>
  </si>
  <si>
    <t>CS-2021-095</t>
  </si>
  <si>
    <t>Potmeter AD7 Height and Tilt quality improvement</t>
  </si>
  <si>
    <t>CS-2025-012</t>
  </si>
  <si>
    <t>INTERCOM FOR DIH FDXD</t>
  </si>
  <si>
    <t>42228</t>
  </si>
  <si>
    <t xml:space="preserve">Anwar Shaikh
</t>
  </si>
  <si>
    <t>HPM Service and repairs, cost of quality (warranty and claim cost)</t>
  </si>
  <si>
    <t>Adesh ankush Bhagat</t>
  </si>
  <si>
    <t>Ishtiyaque Shaikh</t>
  </si>
  <si>
    <t>42468</t>
  </si>
  <si>
    <t>DCS/AM&amp;D cardiac workstation repair project</t>
  </si>
  <si>
    <t>CR237272</t>
  </si>
  <si>
    <t>Spiti PDLM</t>
  </si>
  <si>
    <t>PDTEAM514</t>
  </si>
  <si>
    <t>PDTEAM614</t>
  </si>
  <si>
    <t>STET MR LCE ELECTRICAL</t>
  </si>
  <si>
    <t>PDTEAM617</t>
  </si>
  <si>
    <t>STET MR LCE DFS ELECTRICAL</t>
  </si>
  <si>
    <t>PDTEAM562</t>
  </si>
  <si>
    <t>Gourav Parab</t>
  </si>
  <si>
    <t>RSL/RISK assessment - CT/AMI Suzhou</t>
  </si>
  <si>
    <t>Diksha Langote</t>
  </si>
  <si>
    <t>Paresh Sapale</t>
  </si>
  <si>
    <t>04MOSLCMMAJPROJ</t>
  </si>
  <si>
    <t>Ponkshe, Mihir</t>
  </si>
  <si>
    <t>LCM Major project in IGT-MOS</t>
  </si>
  <si>
    <t xml:space="preserve">Kulasekhar (KK)
</t>
  </si>
  <si>
    <t>CS-2025-137</t>
  </si>
  <si>
    <t>Proscribe to TSM repl kit patient table</t>
  </si>
  <si>
    <t>CS-2023-032</t>
  </si>
  <si>
    <t xml:space="preserve">CMOS battery - Proactive replacement as part of FCO in the field </t>
  </si>
  <si>
    <t>CS-2026-034</t>
  </si>
  <si>
    <t>Control module belly bar improvement project</t>
  </si>
  <si>
    <t>CS-2026-040</t>
  </si>
  <si>
    <t>GEO PC FCO 8.1</t>
  </si>
  <si>
    <t>CS-2026-041</t>
  </si>
  <si>
    <t>GEO PC FCO 7.2</t>
  </si>
  <si>
    <t>CS-2024-019</t>
  </si>
  <si>
    <t>PC Diagnostics tool 2.3.0</t>
  </si>
  <si>
    <t>CS-2025-045</t>
  </si>
  <si>
    <t>TSM repl. cost reduction per redesign with lower replacement rate and lower newbuy price</t>
  </si>
  <si>
    <t>CS-2025-102</t>
  </si>
  <si>
    <t>Removal of aluminum plate panhandle Roosen</t>
  </si>
  <si>
    <t>CS-2026-039</t>
  </si>
  <si>
    <t>FCO FGC, Disk bay, DIMM  2026/27</t>
  </si>
  <si>
    <t>CS-2021-031</t>
  </si>
  <si>
    <t>Big monitor change</t>
  </si>
  <si>
    <t>CS-2024-014</t>
  </si>
  <si>
    <t>EPX 3.0 Wear reductions for MRC 0508 (2027 impact)</t>
  </si>
  <si>
    <t>CS-2024-015</t>
  </si>
  <si>
    <t>EPX 3.0 Wear reductions for MRC 0508 (2028 impact)</t>
  </si>
  <si>
    <t>CS-2025-153</t>
  </si>
  <si>
    <t>Wear reduction EPX 2.0 for Allura &amp; Azurion (2026 impact)</t>
  </si>
  <si>
    <t>CS-2026-035</t>
  </si>
  <si>
    <t>PC NPF (no problem found) reduction project</t>
  </si>
  <si>
    <t>Anuja Babanrao Kale</t>
  </si>
  <si>
    <t>CS-2025-034</t>
  </si>
  <si>
    <t>FCO GEO - Q35 PCs</t>
  </si>
  <si>
    <t>36529</t>
  </si>
  <si>
    <t>Move Repair of 45980002241/2/3 PHI-DVI-16416 Matrix to Techdata</t>
  </si>
  <si>
    <t>41126</t>
  </si>
  <si>
    <t>IGT_C2R_Frencken Motor assy repair to Shyft-Poland</t>
  </si>
  <si>
    <t>ADITYA BHAGWAN WAYAL</t>
  </si>
  <si>
    <t>41655</t>
  </si>
  <si>
    <t>IGT Transfer repair Tube Covers Sanmina Tatabánya to Shyft</t>
  </si>
  <si>
    <t>36460</t>
  </si>
  <si>
    <t>3DWS-PC move to Techdata ( OoW)</t>
  </si>
  <si>
    <t>Sandhya L</t>
  </si>
  <si>
    <t>30314</t>
  </si>
  <si>
    <t>Consumable to Repair: Control modules</t>
  </si>
  <si>
    <t>41761</t>
  </si>
  <si>
    <t>IGT_Repair Transfer_3DWS(C246) PC move to Shyft-US</t>
  </si>
  <si>
    <t>36030</t>
  </si>
  <si>
    <t>Repair 2.0 parts and components sourcing optimization through Tech Data - Zollner PC spare parts</t>
  </si>
  <si>
    <t>36999</t>
  </si>
  <si>
    <t>MR Repair 2.0 MR HP computers transfer from Sanmina Tatabanya to TD-Synnex Warsaw</t>
  </si>
  <si>
    <t>Rucha Joshi</t>
  </si>
  <si>
    <t>FCO72200612</t>
  </si>
  <si>
    <t>C&amp;R FCO - Missing air baffle in PC</t>
  </si>
  <si>
    <t>Rohan Sakhare</t>
  </si>
  <si>
    <t>41591</t>
  </si>
  <si>
    <t>MR tool calibration to Shyft + Sanmina TTBY transfer</t>
  </si>
  <si>
    <t>Shubham Bansal</t>
  </si>
  <si>
    <t>PDTEAM531</t>
  </si>
  <si>
    <t>STET CT AMI - V&amp;V</t>
  </si>
  <si>
    <t>CT/AMI_Training-1</t>
  </si>
  <si>
    <t>PDTEAM527</t>
  </si>
  <si>
    <t>STET IC - RSL</t>
  </si>
  <si>
    <t>PDTEAM532</t>
  </si>
  <si>
    <t>STET CT AMI - TCO</t>
  </si>
  <si>
    <t>PDTEAM411</t>
  </si>
  <si>
    <t>STET Lab management</t>
  </si>
  <si>
    <t>PDTEAM543</t>
  </si>
  <si>
    <t>STET IC - Shakti</t>
  </si>
  <si>
    <t>PDTEAM535</t>
  </si>
  <si>
    <t>Hamburg LCM</t>
  </si>
  <si>
    <t>PDTEAM528</t>
  </si>
  <si>
    <t>STET IC_ PCBA-LCA</t>
  </si>
  <si>
    <t>PDTEAM526</t>
  </si>
  <si>
    <t>STET IC - Pangu</t>
  </si>
  <si>
    <t>PDTEAM625</t>
  </si>
  <si>
    <t xml:space="preserve">STET MR COILS SICR QUALITY IMPROVEMENT </t>
  </si>
  <si>
    <t>37186</t>
  </si>
  <si>
    <t xml:space="preserve">Radhaprasanna </t>
  </si>
  <si>
    <t xml:space="preserve">Inductor redesign Gowanda USA to SVM India for sanmina mammoth </t>
  </si>
  <si>
    <t>33954</t>
  </si>
  <si>
    <t>Radhaprasanna</t>
  </si>
  <si>
    <t>Project Saral- Volex transfer</t>
  </si>
  <si>
    <t>VM15 Display</t>
  </si>
  <si>
    <t>37213</t>
  </si>
  <si>
    <t xml:space="preserve"> Jidhish Sidharthan</t>
  </si>
  <si>
    <t xml:space="preserve"> COMPACT 15.6inch Display (Barco to Promate)</t>
  </si>
  <si>
    <t>Pundarikakshayya Kola</t>
  </si>
  <si>
    <t>CT/AMI_Long Leave</t>
  </si>
  <si>
    <t>IGT-S_Funnel Activities</t>
  </si>
  <si>
    <t>PDTEAM145</t>
  </si>
  <si>
    <t xml:space="preserve">Nick Oldakowski </t>
  </si>
  <si>
    <t>Rio Mover Conveyance Solutiuon</t>
  </si>
  <si>
    <t>PDTEAM124</t>
  </si>
  <si>
    <t>Jacob Cetnar</t>
  </si>
  <si>
    <t>Vega Brazed Assemblies Industrialization</t>
  </si>
  <si>
    <t>PDTEAM125</t>
  </si>
  <si>
    <t>Vega Automated leak check</t>
  </si>
  <si>
    <t>43723</t>
  </si>
  <si>
    <t>Nick Oldakowski</t>
  </si>
  <si>
    <t>Automated Shimming</t>
  </si>
  <si>
    <t>43464</t>
  </si>
  <si>
    <t>Tariff Mitigation through HTS code change</t>
  </si>
  <si>
    <t>43227</t>
  </si>
  <si>
    <t xml:space="preserve">Nicholas Oldakowski </t>
  </si>
  <si>
    <t>BEP to ACV - Rollup Transfer</t>
  </si>
  <si>
    <t>PDTEAM147</t>
  </si>
  <si>
    <t xml:space="preserve">Accelerated Curing Validation Activities </t>
  </si>
  <si>
    <t>PDTEAM146</t>
  </si>
  <si>
    <t>Rio Tubing Dual Source - Zeman Mfg</t>
  </si>
  <si>
    <t>39450</t>
  </si>
  <si>
    <t xml:space="preserve">Noah H. </t>
  </si>
  <si>
    <t>RIO - Resource Burst Disk from Fastenal (Fike) to BS&amp;B</t>
  </si>
  <si>
    <t>PDTEAM114</t>
  </si>
  <si>
    <t xml:space="preserve">Vexos Transfer </t>
  </si>
  <si>
    <t>PDTEAM131</t>
  </si>
  <si>
    <t xml:space="preserve">Maria Jackson </t>
  </si>
  <si>
    <t xml:space="preserve">Lumify USB-C Upgrade </t>
  </si>
  <si>
    <t>PDTEAM550</t>
  </si>
  <si>
    <t xml:space="preserve">RSL Automation </t>
  </si>
  <si>
    <t>01MOSLCMCR</t>
  </si>
  <si>
    <t>LCM CR in IGT- MOS</t>
  </si>
  <si>
    <t>03MOSLCMBOMPROD</t>
  </si>
  <si>
    <t>LCM BOM productivity in IGT-MOS</t>
  </si>
  <si>
    <t>08MOSLCMTESTENGG</t>
  </si>
  <si>
    <t>LCM testing activities  in IGT-MOS</t>
  </si>
  <si>
    <t>09MOSBUDEDICATED</t>
  </si>
  <si>
    <t>IGT MOS BU dedicated projects support</t>
  </si>
  <si>
    <t>02MOSLCMSICR</t>
  </si>
  <si>
    <t>LCM SICR in IGT-MOS</t>
  </si>
  <si>
    <t>Ritik Pahade</t>
  </si>
  <si>
    <t>Shraddha Subhash Kale</t>
  </si>
  <si>
    <t>Sanjay Pawar</t>
  </si>
  <si>
    <t>Deepak Jogade</t>
  </si>
  <si>
    <t>Rutuja Deshpande</t>
  </si>
  <si>
    <t>CR093221</t>
  </si>
  <si>
    <t>Yangzee -Pump Crack Issue RCA</t>
  </si>
  <si>
    <t>Kamini Patil</t>
  </si>
  <si>
    <t>CR230080</t>
  </si>
  <si>
    <t>WHT_ID VS Introducing Risun as Second Source for F1 and F2 Nozzles</t>
  </si>
  <si>
    <t>23596</t>
  </si>
  <si>
    <t>Zoom Lamp -- Shift supplier of PCBA from MSD to Preferred</t>
  </si>
  <si>
    <t>Sanskriti Sharma</t>
  </si>
  <si>
    <t>OHC_Training-1</t>
  </si>
  <si>
    <t xml:space="preserve">Saurabh Agarwal
</t>
  </si>
  <si>
    <t>OHC_LCM_1</t>
  </si>
  <si>
    <t>LCM Activities</t>
  </si>
  <si>
    <t>CR207092</t>
  </si>
  <si>
    <t xml:space="preserve">Raychem Manufacturing and Assembly location change </t>
  </si>
  <si>
    <t>39976</t>
  </si>
  <si>
    <t xml:space="preserve">Mihir Ponkshe
</t>
  </si>
  <si>
    <t>Localization extension to NPI project Roots</t>
  </si>
  <si>
    <t>CR164546</t>
  </si>
  <si>
    <t>FD17 Cover &amp; Interface Rols to Raychem to Roots</t>
  </si>
  <si>
    <t>39270</t>
  </si>
  <si>
    <t>Scan bearing block commonization Z30,70,90</t>
  </si>
  <si>
    <t>Procurement</t>
  </si>
  <si>
    <t>CR230784</t>
  </si>
  <si>
    <t>Tier 1 Supplier change from Raychem To Roots</t>
  </si>
  <si>
    <t>CR130329</t>
  </si>
  <si>
    <t>FRU_8_Parts from Roots</t>
  </si>
  <si>
    <t>CR228315</t>
  </si>
  <si>
    <t>PTB VS, PIE Charger Non-Compliance Mitigation (Lead)</t>
  </si>
  <si>
    <t>SRC</t>
  </si>
  <si>
    <t>CR226118</t>
  </si>
  <si>
    <t>Change in colorant supplier for BH parts</t>
  </si>
  <si>
    <t>Soham Kulkarni</t>
  </si>
  <si>
    <t>PDTEAM148</t>
  </si>
  <si>
    <t xml:space="preserve">Automated Welding Cell Vega Incorporation </t>
  </si>
  <si>
    <t>PDTEAM128</t>
  </si>
  <si>
    <t xml:space="preserve">Vega Tanks Industrialization </t>
  </si>
  <si>
    <t>PDTEAM430</t>
  </si>
  <si>
    <t>STET DXR Remediation Support</t>
  </si>
  <si>
    <t>PDTEAM428</t>
  </si>
  <si>
    <t xml:space="preserve">STET DXR System V&amp;V </t>
  </si>
  <si>
    <t>PDTEAM426</t>
  </si>
  <si>
    <t>STET DXR HW LCM - Image Chain</t>
  </si>
  <si>
    <t>Kundan Kumar</t>
  </si>
  <si>
    <t>Sachin Patil</t>
  </si>
  <si>
    <t>PDTEAM524</t>
  </si>
  <si>
    <t>PCBA - SCOPO Controller Redesign</t>
  </si>
  <si>
    <t>PDTEAM425</t>
  </si>
  <si>
    <t>STET DXR HW LCM - CAD Support</t>
  </si>
  <si>
    <t>Vikas Karad</t>
  </si>
  <si>
    <t>Haragopal Putrevu v s m</t>
  </si>
  <si>
    <t>41025</t>
  </si>
  <si>
    <t>Cairo EU / EE assy sourcing savings</t>
  </si>
  <si>
    <t>DCR#20838</t>
  </si>
  <si>
    <t xml:space="preserve">Add a VGA cable fixing device </t>
  </si>
  <si>
    <t>DCR 20737</t>
  </si>
  <si>
    <t>Merge the UDI label and the manufacturer label on the outer box</t>
  </si>
  <si>
    <t>41281</t>
  </si>
  <si>
    <t>DS1 and DS2 Localization - Priority 1</t>
  </si>
  <si>
    <t>38924</t>
  </si>
  <si>
    <t>S&amp;RC SOC 5L inorganic</t>
  </si>
  <si>
    <t>41709</t>
  </si>
  <si>
    <t>DS2 Localization - Priority 2</t>
  </si>
  <si>
    <t>DCR 20876</t>
  </si>
  <si>
    <t>Add a VGA cable fixing device Change the Expected service life of T900 series non-invasive ventilators from "5 years" to "10 years"</t>
  </si>
  <si>
    <t>DCR 20988</t>
  </si>
  <si>
    <t>OG5 Instructional Video LBL release</t>
  </si>
  <si>
    <t>DCR#13696</t>
  </si>
  <si>
    <t xml:space="preserve">Design Transfer of 1074880 BATTERY ASSEMBLY,E2 </t>
  </si>
  <si>
    <t>39474</t>
  </si>
  <si>
    <t>Marvel_C5-1, L12-3MVT Cable - Enable Sumitomo Vietnam factory</t>
  </si>
  <si>
    <t>DCR 21073</t>
  </si>
  <si>
    <t>Oxygenate 5 Filter CSS Corrections suggested by Warehousing and Ordering team</t>
  </si>
  <si>
    <t>Prashant Aher</t>
  </si>
  <si>
    <t>Infinity</t>
  </si>
  <si>
    <t>Project Infinity</t>
  </si>
  <si>
    <t>Sanjay Jambhale</t>
  </si>
  <si>
    <t>LCMGBSupport</t>
  </si>
  <si>
    <t>LCM shaving and grooming general support</t>
  </si>
  <si>
    <t>Phoenix 2.0</t>
  </si>
  <si>
    <t>Metal forming</t>
  </si>
  <si>
    <t>Rohit Rravasaheb Patil</t>
  </si>
  <si>
    <t>Saffron</t>
  </si>
  <si>
    <t>Project Saffron</t>
  </si>
  <si>
    <t>CR234283</t>
  </si>
  <si>
    <t>Controlled Molding Dome Transfer Project</t>
  </si>
  <si>
    <t>DCR 20760</t>
  </si>
  <si>
    <t>RICR Paper Products - Grupo Vargas  Sourcing Paper in China</t>
  </si>
  <si>
    <t>CR233724</t>
  </si>
  <si>
    <t>Controlled Molding Doppler Transfer Project</t>
  </si>
  <si>
    <t>DCR 14088</t>
  </si>
  <si>
    <t>AF541 Flapper Auto De-molding</t>
  </si>
  <si>
    <t>Nishant</t>
  </si>
  <si>
    <t>IPL_T&amp;V_2</t>
  </si>
  <si>
    <t>Homogeneity and Spectrum Improvement</t>
  </si>
  <si>
    <t>Personal health</t>
  </si>
  <si>
    <t>IPL_T&amp;V_4</t>
  </si>
  <si>
    <t>GMY Lifetime (V) TBD EME</t>
  </si>
  <si>
    <t>39915</t>
  </si>
  <si>
    <t>Sunstone - Beauty Box 2nd source</t>
  </si>
  <si>
    <t>33874</t>
  </si>
  <si>
    <t>Sunstone - Fan 2nd source</t>
  </si>
  <si>
    <t>33632</t>
  </si>
  <si>
    <t>Sunstone - Adaptor 2nd source - Iskra+PZH</t>
  </si>
  <si>
    <t>40662</t>
  </si>
  <si>
    <t>Sunstone Trigger Button and attachment PCBA Dual Source</t>
  </si>
  <si>
    <t>G&amp;B LCM 1Grooming</t>
  </si>
  <si>
    <t>G&amp;B LCM Shaving</t>
  </si>
  <si>
    <t>PJ-040684</t>
  </si>
  <si>
    <t>G&amp;B LCM Femdep</t>
  </si>
  <si>
    <t>PJ-041001</t>
  </si>
  <si>
    <t>G&amp;B LCM IPL</t>
  </si>
  <si>
    <t>PJ-040682</t>
  </si>
  <si>
    <t>PJ-040683</t>
  </si>
  <si>
    <t>Chetan Ghagre</t>
  </si>
  <si>
    <t>OHC_Training-2</t>
  </si>
  <si>
    <t>Manoj Kundal</t>
  </si>
  <si>
    <t>Saurabh Agarwal</t>
  </si>
  <si>
    <t>Kamesh Surgoniwar</t>
  </si>
  <si>
    <t>CR203988-2</t>
  </si>
  <si>
    <t>2.5W USA-A AC Adapter Development (Vietnam)</t>
  </si>
  <si>
    <t>Mrunali Prathamesh Naugan</t>
  </si>
  <si>
    <t>CR228316</t>
  </si>
  <si>
    <t>PTB VS, PIE Charger Non-Compliance Mitigation (Antimony Oxide)</t>
  </si>
  <si>
    <t>CR238628</t>
  </si>
  <si>
    <t>Wimbledon Non-HRE Magnet-Sanhuan Magsound</t>
  </si>
  <si>
    <t>Saurabh khedkar</t>
  </si>
  <si>
    <t>Pranav Kshirsagar</t>
  </si>
  <si>
    <t>CR199557</t>
  </si>
  <si>
    <t>Ontario RFiD Ring assembly line utilization improvement</t>
  </si>
  <si>
    <t>Sanket Pawar</t>
  </si>
  <si>
    <t>DCR#14019</t>
  </si>
  <si>
    <t>Sealing solution for SimplyGo Mini Sieve</t>
  </si>
  <si>
    <t>DCR#20308</t>
  </si>
  <si>
    <t>Design Change for 1047905 - MMV, Oxygen Input Quick Connect, Bod</t>
  </si>
  <si>
    <t>DCR#20562</t>
  </si>
  <si>
    <t xml:space="preserve">Steve
</t>
  </si>
  <si>
    <t>Shelf-life identification of Sieve can RP kit for SGM &amp; SG and adding use by date on kits.</t>
  </si>
  <si>
    <t>DCR#14082</t>
  </si>
  <si>
    <t>Create 3D drawing and replacement tool for PN310001 (O2 Enrichment Attachment)</t>
  </si>
  <si>
    <t>DCR#20643</t>
  </si>
  <si>
    <t>Release 1134428 v09 - Evo Travel Bag</t>
  </si>
  <si>
    <t>DCR#20183</t>
  </si>
  <si>
    <t>Re-Source DS/DS2 DC Cable to New Supplier ( PN 1120818 &amp; 1001370)</t>
  </si>
  <si>
    <t>US_TRANS_LCM0001</t>
  </si>
  <si>
    <t>US_TRANS_LCM</t>
  </si>
  <si>
    <t>DCR#20741</t>
  </si>
  <si>
    <t>Update/create new labeling for PN 1134430 &amp; PN 1127990</t>
  </si>
  <si>
    <t>Krishna Prasad</t>
  </si>
  <si>
    <t>DCR#14599</t>
  </si>
  <si>
    <t>New Source for 1019689 - SGM Cannula Barb</t>
  </si>
  <si>
    <t>DCR#20569</t>
  </si>
  <si>
    <t>Change "Remaining Shelf Life" in doc 1102136 for PN 1134430 &amp; PN 112799</t>
  </si>
  <si>
    <t>Snehal Radhakrishnan</t>
  </si>
  <si>
    <t>CR116508</t>
  </si>
  <si>
    <t>Cairo non-charging &amp; Charging travel case for the Cairo 1 &amp; 2 propositions</t>
  </si>
  <si>
    <t>RfS 276038</t>
  </si>
  <si>
    <t>Wee Thumbie-RSZ factory relocation</t>
  </si>
  <si>
    <t>MCC</t>
  </si>
  <si>
    <t>RfS 275490</t>
  </si>
  <si>
    <t>RM2025: Soothie Heart Blister 1P Pink and Blue to Brazil</t>
  </si>
  <si>
    <t>RfS 278140</t>
  </si>
  <si>
    <t>RM2026: Extension of SCD838/30 to CEE</t>
  </si>
  <si>
    <t>RfS 278715</t>
  </si>
  <si>
    <t xml:space="preserve">Kepler - Sabic PBT supply from EU plant to Singapore plant
</t>
  </si>
  <si>
    <t>RfS 278544</t>
  </si>
  <si>
    <t>REG MEM  AMB554-25067- EU Food Contact Material Regulation amendment | IF</t>
  </si>
  <si>
    <t>RfS-MCC-0251</t>
  </si>
  <si>
    <t>RfS-MCC-0036</t>
  </si>
  <si>
    <t>Vera Russia Registration and Launch</t>
  </si>
  <si>
    <t>Chaitanya Modak</t>
  </si>
  <si>
    <t>RfS-MCC-0008</t>
  </si>
  <si>
    <t>Align Pallet MOQ SDL/BTM</t>
  </si>
  <si>
    <t>42246</t>
  </si>
  <si>
    <t>teckwah Gemba walk - Changing F-Box/Inserts/Tray sleeve paper from SBS paper to GC1.</t>
  </si>
  <si>
    <t>RfS 275680</t>
  </si>
  <si>
    <t>#1 Bottle brand claim removal &amp; Glass call out enhancement</t>
  </si>
  <si>
    <t>RfS 278076</t>
  </si>
  <si>
    <t>RM 2026: Natural Response Mix &amp; Match Teat Pack - Greater China Roll-out</t>
  </si>
  <si>
    <t>RfS 278773</t>
  </si>
  <si>
    <t>REGMEM  AMB 554-26014 - India Plastic Packaging Waste Management (Amendment) Rules, 2025 | IF</t>
  </si>
  <si>
    <t>RfS 278772</t>
  </si>
  <si>
    <t>REGMEM  AMB 554-26014 - India Plastic Packaging Waste Management (Amendment) Rules, 2025 | TD</t>
  </si>
  <si>
    <t>RFS-278536</t>
  </si>
  <si>
    <t>Update Daisy EBP Type Plates</t>
  </si>
  <si>
    <t>RfS 272329</t>
  </si>
  <si>
    <t>Paper based packaging for Smart Parenting portfolio - Bamboo 2.0 baby care set</t>
  </si>
  <si>
    <t>RfS 277476</t>
  </si>
  <si>
    <t xml:space="preserve">Bamboo 2.0 WEU SKUs consolidation </t>
  </si>
  <si>
    <t>RfS 278242</t>
  </si>
  <si>
    <t>HF SKUs Phase Out in CEE &amp; ID</t>
  </si>
  <si>
    <t>Netherlands</t>
  </si>
  <si>
    <t>HPM_L&amp;A</t>
  </si>
  <si>
    <t>MCC_L&amp;A</t>
  </si>
  <si>
    <t>PJ-028049</t>
  </si>
  <si>
    <t>IPL MLD/LCM - High End Technical</t>
  </si>
  <si>
    <t>Dinesh G</t>
  </si>
  <si>
    <t>PDTEAM414</t>
  </si>
  <si>
    <t>PCBA Health MR Coils</t>
  </si>
  <si>
    <t>PDTEAM419</t>
  </si>
  <si>
    <t>PCBA Health IGTMOS</t>
  </si>
  <si>
    <t>Reddy, GangireddyGuruMahesh</t>
  </si>
  <si>
    <t>PCBA Component Life Cycle Analysis</t>
  </si>
  <si>
    <t>36931</t>
  </si>
  <si>
    <t>PCBA Refresh - 459801206854 - 459800659469 - Tilting Module VS2 - White</t>
  </si>
  <si>
    <t>OHC MCC Support</t>
  </si>
  <si>
    <t>CR222922</t>
  </si>
  <si>
    <t>ODM VS Labelling REGMEM AMB554 24074 Korea Phase 1</t>
  </si>
  <si>
    <t>Kapileshwar Patil</t>
  </si>
  <si>
    <t xml:space="preserve">Saravanakumar Palani </t>
  </si>
  <si>
    <t>41567</t>
  </si>
  <si>
    <t>Tooling - New Dual RFID Mold</t>
  </si>
  <si>
    <t>41566</t>
  </si>
  <si>
    <t>Tooling - New Shaft Guide Mold</t>
  </si>
  <si>
    <t>35284</t>
  </si>
  <si>
    <t>Omniwire dual sourcing- Grinding</t>
  </si>
  <si>
    <t>33875</t>
  </si>
  <si>
    <t>Sunstone - PCBAs 2nd source + alternative EE</t>
  </si>
  <si>
    <t>PCBA Refresh Analysis</t>
  </si>
  <si>
    <t>GBLCM5</t>
  </si>
  <si>
    <t>Windchill CR Support</t>
  </si>
  <si>
    <t>39863</t>
  </si>
  <si>
    <t>VDL ETG C-arc transfer from Netherlands to Suzhou</t>
  </si>
  <si>
    <t>35702</t>
  </si>
  <si>
    <t>Pushkar Kulkarni</t>
  </si>
  <si>
    <t>STET : Transfer of C-ARC Geometry from VDL to Raychem</t>
  </si>
  <si>
    <t>27192</t>
  </si>
  <si>
    <t>STET:Project Vayu - Cluster 2 (TH-S Table)</t>
  </si>
  <si>
    <t>PDTEAM432</t>
  </si>
  <si>
    <t>STET DXR Synchronization</t>
  </si>
  <si>
    <t>Anisha Kar</t>
  </si>
  <si>
    <t>Alisha Nair</t>
  </si>
  <si>
    <t>SRC_Training-1</t>
  </si>
  <si>
    <t>Swarna M</t>
  </si>
  <si>
    <t>RfS 272174</t>
  </si>
  <si>
    <t>Update Breast pads labelling</t>
  </si>
  <si>
    <t>RfS 277429</t>
  </si>
  <si>
    <t>AMB 554-25031 China - New AC Plug type requirements | BF</t>
  </si>
  <si>
    <t>MCC_Long Leave</t>
  </si>
  <si>
    <t>SICR20230614001B</t>
  </si>
  <si>
    <t>SICR20230614001B_Legal name change_Confluent Medic</t>
  </si>
  <si>
    <t>US_HPM</t>
  </si>
  <si>
    <t>HPM_Shared_Resouce Pool_Mgr</t>
  </si>
  <si>
    <t>US_SRC</t>
  </si>
  <si>
    <t>SRC_Shared_Resouce Pool_Mgr</t>
  </si>
  <si>
    <t>US_US</t>
  </si>
  <si>
    <t>US_Shared_Resouce Pool_Mgr</t>
  </si>
  <si>
    <t>PDTEAM427</t>
  </si>
  <si>
    <t>STET DXR System LCM</t>
  </si>
  <si>
    <t>Prasad Kadam</t>
  </si>
  <si>
    <t>PDTEAM431</t>
  </si>
  <si>
    <t>STET DXR Configuartion Support</t>
  </si>
  <si>
    <t>PDTEAM429</t>
  </si>
  <si>
    <t>STET DXR MCOS &amp; CoNQ</t>
  </si>
  <si>
    <t>28153</t>
  </si>
  <si>
    <t>Monitor CS for 1 Monitor (Eth) Cost out version</t>
  </si>
  <si>
    <t>PDTEAM433</t>
  </si>
  <si>
    <t>STET DXR NPI Support</t>
  </si>
  <si>
    <t>Rutuja Navale</t>
  </si>
  <si>
    <t>Chandrashekhar Awati</t>
  </si>
  <si>
    <t>SRC_SUST1</t>
  </si>
  <si>
    <t>SRC-Sustaining &amp; Productivity</t>
  </si>
  <si>
    <t>XDCR_Funnel</t>
  </si>
  <si>
    <t>DXR_Training-1</t>
  </si>
  <si>
    <t>Kirti Thale</t>
  </si>
  <si>
    <t>Bokelman</t>
  </si>
  <si>
    <t>Amir Modi</t>
  </si>
  <si>
    <t>Pritam Kumar Polekar</t>
  </si>
  <si>
    <t>Sampreeta Desai</t>
  </si>
  <si>
    <t>IGT-S_Training-1</t>
  </si>
  <si>
    <t>Vibhavari Shirke</t>
  </si>
  <si>
    <t>Sangita Soman</t>
  </si>
  <si>
    <t>Krunal Pandurang Kene</t>
  </si>
  <si>
    <t>Pradnya Shirgawe</t>
  </si>
  <si>
    <t>Vijay Chaudhari</t>
  </si>
  <si>
    <t>Alternate Housing supplier (Tier 2) for all cable suppliers</t>
  </si>
  <si>
    <t>DCR#20325</t>
  </si>
  <si>
    <t>Lift and Shift Trilogy Evo Blower Design and Production to Alternate Supplier</t>
  </si>
  <si>
    <t>US-Trans_Funnel Activities</t>
  </si>
  <si>
    <t>SRC_Funnel Activities</t>
  </si>
  <si>
    <t>HT15 Heated tube transfer</t>
  </si>
  <si>
    <t>XICE Backing</t>
  </si>
  <si>
    <t xml:space="preserve">CR242894 </t>
  </si>
  <si>
    <t>Die-cut graphite</t>
  </si>
  <si>
    <t>MR H32 Coil Tuning - Phase-1</t>
  </si>
  <si>
    <t>STET: Putuo interface Heatsink machining to sheet metal</t>
  </si>
  <si>
    <t>Gust - MISC R&amp;D Directed Work</t>
  </si>
  <si>
    <t>MR Suzhou Loulan GA in Falcon comparing to AG700 replace ID 21360</t>
  </si>
  <si>
    <t>Localize MIDDLE BAR with Hontech</t>
  </si>
  <si>
    <t>STET: Multiva FRU coils foaming localization</t>
  </si>
  <si>
    <t>Maxwell project - new added machining parts ACM to local supplier Turnxon</t>
  </si>
  <si>
    <t>Alternative supplier for the headset/nurse call connector (chasis)</t>
  </si>
  <si>
    <t>STET:QCH change source from Telerex to Jonhon - MR Coil Workstream - (QCH)</t>
  </si>
  <si>
    <t>MISC. SICR Support</t>
  </si>
  <si>
    <t>Hardware localization from GNV supplier base to india supplier base</t>
  </si>
  <si>
    <t>SCR Data Modul 2159.0034 Due to the fact that one main component of the POS Systems is end of life</t>
  </si>
  <si>
    <t>Part Obsolescence/ Availibility- Volex De Mexico</t>
  </si>
  <si>
    <t>Material Obsolescence- Volex De Mexico</t>
  </si>
  <si>
    <t>MR H32 Coil Tuning - Phase-2</t>
  </si>
  <si>
    <t>PCBA refresh - 459801642442 - 452211798189- RXE4 1.5T V5.4</t>
  </si>
  <si>
    <t>PCBA Refresh - 300006630641 - 452211798309 - PFEI-1.5T-WA-IRF</t>
  </si>
  <si>
    <t>PCBA Refresh - 989603027201 - 459800450362 - IGCI2</t>
  </si>
  <si>
    <t>PCBA Refresh - 453530216171 – PCB ASSY, MICRO2 PRE-AMP, ESD MMCX 3T</t>
  </si>
  <si>
    <t>iTCI Integration with RFA3T - MR Amplifier Workstream - (LDRFA + iTCI)</t>
  </si>
  <si>
    <t>Prodiva table EOL CR</t>
  </si>
  <si>
    <t>IGM-Pogo Pin connector</t>
  </si>
  <si>
    <t>Billy-Gust project</t>
  </si>
  <si>
    <t>Torso coil Job work localization from Creative Foam to Indica Indu.</t>
  </si>
  <si>
    <t>STET : Mid Atlantic supply chain risk mitigation (T-1 &amp; T-2)</t>
  </si>
  <si>
    <t>Arctronics De-risking to SFO for Small Extremity coils family</t>
  </si>
  <si>
    <t>Arctronics De-risking to SFO for Head coils family</t>
  </si>
  <si>
    <t>Arctronics De-risking to SFO for Flex coils family</t>
  </si>
  <si>
    <t>Jabil Exit</t>
  </si>
  <si>
    <t>All - Ottenweller Phase 3 Project - RIO Rollups-4 parts</t>
  </si>
  <si>
    <t>H321 Standardized crate for airfreight of 1.5T/3T magnets with re-use for transporting systems to customer</t>
  </si>
  <si>
    <t>Maxwell Support</t>
  </si>
  <si>
    <t>Dual source qualification of 4K Coldhead for Latham</t>
  </si>
  <si>
    <t>De-risk Sealed SC- Chamberlain</t>
  </si>
  <si>
    <t>RIO Center Ring</t>
  </si>
  <si>
    <t>RIO-STET-Helium Tubes &amp; Caps Dual Source</t>
  </si>
  <si>
    <t>STET-RIO-LOW COST 40K TEMPERATURE SENSOR</t>
  </si>
  <si>
    <t>All-STET-4K Coil Form Rings Second Source</t>
  </si>
  <si>
    <t>Rio - resource burst disk weldment 459800779172</t>
  </si>
  <si>
    <t>STET-Rio-Watteredge to TCM</t>
  </si>
  <si>
    <t>STET - Dual source-RIO main bar - IMESA (3 piece)</t>
  </si>
  <si>
    <t>DXC transfer to  CPI</t>
  </si>
  <si>
    <t>RIO 4K rollup and end plates</t>
  </si>
  <si>
    <t>VV-00979 Modify RIO Movers to have front tugger wheels</t>
  </si>
  <si>
    <t>VV-01008 RIO Top Plate holding fixture</t>
  </si>
  <si>
    <t>RIO Mover conveyance solution</t>
  </si>
  <si>
    <t>Implement fully electronic MES data collect for RIO DHR’s to reduce NCMR’s</t>
  </si>
  <si>
    <t xml:space="preserve">Revise RIO Bimetal leak Rate specification </t>
  </si>
  <si>
    <t>RIO flexible hose - dual sourcing</t>
  </si>
  <si>
    <t>Coliform Machining Outsourcing</t>
  </si>
  <si>
    <t>Regionalization cover for Ambition &amp; Edition</t>
  </si>
  <si>
    <t>Localize cabinet and cables of DACC (1.5T&amp; 3T)during transferring to Suzhou Plant for L4L market</t>
  </si>
  <si>
    <t>Shield Fence of RF Assy Redesign</t>
  </si>
  <si>
    <t>STET:Qin Ling_Driver mechanical box cost down</t>
  </si>
  <si>
    <t>Seaway Plastic 16 parts localization to SMIIEL (MOTHERSON GROUP)</t>
  </si>
  <si>
    <t>STET:FASTNERS RoHS compliance and localization to India</t>
  </si>
  <si>
    <t>Lifting lug replacement</t>
  </si>
  <si>
    <t>Accelerated Epoxy Curing</t>
  </si>
  <si>
    <t>Vega-3T Sealed R&amp;D</t>
  </si>
  <si>
    <t>AD-Breast Screening Simulations</t>
  </si>
  <si>
    <t xml:space="preserve">Paper Roll holder (MLD) </t>
  </si>
  <si>
    <t>STET : Shift to Sea freight with controlled</t>
  </si>
  <si>
    <t>Midwest tool transfer &amp; localization at LLS</t>
  </si>
  <si>
    <t>Localization of IFU &amp; Labels (Wave 4 onwards</t>
  </si>
  <si>
    <t>Change resin material from Lexan 950A 8M8D063 to Lexan 950 8M8D063
Availability/shortage of Lexan 950A 8M8D063</t>
  </si>
  <si>
    <t>Change of resin current resin is being discontinued. The current resin is Celcon M25. Celcon M25 is the resin the POM (Polyoxymethylene and Polyacetal) is made of. Celcon M25 is no longer available.  There are several plastics available, TECAFORM AH natural was their proposal. However, the supplier is also happy to check the availability of other plastics. Bauer is forced to change the material, as the current material (Celcon M25) is no longer available. Current resin is being discontinued. Supplier Baur broke contract and did not inform SteriPack within 6 months of the discontinued resin per supplier change control.</t>
  </si>
  <si>
    <t xml:space="preserve">Seaway Plastics Engineering, LLC.
Material Obsolescence/Availibility issue
</t>
  </si>
  <si>
    <t>Factory Sustaining Projects ( E&amp;O and QN's)</t>
  </si>
  <si>
    <t>Leadership &amp; Admin (PD-MR)</t>
  </si>
  <si>
    <t>Harmonizing the Sabic resins with Covestro for all the impacted coil parts with multiple suppliers.</t>
  </si>
  <si>
    <t>XXXXX : MR LCM Support</t>
  </si>
  <si>
    <t>Release Train-2.
SCC EoL &amp; 9 CQ's</t>
  </si>
  <si>
    <t>MR00237464 / MR00236113: Plan to introduce successor FPGA, PROM and COTS item</t>
  </si>
  <si>
    <t>PLC extension -2 redesign</t>
  </si>
  <si>
    <t>Add "do not stock" label</t>
  </si>
  <si>
    <t xml:space="preserve"> POS Systems </t>
  </si>
  <si>
    <t>DACC Bracket for cables</t>
  </si>
  <si>
    <t>SCR Rhenus Contract Logistics pack item 4598-016-93941 Phantom set completely in carton and check if item has less than  40%</t>
  </si>
  <si>
    <t>Stop&amp;Go Portal is not locked because the sliding cover gets stuck.</t>
  </si>
  <si>
    <t>HFO Coils EOL - LTB Stockout</t>
  </si>
  <si>
    <t>Remove UMNL bracket from ringframe for Elition, ambition</t>
  </si>
  <si>
    <t>AIBO-AM3 Redesign</t>
  </si>
  <si>
    <t>Emergency telephone number not mandatory for UN Liba for UN 3480/UN3481/UN3090/UN3091 - Labels needs to be updated</t>
  </si>
  <si>
    <t>Tolerances of gradient fixtures are missing</t>
  </si>
  <si>
    <t>Localized system and packaging labels for Mexico for R11 Systems</t>
  </si>
  <si>
    <t>Localized system and packaging labels for Kazakhstan for R11</t>
  </si>
  <si>
    <t>459800095181 no packaging prescribed</t>
  </si>
  <si>
    <t>SICR20230427022B1-VDL Wientjes-C-22-49-5356 GHS labelling of (hazardous) liquids-MR-Best</t>
  </si>
  <si>
    <t>ECI-Plexus Supplier De-Risking Project</t>
  </si>
  <si>
    <t>452213156382, FE speaker MR R6.2: new location WARNING KEEP AWAY FROM MAGNET LABEL on speaker</t>
  </si>
  <si>
    <t>Obsolete parts, Need Replacements</t>
  </si>
  <si>
    <t>packaging cables not consistent</t>
  </si>
  <si>
    <t>Changes in the labelling of the Ambition/sealed Magnets</t>
  </si>
  <si>
    <t>Wireless BTU and charger need to comply with China standard GB31241-2022</t>
  </si>
  <si>
    <t>Passive Plus 1111P1R5BP501X was added to ARC Tronics AVL per Invivo Engineering (Oscar Real) on 03-Mar-2010 but never added to Philips (Invivo) AVL.  Purchased and stocked since 09-Apr-2010 with on-hand stock currently available and open purchase orders to be received.  Preferred supplier due to pricing and delivery.</t>
  </si>
  <si>
    <t>SICR20230623003B - NEFAB - Replacement of PUR-materials in Philips-packaging</t>
  </si>
  <si>
    <t>MR Cabinets &amp; Cabling LCE</t>
  </si>
  <si>
    <t xml:space="preserve">Too many incorrect technical room temperature readings (Clone of MR00235694)
</t>
  </si>
  <si>
    <t>Connection between MDD and MED: bolt does not even protrude the nut in some case</t>
  </si>
  <si>
    <t>[Urgent] SICR20230608011C-NEFAB-Outer box 452200049441 EOL</t>
  </si>
  <si>
    <t>SICR20230822008B-JABIL-SCRMPUR20230822-01 Seiko 1300 ink change to Seiko 1000E</t>
  </si>
  <si>
    <t xml:space="preserve">CR: Update service procedures to perform ERDU off field test each time magnet is off field
</t>
  </si>
  <si>
    <t>No torque values defined to tightened the power cables in MIU-II and uMDU-II</t>
  </si>
  <si>
    <t>Torque  CR193883</t>
  </si>
  <si>
    <t>SICR20231030011B-Neways NAA-Add visual requirements for repairs</t>
  </si>
  <si>
    <t>M4 plain washer too small</t>
  </si>
  <si>
    <t>DMR of 452215039181 + THERMAL CONDUCTIVE ADHESIVE TCR75S is not correct</t>
  </si>
  <si>
    <t>SICR20231215018B-Tesla-New packaging design</t>
  </si>
  <si>
    <t>Add PE Bag into Magnet Pre-assembling Packaging BOM which is defined by DMR</t>
  </si>
  <si>
    <t xml:space="preserve"> Sharp Body coil carrier resulting in damaging pickup cable</t>
  </si>
  <si>
    <t>Cable tie SICR_Fabory_Temp. sol</t>
  </si>
  <si>
    <t>Cable tie SICR_Fabory_Perm. sol</t>
  </si>
  <si>
    <t>HFO Coil component EOL - Switch support 451000045632</t>
  </si>
  <si>
    <t>Broadwater covers damage during transportation for 989603031133</t>
  </si>
  <si>
    <t>SICR20240315007C1-D001628639-Wurth-EOL CABLE TIE Panduit SST1M-M</t>
  </si>
  <si>
    <t>Packaging instruction is missing for CHILD ELEVATION MATTRESS</t>
  </si>
  <si>
    <t>MR00346105_E85677: IMT Table posterior coil rubbing cover causing IQ issues and scan aborts</t>
  </si>
  <si>
    <t>Box too big</t>
  </si>
  <si>
    <t>MR00346797_SICR20240404003B1-D001643142-Inno-Change production method</t>
  </si>
  <si>
    <t>MR00346864, SICR20240411011B-D001649484-VERSCHUREN INTERIEURBOUW B.V-Change of supplier of the wheels of the FlexCadd</t>
  </si>
  <si>
    <t>Ambition, MR 5300 , Elition L4L Backend packaging optimization</t>
  </si>
  <si>
    <t>MR00347917- SICR20240514007B1-D001681814-Inno-Deviation Gaskets and isolation rings</t>
  </si>
  <si>
    <t>SICR20240509008B1-D001679413-Schmuhl Faserverbundtechnik-Sub supplier name change</t>
  </si>
  <si>
    <t>[LTB Possible - Connect with Supplier] SICR20230925013B1-Leidel &amp; Kracht-EOL Velcro</t>
  </si>
  <si>
    <t>FRU SBM2-Jabil is using different packaging than present in DMR shared through PDP172515</t>
  </si>
  <si>
    <t>ICR20230103004B-VOLEX-VP2023-001 Fixing of broken braid of cable assembly</t>
  </si>
  <si>
    <t>SICR20240528009C2-D001699187-GIS EUROPE SE-Packaging update ARALDITE® 2018 in 200ml cartridges</t>
  </si>
  <si>
    <t>Clone of MR00348731: To implement the permanent solution</t>
  </si>
  <si>
    <t xml:space="preserve">PCBA DMR UPDATRE: The note 10 related to Loctite material work instruction to be updated as per the DTS. </t>
  </si>
  <si>
    <t>3 metres stacking test required forLithium  batteries packed with equipment &amp; packed inside equipment  UN 3481 &amp; UN 3091</t>
  </si>
  <si>
    <t>Arctronics Magnetism approval for eeprom</t>
  </si>
  <si>
    <t>Update MPN with respect to temperature coefficient abbrevation as per changes made by Manufacturer.</t>
  </si>
  <si>
    <t>Arctronics Magnetic approval</t>
  </si>
  <si>
    <t>Time Interconnect - Check for the Alternate suggested for replacement with respect to long lead time and EOL</t>
  </si>
  <si>
    <t xml:space="preserve">changing from the legacy "E" termination (Pt/Pd/Ag thick film) to the "R" termination (Sn over Ni over Ag base metal). </t>
  </si>
  <si>
    <t>Additional SMT Line Qualification.</t>
  </si>
  <si>
    <t>In Philips GBS, we have modified FAC (IVC0267-F010) and FAC R (IVC0267-F011) fixture as per Philips suggestion.</t>
  </si>
  <si>
    <t>Seaway plastics parts localization</t>
  </si>
  <si>
    <t>Projects/Others</t>
  </si>
  <si>
    <t>Allocation Status</t>
  </si>
  <si>
    <t>Status</t>
  </si>
  <si>
    <t>Not Available</t>
  </si>
  <si>
    <t>Not Avaialble</t>
  </si>
  <si>
    <t>A, Charles Benny</t>
  </si>
  <si>
    <t>Projects</t>
  </si>
  <si>
    <t>Zero Allocation</t>
  </si>
  <si>
    <t>Active</t>
  </si>
  <si>
    <t>Allocated</t>
  </si>
  <si>
    <t>Offer Accepted</t>
  </si>
  <si>
    <t>On Board</t>
  </si>
  <si>
    <t xml:space="preserve">Resigned </t>
  </si>
  <si>
    <t>Others</t>
  </si>
  <si>
    <t>Ananya Sharma</t>
  </si>
  <si>
    <t>Ashish Jadhav</t>
  </si>
  <si>
    <t>Balasangeetha S M</t>
  </si>
  <si>
    <t>Chaitanya Salve</t>
  </si>
  <si>
    <t>Gitimeya Behera</t>
  </si>
  <si>
    <t>Kapil Bagul</t>
  </si>
  <si>
    <t>Kathir Rajalingam</t>
  </si>
  <si>
    <t>Narendrasing Patil</t>
  </si>
  <si>
    <t>Nisha Chauhan</t>
  </si>
  <si>
    <t>Parth Madnurkar</t>
  </si>
  <si>
    <t>Payal Dighe</t>
  </si>
  <si>
    <t>Pourush Patil</t>
  </si>
  <si>
    <t>Pranjali Thorat</t>
  </si>
  <si>
    <t>Pritha K</t>
  </si>
  <si>
    <t>Rajaram K</t>
  </si>
  <si>
    <t>in-Active</t>
  </si>
  <si>
    <t>Rupali Kaur</t>
  </si>
  <si>
    <t xml:space="preserve">STET MR LCE Therapy Electrical </t>
  </si>
  <si>
    <t>Shraddha Kudale</t>
  </si>
  <si>
    <t>Shradha Deshmukh</t>
  </si>
  <si>
    <t>(All)</t>
  </si>
  <si>
    <t xml:space="preserve">Tim </t>
  </si>
  <si>
    <t>Ajay Singh</t>
  </si>
  <si>
    <t>Alec Benton</t>
  </si>
  <si>
    <t>Anjan Puttu Naik</t>
  </si>
  <si>
    <t>Ankush Chandak</t>
  </si>
  <si>
    <t>Ashvini Shantaram Londhe</t>
  </si>
  <si>
    <t>Deepak Jangid</t>
  </si>
  <si>
    <t>Dhanashree Vishawasrao</t>
  </si>
  <si>
    <t>Ganesh Mathur</t>
  </si>
  <si>
    <t>Gowtham Balaji</t>
  </si>
  <si>
    <t>Haseed Ahmed</t>
  </si>
  <si>
    <t>Ishwarya Mariappan</t>
  </si>
  <si>
    <t>Kartik Shivaji Bhavale</t>
  </si>
  <si>
    <t>Kiran kumar Allaka</t>
  </si>
  <si>
    <t>Kishor Patra</t>
  </si>
  <si>
    <t>Krishnakumar Rangasamy</t>
  </si>
  <si>
    <t>Laxmikant Yaragudri</t>
  </si>
  <si>
    <t>Monish Kumar I</t>
  </si>
  <si>
    <t>Mrunal Darne</t>
  </si>
  <si>
    <t>Naved Syed</t>
  </si>
  <si>
    <t>Neha Tharwal</t>
  </si>
  <si>
    <t>Nikhil Jangid</t>
  </si>
  <si>
    <t>Paraschiv Boier</t>
  </si>
  <si>
    <t>Poornima N</t>
  </si>
  <si>
    <t>Pradip Bansode</t>
  </si>
  <si>
    <t>Rajakumaran R</t>
  </si>
  <si>
    <t>Rakesh Bedse</t>
  </si>
  <si>
    <t>Rakesh Pidugu</t>
  </si>
  <si>
    <t>Ramesh Jalagam</t>
  </si>
  <si>
    <t>Rathnam Srichurnam</t>
  </si>
  <si>
    <t>Reenarani Panda</t>
  </si>
  <si>
    <t>Riddin Chackalackal</t>
  </si>
  <si>
    <t>Sachin Prabhat Chavan</t>
  </si>
  <si>
    <t>Sagar Pekhale</t>
  </si>
  <si>
    <t>Samatha Reddy</t>
  </si>
  <si>
    <t>Sampreet Arakeri</t>
  </si>
  <si>
    <t>Satish Karne</t>
  </si>
  <si>
    <t>Saurabh Uttarwa</t>
  </si>
  <si>
    <t>Shankar Murthy N</t>
  </si>
  <si>
    <t>Suraj Surve</t>
  </si>
  <si>
    <t>Swathi Shivaji Neemkar</t>
  </si>
  <si>
    <t>Tukaram Dahiphale</t>
  </si>
  <si>
    <t>Udit Joshi</t>
  </si>
  <si>
    <t>Vinayak Vilas Kulkarni</t>
  </si>
  <si>
    <t>Virgilio Arras Gutiérrez</t>
  </si>
  <si>
    <t>Vishal Hande</t>
  </si>
  <si>
    <t>Director</t>
  </si>
  <si>
    <t>Director's Name</t>
  </si>
  <si>
    <t>Requisition #</t>
  </si>
  <si>
    <t>Job Title</t>
  </si>
  <si>
    <t>Job Grade</t>
  </si>
  <si>
    <t>Country Location</t>
  </si>
  <si>
    <t>Job location</t>
  </si>
  <si>
    <t>Employee Name</t>
  </si>
  <si>
    <t>Diversity</t>
  </si>
  <si>
    <t>Start date</t>
  </si>
  <si>
    <t>Resigned Date</t>
  </si>
  <si>
    <t>Reporting Manager</t>
  </si>
  <si>
    <t>Comments</t>
  </si>
  <si>
    <t>Remark</t>
  </si>
  <si>
    <t>Director's Name2</t>
  </si>
  <si>
    <t>Director's Name3</t>
  </si>
  <si>
    <t>Jenkins</t>
  </si>
  <si>
    <t>System Architect-STET</t>
  </si>
  <si>
    <t>CG60</t>
  </si>
  <si>
    <t>Pune</t>
  </si>
  <si>
    <t>Male</t>
  </si>
  <si>
    <t>G&amp;B SPOC/ Sr. Engineering Manager</t>
  </si>
  <si>
    <t>CG80</t>
  </si>
  <si>
    <t>Bangalore</t>
  </si>
  <si>
    <t>Sr Electrical Designer</t>
  </si>
  <si>
    <t>CG50</t>
  </si>
  <si>
    <t>STET QPE Manager</t>
  </si>
  <si>
    <t>CG70</t>
  </si>
  <si>
    <t>Program Manager</t>
  </si>
  <si>
    <t>USA-Home Based</t>
  </si>
  <si>
    <t>Female</t>
  </si>
  <si>
    <t>System Lead</t>
  </si>
  <si>
    <t>Mechanical Engineer</t>
  </si>
  <si>
    <t>Suzhou</t>
  </si>
  <si>
    <t>Electrical Designer - STET</t>
  </si>
  <si>
    <t>Sr Manager</t>
  </si>
  <si>
    <t>Technical Project Manager</t>
  </si>
  <si>
    <t>Project Manager</t>
  </si>
  <si>
    <t>Sr Engineering Manager</t>
  </si>
  <si>
    <t>Engineering Manager</t>
  </si>
  <si>
    <t>Mechanical Architect - PDC Carts</t>
  </si>
  <si>
    <t xml:space="preserve">Advanced Electrical Engineer </t>
  </si>
  <si>
    <t>Senior Quality/Process Engineer</t>
  </si>
  <si>
    <t>Mexico- Home Based</t>
  </si>
  <si>
    <t>Mechanical Designer</t>
  </si>
  <si>
    <t>Sr Mechanical Architect - PDC Carts</t>
  </si>
  <si>
    <t>STET Senior QPE Manager</t>
  </si>
  <si>
    <t>Shanghai</t>
  </si>
  <si>
    <t>Electrical Engineering Manager</t>
  </si>
  <si>
    <t>Cleveland</t>
  </si>
  <si>
    <t>Mechanical Designer - STET</t>
  </si>
  <si>
    <t>Sr.Electrical Engineer</t>
  </si>
  <si>
    <t>Electrical Designer</t>
  </si>
  <si>
    <t>Electrical Designer - RF Coil - STET</t>
  </si>
  <si>
    <t>CG40</t>
  </si>
  <si>
    <t>STET Product Engineer</t>
  </si>
  <si>
    <t>Team Lead, HMI</t>
  </si>
  <si>
    <t>Team Lead, Embedded System</t>
  </si>
  <si>
    <t>Mechanical Architect – PDC Carts</t>
  </si>
  <si>
    <t>Senior Engineering Manager</t>
  </si>
  <si>
    <t>Mechanical Designer - Plastic</t>
  </si>
  <si>
    <t xml:space="preserve">Project Manager </t>
  </si>
  <si>
    <t>Sustaining Project Manager</t>
  </si>
  <si>
    <t>Drachten</t>
  </si>
  <si>
    <t>Quality/Process Engineer Manager</t>
  </si>
  <si>
    <t>Mechanical Designer Simulations</t>
  </si>
  <si>
    <t xml:space="preserve">Technical Project Manager </t>
  </si>
  <si>
    <t xml:space="preserve">Electrical Engineer </t>
  </si>
  <si>
    <t>Mechanical Engineer- Sheet metal/Castings-STET</t>
  </si>
  <si>
    <t>Mechanical Designer Packaging - STET</t>
  </si>
  <si>
    <t>Mechanical Designer- Packaging</t>
  </si>
  <si>
    <t>Electrical Designer -Analog &amp; Digital-STET</t>
  </si>
  <si>
    <t>Project Manager/ Lead Electrical Engineer</t>
  </si>
  <si>
    <t>Gurgaon</t>
  </si>
  <si>
    <t>Test Designer-STET</t>
  </si>
  <si>
    <t>Sr Product Quality Engineer</t>
  </si>
  <si>
    <t>Mechanical Design &amp; Drafting</t>
  </si>
  <si>
    <t>Latham</t>
  </si>
  <si>
    <t>Packaging and Label Designer</t>
  </si>
  <si>
    <t>Mechanical desiger-Packaging-STET</t>
  </si>
  <si>
    <t>Development Lead</t>
  </si>
  <si>
    <t>Mechanical Engineer -Plastics-STET</t>
  </si>
  <si>
    <t>Sr. Engineering Manager-Mechanical-STET</t>
  </si>
  <si>
    <t>Lead Electrical Engineer</t>
  </si>
  <si>
    <t>Mechanical System Designer-STET</t>
  </si>
  <si>
    <t>Change Anaylst-STET</t>
  </si>
  <si>
    <t>Sr. Engineering Manager</t>
  </si>
  <si>
    <t>Senior Quality/Process Engineer </t>
  </si>
  <si>
    <t>Quality/Process Engineer</t>
  </si>
  <si>
    <t>Senior Electrical Engineer- STET</t>
  </si>
  <si>
    <t>Associate Electrical Engineer</t>
  </si>
  <si>
    <t>Advanced Mechanical Engineer</t>
  </si>
  <si>
    <t>Engineering Manager-Mechanical-STET</t>
  </si>
  <si>
    <t>Electrical Designer-cables-STET</t>
  </si>
  <si>
    <t>Program manager</t>
  </si>
  <si>
    <t>Global Transfer leader-STET</t>
  </si>
  <si>
    <t>Best</t>
  </si>
  <si>
    <t>Electrical Designer- firmware(FPGA)-STET</t>
  </si>
  <si>
    <t>Technical Project Manager-STET</t>
  </si>
  <si>
    <t>Engineering Manager – Mechanical</t>
  </si>
  <si>
    <t>Mechanical Designer - QPL</t>
  </si>
  <si>
    <t>Lead System Designer-Simulation</t>
  </si>
  <si>
    <t>Mechanical Designer - Cables</t>
  </si>
  <si>
    <t xml:space="preserve">System Engineer </t>
  </si>
  <si>
    <t>Snehal Radhakrishan Kulkarni</t>
  </si>
  <si>
    <t>Mechanical Engineer - Plastics-STET</t>
  </si>
  <si>
    <t>Mechanical Designer-Simulation-STET</t>
  </si>
  <si>
    <t xml:space="preserve">Advanced Mechanical Engineer </t>
  </si>
  <si>
    <t>Electrical System designer-STET</t>
  </si>
  <si>
    <t>Sr Electrical Engineer-RF Coil</t>
  </si>
  <si>
    <t>System Designer</t>
  </si>
  <si>
    <t>Project Manager - QPE </t>
  </si>
  <si>
    <t>T&amp;V Architect</t>
  </si>
  <si>
    <t>Advanced Electrical Engineer</t>
  </si>
  <si>
    <t>HIC - STET - Electrical</t>
  </si>
  <si>
    <t>Sr Mechanical Engineer</t>
  </si>
  <si>
    <t>HIC - STET - Mechatronics</t>
  </si>
  <si>
    <t>HIC - STET Systems Engineering Mech</t>
  </si>
  <si>
    <t>Sr. Mechanical Engineer</t>
  </si>
  <si>
    <t>Lead Mechanical Engineer</t>
  </si>
  <si>
    <t>Associate Engineer Mechanical - STET</t>
  </si>
  <si>
    <t xml:space="preserve">Senior  Test Engineer </t>
  </si>
  <si>
    <t>Electrical Designer-STET</t>
  </si>
  <si>
    <t>Senior Electrical Designer-STET</t>
  </si>
  <si>
    <t>Techincal Project Manager-STET</t>
  </si>
  <si>
    <t>OHC SPOC/ Sr. Engineering Manager</t>
  </si>
  <si>
    <t>System Architect</t>
  </si>
  <si>
    <t>Sr Engg Mgr - ES</t>
  </si>
  <si>
    <t>Mechanical Designer - Plastics</t>
  </si>
  <si>
    <t>Sr. Electrical Engineer, Analog &amp; Digital</t>
  </si>
  <si>
    <t>Frimware Engr</t>
  </si>
  <si>
    <t>Product Industrialization Project Manager</t>
  </si>
  <si>
    <t>Firmware Engineer</t>
  </si>
  <si>
    <t>Sr. Electrical Engineer</t>
  </si>
  <si>
    <t>System Engineer</t>
  </si>
  <si>
    <t>Product Industrialization Engr</t>
  </si>
  <si>
    <t>Electrical Designer- Analog &amp; Digital</t>
  </si>
  <si>
    <t>STET Project Manager</t>
  </si>
  <si>
    <t>Sr Mechanical Engineer - Packaging- STET</t>
  </si>
  <si>
    <t>Mechanical Design Engineer - Packaging</t>
  </si>
  <si>
    <t>Technical PM</t>
  </si>
  <si>
    <t>Reedsville</t>
  </si>
  <si>
    <t>Mechanical designer</t>
  </si>
  <si>
    <t>Electrical Architect (Digital)</t>
  </si>
  <si>
    <t>Global Transfer Leader - STET</t>
  </si>
  <si>
    <t>System Designer (Mechanical)</t>
  </si>
  <si>
    <t>Senior Mechanical Engineer &amp; Program Manager</t>
  </si>
  <si>
    <t>Junior Project Manager</t>
  </si>
  <si>
    <t>CG30</t>
  </si>
  <si>
    <t>Hardware Electrical Leader</t>
  </si>
  <si>
    <t xml:space="preserve">Electrical Designer  </t>
  </si>
  <si>
    <t>Vinay Kumar B</t>
  </si>
  <si>
    <t>STET - Sr. Hardware Engineering manager</t>
  </si>
  <si>
    <t>Product Quality Engineer</t>
  </si>
  <si>
    <t>Sr Mechanical Engineer - STET</t>
  </si>
  <si>
    <t>Project Coordinator</t>
  </si>
  <si>
    <t>Sr Mechanical Engineer STET </t>
  </si>
  <si>
    <t xml:space="preserve">Mechanical Designer </t>
  </si>
  <si>
    <t>Mechanical Architect</t>
  </si>
  <si>
    <t>Data Analytics - Project Lead</t>
  </si>
  <si>
    <t xml:space="preserve">STET Product Engineer Mechanical </t>
  </si>
  <si>
    <t>Mechnical Designer - STET</t>
  </si>
  <si>
    <t>T&amp;V Engineer</t>
  </si>
  <si>
    <t>STET Product Engineer (Electrical)</t>
  </si>
  <si>
    <t>Systems Engineer</t>
  </si>
  <si>
    <t>Quality Process Engineer</t>
  </si>
  <si>
    <t>Mechanical Engineer - Plastics</t>
  </si>
  <si>
    <t>Mechanical Design Enginner - Packaging</t>
  </si>
  <si>
    <t>Electrical Engineer-STET</t>
  </si>
  <si>
    <t>Mechanical Designer ( Labelling)</t>
  </si>
  <si>
    <t>Engineering Manager – Mechanical-STET</t>
  </si>
  <si>
    <t>Sr Electrical Engineer-RF Coil - STET</t>
  </si>
  <si>
    <t>Sr Electrical Engineer</t>
  </si>
  <si>
    <t>Mechanical Designer-Packaging-STET</t>
  </si>
  <si>
    <t>Mechanical Designer- QPL</t>
  </si>
  <si>
    <t>Firmware Test Engineer</t>
  </si>
  <si>
    <t>Sr Eng Mgr</t>
  </si>
  <si>
    <t>Electrical Engineer</t>
  </si>
  <si>
    <t>Product Engineer</t>
  </si>
  <si>
    <t>Electrical Designer -Analog &amp; Digital-Sustaining Engineering</t>
  </si>
  <si>
    <t>Data Analyst</t>
  </si>
  <si>
    <t>Sr Electrical Engineer -Analog &amp; Digital</t>
  </si>
  <si>
    <t>Engineering Manager-Mechanical</t>
  </si>
  <si>
    <t>STET Quality/Process Engineer - IGT</t>
  </si>
  <si>
    <t>Manufacturing - PIE – STET</t>
  </si>
  <si>
    <t> Electrical Designer</t>
  </si>
  <si>
    <t>Sr. Director - Sustaining Engineering Team</t>
  </si>
  <si>
    <t>CG90</t>
  </si>
  <si>
    <t>Sr. Electrical Designer</t>
  </si>
  <si>
    <t>IGT Technical PM</t>
  </si>
  <si>
    <t>STET Electrical Architect</t>
  </si>
  <si>
    <t>Lab Enginner</t>
  </si>
  <si>
    <t>Sr Mechanical Engineer-STET</t>
  </si>
  <si>
    <t>Mechanical Designer-Packaging</t>
  </si>
  <si>
    <t xml:space="preserve">CG50 </t>
  </si>
  <si>
    <t xml:space="preserve">India </t>
  </si>
  <si>
    <t>OHC Technical PM</t>
  </si>
  <si>
    <t>Senior Electrical Engineer</t>
  </si>
  <si>
    <t>G&amp;B Mech Engr</t>
  </si>
  <si>
    <t>Senior Mechanical Engineer</t>
  </si>
  <si>
    <t>Director of Sustaining Engineering Team</t>
  </si>
  <si>
    <t>Embeded System Test Engineer</t>
  </si>
  <si>
    <t>Configuration Engineer</t>
  </si>
  <si>
    <t>Program Manager &amp; Engineer</t>
  </si>
  <si>
    <t>DXR - Mechanical System Engineer</t>
  </si>
  <si>
    <t>Senior Manufacturing Engineer</t>
  </si>
  <si>
    <t>Sr Electrical Engineer - RF Coil</t>
  </si>
  <si>
    <t>Sr. Manufacturing - PIE - STET</t>
  </si>
  <si>
    <t xml:space="preserve">Sr Firmware Engineer </t>
  </si>
  <si>
    <t>Engineering Manager - Plastics &amp; Polymers - STET</t>
  </si>
  <si>
    <t>Director – Global Supplier Transfer</t>
  </si>
  <si>
    <t>Senior Program Manager</t>
  </si>
  <si>
    <t>Director - SRC/AMD/XDCRs</t>
  </si>
  <si>
    <t>Pittsburgh</t>
  </si>
  <si>
    <t>Cambridge</t>
  </si>
  <si>
    <t>Mechanical Engineering Manager</t>
  </si>
  <si>
    <t>Electrical Designer - Batteries - STET</t>
  </si>
  <si>
    <t>Product Quality Mgr</t>
  </si>
  <si>
    <t>Sustaining Technical Project Manager</t>
  </si>
  <si>
    <t>Electro-Mechanical Designer - PDC Carts</t>
  </si>
  <si>
    <t>System lead</t>
  </si>
  <si>
    <t>Lalit Subhash Khairnar</t>
  </si>
  <si>
    <t>Senior Engineering Manager - Systems - STET</t>
  </si>
  <si>
    <t>Bothell</t>
  </si>
  <si>
    <t>Program Leader</t>
  </si>
  <si>
    <t>Director - US &amp; PDC Carts</t>
  </si>
  <si>
    <t>Senior Engineer - Mechanical - STET</t>
  </si>
  <si>
    <t>Team Lead, Electric Parts</t>
  </si>
  <si>
    <t>Open</t>
  </si>
  <si>
    <t>Req Initiated/Not Approved</t>
  </si>
  <si>
    <t>Mechanical Engineer -STET</t>
  </si>
  <si>
    <t>Mechanical Designer-STET</t>
  </si>
  <si>
    <t>TPM</t>
  </si>
  <si>
    <t>Sr. Electrical Engineer-CG-40</t>
  </si>
  <si>
    <t>1-Jul-26</t>
  </si>
  <si>
    <t>17-Aug-26</t>
  </si>
  <si>
    <t>4-May-26</t>
  </si>
  <si>
    <t>20-Aug-26</t>
  </si>
  <si>
    <t xml:space="preserve">Sr. Mechanical Engineer </t>
  </si>
  <si>
    <t>Req Approved/Vetting</t>
  </si>
  <si>
    <t>Sr Mechanical Engineer – Packaging- STET</t>
  </si>
  <si>
    <t>Sr. Mechanical Engineer-STET</t>
  </si>
  <si>
    <t>Regulatory Affairs Specialist</t>
  </si>
  <si>
    <t>Anisha Jagadale</t>
  </si>
  <si>
    <t>Mechanical Designer – QPL</t>
  </si>
  <si>
    <t>Senior Hardware Engineer</t>
  </si>
  <si>
    <t>Technical writer</t>
  </si>
  <si>
    <t>Technical Project Manager-MCC</t>
  </si>
  <si>
    <t xml:space="preserve">PMO - PSO </t>
  </si>
  <si>
    <t>Sr Design Quality Engineer</t>
  </si>
  <si>
    <t>Design Quality Engineer</t>
  </si>
  <si>
    <t>Sr Engineering Manager - PMO</t>
  </si>
  <si>
    <t>Project Manager - EA</t>
  </si>
  <si>
    <t>Sr Electrical Engineer -Hardware</t>
  </si>
  <si>
    <t xml:space="preserve">AW PM	</t>
  </si>
  <si>
    <t>Sr. Systems Engineer</t>
  </si>
  <si>
    <t>ES V&amp;V</t>
  </si>
  <si>
    <t>ES FW</t>
  </si>
  <si>
    <t>Azure DevOps &amp; GitHub Administrator / Test Automation Support</t>
  </si>
  <si>
    <t>ES HW</t>
  </si>
  <si>
    <t>PD Config</t>
  </si>
  <si>
    <t>PKG</t>
  </si>
  <si>
    <t>EE</t>
  </si>
  <si>
    <t>transfer to Amruta's team from June 1st 2025, replacement for Simarn Gupta</t>
  </si>
  <si>
    <t>ME</t>
  </si>
  <si>
    <t>Transfer to Phil's team from Mar. 2025</t>
  </si>
  <si>
    <t>Coimbatore</t>
  </si>
  <si>
    <t>Replacement for Aman Gupta</t>
  </si>
  <si>
    <t>Firmware</t>
  </si>
  <si>
    <t>Samar Dash Ranjan</t>
  </si>
  <si>
    <t>Transferred from Dan's Team - April'25 (Tamilselvan)</t>
  </si>
  <si>
    <t>ME-CAD &amp; sustenance</t>
  </si>
  <si>
    <t>Resigned</t>
  </si>
  <si>
    <t>Replacement for Balakrishnaraghu Palaniswamy</t>
  </si>
  <si>
    <t>TPD</t>
  </si>
  <si>
    <t>Hyderabad</t>
  </si>
  <si>
    <t>EU MDR Quality Documentation</t>
  </si>
  <si>
    <t xml:space="preserve">10/03/25 MJ: On Maternity Leave. Replacement is Shiwani Akkewar </t>
  </si>
  <si>
    <t>Radha Prasanna</t>
  </si>
  <si>
    <t>Replacement for Mahesh Dhumal</t>
  </si>
  <si>
    <t xml:space="preserve">Design Engineer </t>
  </si>
  <si>
    <t>EE- DXR Support</t>
  </si>
  <si>
    <t>2/7/25: Swap out Deepak Kataruka for Srinivasarao Bandaru. 15-Sep - Rejoined as replacement for Om Jhambhale</t>
  </si>
  <si>
    <t>EE- System Engineer</t>
  </si>
  <si>
    <t>Mysore</t>
  </si>
  <si>
    <t>EE- Door admin</t>
  </si>
  <si>
    <t xml:space="preserve">Electrical Enginneer(Supporting V&amp;V in CT)	</t>
  </si>
  <si>
    <t>Chakan</t>
  </si>
  <si>
    <t xml:space="preserve">10/03/25 MJ: Replacement for Bindushree Narayanaswami on Maternity Leave </t>
  </si>
  <si>
    <t>Sr. Electrical engg</t>
  </si>
  <si>
    <t>Project manager</t>
  </si>
  <si>
    <t>Hyderabad / Pune</t>
  </si>
  <si>
    <t>Haragopal Putrevuvsm</t>
  </si>
  <si>
    <t>PM</t>
  </si>
  <si>
    <t>LCE</t>
  </si>
  <si>
    <t>ME-CAD</t>
  </si>
  <si>
    <t>Replacement for Sivabalamurugan P P</t>
  </si>
  <si>
    <t>ME-Plastic &amp; SM</t>
  </si>
  <si>
    <t>Replacement for Dharshan Ramakrishnan</t>
  </si>
  <si>
    <t>Software Developer</t>
  </si>
  <si>
    <t>Pimpri</t>
  </si>
  <si>
    <t>Technical Writer</t>
  </si>
  <si>
    <t>Design Engineer</t>
  </si>
  <si>
    <t>Neel Patel</t>
  </si>
  <si>
    <t>Transfer to Karthik team(DXR PM) from June 2025</t>
  </si>
  <si>
    <t>MD-Plastic &amp; SM</t>
  </si>
  <si>
    <t>Transfer to Phil's team from May 2026</t>
  </si>
  <si>
    <t>Electrical Lab Technician</t>
  </si>
  <si>
    <t>Baner</t>
  </si>
  <si>
    <t>Transfer to Phil's team from April 2025; Confirmed by Damodar on 8/21/2024</t>
  </si>
  <si>
    <t>Embedded Hardware Engineer</t>
  </si>
  <si>
    <t>PCBA Design</t>
  </si>
  <si>
    <t>Packaging Engineer</t>
  </si>
  <si>
    <t>Manufacturing Engineer</t>
  </si>
  <si>
    <t>Shabazbaig mirza joined as Manufacturing engineer from LLTS  for the Factory process validation activities.</t>
  </si>
  <si>
    <t>11/13/25 MJ: Gowthambalaji's replacement</t>
  </si>
  <si>
    <t>EE- V&amp;V Support</t>
  </si>
  <si>
    <t>Software Engineer</t>
  </si>
  <si>
    <t>Confirmed by Phil Jenkins on 10/24/2024</t>
  </si>
  <si>
    <t>Transfer to Phil's team from Mar. 2025; Confirmed by Damodar on 8/21/2024</t>
  </si>
  <si>
    <t>Electric-Hardware</t>
  </si>
  <si>
    <t>10/6/25 MJ: Replaced Amit Kumar who's LWD was 13th Oct 2025</t>
  </si>
  <si>
    <t>EE-HW- Test</t>
  </si>
  <si>
    <t>Electircal Engineer</t>
  </si>
  <si>
    <t xml:space="preserve">Joined as Manufacturing Engineer for MR RF Coil Pune Factory PV remediation, Replacement from Onwards In-progress </t>
  </si>
  <si>
    <t>ED-Cables</t>
  </si>
  <si>
    <t xml:space="preserve">Joined as Manufacturing Engineer for MR RF Coil Pune Factory PV remediation </t>
  </si>
  <si>
    <t>Transferred to PD group</t>
  </si>
  <si>
    <t>Confirmed by Damodar on 8/21/2024</t>
  </si>
  <si>
    <t>QPL</t>
  </si>
  <si>
    <t>Replacement for Deepak Jangid</t>
  </si>
  <si>
    <t>Electrical designer -STET</t>
  </si>
  <si>
    <t xml:space="preserve">Onboarded in Dxr as electrical designer on May 15th </t>
  </si>
  <si>
    <t>Alias: targar-mohammad.suhail</t>
  </si>
  <si>
    <t>PSO Engineer</t>
  </si>
  <si>
    <t>Engineer</t>
  </si>
  <si>
    <t>Electirc Engineer</t>
  </si>
  <si>
    <t xml:space="preserve">Joined as Manufacturing Engineer for MR Best Factory PV remediation </t>
  </si>
  <si>
    <t>Sr Electrical Engg</t>
  </si>
  <si>
    <t>Transfer from Phil's to Nair team from June 2025</t>
  </si>
  <si>
    <t>Transfer to Phil's team from June 2025,Reporting Manager Changed from Ravi to Bhushan</t>
  </si>
  <si>
    <t>Back from Maternity Leave-Sep</t>
  </si>
  <si>
    <t>Alternate Sourcing Process</t>
  </si>
  <si>
    <t>Transfer to Phil's team from June 2025, Reporting Manager Changed from Ravi to Bhushan</t>
  </si>
  <si>
    <t>replacement of Tushar Bhoj</t>
  </si>
  <si>
    <t>Joined as Mechanical engineer for MR RF coil as Shashi Kumar Replacement</t>
  </si>
  <si>
    <t>Joined as Electrical engineer for CT-AMI as Rakesh Khaimode Replacement</t>
  </si>
  <si>
    <t>Web/SQL developer</t>
  </si>
  <si>
    <t xml:space="preserve">Joining as Web/SQL developer </t>
  </si>
  <si>
    <t>Joined as Packaging Engineer as replacement for Mani Deepthi, she will be working on US projects</t>
  </si>
  <si>
    <t>Joined as Mechanical Designer for RF Coil PSW Activities for PD -India Group</t>
  </si>
  <si>
    <t>Pimpri, Pune</t>
  </si>
  <si>
    <t>Onboarded</t>
  </si>
  <si>
    <t>ECAD Engg</t>
  </si>
  <si>
    <t>Pimpri Pune</t>
  </si>
  <si>
    <t>Onboarded Replacement for Rajaraman</t>
  </si>
  <si>
    <t>Onboarded Replacement for RF Coil PSW activities, replacement for Fatima</t>
  </si>
  <si>
    <t>PCBA redesign</t>
  </si>
  <si>
    <t>Joined as PCBA  DESIGNER</t>
  </si>
  <si>
    <t>Engg</t>
  </si>
  <si>
    <t>Joined in STET DXR</t>
  </si>
  <si>
    <t>EE- Lab Tech.</t>
  </si>
  <si>
    <t>Replacement of Srinivasa Rao Bandaru</t>
  </si>
  <si>
    <t>Pune, HIC</t>
  </si>
  <si>
    <t>MD:Replaced Kaviarasu</t>
  </si>
  <si>
    <t>Prathamesh  Bhosale</t>
  </si>
  <si>
    <t>ME- Labelling</t>
  </si>
  <si>
    <t>Backfill for Avani during Maternity Leave</t>
  </si>
  <si>
    <t>Config</t>
  </si>
  <si>
    <t>Joined in STET DXR to support DXR project activities</t>
  </si>
  <si>
    <t>Firmware Engg</t>
  </si>
  <si>
    <t>Joined in STET PCBA COE group</t>
  </si>
  <si>
    <t>Electrical Development Engineer</t>
  </si>
  <si>
    <t xml:space="preserve">Replacement of Rathnam on SOW | Satish Biradar, replaced </t>
  </si>
  <si>
    <t>Replacement of Venkateswara</t>
  </si>
  <si>
    <t xml:space="preserve">Replacement of Shubhangi </t>
  </si>
  <si>
    <t>FTE Project ID</t>
  </si>
  <si>
    <t>FTE Allocation Value</t>
  </si>
  <si>
    <t>FTE Employee Name</t>
  </si>
  <si>
    <t>MonthYearColumn</t>
  </si>
  <si>
    <t>G&amp;B-0728</t>
  </si>
  <si>
    <t>Transfer of Monk US SKUs (HS7000 &amp; HS9000) from Raymond Indonesia to Raymond China</t>
  </si>
  <si>
    <t>G&amp;B-0540</t>
  </si>
  <si>
    <t>RFS  Launch Puma ME cost down China v1</t>
  </si>
  <si>
    <t>G&amp;B-0503</t>
  </si>
  <si>
    <t>RFS  SICR20251207001C - Wittenburg - Discontinuation of subsupplier SEBS v1</t>
  </si>
  <si>
    <t>G&amp;B-0438</t>
  </si>
  <si>
    <t>RFS  PFAS Free Grease v1</t>
  </si>
  <si>
    <t>G&amp;B-0393</t>
  </si>
  <si>
    <t>RFS  SH93 Shaving Heads Compact for US v1</t>
  </si>
  <si>
    <t>Key Component &amp; Electronics</t>
  </si>
  <si>
    <t>DXR_Training-2</t>
  </si>
  <si>
    <t>45014</t>
  </si>
  <si>
    <t>Change of air filter supplier for SFB- Inno</t>
  </si>
  <si>
    <t>Key components &amp; Electronics</t>
  </si>
  <si>
    <t>36930</t>
  </si>
  <si>
    <t>PCBA Refresh - 451220111951 - 451213455502 - Bucky Unit 3 Digital</t>
  </si>
  <si>
    <t>Mechnical Parts and assemblies</t>
  </si>
  <si>
    <t>43297</t>
  </si>
  <si>
    <t>SZ-MCS frame localization and assembly outsourcing</t>
  </si>
  <si>
    <t>PDTEAM413</t>
  </si>
  <si>
    <t>PCBA Health MR System &amp; Others</t>
  </si>
  <si>
    <t>RTC-FDEP20220800667 test</t>
  </si>
  <si>
    <t>45198</t>
  </si>
  <si>
    <t>L4L-Localize cabinet and other sheet metal of DACC L4L version</t>
  </si>
  <si>
    <t>PDTEAM549</t>
  </si>
  <si>
    <t>All</t>
  </si>
  <si>
    <t>CS-2025-110</t>
  </si>
  <si>
    <t>Grayhill Shenzhen – Internal Transfer of IGTS products</t>
  </si>
  <si>
    <t>41820</t>
  </si>
  <si>
    <t>5x Reuse installation frames</t>
  </si>
  <si>
    <t>43425</t>
  </si>
  <si>
    <t xml:space="preserve">IGT MoS_Repair Transfer_Zollner PCBA Repair to Shyft-US </t>
  </si>
  <si>
    <t>CS-2025-154</t>
  </si>
  <si>
    <t>Wear reduction EPX 2.0 for Allura &amp; Azurion (2027 impact)</t>
  </si>
  <si>
    <t>PDTEAM115</t>
  </si>
  <si>
    <t xml:space="preserve">CT/AMI LCM FRU Resolutions </t>
  </si>
  <si>
    <t>PDTEAM149</t>
  </si>
  <si>
    <t xml:space="preserve">Vega Support </t>
  </si>
  <si>
    <t>PDTEAM519</t>
  </si>
  <si>
    <t>PCBA - Product Discontinuation PD_112_17 Infineon SAB-C167 for BU2 Digital</t>
  </si>
  <si>
    <t>45150</t>
  </si>
  <si>
    <t>SZ_Tabletop localization with Jingyao (L4L)</t>
  </si>
  <si>
    <t>CR221933</t>
  </si>
  <si>
    <t>Anax Brush Head Holder -  North America Amazon launch</t>
  </si>
  <si>
    <t>CR243770</t>
  </si>
  <si>
    <t>Cairo Handle Capacity Expansion</t>
  </si>
  <si>
    <t>CR244020 -1</t>
  </si>
  <si>
    <t>Cairo Handle in Zhuhai Site - Ph1 (2-Button)</t>
  </si>
  <si>
    <t>DCR#14811</t>
  </si>
  <si>
    <t>DS2 PCBA (1153354) CSS REACH/RoHS Cleanup</t>
  </si>
  <si>
    <t>DCR#21560</t>
  </si>
  <si>
    <t>Revise the Everflo TUBING,1/4" ID X10" LONG PVC specifications (1019976)</t>
  </si>
  <si>
    <t>44768</t>
  </si>
  <si>
    <t>Consolidation and reduction of Tie wraps in TABLE assembly</t>
  </si>
  <si>
    <t>Manish Ram Saha</t>
  </si>
  <si>
    <t>Anirud Khandavill</t>
  </si>
  <si>
    <t>39613</t>
  </si>
  <si>
    <t>Cable Portfolio: eL18-4 Cable assembly transfer from Sumitomo Shenzhen to Vietnam</t>
  </si>
  <si>
    <t>Bob Hong</t>
  </si>
  <si>
    <t>44543</t>
  </si>
  <si>
    <t>Sunstone - Adaptor 2nd source (TenPao)-Zhuhai</t>
  </si>
  <si>
    <t>PJ-028752</t>
  </si>
  <si>
    <t>IPL S7/8/9 Sunstone 2022-2023 GL - Sunstone FSP reduction</t>
  </si>
  <si>
    <t>Aishwarya Bhaskar</t>
  </si>
  <si>
    <t>Tushar Sapkal</t>
  </si>
  <si>
    <t>42680</t>
  </si>
  <si>
    <t>41177</t>
  </si>
  <si>
    <t>39505</t>
  </si>
  <si>
    <t>CR247703</t>
  </si>
  <si>
    <t>EU PPWR</t>
  </si>
  <si>
    <t>CR239363</t>
  </si>
  <si>
    <t>UV Confident Clean in costco Canada</t>
  </si>
  <si>
    <t>CR244084-1</t>
  </si>
  <si>
    <t xml:space="preserve">REG MEM AMB 554-26011 US &amp; Canada Warranty Text Update </t>
  </si>
  <si>
    <t>CR203918-2</t>
  </si>
  <si>
    <t>Update Battery certificate
Korea Certification for all ALT components, update SKU labels</t>
  </si>
  <si>
    <t>CR244086</t>
  </si>
  <si>
    <t xml:space="preserve">Yeakin’s Top and Bottom Coupler Injection Moulding </t>
  </si>
  <si>
    <t>CR251541</t>
  </si>
  <si>
    <t>Remove Welding on the Wimbledon Drivetrain Assembly</t>
  </si>
  <si>
    <t>CR246289 -1</t>
  </si>
  <si>
    <t>Short Feet implementation - Ph1 Drt &amp; PZH</t>
  </si>
  <si>
    <t>CR241825</t>
  </si>
  <si>
    <t>Batam New Dual Action Nozzle Line &amp; Tools</t>
  </si>
  <si>
    <t>DCR#21369</t>
  </si>
  <si>
    <t xml:space="preserve"> Oxygenate 5 Screw Kit Quantity Update</t>
  </si>
  <si>
    <t>OHC Artwork</t>
  </si>
  <si>
    <t xml:space="preserve">Saurabh Agarwal </t>
  </si>
  <si>
    <t>CR241717</t>
  </si>
  <si>
    <t>Dual Source Late Packaging Setup for PID in NAR to Support Demand Growth and Supply Chain Optimization (PID Packaging)</t>
  </si>
  <si>
    <t>CR241716</t>
  </si>
  <si>
    <t>Transfer of NAR (US &amp; Canada) Late Packaging Operations to Ontario Facility for Cost Optimization (Nozzles Packaging)</t>
  </si>
  <si>
    <t>CR248322</t>
  </si>
  <si>
    <t>Second Source Supplier Q400 of Main PCBAs, E0307</t>
  </si>
  <si>
    <t>CR251524</t>
  </si>
  <si>
    <t>Adding Second source components of Main PCBA sunstone Core for Supply Safet</t>
  </si>
  <si>
    <t>RfS-G&amp;B-0733</t>
  </si>
  <si>
    <t>HUiZHOU LODA TECHNOLOGY Co., LTD: Upgrade soldering magnetic wire and varistor equipments of C3A line to reduce soldering balls.</t>
  </si>
  <si>
    <t>RfS-G&amp;B-0858</t>
  </si>
  <si>
    <t>PZH- Motor Wires Vendor Change from SMT to MGE</t>
  </si>
  <si>
    <t>CR239874</t>
  </si>
  <si>
    <t>PI Electronics (PFAS free) Epoxy Change</t>
  </si>
  <si>
    <t>44277</t>
  </si>
  <si>
    <t>Yugandhar Chandele</t>
  </si>
  <si>
    <t>Zollner to Plexus Transfer</t>
  </si>
  <si>
    <t>CR238881</t>
  </si>
  <si>
    <t>Develop non-RFID BH for Intercare type BH</t>
  </si>
  <si>
    <t>CR212190-1</t>
  </si>
  <si>
    <t>Cairo PCBA FCP Reduction (Connected models)</t>
  </si>
  <si>
    <t>MR_Training-1</t>
  </si>
  <si>
    <t>PDTEAM635</t>
  </si>
  <si>
    <t>D-Lit Automation</t>
  </si>
  <si>
    <t>CR225608 - 1</t>
  </si>
  <si>
    <t>PID Brand Refresh - Ph1</t>
  </si>
  <si>
    <t>CR237272 - 1</t>
  </si>
  <si>
    <t>Spiti: Caracas insourcing (Mid)</t>
  </si>
  <si>
    <t>41517</t>
  </si>
  <si>
    <t>Pioneer Plus: Tooling, Slider</t>
  </si>
  <si>
    <t>41518</t>
  </si>
  <si>
    <t>Pioneer Plus: Tooling, Luer</t>
  </si>
  <si>
    <t>41967</t>
  </si>
  <si>
    <t>Proximal Shaft AND Anchor Segment, Strategic Source, ICE</t>
  </si>
  <si>
    <t>41519</t>
  </si>
  <si>
    <t>Pioneer Plus: Tooling, Stop Ring</t>
  </si>
  <si>
    <t>41516</t>
  </si>
  <si>
    <t>Pioneer Plus: Tooling, Y-Connector</t>
  </si>
  <si>
    <t>Dhananjay Deshmukh</t>
  </si>
  <si>
    <t>Manikandan Murugesan</t>
  </si>
  <si>
    <t>Pratik Waghmare</t>
  </si>
  <si>
    <t>Siddhant Kamalaskar</t>
  </si>
  <si>
    <t>Naveen Kurdekar</t>
  </si>
  <si>
    <t>Shilpa Mishra</t>
  </si>
  <si>
    <t>Durgaprasad</t>
  </si>
  <si>
    <t>Samar Dash</t>
  </si>
  <si>
    <t>Devika P</t>
  </si>
  <si>
    <t>Shiva Vinayakula</t>
  </si>
  <si>
    <t>Chandra Sekhara Ayyappa</t>
  </si>
  <si>
    <t>Pankaj Brahmadev Chavan</t>
  </si>
  <si>
    <t>Karan Kumar</t>
  </si>
  <si>
    <t>Shabadu Manasa</t>
  </si>
  <si>
    <t>Purnachandu Pippirisetti</t>
  </si>
  <si>
    <t>Naveen kumar J</t>
  </si>
  <si>
    <t>Vishal vasant Lokare</t>
  </si>
  <si>
    <t>Shikha Ahirwar</t>
  </si>
  <si>
    <t>Dhananajay Deshmuk</t>
  </si>
  <si>
    <t>Electrical Lead - STET</t>
  </si>
  <si>
    <t>Senior Quality / Process Engineer</t>
  </si>
  <si>
    <t>Electrical Engineer -STET</t>
  </si>
  <si>
    <t>Sr. Electrical Engineer  -Analog &amp; Digital-STET</t>
  </si>
  <si>
    <t>Electrical Architect - Digital</t>
  </si>
  <si>
    <t>Electrical Designer- STET Hardware</t>
  </si>
  <si>
    <t>Electrical Lead-STET</t>
  </si>
  <si>
    <t>Sr. Electrical Engineer -STET</t>
  </si>
  <si>
    <t>Mechanical Designer STET</t>
  </si>
  <si>
    <t>Mechanical Engineer STET</t>
  </si>
  <si>
    <t>3-Aug-26</t>
  </si>
  <si>
    <t>18-Aug-26</t>
  </si>
  <si>
    <t>Firmware engg</t>
  </si>
  <si>
    <t>7-Oct-26</t>
  </si>
  <si>
    <t>Regulatory Affairs Business Manager</t>
  </si>
  <si>
    <t>Mechanical Engineer - TPD</t>
  </si>
  <si>
    <t>Joined Packaging COE Group</t>
  </si>
  <si>
    <t>Replacement for Gitimaya Behera</t>
  </si>
  <si>
    <t>PQE</t>
  </si>
  <si>
    <t>PIE</t>
  </si>
  <si>
    <t>PSO</t>
  </si>
  <si>
    <t>Joined  as Design Engineer replacement for Gaurav Panchal</t>
  </si>
  <si>
    <t>Joined  as Project Manager replacement for Danvi</t>
  </si>
  <si>
    <t>42913</t>
  </si>
  <si>
    <t>44162</t>
  </si>
  <si>
    <t>44163</t>
  </si>
  <si>
    <t>Megabond Optimization</t>
  </si>
  <si>
    <t>Darmark, alternate source</t>
  </si>
  <si>
    <t>Megabond Optimization - X5-1</t>
  </si>
  <si>
    <t>Megabond Optimization, X7-2t, X8-2t</t>
  </si>
  <si>
    <t>MCC_Training-1</t>
  </si>
  <si>
    <t>MCC_Training-2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</si>
</sst>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6" x14ac:knownFonts="1">
    <font>
      <sz val="11"/>
      <color theme="1"/>
      <name val="Calibri"/>
      <family val="2"/>
      <scheme val="minor"/>
    </font>
    <font>
      <b/>
      <sz val="11"/>
      <color rgb="FF000000"/>
      <name val="Calibri"/>
      <family val="2"/>
    </font>
    <font>
      <b/>
      <sz val="11"/>
      <color theme="1"/>
      <name val="Calibri"/>
      <family val="2"/>
      <scheme val="minor"/>
    </font>
    <font>
      <sz val="10"/>
      <color theme="0"/>
      <name val="Calibri Light"/>
      <family val="2"/>
    </font>
    <font>
      <i/>
      <sz val="8"/>
      <color theme="1"/>
      <name val="Calibri"/>
      <family val="2"/>
      <scheme val="minor"/>
    </font>
    <font>
      <i/>
      <sz val="9"/>
      <color rgb="FFFF0000"/>
      <name val="Calibri"/>
      <family val="2"/>
      <scheme val="minor"/>
    </font>
    <font>
      <sz val="10"/>
      <color theme="0"/>
      <name val="Cambria"/>
      <family val="2"/>
      <scheme val="major"/>
    </font>
    <font>
      <sz val="8"/>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0"/>
      <color rgb="FF000000"/>
      <name val="Cambria"/>
      <family val="2"/>
      <scheme val="major"/>
    </font>
    <font>
      <sz val="10"/>
      <name val="Cambria"/>
      <family val="2"/>
      <scheme val="major"/>
    </font>
  </fonts>
  <fills count="41">
    <fill>
      <patternFill patternType="none"/>
    </fill>
    <fill>
      <patternFill patternType="gray125"/>
    </fill>
    <fill>
      <patternFill patternType="solid">
        <fgColor rgb="FFC0C0C0"/>
        <bgColor rgb="FFC0C0C0"/>
      </patternFill>
    </fill>
    <fill>
      <patternFill patternType="solid">
        <fgColor rgb="FF44546A"/>
        <bgColor rgb="FF000000"/>
      </patternFill>
    </fill>
    <fill>
      <patternFill patternType="solid">
        <fgColor rgb="FFFFFF00"/>
        <bgColor indexed="64"/>
      </patternFill>
    </fill>
    <fill>
      <patternFill patternType="solid">
        <fgColor theme="3" tint="-0.249977111117893"/>
        <bgColor rgb="FF000000"/>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theme="9" tint="0.79998168889431442"/>
      </patternFill>
    </fill>
    <fill>
      <patternFill patternType="solid">
        <fgColor theme="5" tint="0.39997558519241921"/>
        <bgColor indexed="64"/>
      </patternFill>
    </fill>
    <fill>
      <patternFill patternType="solid">
        <fgColor theme="5" tint="0.39997558519241921"/>
        <bgColor theme="9" tint="0.79998168889431442"/>
      </patternFill>
    </fill>
  </fills>
  <borders count="26">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auto="1"/>
      </left>
      <right style="thin">
        <color auto="1"/>
      </right>
      <top/>
      <bottom/>
      <diagonal/>
    </border>
    <border>
      <left style="thin">
        <color auto="1"/>
      </left>
      <right style="thin">
        <color auto="1"/>
      </right>
      <top/>
      <bottom style="thin">
        <color rgb="FF000000"/>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rgb="FF000000"/>
      </right>
      <top style="thin">
        <color theme="1"/>
      </top>
      <bottom/>
      <diagonal/>
    </border>
    <border>
      <left/>
      <right style="thin">
        <color rgb="FF000000"/>
      </right>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theme="9" tint="0.39997558519241921"/>
      </right>
      <top style="thin">
        <color theme="9" tint="0.39997558519241921"/>
      </top>
      <bottom style="thin">
        <color theme="9" tint="0.39997558519241921"/>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s>
  <cellStyleXfs count="43">
    <xf numFmtId="0" fontId="0" fillId="0" borderId="0"/>
    <xf numFmtId="0" fontId="9" fillId="0" borderId="0" applyNumberFormat="0" applyFill="0" applyBorder="0" applyAlignment="0" applyProtection="0"/>
    <xf numFmtId="0" fontId="10" fillId="0" borderId="7" applyNumberFormat="0" applyFill="0" applyAlignment="0" applyProtection="0"/>
    <xf numFmtId="0" fontId="11" fillId="0" borderId="8" applyNumberFormat="0" applyFill="0" applyAlignment="0" applyProtection="0"/>
    <xf numFmtId="0" fontId="12" fillId="0" borderId="9" applyNumberFormat="0" applyFill="0" applyAlignment="0" applyProtection="0"/>
    <xf numFmtId="0" fontId="12" fillId="0" borderId="0" applyNumberFormat="0" applyFill="0" applyBorder="0" applyAlignment="0" applyProtection="0"/>
    <xf numFmtId="0" fontId="13" fillId="7" borderId="0" applyNumberFormat="0" applyBorder="0" applyAlignment="0" applyProtection="0"/>
    <xf numFmtId="0" fontId="14" fillId="8" borderId="0" applyNumberFormat="0" applyBorder="0" applyAlignment="0" applyProtection="0"/>
    <xf numFmtId="0" fontId="15" fillId="9" borderId="0" applyNumberFormat="0" applyBorder="0" applyAlignment="0" applyProtection="0"/>
    <xf numFmtId="0" fontId="16" fillId="10" borderId="10" applyNumberFormat="0" applyAlignment="0" applyProtection="0"/>
    <xf numFmtId="0" fontId="17" fillId="11" borderId="11" applyNumberFormat="0" applyAlignment="0" applyProtection="0"/>
    <xf numFmtId="0" fontId="18" fillId="11" borderId="10" applyNumberFormat="0" applyAlignment="0" applyProtection="0"/>
    <xf numFmtId="0" fontId="19" fillId="0" borderId="12" applyNumberFormat="0" applyFill="0" applyAlignment="0" applyProtection="0"/>
    <xf numFmtId="0" fontId="20" fillId="12" borderId="13" applyNumberFormat="0" applyAlignment="0" applyProtection="0"/>
    <xf numFmtId="0" fontId="21" fillId="0" borderId="0" applyNumberFormat="0" applyFill="0" applyBorder="0" applyAlignment="0" applyProtection="0"/>
    <xf numFmtId="0" fontId="8" fillId="13" borderId="14" applyNumberFormat="0" applyFont="0" applyAlignment="0" applyProtection="0"/>
    <xf numFmtId="0" fontId="22" fillId="0" borderId="0" applyNumberFormat="0" applyFill="0" applyBorder="0" applyAlignment="0" applyProtection="0"/>
    <xf numFmtId="0" fontId="2" fillId="0" borderId="15" applyNumberFormat="0" applyFill="0" applyAlignment="0" applyProtection="0"/>
    <xf numFmtId="0" fontId="23"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23"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23"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23"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23"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23" fillId="34" borderId="0" applyNumberFormat="0" applyBorder="0" applyAlignment="0" applyProtection="0"/>
    <xf numFmtId="0" fontId="8" fillId="35" borderId="0" applyNumberFormat="0" applyBorder="0" applyAlignment="0" applyProtection="0"/>
    <xf numFmtId="0" fontId="8" fillId="36" borderId="0" applyNumberFormat="0" applyBorder="0" applyAlignment="0" applyProtection="0"/>
    <xf numFmtId="0" fontId="8" fillId="37" borderId="0" applyNumberFormat="0" applyBorder="0" applyAlignment="0" applyProtection="0"/>
    <xf numFmtId="0" fontId="8" fillId="0" borderId="0"/>
  </cellStyleXfs>
  <cellXfs count="57">
    <xf numFmtId="0" fontId="0" fillId="0" borderId="0" xfId="0"/>
    <xf numFmtId="0" fontId="1" fillId="2" borderId="1" xfId="0" applyFont="1" applyFill="1" applyBorder="1" applyAlignment="1">
      <alignment horizontal="center" vertical="center"/>
    </xf>
    <xf numFmtId="49" fontId="0" fillId="0" borderId="0" xfId="0" applyNumberFormat="1"/>
    <xf numFmtId="49" fontId="1" fillId="2" borderId="1" xfId="0" applyNumberFormat="1" applyFont="1" applyFill="1" applyBorder="1" applyAlignment="1">
      <alignment horizontal="center" vertical="center"/>
    </xf>
    <xf numFmtId="1"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0" fillId="0" borderId="1" xfId="0" applyBorder="1" applyAlignment="1">
      <alignment horizontal="center"/>
    </xf>
    <xf numFmtId="0" fontId="0" fillId="0" borderId="1" xfId="0" applyBorder="1"/>
    <xf numFmtId="0" fontId="2" fillId="0" borderId="1" xfId="0" applyFont="1" applyBorder="1" applyAlignment="1">
      <alignment horizontal="center"/>
    </xf>
    <xf numFmtId="49" fontId="1" fillId="2" borderId="2" xfId="0" applyNumberFormat="1" applyFont="1" applyFill="1" applyBorder="1" applyAlignment="1">
      <alignment horizontal="center" vertical="center"/>
    </xf>
    <xf numFmtId="0" fontId="1" fillId="2" borderId="2" xfId="0" applyFont="1" applyFill="1" applyBorder="1" applyAlignment="1">
      <alignment horizontal="center" vertical="center"/>
    </xf>
    <xf numFmtId="1" fontId="0" fillId="0" borderId="1" xfId="0" applyNumberFormat="1" applyBorder="1" applyAlignment="1">
      <alignment horizontal="center"/>
    </xf>
    <xf numFmtId="0" fontId="4" fillId="0" borderId="0" xfId="0" applyFont="1" applyAlignment="1">
      <alignment vertical="top"/>
    </xf>
    <xf numFmtId="0" fontId="5" fillId="0" borderId="0" xfId="0" applyFont="1"/>
    <xf numFmtId="0" fontId="0" fillId="4" borderId="1" xfId="0" applyFill="1" applyBorder="1"/>
    <xf numFmtId="0" fontId="1" fillId="2" borderId="5" xfId="0" applyFont="1" applyFill="1" applyBorder="1" applyAlignment="1">
      <alignment horizontal="center" vertical="center"/>
    </xf>
    <xf numFmtId="0" fontId="2" fillId="0" borderId="0" xfId="0" applyFont="1" applyAlignment="1">
      <alignment horizontal="center"/>
    </xf>
    <xf numFmtId="1" fontId="0" fillId="0" borderId="0" xfId="0" applyNumberFormat="1" applyAlignment="1">
      <alignment horizontal="center"/>
    </xf>
    <xf numFmtId="49" fontId="0" fillId="0" borderId="0" xfId="0" applyNumberFormat="1" applyAlignment="1">
      <alignment horizontal="left"/>
    </xf>
    <xf numFmtId="164" fontId="0" fillId="0" borderId="1" xfId="0" applyNumberFormat="1" applyBorder="1" applyAlignment="1">
      <alignment horizontal="center"/>
    </xf>
    <xf numFmtId="0" fontId="0" fillId="4" borderId="0" xfId="0" applyFill="1"/>
    <xf numFmtId="49" fontId="1" fillId="6" borderId="1" xfId="0" applyNumberFormat="1" applyFont="1" applyFill="1" applyBorder="1" applyAlignment="1">
      <alignment horizontal="center" vertical="center" wrapText="1"/>
    </xf>
    <xf numFmtId="0" fontId="1" fillId="6" borderId="1" xfId="0" applyFont="1" applyFill="1" applyBorder="1" applyAlignment="1">
      <alignment horizontal="center" vertical="center" wrapText="1"/>
    </xf>
    <xf numFmtId="0" fontId="0" fillId="0" borderId="0" xfId="0" applyAlignment="1">
      <alignment horizontal="left" wrapText="1"/>
    </xf>
    <xf numFmtId="0" fontId="0" fillId="0" borderId="1" xfId="0" applyBorder="1" applyAlignment="1">
      <alignment horizontal="left"/>
    </xf>
    <xf numFmtId="0" fontId="0" fillId="0" borderId="1" xfId="0" applyBorder="1" applyAlignment="1">
      <alignment horizontal="left" vertical="center"/>
    </xf>
    <xf numFmtId="0" fontId="0" fillId="0" borderId="0" xfId="0" applyAlignment="1">
      <alignment horizontal="center"/>
    </xf>
    <xf numFmtId="0" fontId="0" fillId="38" borderId="16" xfId="0" applyFill="1" applyBorder="1"/>
    <xf numFmtId="0" fontId="0" fillId="38" borderId="17" xfId="0" applyFill="1" applyBorder="1"/>
    <xf numFmtId="0" fontId="0" fillId="0" borderId="16" xfId="0" applyBorder="1"/>
    <xf numFmtId="0" fontId="0" fillId="0" borderId="17" xfId="0" applyBorder="1"/>
    <xf numFmtId="14" fontId="3" fillId="3" borderId="6" xfId="0" applyNumberFormat="1" applyFont="1" applyFill="1" applyBorder="1" applyAlignment="1">
      <alignment horizontal="left" vertical="center" wrapText="1"/>
    </xf>
    <xf numFmtId="0" fontId="3" fillId="3" borderId="4" xfId="0" applyFont="1" applyFill="1" applyBorder="1" applyAlignment="1">
      <alignment horizontal="left" vertical="center" wrapText="1"/>
    </xf>
    <xf numFmtId="0" fontId="6" fillId="5" borderId="3" xfId="0" applyFont="1" applyFill="1" applyBorder="1" applyAlignment="1">
      <alignment horizontal="left" vertical="top" wrapText="1"/>
    </xf>
    <xf numFmtId="14" fontId="24" fillId="0" borderId="19" xfId="0" applyNumberFormat="1" applyFont="1" applyBorder="1" applyAlignment="1">
      <alignment horizontal="left"/>
    </xf>
    <xf numFmtId="0" fontId="0" fillId="0" borderId="18" xfId="0" applyBorder="1" applyAlignment="1">
      <alignment horizontal="left"/>
    </xf>
    <xf numFmtId="0" fontId="24" fillId="0" borderId="0" xfId="0" applyFont="1" applyAlignment="1">
      <alignment horizontal="left"/>
    </xf>
    <xf numFmtId="0" fontId="25" fillId="0" borderId="0" xfId="0" applyFont="1" applyAlignment="1">
      <alignment horizontal="left"/>
    </xf>
    <xf numFmtId="0" fontId="24" fillId="0" borderId="1" xfId="0" applyFont="1" applyBorder="1" applyAlignment="1">
      <alignment horizontal="left"/>
    </xf>
    <xf numFmtId="0" fontId="25" fillId="0" borderId="1" xfId="0" applyFont="1" applyBorder="1" applyAlignment="1">
      <alignment horizontal="left"/>
    </xf>
    <xf numFmtId="14" fontId="0" fillId="0" borderId="0" xfId="0" applyNumberFormat="1" applyAlignment="1">
      <alignment horizontal="left"/>
    </xf>
    <xf numFmtId="0" fontId="3" fillId="3" borderId="6" xfId="0" applyFont="1" applyFill="1" applyBorder="1" applyAlignment="1">
      <alignment horizontal="left" vertical="center" wrapText="1"/>
    </xf>
    <xf numFmtId="0" fontId="0" fillId="38" borderId="22" xfId="0" applyFill="1" applyBorder="1"/>
    <xf numFmtId="0" fontId="24" fillId="0" borderId="20" xfId="0" applyFont="1" applyBorder="1" applyAlignment="1">
      <alignment horizontal="left"/>
    </xf>
    <xf numFmtId="0" fontId="24" fillId="0" borderId="19" xfId="0" applyFont="1" applyBorder="1" applyAlignment="1">
      <alignment horizontal="left"/>
    </xf>
    <xf numFmtId="0" fontId="24" fillId="0" borderId="21" xfId="0" applyFont="1" applyBorder="1" applyAlignment="1">
      <alignment horizontal="left"/>
    </xf>
    <xf numFmtId="0" fontId="0" fillId="38" borderId="23" xfId="0" applyFill="1" applyBorder="1"/>
    <xf numFmtId="0" fontId="0" fillId="38" borderId="24" xfId="0" applyFill="1" applyBorder="1"/>
    <xf numFmtId="0" fontId="0" fillId="38" borderId="25" xfId="0" applyFill="1" applyBorder="1"/>
    <xf numFmtId="0" fontId="0" fillId="0" borderId="23" xfId="0" applyBorder="1"/>
    <xf numFmtId="0" fontId="0" fillId="0" borderId="24" xfId="0" applyBorder="1"/>
    <xf numFmtId="0" fontId="0" fillId="0" borderId="25" xfId="0" applyBorder="1"/>
    <xf numFmtId="0" fontId="0" fillId="39" borderId="24" xfId="0" applyFill="1" applyBorder="1"/>
    <xf numFmtId="0" fontId="0" fillId="40" borderId="24" xfId="0" applyFill="1" applyBorder="1"/>
    <xf numFmtId="0" fontId="0" fillId="0" borderId="0" xfId="0"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74974C1D-1277-4054-B434-CC325F205578}"/>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left" vertical="bottom" textRotation="0" wrapText="0" indent="0" justifyLastLine="0" shrinkToFit="0" readingOrder="0"/>
    </dxf>
    <dxf>
      <font>
        <sz val="10"/>
        <color rgb="FF000000"/>
        <name val="Cambria"/>
        <family val="2"/>
        <scheme val="major"/>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sz val="10"/>
        <color rgb="FF000000"/>
        <name val="Cambria"/>
        <family val="2"/>
        <scheme val="major"/>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sz val="10"/>
        <color rgb="FF000000"/>
        <name val="Cambria"/>
        <family val="2"/>
        <scheme val="major"/>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sz val="10"/>
        <color rgb="FF000000"/>
        <name val="Cambria"/>
        <family val="2"/>
        <scheme val="major"/>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right style="thin">
          <color rgb="FF000000"/>
        </right>
        <top/>
        <bottom/>
        <vertical/>
        <horizontal/>
      </border>
    </dxf>
    <dxf>
      <font>
        <b val="0"/>
        <i val="0"/>
        <strike val="0"/>
        <condense val="0"/>
        <extend val="0"/>
        <outline val="0"/>
        <shadow val="0"/>
        <u val="none"/>
        <vertAlign val="baseline"/>
        <sz val="10"/>
        <color rgb="FF000000"/>
        <name val="Cambria"/>
        <family val="2"/>
        <scheme val="major"/>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right style="thin">
          <color rgb="FF000000"/>
        </right>
        <top/>
        <bottom/>
        <vertical/>
        <horizontal/>
      </border>
    </dxf>
    <dxf>
      <font>
        <b val="0"/>
        <i val="0"/>
        <strike val="0"/>
        <condense val="0"/>
        <extend val="0"/>
        <outline val="0"/>
        <shadow val="0"/>
        <u val="none"/>
        <vertAlign val="baseline"/>
        <sz val="10"/>
        <color rgb="FF000000"/>
        <name val="Cambria"/>
        <family val="2"/>
        <scheme val="major"/>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right style="thin">
          <color rgb="FF000000"/>
        </right>
        <top/>
        <bottom/>
        <vertical/>
        <horizontal/>
      </border>
    </dxf>
    <dxf>
      <font>
        <b val="0"/>
        <i val="0"/>
        <strike val="0"/>
        <condense val="0"/>
        <extend val="0"/>
        <outline val="0"/>
        <shadow val="0"/>
        <u val="none"/>
        <vertAlign val="baseline"/>
        <sz val="10"/>
        <color rgb="FF000000"/>
        <name val="Cambria"/>
        <family val="2"/>
        <scheme val="major"/>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right style="thin">
          <color rgb="FF000000"/>
        </right>
        <top/>
        <bottom/>
        <vertical/>
        <horizontal/>
      </border>
    </dxf>
    <dxf>
      <font>
        <b val="0"/>
        <i val="0"/>
        <strike val="0"/>
        <condense val="0"/>
        <extend val="0"/>
        <outline val="0"/>
        <shadow val="0"/>
        <u val="none"/>
        <vertAlign val="baseline"/>
        <sz val="10"/>
        <color rgb="FF000000"/>
        <name val="Cambria"/>
        <family val="2"/>
        <scheme val="major"/>
      </font>
      <numFmt numFmtId="19" formatCode="m/d/yyyy"/>
      <fill>
        <patternFill patternType="none">
          <fgColor indexed="64"/>
          <bgColor indexed="65"/>
        </patternFill>
      </fill>
      <alignment horizontal="left" vertical="bottom" textRotation="0" wrapText="0" indent="0" justifyLastLine="0" shrinkToFit="0" readingOrder="0"/>
      <border diagonalUp="0" diagonalDown="0">
        <left/>
        <right style="thin">
          <color rgb="FF000000"/>
        </right>
        <top/>
        <bottom/>
        <vertical/>
        <horizontal/>
      </border>
    </dxf>
    <dxf>
      <font>
        <b val="0"/>
        <i val="0"/>
        <strike val="0"/>
        <condense val="0"/>
        <extend val="0"/>
        <outline val="0"/>
        <shadow val="0"/>
        <u val="none"/>
        <vertAlign val="baseline"/>
        <sz val="10"/>
        <color rgb="FF000000"/>
        <name val="Cambria"/>
        <family val="2"/>
        <scheme val="major"/>
      </font>
      <numFmt numFmtId="19" formatCode="m/d/yyyy"/>
      <fill>
        <patternFill patternType="none">
          <fgColor indexed="64"/>
          <bgColor indexed="65"/>
        </patternFill>
      </fill>
      <alignment horizontal="left" vertical="bottom" textRotation="0" wrapText="0" indent="0" justifyLastLine="0" shrinkToFit="0" readingOrder="0"/>
      <border diagonalUp="0" diagonalDown="0">
        <left/>
        <right style="thin">
          <color rgb="FF000000"/>
        </right>
        <top/>
        <bottom/>
        <vertical/>
        <horizontal/>
      </border>
    </dxf>
    <dxf>
      <font>
        <b val="0"/>
        <i val="0"/>
        <strike val="0"/>
        <condense val="0"/>
        <extend val="0"/>
        <outline val="0"/>
        <shadow val="0"/>
        <u val="none"/>
        <vertAlign val="baseline"/>
        <sz val="10"/>
        <color rgb="FF000000"/>
        <name val="Cambria"/>
        <family val="2"/>
        <scheme val="major"/>
      </font>
      <numFmt numFmtId="19" formatCode="m/d/yyyy"/>
      <fill>
        <patternFill patternType="none">
          <fgColor indexed="64"/>
          <bgColor indexed="65"/>
        </patternFill>
      </fill>
      <alignment horizontal="left" vertical="bottom" textRotation="0" wrapText="0" indent="0" justifyLastLine="0" shrinkToFit="0" readingOrder="0"/>
      <border diagonalUp="0" diagonalDown="0">
        <left/>
        <right style="thin">
          <color rgb="FF000000"/>
        </right>
        <top/>
        <bottom/>
        <vertical/>
        <horizontal/>
      </border>
    </dxf>
    <dxf>
      <font>
        <b val="0"/>
        <i val="0"/>
        <strike val="0"/>
        <condense val="0"/>
        <extend val="0"/>
        <outline val="0"/>
        <shadow val="0"/>
        <u val="none"/>
        <vertAlign val="baseline"/>
        <sz val="10"/>
        <color auto="1"/>
        <name val="Cambria"/>
        <family val="2"/>
        <scheme val="major"/>
      </font>
      <fill>
        <patternFill patternType="none">
          <fgColor indexed="64"/>
          <bgColor indexed="65"/>
        </patternFill>
      </fill>
      <alignment horizontal="left"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rgb="FF000000"/>
        <name val="Cambria"/>
        <family val="2"/>
        <scheme val="major"/>
      </font>
      <fill>
        <patternFill patternType="none">
          <fgColor indexed="64"/>
          <bgColor auto="1"/>
        </patternFill>
      </fill>
      <alignment horizontal="left"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rgb="FF000000"/>
        <name val="Cambria"/>
        <family val="2"/>
        <scheme val="major"/>
      </font>
      <fill>
        <patternFill patternType="none">
          <fgColor indexed="64"/>
          <bgColor auto="1"/>
        </patternFill>
      </fill>
      <alignment horizontal="left"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rgb="FF000000"/>
        <name val="Cambria"/>
        <family val="2"/>
        <scheme val="major"/>
      </font>
      <fill>
        <patternFill patternType="none">
          <fgColor indexed="64"/>
          <bgColor auto="1"/>
        </patternFill>
      </fill>
      <alignment horizontal="left"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sz val="10"/>
        <color rgb="FF000000"/>
        <name val="Cambria"/>
        <family val="2"/>
        <scheme val="major"/>
      </font>
      <fill>
        <patternFill patternType="none">
          <fgColor indexed="64"/>
          <bgColor auto="1"/>
        </patternFill>
      </fill>
      <alignment horizontal="left"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rgb="FF000000"/>
        <name val="Cambria"/>
        <family val="2"/>
        <scheme val="major"/>
      </font>
      <fill>
        <patternFill patternType="none">
          <fgColor indexed="64"/>
          <bgColor auto="1"/>
        </patternFill>
      </fill>
      <alignment horizontal="left"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rgb="FF000000"/>
        <name val="Cambria"/>
        <family val="2"/>
        <scheme val="major"/>
      </font>
      <fill>
        <patternFill patternType="none">
          <fgColor indexed="64"/>
          <bgColor auto="1"/>
        </patternFill>
      </fill>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thin">
          <color rgb="FF000000"/>
        </left>
        <right style="thin">
          <color rgb="FF000000"/>
        </right>
        <top style="thin">
          <color rgb="FF000000"/>
        </top>
        <bottom style="thin">
          <color rgb="FF000000"/>
        </bottom>
      </border>
    </dxf>
    <dxf>
      <alignment horizontal="left" textRotation="0" indent="0" justifyLastLine="0" shrinkToFit="0" readingOrder="0"/>
    </dxf>
    <dxf>
      <border>
        <bottom style="thin">
          <color rgb="FF000000"/>
        </bottom>
      </border>
    </dxf>
    <dxf>
      <font>
        <b val="0"/>
        <i val="0"/>
        <strike val="0"/>
        <condense val="0"/>
        <extend val="0"/>
        <outline val="0"/>
        <shadow val="0"/>
        <u val="none"/>
        <vertAlign val="baseline"/>
        <sz val="10"/>
        <color theme="0"/>
        <name val="Calibri Light"/>
        <scheme val="none"/>
      </font>
      <fill>
        <patternFill patternType="solid">
          <fgColor rgb="FF000000"/>
          <bgColor rgb="FF44546A"/>
        </patternFill>
      </fill>
      <alignment horizontal="left" vertical="center" textRotation="0" wrapText="1" indent="0" justifyLastLine="0" shrinkToFit="0" readingOrder="0"/>
      <border diagonalUp="0" diagonalDown="0" outline="0">
        <left style="thin">
          <color indexed="64"/>
        </left>
        <right style="thin">
          <color indexed="64"/>
        </right>
        <top/>
        <bottom/>
      </border>
    </dxf>
    <dxf>
      <border>
        <left style="thin">
          <color theme="4"/>
        </left>
      </border>
    </dxf>
    <dxf>
      <border>
        <left style="thin">
          <color theme="4"/>
        </left>
      </border>
    </dxf>
    <dxf>
      <border>
        <top style="thin">
          <color theme="4"/>
        </top>
      </border>
    </dxf>
    <dxf>
      <border>
        <top style="thin">
          <color theme="4"/>
        </top>
      </border>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vertical style="thin">
          <color theme="4"/>
        </vertical>
        <horizontal style="thin">
          <color theme="4"/>
        </horizontal>
      </border>
    </dxf>
    <dxf>
      <font>
        <b/>
        <color theme="1"/>
      </font>
      <border>
        <bottom style="thin">
          <color rgb="FF4F81BD"/>
        </bottom>
        <vertical/>
        <horizontal/>
      </border>
    </dxf>
    <dxf>
      <font>
        <color theme="1"/>
      </font>
      <fill>
        <patternFill patternType="solid">
          <bgColor auto="1"/>
        </patternFill>
      </fill>
      <border diagonalUp="0" diagonalDown="0">
        <left/>
        <right/>
        <top/>
        <bottom/>
        <vertical/>
        <horizontal/>
      </border>
    </dxf>
  </dxfs>
  <tableStyles count="3" defaultTableStyle="TableStyleMedium9" defaultPivotStyle="PivotStyleLight16">
    <tableStyle name="No out Border" pivot="0" table="0" count="2" xr9:uid="{2772E195-271E-4041-B3F7-D1F66D82F4BC}">
      <tableStyleElement type="wholeTable" dxfId="46"/>
      <tableStyleElement type="headerRow" dxfId="45"/>
    </tableStyle>
    <tableStyle name="TableStyleLight9 2 plus grid" pivot="0" count="9" xr9:uid="{E5C176C4-A67B-4E98-A689-92E32D68C8F3}">
      <tableStyleElement type="wholeTable" dxfId="44"/>
      <tableStyleElement type="headerRow" dxfId="43"/>
      <tableStyleElement type="totalRow" dxfId="42"/>
      <tableStyleElement type="firstColumn" dxfId="41"/>
      <tableStyleElement type="lastColumn" dxfId="40"/>
      <tableStyleElement type="firstRowStripe" dxfId="39"/>
      <tableStyleElement type="secondRowStripe" dxfId="38"/>
      <tableStyleElement type="firstColumnStripe" dxfId="37"/>
      <tableStyleElement type="secondColumnStripe" dxfId="36"/>
    </tableStyle>
    <tableStyle name="Invisible" pivot="0" table="0" count="0" xr9:uid="{272213AE-9F17-414B-B3B8-F5E00A8EB90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US" sz="1200" b="1">
                <a:solidFill>
                  <a:schemeClr val="tx1"/>
                </a:solidFill>
              </a:rPr>
              <a:t>Allocation Summary By Headcount</a:t>
            </a:r>
          </a:p>
        </c:rich>
      </c:tx>
      <c:layout>
        <c:manualLayout>
          <c:xMode val="edge"/>
          <c:yMode val="edge"/>
          <c:x val="0.26943865887731777"/>
          <c:y val="3.0107526881720432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'FTE Summary'!$I$3</c:f>
              <c:strCache>
                <c:ptCount val="1"/>
                <c:pt idx="0">
                  <c:v>Philips Employees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'FTE Summary'!$H$4:$H$9</c:f>
              <c:strCache>
                <c:ptCount val="6"/>
                <c:pt idx="0">
                  <c:v>Allocated to projects</c:v>
                </c:pt>
                <c:pt idx="1">
                  <c:v>Training</c:v>
                </c:pt>
                <c:pt idx="2">
                  <c:v>Funnel Activity</c:v>
                </c:pt>
                <c:pt idx="3">
                  <c:v>Long Leave</c:v>
                </c:pt>
                <c:pt idx="4">
                  <c:v>Events</c:v>
                </c:pt>
                <c:pt idx="5">
                  <c:v>Zero Allocate</c:v>
                </c:pt>
              </c:strCache>
            </c:strRef>
          </c:cat>
          <c:val>
            <c:numRef>
              <c:f>'FTE Summary'!$I$4:$I$9</c:f>
              <c:numCache>
                <c:formatCode>General</c:formatCode>
                <c:ptCount val="6"/>
                <c:pt idx="0" formatCode="0">
                  <c:v>427</c:v>
                </c:pt>
                <c:pt idx="1">
                  <c:v>25</c:v>
                </c:pt>
                <c:pt idx="2">
                  <c:v>44</c:v>
                </c:pt>
                <c:pt idx="3">
                  <c:v>3</c:v>
                </c:pt>
                <c:pt idx="4">
                  <c:v>0</c:v>
                </c:pt>
                <c:pt idx="5">
                  <c:v>59</c:v>
                </c:pt>
              </c:numCache>
            </c:numRef>
          </c:val>
          <c:extLst>
            <c:ext xmlns:c16="http://schemas.microsoft.com/office/drawing/2014/chart" uri="{C3380CC4-5D6E-409C-BE32-E72D297353CC}">
              <c16:uniqueId val="{00000000-7C4F-4B2D-86E6-36264CDE4F50}"/>
            </c:ext>
          </c:extLst>
        </c:ser>
        <c:ser>
          <c:idx val="1"/>
          <c:order val="1"/>
          <c:tx>
            <c:strRef>
              <c:f>'FTE Summary'!$J$3</c:f>
              <c:strCache>
                <c:ptCount val="1"/>
                <c:pt idx="0">
                  <c:v>Contingent Employee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'FTE Summary'!$H$4:$H$9</c:f>
              <c:strCache>
                <c:ptCount val="6"/>
                <c:pt idx="0">
                  <c:v>Allocated to projects</c:v>
                </c:pt>
                <c:pt idx="1">
                  <c:v>Training</c:v>
                </c:pt>
                <c:pt idx="2">
                  <c:v>Funnel Activity</c:v>
                </c:pt>
                <c:pt idx="3">
                  <c:v>Long Leave</c:v>
                </c:pt>
                <c:pt idx="4">
                  <c:v>Events</c:v>
                </c:pt>
                <c:pt idx="5">
                  <c:v>Zero Allocate</c:v>
                </c:pt>
              </c:strCache>
            </c:strRef>
          </c:cat>
          <c:val>
            <c:numRef>
              <c:f>'FTE Summary'!$J$4:$J$9</c:f>
              <c:numCache>
                <c:formatCode>General</c:formatCode>
                <c:ptCount val="6"/>
                <c:pt idx="0">
                  <c:v>23</c:v>
                </c:pt>
                <c:pt idx="1">
                  <c:v>1</c:v>
                </c:pt>
                <c:pt idx="2">
                  <c:v>0</c:v>
                </c:pt>
                <c:pt idx="3">
                  <c:v>0</c:v>
                </c:pt>
                <c:pt idx="4">
                  <c:v>0</c:v>
                </c:pt>
                <c:pt idx="5">
                  <c:v>84</c:v>
                </c:pt>
              </c:numCache>
            </c:numRef>
          </c:val>
          <c:extLst>
            <c:ext xmlns:c16="http://schemas.microsoft.com/office/drawing/2014/chart" uri="{C3380CC4-5D6E-409C-BE32-E72D297353CC}">
              <c16:uniqueId val="{00000001-7C4F-4B2D-86E6-36264CDE4F50}"/>
            </c:ext>
          </c:extLst>
        </c:ser>
        <c:dLbls>
          <c:showLegendKey val="0"/>
          <c:showVal val="0"/>
          <c:showCatName val="0"/>
          <c:showSerName val="0"/>
          <c:showPercent val="0"/>
          <c:showBubbleSize val="0"/>
        </c:dLbls>
        <c:gapWidth val="219"/>
        <c:overlap val="-27"/>
        <c:axId val="959824352"/>
        <c:axId val="641225920"/>
      </c:barChart>
      <c:catAx>
        <c:axId val="959824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641225920"/>
        <c:crosses val="autoZero"/>
        <c:auto val="1"/>
        <c:lblAlgn val="ctr"/>
        <c:lblOffset val="100"/>
        <c:noMultiLvlLbl val="0"/>
      </c:catAx>
      <c:valAx>
        <c:axId val="64122592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824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b="1"/>
              <a:t>Headcount</a:t>
            </a:r>
            <a:r>
              <a:rPr lang="en-US" b="1" baseline="0"/>
              <a:t> Vs Allocation</a:t>
            </a:r>
            <a:endParaRPr lang="en-US" b="1"/>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'FTE Summary'!$A$4</c:f>
              <c:strCache>
                <c:ptCount val="1"/>
                <c:pt idx="0">
                  <c:v>Onboard Employees</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'FTE Summary'!$B$3:$C$3</c:f>
              <c:strCache>
                <c:ptCount val="2"/>
                <c:pt idx="0">
                  <c:v>Philips Employees</c:v>
                </c:pt>
                <c:pt idx="1">
                  <c:v>Contingent Employee</c:v>
                </c:pt>
              </c:strCache>
            </c:strRef>
          </c:cat>
          <c:val>
            <c:numRef>
              <c:f>'FTE Summary'!$B$4:$C$4</c:f>
              <c:numCache>
                <c:formatCode>General</c:formatCode>
                <c:ptCount val="2"/>
                <c:pt idx="0">
                  <c:v>539</c:v>
                </c:pt>
                <c:pt idx="1">
                  <c:v>107</c:v>
                </c:pt>
              </c:numCache>
            </c:numRef>
          </c:val>
          <c:extLst>
            <c:ext xmlns:c16="http://schemas.microsoft.com/office/drawing/2014/chart" uri="{C3380CC4-5D6E-409C-BE32-E72D297353CC}">
              <c16:uniqueId val="{00000000-3F3A-48C5-8312-E20F99DA9FD0}"/>
            </c:ext>
          </c:extLst>
        </c:ser>
        <c:ser>
          <c:idx val="1"/>
          <c:order val="1"/>
          <c:tx>
            <c:strRef>
              <c:f>'FTE Summary'!$A$5</c:f>
              <c:strCache>
                <c:ptCount val="1"/>
                <c:pt idx="0">
                  <c:v>Allocated Employees</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'FTE Summary'!$B$3:$C$3</c:f>
              <c:strCache>
                <c:ptCount val="2"/>
                <c:pt idx="0">
                  <c:v>Philips Employees</c:v>
                </c:pt>
                <c:pt idx="1">
                  <c:v>Contingent Employee</c:v>
                </c:pt>
              </c:strCache>
            </c:strRef>
          </c:cat>
          <c:val>
            <c:numRef>
              <c:f>'FTE Summary'!$B$5:$C$5</c:f>
              <c:numCache>
                <c:formatCode>General</c:formatCode>
                <c:ptCount val="2"/>
                <c:pt idx="0">
                  <c:v>406</c:v>
                </c:pt>
                <c:pt idx="1">
                  <c:v>23</c:v>
                </c:pt>
              </c:numCache>
            </c:numRef>
          </c:val>
          <c:extLst>
            <c:ext xmlns:c16="http://schemas.microsoft.com/office/drawing/2014/chart" uri="{C3380CC4-5D6E-409C-BE32-E72D297353CC}">
              <c16:uniqueId val="{00000001-3F3A-48C5-8312-E20F99DA9FD0}"/>
            </c:ext>
          </c:extLst>
        </c:ser>
        <c:ser>
          <c:idx val="2"/>
          <c:order val="2"/>
          <c:tx>
            <c:strRef>
              <c:f>'FTE Summary'!$A$6</c:f>
              <c:strCache>
                <c:ptCount val="1"/>
                <c:pt idx="0">
                  <c:v>Allocated Resource Amount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'FTE Summary'!$B$3:$C$3</c:f>
              <c:strCache>
                <c:ptCount val="2"/>
                <c:pt idx="0">
                  <c:v>Philips Employees</c:v>
                </c:pt>
                <c:pt idx="1">
                  <c:v>Contingent Employee</c:v>
                </c:pt>
              </c:strCache>
            </c:strRef>
          </c:cat>
          <c:val>
            <c:numRef>
              <c:f>'FTE Summary'!$B$6:$C$6</c:f>
              <c:numCache>
                <c:formatCode>0</c:formatCode>
                <c:ptCount val="2"/>
                <c:pt idx="0">
                  <c:v>379.8</c:v>
                </c:pt>
                <c:pt idx="1">
                  <c:v>22.8</c:v>
                </c:pt>
              </c:numCache>
            </c:numRef>
          </c:val>
          <c:extLst>
            <c:ext xmlns:c16="http://schemas.microsoft.com/office/drawing/2014/chart" uri="{C3380CC4-5D6E-409C-BE32-E72D297353CC}">
              <c16:uniqueId val="{00000003-3F3A-48C5-8312-E20F99DA9FD0}"/>
            </c:ext>
          </c:extLst>
        </c:ser>
        <c:dLbls>
          <c:showLegendKey val="0"/>
          <c:showVal val="0"/>
          <c:showCatName val="0"/>
          <c:showSerName val="0"/>
          <c:showPercent val="0"/>
          <c:showBubbleSize val="0"/>
        </c:dLbls>
        <c:gapWidth val="150"/>
        <c:axId val="950746240"/>
        <c:axId val="477095264"/>
      </c:barChart>
      <c:catAx>
        <c:axId val="950746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477095264"/>
        <c:crosses val="autoZero"/>
        <c:auto val="1"/>
        <c:lblAlgn val="ctr"/>
        <c:lblOffset val="100"/>
        <c:noMultiLvlLbl val="0"/>
      </c:catAx>
      <c:valAx>
        <c:axId val="4770952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9507462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solidFill>
              </a:rPr>
              <a:t>FTE Amount Summary - Philips Employees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'FTE Summary'!$P$3</c:f>
              <c:strCache>
                <c:ptCount val="1"/>
                <c:pt idx="0">
                  <c:v>Philips Employees</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'FTE Summary'!$O$4:$O$8</c:f>
              <c:strCache>
                <c:ptCount val="5"/>
                <c:pt idx="0">
                  <c:v>Allocated to projects</c:v>
                </c:pt>
                <c:pt idx="1">
                  <c:v>Training</c:v>
                </c:pt>
                <c:pt idx="2">
                  <c:v>Funnel Activity</c:v>
                </c:pt>
                <c:pt idx="3">
                  <c:v>Long Leave</c:v>
                </c:pt>
                <c:pt idx="4">
                  <c:v>Events</c:v>
                </c:pt>
              </c:strCache>
            </c:strRef>
          </c:cat>
          <c:val>
            <c:numRef>
              <c:f>'FTE Summary'!$P$4:$P$8</c:f>
              <c:numCache>
                <c:formatCode>General</c:formatCode>
                <c:ptCount val="5"/>
                <c:pt idx="0" formatCode="0">
                  <c:v>400.11</c:v>
                </c:pt>
                <c:pt idx="1">
                  <c:v>9.5500000000000007</c:v>
                </c:pt>
                <c:pt idx="2">
                  <c:v>25.9</c:v>
                </c:pt>
                <c:pt idx="3">
                  <c:v>0</c:v>
                </c:pt>
                <c:pt idx="4">
                  <c:v>0</c:v>
                </c:pt>
              </c:numCache>
            </c:numRef>
          </c:val>
          <c:extLst>
            <c:ext xmlns:c16="http://schemas.microsoft.com/office/drawing/2014/chart" uri="{C3380CC4-5D6E-409C-BE32-E72D297353CC}">
              <c16:uniqueId val="{00000000-9C95-47DB-B057-5606E884C90A}"/>
            </c:ext>
          </c:extLst>
        </c:ser>
        <c:dLbls>
          <c:showLegendKey val="0"/>
          <c:showVal val="0"/>
          <c:showCatName val="0"/>
          <c:showSerName val="0"/>
          <c:showPercent val="0"/>
          <c:showBubbleSize val="0"/>
        </c:dLbls>
        <c:gapWidth val="150"/>
        <c:axId val="553504944"/>
        <c:axId val="477093344"/>
      </c:barChart>
      <c:catAx>
        <c:axId val="5535049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477093344"/>
        <c:crosses val="autoZero"/>
        <c:auto val="1"/>
        <c:lblAlgn val="ctr"/>
        <c:lblOffset val="100"/>
        <c:noMultiLvlLbl val="0"/>
      </c:catAx>
      <c:valAx>
        <c:axId val="477093344"/>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504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200" b="1">
                <a:solidFill>
                  <a:schemeClr val="tx1"/>
                </a:solidFill>
              </a:rPr>
              <a:t>Resources Vs Project Allocation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'FTE Summary'!$B$21</c:f>
              <c:strCache>
                <c:ptCount val="1"/>
                <c:pt idx="0">
                  <c:v>FTE Amount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'FTE Summary'!$A$22:$A$25</c:f>
              <c:strCache>
                <c:ptCount val="4"/>
                <c:pt idx="0">
                  <c:v>Allocation = 1</c:v>
                </c:pt>
                <c:pt idx="1">
                  <c:v>Allocation &gt; 1</c:v>
                </c:pt>
                <c:pt idx="2">
                  <c:v>Allocation &lt; 1</c:v>
                </c:pt>
                <c:pt idx="3">
                  <c:v>Resources Vs Total Allocation</c:v>
                </c:pt>
              </c:strCache>
            </c:strRef>
          </c:cat>
          <c:val>
            <c:numRef>
              <c:f>'FTE Summary'!$B$22:$B$25</c:f>
              <c:numCache>
                <c:formatCode>0</c:formatCode>
                <c:ptCount val="4"/>
                <c:pt idx="0">
                  <c:v>327</c:v>
                </c:pt>
                <c:pt idx="1">
                  <c:v>17.510000000000002</c:v>
                </c:pt>
                <c:pt idx="2">
                  <c:v>55.6</c:v>
                </c:pt>
                <c:pt idx="3" formatCode="0.0">
                  <c:v>400.11</c:v>
                </c:pt>
              </c:numCache>
            </c:numRef>
          </c:val>
          <c:extLst>
            <c:ext xmlns:c16="http://schemas.microsoft.com/office/drawing/2014/chart" uri="{C3380CC4-5D6E-409C-BE32-E72D297353CC}">
              <c16:uniqueId val="{00000000-E2F5-450E-A372-10AB6F958C63}"/>
            </c:ext>
          </c:extLst>
        </c:ser>
        <c:dLbls>
          <c:showLegendKey val="0"/>
          <c:showVal val="0"/>
          <c:showCatName val="0"/>
          <c:showSerName val="0"/>
          <c:showPercent val="0"/>
          <c:showBubbleSize val="0"/>
        </c:dLbls>
        <c:gapWidth val="150"/>
        <c:overlap val="100"/>
        <c:axId val="1495938448"/>
        <c:axId val="462289392"/>
      </c:barChart>
      <c:lineChart>
        <c:grouping val="standard"/>
        <c:varyColors val="0"/>
        <c:ser>
          <c:idx val="1"/>
          <c:order val="1"/>
          <c:tx>
            <c:strRef>
              <c:f>'FTE Summary'!$C$21</c:f>
              <c:strCache>
                <c:ptCount val="1"/>
                <c:pt idx="0">
                  <c:v>#Resources</c:v>
                </c:pt>
              </c:strCache>
            </c:strRef>
          </c:tx>
          <c:spPr>
            <a:ln w="28575" cap="rnd">
              <a:solidFill>
                <a:schemeClr val="accent2"/>
              </a:solidFill>
              <a:round/>
            </a:ln>
            <a:effectLst/>
          </c:spPr>
          <c:marker>
            <c:symbol val="none"/>
          </c:marker>
          <c:dLbls>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'FTE Summary'!$A$22:$A$25</c:f>
              <c:strCache>
                <c:ptCount val="4"/>
                <c:pt idx="0">
                  <c:v>Allocation = 1</c:v>
                </c:pt>
                <c:pt idx="1">
                  <c:v>Allocation &gt; 1</c:v>
                </c:pt>
                <c:pt idx="2">
                  <c:v>Allocation &lt; 1</c:v>
                </c:pt>
                <c:pt idx="3">
                  <c:v>Resources Vs Total Allocation</c:v>
                </c:pt>
              </c:strCache>
            </c:strRef>
          </c:cat>
          <c:val>
            <c:numRef>
              <c:f>'FTE Summary'!$C$22:$C$25</c:f>
              <c:numCache>
                <c:formatCode>0</c:formatCode>
                <c:ptCount val="4"/>
                <c:pt idx="0">
                  <c:v>327</c:v>
                </c:pt>
                <c:pt idx="1">
                  <c:v>13</c:v>
                </c:pt>
                <c:pt idx="2">
                  <c:v>87</c:v>
                </c:pt>
                <c:pt idx="3" formatCode="0.0">
                  <c:v>427</c:v>
                </c:pt>
              </c:numCache>
            </c:numRef>
          </c:val>
          <c:smooth val="0"/>
          <c:extLst>
            <c:ext xmlns:c16="http://schemas.microsoft.com/office/drawing/2014/chart" uri="{C3380CC4-5D6E-409C-BE32-E72D297353CC}">
              <c16:uniqueId val="{00000001-E2F5-450E-A372-10AB6F958C63}"/>
            </c:ext>
          </c:extLst>
        </c:ser>
        <c:dLbls>
          <c:showLegendKey val="0"/>
          <c:showVal val="0"/>
          <c:showCatName val="0"/>
          <c:showSerName val="0"/>
          <c:showPercent val="0"/>
          <c:showBubbleSize val="0"/>
        </c:dLbls>
        <c:marker val="1"/>
        <c:smooth val="0"/>
        <c:axId val="1495938448"/>
        <c:axId val="462289392"/>
      </c:lineChart>
      <c:catAx>
        <c:axId val="1495938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462289392"/>
        <c:crosses val="autoZero"/>
        <c:auto val="1"/>
        <c:lblAlgn val="ctr"/>
        <c:lblOffset val="100"/>
        <c:noMultiLvlLbl val="0"/>
      </c:catAx>
      <c:valAx>
        <c:axId val="46228939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9384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303391</xdr:colOff>
      <xdr:row>1</xdr:row>
      <xdr:rowOff>98781</xdr:rowOff>
    </xdr:from>
    <xdr:to>
      <xdr:col>13</xdr:col>
      <xdr:colOff>309741</xdr:colOff>
      <xdr:row>17</xdr:row>
      <xdr:rowOff>127002</xdr:rowOff>
    </xdr:to>
    <xdr:graphicFrame macro="">
      <xdr:nvGraphicFramePr>
        <xdr:cNvPr id="3" name="Chart 2">
          <a:extLst>
            <a:ext uri="{FF2B5EF4-FFF2-40B4-BE49-F238E27FC236}">
              <a16:creationId xmlns:a16="http://schemas.microsoft.com/office/drawing/2014/main" id="{3E41EB7C-5712-CA39-0F7C-07E45A3A0F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7</xdr:row>
      <xdr:rowOff>28225</xdr:rowOff>
    </xdr:from>
    <xdr:to>
      <xdr:col>6</xdr:col>
      <xdr:colOff>254000</xdr:colOff>
      <xdr:row>23</xdr:row>
      <xdr:rowOff>56444</xdr:rowOff>
    </xdr:to>
    <xdr:graphicFrame macro="">
      <xdr:nvGraphicFramePr>
        <xdr:cNvPr id="4" name="Chart 3">
          <a:extLst>
            <a:ext uri="{FF2B5EF4-FFF2-40B4-BE49-F238E27FC236}">
              <a16:creationId xmlns:a16="http://schemas.microsoft.com/office/drawing/2014/main" id="{28E0A05D-5650-DE22-2784-635917043F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342897</xdr:colOff>
      <xdr:row>1</xdr:row>
      <xdr:rowOff>77609</xdr:rowOff>
    </xdr:from>
    <xdr:to>
      <xdr:col>21</xdr:col>
      <xdr:colOff>241297</xdr:colOff>
      <xdr:row>17</xdr:row>
      <xdr:rowOff>105830</xdr:rowOff>
    </xdr:to>
    <xdr:graphicFrame macro="">
      <xdr:nvGraphicFramePr>
        <xdr:cNvPr id="6" name="Chart 5">
          <a:extLst>
            <a:ext uri="{FF2B5EF4-FFF2-40B4-BE49-F238E27FC236}">
              <a16:creationId xmlns:a16="http://schemas.microsoft.com/office/drawing/2014/main" id="{E992E98E-93EA-F396-4D39-5EADE27A9C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19</xdr:row>
      <xdr:rowOff>35279</xdr:rowOff>
    </xdr:from>
    <xdr:to>
      <xdr:col>6</xdr:col>
      <xdr:colOff>246944</xdr:colOff>
      <xdr:row>32</xdr:row>
      <xdr:rowOff>10584</xdr:rowOff>
    </xdr:to>
    <xdr:graphicFrame macro="">
      <xdr:nvGraphicFramePr>
        <xdr:cNvPr id="7" name="Chart 1">
          <a:extLst>
            <a:ext uri="{FF2B5EF4-FFF2-40B4-BE49-F238E27FC236}">
              <a16:creationId xmlns:a16="http://schemas.microsoft.com/office/drawing/2014/main" id="{6377CBFD-C8AF-4986-B172-6FEB4D7AC1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D5C72382-2CBA-4C83-8C21-35627A448FE9}"/>
</namedSheetViews>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exportFteData%20-%20Copy.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wasrao, Dhanashree Subhash" refreshedDate="45188.495361574074" createdVersion="8" refreshedVersion="8" minRefreshableVersion="3" recordCount="1277" xr:uid="{5AF00D67-B265-43E9-910A-C8FE680FB495}">
  <cacheSource type="worksheet">
    <worksheetSource ref="A1:T1278" sheet="exportFteData_Aug" r:id="rId2"/>
  </cacheSource>
  <cacheFields count="20">
    <cacheField name="ProjectID" numFmtId="0">
      <sharedItems containsMixedTypes="1" containsNumber="1" containsInteger="1" minValue="5382" maxValue="269503"/>
    </cacheField>
    <cacheField name="STET POC" numFmtId="0">
      <sharedItems/>
    </cacheField>
    <cacheField name="ProjectName" numFmtId="0">
      <sharedItems longText="1"/>
    </cacheField>
    <cacheField name="Directors" numFmtId="0">
      <sharedItems/>
    </cacheField>
    <cacheField name="ProgramManagerID" numFmtId="0">
      <sharedItems containsBlank="1"/>
    </cacheField>
    <cacheField name="ProcurementType" numFmtId="0">
      <sharedItems/>
    </cacheField>
    <cacheField name="ProjectTypeName" numFmtId="0">
      <sharedItems/>
    </cacheField>
    <cacheField name="SavingsCategoryName" numFmtId="0">
      <sharedItems/>
    </cacheField>
    <cacheField name="CommodityName" numFmtId="0">
      <sharedItems/>
    </cacheField>
    <cacheField name="BuName" numFmtId="0">
      <sharedItems/>
    </cacheField>
    <cacheField name="ClusterName" numFmtId="0">
      <sharedItems count="5">
        <s v="PD"/>
        <s v="CC"/>
        <s v="PH"/>
        <s v="IGT"/>
        <s v="L&amp;A"/>
      </sharedItems>
    </cacheField>
    <cacheField name="PhaseName" numFmtId="0">
      <sharedItems/>
    </cacheField>
    <cacheField name="ResourceAmount" numFmtId="0">
      <sharedItems containsSemiMixedTypes="0" containsString="0" containsNumber="1" minValue="1E-3" maxValue="1"/>
    </cacheField>
    <cacheField name="FTE" numFmtId="0">
      <sharedItems count="492">
        <s v="Wei Zhao"/>
        <s v="Xia Ling Zhang"/>
        <s v="Padmaraju Uppe"/>
        <s v="Dheeraj Kumar"/>
        <s v="Dineshkumar Dhanapal"/>
        <s v="Praveen Shetty"/>
        <s v="Pritesh Mehta"/>
        <s v="Raghavendra Gaonkar"/>
        <s v="Raghunath S"/>
        <s v="Rajesh Murali"/>
        <s v="Ramesh Anand"/>
        <s v="Yuan Xu"/>
        <s v="Jun Chi"/>
        <s v="Hao Xu (Bob)"/>
        <s v="Soundararajan Mylswamy"/>
        <s v="Sreekumar M"/>
        <s v="Suyamburaj Moorthilingam"/>
        <s v="Deepshikha Singh"/>
        <s v="Pankaj Chaudhari"/>
        <s v="Chuanjing Xiao (Tiger)"/>
        <s v="Bo Song"/>
        <s v="Shijun Ren (Leon)"/>
        <s v="Swathi Shivaji Neemkar"/>
        <s v="Hongxu Jiang (Johnson)"/>
        <s v="Fei Cai (Fred)"/>
        <s v="Jianjun Chen (JJ)"/>
        <s v="Sha sha Shi"/>
        <s v="Tukaram Dahiphale"/>
        <s v="Kiruba S"/>
        <s v="Dayal Mirthinti"/>
        <s v="Sampreet Arakeri"/>
        <s v="James Pan"/>
        <s v="Mahesh Dhumal"/>
        <s v="Ajay Singh"/>
        <s v="Anjali Nigam"/>
        <s v="Saurabh Uttarwa"/>
        <s v="Rakesh Bedse"/>
        <s v="Xinyu Liang (Allen)"/>
        <s v="Virgilio Arras Gutiérrez"/>
        <s v="Sanjeev Kumar"/>
        <s v="Ishan Gupta"/>
        <s v="Poornima N"/>
        <s v="Reenarani Panda"/>
        <s v="Marco Albarran Guerrero"/>
        <s v="Albert Huang"/>
        <s v="Anjan Puttu Naik"/>
        <s v="Ashvini Shantaram Londhe"/>
        <s v="Fancy Wu"/>
        <s v="Freddy Yan"/>
        <s v="Hai Feng XIN"/>
        <s v="Heather Wang"/>
        <s v="Karen Yu"/>
        <s v="Kartik Shivaji Bhavale"/>
        <s v="Kenny Yu"/>
        <s v="Naved Syed"/>
        <s v="Paraschiv Boier"/>
        <s v="Pawel Gacia"/>
        <s v="Sagar Pekhale"/>
        <s v="Snehal Nalgirkar"/>
        <s v="Vishal Hande"/>
        <s v="Anil C S"/>
        <s v="Alec Benton"/>
        <s v="Sachin Prabhat Chavan"/>
        <s v="Krishnakumar Rangasamy"/>
        <s v="Sandip Savale"/>
        <s v="Lijie Wang (Jackie)"/>
        <s v="Sagar Toragal"/>
        <s v="Vaishnavi Langar"/>
        <s v="Suvidha Dhananjay Patil"/>
        <s v="Rathnam Srichurnam"/>
        <s v="Purnendu Jena"/>
        <s v="Riddin Chackalackal"/>
        <s v="Joey Roney"/>
        <s v="Mark Lewandowski"/>
        <s v="Maria Jackson"/>
        <s v="Jessica Palmer"/>
        <s v="Jack Dougherty"/>
        <s v="Fred Dolloff"/>
        <s v="Victor De Bellis"/>
        <s v="Hariprasad K"/>
        <s v="Nick Oldakowski"/>
        <s v="Steve Scurria"/>
        <s v="Tao Liu (Thomas)"/>
        <s v="Changgang Zou (Jeffrey)"/>
        <s v="Yazhou Wu (Tom)"/>
        <s v="Chandrasekhar Panneeti"/>
        <s v="Haseed Ahmed"/>
        <s v="Kishor Patra"/>
        <s v="Pradip Bansode"/>
        <s v="Shankar Murthy N"/>
        <s v="Mudassar Inamdar"/>
        <s v="Snehal Radhakrishan Kulkarni"/>
        <s v="Suyash Sanghavi"/>
        <s v="Laxman Thorat"/>
        <s v="Tianle Xue (Taylor)"/>
        <s v="Weibing Shao (Andy)"/>
        <s v="Xiaoqin Wu (Anna)"/>
        <s v="Nikhil Jangid"/>
        <s v="Changping Shi"/>
        <s v="Xuguang Wang (Devy)"/>
        <s v="Rajakumaran R"/>
        <s v="Pooja Vishwakarma"/>
        <s v="Rajkumar Hiralal Gokharu"/>
        <s v="Monish Kumar I"/>
        <s v="Mrunal Darne"/>
        <s v="Adrianna Davis"/>
        <s v="Shiv Kumar"/>
        <s v="Velagaleti Koteshwar Prasad"/>
        <s v="Ankush Chandak"/>
        <s v="Neha Tharwal"/>
        <s v="Saurabh Khedkar"/>
        <s v="Vijayaragavan Rajendran"/>
        <s v="Gitimaya Behera"/>
        <s v="Fabian Bartel"/>
        <s v="Neeraj Chhabra"/>
        <s v="Amol Ravindra Balkawade"/>
        <s v="Prasad Joshi"/>
        <s v="Noah Hugunine"/>
        <s v="Kiran Kumar Pydisetti"/>
        <s v="Fatima Shaikh"/>
        <s v="Ruhi Abhyuday Chauhan"/>
        <s v="Nikhil anil Bhalerao"/>
        <s v="Rajesh Yadav"/>
        <s v="Pramila Mote"/>
        <s v="Aveen Kumar Dasari"/>
        <s v="Pooja Singh"/>
        <s v="Deepak Jangid"/>
        <s v="Mahalakshmi Gompa"/>
        <s v="Srikanth Thummati"/>
        <s v="Laxmikant Yaragudri"/>
        <s v="Ganesh Mathur"/>
        <s v="Kiran kumar Allaka"/>
        <s v="Sunil Dalvi"/>
        <s v="Rashmi Khawale"/>
        <s v="Adarsh Shrivastava"/>
        <s v="Kevin Wolter"/>
        <s v="Shivprakash Chivati"/>
        <s v="Shreyas V Koushik"/>
        <s v="Kamal Singh"/>
        <s v="Sanjay K Rudraswamy"/>
        <s v="Sonam Nikam"/>
        <s v="Vinayak Vilas Kulkarni"/>
        <s v="Adarsh Hanjar"/>
        <s v="Momin Khan"/>
        <s v="Ashwini Jibhkate"/>
        <s v="Jiashun LI (Aaron)"/>
        <s v="Weibing Xu (Alex)"/>
        <s v="Qiong Fang (Amy)"/>
        <s v="Xueping Li (Andy)"/>
        <s v="Dongfang Zhu(Ailin)"/>
        <s v="Fan Li"/>
        <s v="Guo Shuai Cheng (Gershon)"/>
        <s v="Guojie Ma (James)"/>
        <s v="Haibo Zhao"/>
        <s v="Jianhua Zhou"/>
        <s v="Jiayan Li (Michael)"/>
        <s v="Jiayi Ma (Johnny)"/>
        <s v="Jingang Zhang (Gage)"/>
        <s v="Jun Zhang"/>
        <s v="Kai Wang"/>
        <s v="Kaihua Zhu (Kalvin)"/>
        <s v="Dhanashree Vishawasrao"/>
        <s v="Lei Tang (Tommy)"/>
        <s v="Ruo Bing Cao"/>
        <s v="Dongsheng Jia (Jason)"/>
        <s v="Zhibin Wu (Jason)"/>
        <s v="Xi Wang (Jerry)"/>
        <s v="XiaoLi Zhu (Jolie)"/>
        <s v="Yuehua Zhai (Kevin)"/>
        <s v="Liang Chen"/>
        <s v="Wenping Liu (Mary)"/>
        <s v="Jian LV (Michael)"/>
        <s v="Chunyan Miao (Michael)"/>
        <s v="Shengyang Dai (Matthew)"/>
        <s v="Kun Wu (Mike)"/>
        <s v="Bingbing Song (Ryan)"/>
        <s v="Wei Zhang"/>
        <s v="Wenjie Zhao"/>
        <s v="Xiaokun Xu (Chris)"/>
        <s v="Xiaoyang Gao (Carl)"/>
        <s v="Xiayong Wang (Thomas)"/>
        <s v="Xiaoyong Chen (Valiant)"/>
        <s v="Xiumei Li (Cindy)"/>
        <s v="Tao He (Tonny)"/>
        <s v="Yanli Chen"/>
        <s v="Yanjun Wei"/>
        <s v="Yiyi Huang (Eleven)"/>
        <s v="Hao Yu (York)"/>
        <s v="Yuanxin Chen (Cory)"/>
        <s v="Zhaoqi Wang (Tony)"/>
        <s v="Zhixin Zhou (Jasmine)"/>
        <s v="Kun Wang (Richard)"/>
        <s v="Venkateswara Bellamkonda"/>
        <s v="Charles Moses"/>
        <s v="Geert Lievens"/>
        <s v="Jidhish Sidharthan"/>
        <s v="Steven Mroch"/>
        <s v="Venkatasubramanian Kallagam Swaminathan"/>
        <s v="Viraj Bhagwat"/>
        <s v="Udit Joshi"/>
        <s v="Tamaghna Sarkar"/>
        <s v="Pooja Nambiar"/>
        <s v="Tanmay Surve"/>
        <s v="Rakesh Pidugu"/>
        <s v="Mohan Suklal Ahire"/>
        <s v="Sagar Chatur"/>
        <s v="Sumit Chaware"/>
        <s v="Nikhil Bhosale"/>
        <s v="Nitesh Girase"/>
        <s v="Sowmya Nayak"/>
        <s v="Subramaniasiva Rengaswamy"/>
        <s v="Vikas Balavenkataswamy"/>
        <s v="Vindhya B.S."/>
        <s v="Anupoju Madhu"/>
        <s v="Siddarth Shetty"/>
        <s v="Supriya Mahadev Kadam"/>
        <s v="Pallavi Joshi"/>
        <s v="Penmatsa Satya Sai Manikanta Varma"/>
        <s v="Vikas Pandey"/>
        <s v="Vipul Vishwakarma"/>
        <s v="Vinod Saini"/>
        <s v="Amaravathi Madhusudhan Varma"/>
        <s v="Sabir Yusuf Shaikh"/>
        <s v="Avinash Shikalgar"/>
        <s v="Sachin Shelake"/>
        <s v="Kalyani Peddi"/>
        <s v="Swati Baikrushna Gunjal"/>
        <s v="Jitendra Patel"/>
        <s v="Vinit Devis"/>
        <s v="Silambarasan S"/>
        <s v="Sidhaiyasamy K"/>
        <s v="Sameer Girish Badhe"/>
        <s v="Himanshu Ranjan Verma"/>
        <s v="Nayana Kiran Shinde"/>
        <s v="Pushkal Singh"/>
        <s v="Sapavath Nadham"/>
        <s v="Vihung Saradar"/>
        <s v="Rahul Marwari"/>
        <s v="Karuna Naidu Garbhana"/>
        <s v="Mahaveer K Gogi"/>
        <s v="Sharwari Ashok Salunkhe"/>
        <s v="Ishtiaque Anwar Shaikh"/>
        <s v="Ritesh Kumar Kurel"/>
        <s v="Dinesh Vetal"/>
        <s v="Gaurav Alva"/>
        <s v="Aravinth Gopal"/>
        <s v="Sanket Kothekar"/>
        <s v="Chetan Deepak Puri"/>
        <s v="Yohan Mychal A"/>
        <s v="Anuja Babanrao Kale"/>
        <s v="Kulasekhar K"/>
        <s v="Anupoju Chanti"/>
        <s v="Satyam Kumar Sharma"/>
        <s v="Shrishti Singh"/>
        <s v="Abishek Dumpala"/>
        <s v="Vikram Dasharath Gawari"/>
        <s v="Mahesh Varade"/>
        <s v="Nitin Namboodri"/>
        <s v="Digvijay Singh"/>
        <s v="Abhijit Sardar Patil"/>
        <s v="Trisha Gupta"/>
        <s v="Rupali Murumkar"/>
        <s v="Bejoy Thomas"/>
        <s v="Ankit Suresh Suryawanshi"/>
        <s v="Nikita Dilip Deshmukh"/>
        <s v="Raja Pratap Bommakanti"/>
        <s v="Adabala T B M Swami Naidu"/>
        <s v="Kirti Laxman Katkar"/>
        <s v="Mahesh Ishwar Rodge"/>
        <s v="Santosh Pandurang Aiwale"/>
        <s v="Radhaprasanna Merugu"/>
        <s v="Niraj Yadav"/>
        <s v="Elton Pinto"/>
        <s v="Preffy Thomas"/>
        <s v="Bhavik Dipakbhai Panchal"/>
        <s v="Vinay kumar Srivastava"/>
        <s v="Siddhesh Uttam Chavan"/>
        <s v="Tapas Ghosh"/>
        <s v="Katepalli Sai Brahma Manikanta"/>
        <s v="Amit Shamlal Makhija"/>
        <s v="Basavaraj Sanikop"/>
        <s v="Shivkumar S Biradar"/>
        <s v="Azhar Momin"/>
        <s v="Sachin Shinde"/>
        <s v="Musunuri Shanmukha Vardhan"/>
        <s v="Amit Kumar Patel"/>
        <s v="Dinesh B Kulkarni"/>
        <s v="Arun Gopal"/>
        <s v="Anish Lale"/>
        <s v="Suraj Desai"/>
        <s v="Vidyashree MJ"/>
        <s v="Kirubakaran Palanisamy"/>
        <s v="Karthik Ramamurthy"/>
        <s v="Ravi Prabhakar Mummigatti"/>
        <s v="Kishorkumar Gopi"/>
        <s v="Mallidi Manikantha Reddy"/>
        <s v="Suvarna Avdhutwar"/>
        <s v="Shreeram Vijay Muley"/>
        <s v="Sushil Jadhav"/>
        <s v="Pawan Popat Patil"/>
        <s v="Suruchi Jain"/>
        <s v="Damodar Sarnobat"/>
        <s v="Pravin Kulkarni"/>
        <s v="Sharad Patil"/>
        <s v="Puspam Nayak"/>
        <s v="Ankush Saini"/>
        <s v="Subhankar Das"/>
        <s v="Amruta Kulkarni"/>
        <s v="Dr Anija"/>
        <s v="Nidhi Arora"/>
        <s v="Parmar Pradip Jentibhai"/>
        <s v="Souvik Sarkar"/>
        <s v="Homeshwar Prasad"/>
        <s v="Ganapathi Inumula"/>
        <s v="Chandra Bhushan Kumar"/>
        <s v="Suraj Barad"/>
        <s v="Kalyani Dede"/>
        <s v="Anjali Shringi"/>
        <s v="Sunil K"/>
        <s v="Atul Arun Ahiwale"/>
        <s v="Vijayanand Purushothaman"/>
        <s v="Pradeep Pawar"/>
        <s v="Madduri Chinnaiah"/>
        <s v="Akshay Prashant Rajadnya"/>
        <s v="Swapnil Liladhar Patil"/>
        <s v="M.V.D. Srinivas"/>
        <s v="Yash Khanwilkar"/>
        <s v="Gaurav Kumar Pal"/>
        <s v="Akash Kadam"/>
        <s v="Jagadabi Jaswanth Raju"/>
        <s v="Shashikant Patil"/>
        <s v="Kishore Sundaresan"/>
        <s v="Niranjan Kumar "/>
        <s v="Chandradisha Chandrashekhar Rai"/>
        <s v="Pushkar Kulkarni"/>
        <s v="Vinayak Waingankar"/>
        <s v="Subrata Mandal"/>
        <s v="Zeesha Shah"/>
        <s v="Bhushan Shripad Barve"/>
        <s v="Satheeshkumar Chinnaiyan"/>
        <s v="Manish Sharma"/>
        <s v="Asmita Joshi"/>
        <s v="Tushar Naik"/>
        <s v="Makarand Pandharinath Dharmadhikari"/>
        <s v="Gourav Krishna Parab"/>
        <s v="Kiran Kumar M R"/>
        <s v="Ashvin Raghunath Patil"/>
        <s v="Amol Bagul"/>
        <s v="Alok Kumar Yadav"/>
        <s v="Tejaganesh Chirunomula"/>
        <s v="Anweshaa Baruah"/>
        <s v="Prasad Dilip Sonawne"/>
        <s v="Aishwarya Akul"/>
        <s v="Shweta Garg"/>
        <s v="Shailesh Kashinath Patil"/>
        <s v="Asmita Jagtap"/>
        <s v="Atman V Dubal"/>
        <s v="Karthik Sathyanaranan"/>
        <s v="Jitesh Gala"/>
        <s v="Priyanka Bhandari"/>
        <s v="Manish Ram Saha"/>
        <s v="Abhinandan Kar"/>
        <s v="Krishnaraj Kalghatgi"/>
        <s v="Unnatee Sarjerao Parande"/>
        <s v="Gayatri Tetgure"/>
        <s v="Soundarya A"/>
        <s v="Saravana Palani"/>
        <s v="Matt Morse"/>
        <s v="Dipti Ghatge"/>
        <s v="Mahendra Pounikar"/>
        <s v="Dhanaraj Putlur Nadanasigamani"/>
        <s v="Devraj Kote"/>
        <s v="Arjun Halli"/>
        <s v="Varun Kumar Verma"/>
        <s v="Nikhil Navle"/>
        <s v="Mihir Ponkshe"/>
        <s v="Satheesh Nair"/>
        <s v="Arshad Tamboli"/>
        <s v="Kapil Gupta"/>
        <s v="Vivek Sonagra"/>
        <s v="Dileep P"/>
        <s v="Shubham Sanjay Gujar"/>
        <s v="Shreya Mohta"/>
        <s v="Arjun K R"/>
        <s v="Sharad Rayguru"/>
        <s v="Sheitej Sharma"/>
        <s v="Veeranna Virupaxi Halagatti"/>
        <s v="Lalit K"/>
        <s v="Rahul Maruti Dhokale"/>
        <s v="Tanmay Bhatt"/>
        <s v="Akash Janardhanan"/>
        <s v="Sachin Patil"/>
        <s v="Rakesh Raveendra Radder"/>
        <s v="Chiranjeevi Mirthipati"/>
        <s v="Sayali Govind Kulkarni"/>
        <s v="Mansi Ramchandra Upadhye"/>
        <s v="Manoj Laxman Chikane"/>
        <s v="Mohit Deshmukh"/>
        <s v="Priyanka Gupta"/>
        <s v="Jigneshkumar N Prajapati"/>
        <s v="Sandip Sadashiv Mule"/>
        <s v="S S Rakshitha"/>
        <s v="Rajaram Dadasaheb Patil"/>
        <s v="Pravin Birsingh Sahrawat"/>
        <s v="Shubhendu Shukla"/>
        <s v="Smita Patil"/>
        <s v="Dhanshree Bhinge"/>
        <s v="Suyash Shastri"/>
        <s v="Abhishek Patil"/>
        <s v="Michael S Fernandis"/>
        <s v="Dibyajiban Padhihari"/>
        <s v="Sneha Parekh"/>
        <s v="Rakesh C L"/>
        <s v="Samruddha Thakur"/>
        <s v="Arun Kumar"/>
        <s v="Dhumak Mrugaksha Kashiram"/>
        <s v="Shreya Vinod Tavare"/>
        <s v="Shivaraj C Havanur"/>
        <s v="Munish Inamdar"/>
        <s v="Poonam Rana"/>
        <s v="Srinath P R"/>
        <s v="Raghavendra R Palekar"/>
        <s v="Pranav R Menon"/>
        <s v="Ketaki Rao"/>
        <s v="Prashant Kumar"/>
        <s v="Shiva Shankar Reddy Sangati"/>
        <s v="Manikandan Koteeswaran"/>
        <s v="Sonal Anup Pawar"/>
        <s v="Malisetty Likhitha"/>
        <s v="Ratish Rajaram Ganve"/>
        <s v="Satish Kumar"/>
        <s v="Antima Sahu"/>
        <s v="Sankar Ramasamy"/>
        <s v="Samar Rajan Dash"/>
        <s v="Rutuja Sawant"/>
        <s v="Jaya Bhat"/>
        <s v="Kavitha Ajay"/>
        <s v="Akshatha Bhat"/>
        <s v="Parag Kulkarni"/>
        <s v="Nitin Tapase"/>
        <s v="Rajat Rokde"/>
        <s v="Chris Kvaka"/>
        <s v="Marie Rubet"/>
        <s v="Song Zhao (Sam)"/>
        <s v="Saurabh Agrawal"/>
        <s v="Sushruth Rudrachary"/>
        <s v="Samatha Reddy"/>
        <s v="Michelle Johnson"/>
        <s v="Nishant Nair"/>
        <s v="Phil Jenkins"/>
        <s v="Tim Bokelman"/>
        <s v="Amit Hande"/>
        <s v="Anand Navalagi"/>
        <s v="Joel Vargas"/>
        <s v="Mithun NS"/>
        <s v="Rajesh Kulkarni"/>
        <s v="Vivin Walter"/>
        <s v="Alok Vishambhar Dayal Pandey"/>
        <s v="Dhiraj Kumar"/>
        <s v="Mohit Chawda"/>
        <s v="Priya Prabhakar Bhujad"/>
        <s v="Sandeep Singh"/>
        <s v="Sayali Chandrakant Pingale"/>
        <s v="Vivek Narasimman"/>
        <s v="Ganesh Bhat"/>
        <s v="Manjunath Rao"/>
        <s v="Ajay Yashwant Chavan"/>
        <s v="Abhijit Sawkar"/>
        <s v="Raghavendra K S"/>
        <s v="Advait Ashokrao Patil"/>
        <s v="Rajdatta Joshi"/>
        <s v="Ramesh Bijili"/>
        <s v="Sachin Khot"/>
        <s v="Koustubh Vijay Sambhare"/>
        <s v="Mahadeshwara Prasad C"/>
        <s v="Krishna Prasad K"/>
        <s v="Fernando Amaya"/>
        <s v="Patrick Petraglia"/>
        <s v="BK Raghava"/>
        <s v="Ratheesh A"/>
        <s v="Malapati Rajasekharareddy"/>
        <s v="Ambica Jyothi Karanam"/>
        <s v="Deepak Kataruka"/>
        <s v="Ramesh Jalagam"/>
        <s v="Satish Karne"/>
        <s v="Sourabh Ghatage"/>
        <s v="Suraj Surve"/>
        <s v="Akshay Lunge"/>
        <s v="Ishwarya Mariappan"/>
        <s v="Nishita Rabha"/>
        <s v="Nutan Dinkar Patil"/>
        <s v="Gowtham Balaji"/>
      </sharedItems>
    </cacheField>
    <cacheField name="Region" numFmtId="0">
      <sharedItems/>
    </cacheField>
    <cacheField name="Tool" numFmtId="0">
      <sharedItems/>
    </cacheField>
    <cacheField name="FTE/Contingent" numFmtId="0">
      <sharedItems count="2">
        <s v="FTE"/>
        <s v="Contingent"/>
      </sharedItems>
    </cacheField>
    <cacheField name="FTE: Reporting Manager" numFmtId="0">
      <sharedItems/>
    </cacheField>
    <cacheField name="FTE:Director" numFmtId="0">
      <sharedItems count="5">
        <s v="Phil"/>
        <s v="Dan"/>
        <s v="Nishant"/>
        <s v="Tim "/>
        <s v="Vanish"/>
      </sharedItems>
    </cacheField>
    <cacheField name="Export date - 5th September 2023_x000a_Catalyst data received on 8th August 2023"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mari, Sonu" refreshedDate="46141.693952199072" createdVersion="8" refreshedVersion="8" minRefreshableVersion="3" recordCount="1271" xr:uid="{6AE1CF06-6D25-4F62-9FD5-A450CFDA316E}">
  <cacheSource type="worksheet">
    <worksheetSource ref="A2:S1057" sheet="exportFteData"/>
  </cacheSource>
  <cacheFields count="19">
    <cacheField name="ProjectID" numFmtId="0">
      <sharedItems/>
    </cacheField>
    <cacheField name="STET POC" numFmtId="0">
      <sharedItems/>
    </cacheField>
    <cacheField name="ProjectName" numFmtId="0">
      <sharedItems/>
    </cacheField>
    <cacheField name="Directors" numFmtId="0">
      <sharedItems/>
    </cacheField>
    <cacheField name="ProgramManagerID" numFmtId="0">
      <sharedItems/>
    </cacheField>
    <cacheField name="ProcurementType" numFmtId="0">
      <sharedItems/>
    </cacheField>
    <cacheField name="ProjectTypeName" numFmtId="0">
      <sharedItems/>
    </cacheField>
    <cacheField name="SavingsCategoryName" numFmtId="0">
      <sharedItems/>
    </cacheField>
    <cacheField name="CommodityName" numFmtId="0">
      <sharedItems/>
    </cacheField>
    <cacheField name="BuName" numFmtId="0">
      <sharedItems/>
    </cacheField>
    <cacheField name="ClusterName" numFmtId="0">
      <sharedItems/>
    </cacheField>
    <cacheField name="PhaseName" numFmtId="0">
      <sharedItems/>
    </cacheField>
    <cacheField name="ResourceAmount" numFmtId="0">
      <sharedItems containsSemiMixedTypes="0" containsString="0" containsNumber="1" minValue="0.05" maxValue="1"/>
    </cacheField>
    <cacheField name="FTE" numFmtId="0">
      <sharedItems count="624">
        <s v="Aaliya Shaikh"/>
        <s v="Aarya Sangle"/>
        <s v="Abhay Shivanker"/>
        <s v="Abhijit Dingare"/>
        <s v="Abhijit Raje"/>
        <s v="Abhijit Sawkar"/>
        <s v="Abhishek Bhargav Jadhav"/>
        <s v="Abhishek Patil"/>
        <s v="Abinash Kumar Bharati"/>
        <s v="Abishek Dumpala"/>
        <s v="Adarsh Hanjar"/>
        <s v="Adarsh Shrivastava"/>
        <s v="Adireddyvamsi krishna Reddy"/>
        <s v="Aditi Bhatta"/>
        <s v="Aditya Bhavsar"/>
        <s v="Aditya Kumar"/>
        <s v="Aditya Tikale"/>
        <s v="Adnan Arif"/>
        <s v="Advait Ashokrao Patil"/>
        <s v="Aishwarya Akul"/>
        <s v="Ajay M Chougale"/>
        <s v="Ajit Solankure"/>
        <s v="Ajit Wagh"/>
        <s v="Akash Deep"/>
        <s v="Akash Jadav"/>
        <s v="Akash Janardhanan"/>
        <s v="Akash Kadam"/>
        <s v="Akash Khavare"/>
        <s v="Akash Pawar"/>
        <s v="Akash Sharma"/>
        <s v="Akhil Wankhede"/>
        <s v="Akshatha S Bhat"/>
        <s v="Akshay Avadhut Devdikar"/>
        <s v="Akshay Jain"/>
        <s v="Akshay Lunge"/>
        <s v="Akshay Prashant Rajadnya"/>
        <s v="Al Pautz"/>
        <s v="Albert Huang"/>
        <s v="Alok Kumar Yadav"/>
        <s v="Alok Vishambhar Dayal Pandey"/>
        <s v="Ameya Wadiker"/>
        <s v="Amit Kumar"/>
        <s v="Amol Bagul"/>
        <s v="Amol Khejbhat"/>
        <s v="Amol Ravindra Balkawade"/>
        <s v="Amruta Kulkarni"/>
        <s v="Anand Deepak Kulkarni"/>
        <s v="Anand Jambagi"/>
        <s v="Anand Navalagi"/>
        <s v="Aniket Mitkeri"/>
        <s v="Anil C S"/>
        <s v="Anil Kambar"/>
        <s v="Anil Kumar"/>
        <s v="Anish Lale"/>
        <s v="Anjali Juikar"/>
        <s v="Anjali Nigam"/>
        <s v="Anjali Shringi"/>
        <s v="Anjan Naik"/>
        <s v="Anjana Parakhe"/>
        <s v="Antima Sahu"/>
        <s v="Anupama B"/>
        <s v="Anupoju Chanti"/>
        <s v="Anupoju Madhu"/>
        <s v="Arjun Halli"/>
        <s v="Arjun Sunar"/>
        <s v="Arun Kumar"/>
        <s v="Arunachala Arul P"/>
        <s v="AryaVeer Garg"/>
        <s v="Ashish Shinde"/>
        <s v="Ashwin Jayant Satalkar"/>
        <s v="Ashwini Jibhkate"/>
        <s v="Asif Shaikh"/>
        <s v="Asish Mondal"/>
        <s v="Asmita Bhaire"/>
        <s v="Asmita Jagtap"/>
        <s v="Asmita Joshi"/>
        <s v="Asmita Marathe"/>
        <s v="Athun Siva B"/>
        <s v="Atishkumar Sathe"/>
        <s v="Atul Arun Ahiwale"/>
        <s v="Atul Kulkarni"/>
        <s v="Avani Pitale"/>
        <s v="Aveen Kumar Dasari"/>
        <s v="Avinash Gosavi"/>
        <s v="Avinash Shikalgar"/>
        <s v="Avirup Ray"/>
        <s v="Azhar Momin"/>
        <s v="Basavaraj Sanikop"/>
        <s v="Bejoy Thomas"/>
        <s v="Bennada Deviprasad"/>
        <s v="Bhagyashri Tambe"/>
        <s v="Bhalchandra Bhosale"/>
        <s v="Bhushan Barve"/>
        <s v="Bindushree Narayanaswami"/>
        <s v="Binesh Pillai"/>
        <s v="Bingbing Song (Ryan)"/>
        <s v="BK Raghava"/>
        <s v="C Dhanvi"/>
        <s v="Chandrasekhar Panneeti"/>
        <s v="Changgang Zou (Jeffrey)"/>
        <s v="Changping Shi"/>
        <s v="Charles Moses"/>
        <s v="Cherian J Purakkary"/>
        <s v="Chetan Barve"/>
        <s v="Chetan Deepak Puri"/>
        <s v="Chetan Gade"/>
        <s v="Chetan Lohar"/>
        <s v="Chetan Mantri"/>
        <s v="Chetan ramlingappa Yalasangi"/>
        <s v="Chris Kvaka"/>
        <s v="Chris McDaniel"/>
        <s v="Chuanjing Xiao (Tiger)"/>
        <s v="Chunyan Miao (Michael)"/>
        <s v="Damodar Sarnobat"/>
        <s v="Dayal Mirthinti"/>
        <s v="Debabrata das"/>
        <s v="Deepak Kataruka"/>
        <s v="Deepak Tambe"/>
        <s v="Deepshikha Singh"/>
        <s v="Denny Varghese"/>
        <s v="Devraj Kote"/>
        <s v="Dhanshree Bhinge"/>
        <s v="Dharani Kumaresan"/>
        <s v="Dharshan Ramakrishnan"/>
        <s v="Dhiraj Kumar"/>
        <s v="Dibyajiban Padhihari"/>
        <s v="Dinesh Borapareddy"/>
        <s v="Dipesh Bhagwat"/>
        <s v="Dipti Ghatge"/>
        <s v="Dongfang Zhu(Ailin)"/>
        <s v="Dongsheng Jia (Jason)"/>
        <s v="Dylan Xu"/>
        <s v="Elton Pinto"/>
        <s v="Eshita Mandot"/>
        <s v="Fan Li"/>
        <s v="Fancy Wu"/>
        <s v="Felix BAI"/>
        <s v="Fred Cai"/>
        <s v="Freddy Yan"/>
        <s v="Gajanan Patil"/>
        <s v="Ganesh Bhat"/>
        <s v="Ganesh Kumar"/>
        <s v="Ganesh Sapte"/>
        <s v="Ganesh Shivnarayanji Lahoti"/>
        <s v="Gaurav Bhirud"/>
        <s v="Gaurav Kumar Pal"/>
        <s v="Gauresh Nagzarkar"/>
        <s v="Gayatri Tetgure"/>
        <s v="Geert Lievens"/>
        <s v="George Xu"/>
        <s v="Girish Kulkarni"/>
        <s v="Gitimaya Behera"/>
        <s v="Gopal Kamila"/>
        <s v="Gourav Krishna Parab"/>
        <s v="Gouri Adsure"/>
        <s v="Gowrav PuttakamaiahVijayakumar"/>
        <s v="Gowtham"/>
        <s v="Guo Shuai Chen(Gershon)"/>
        <s v="Hai Feng XIN"/>
        <s v="Haibo Zhao"/>
        <s v="Hanupriya Deora"/>
        <s v="Hao Xu (Bob)"/>
        <s v="Hao Yu (York)"/>
        <s v="Hariprasad K"/>
        <s v="Harish Kumar S"/>
        <s v="Harish Mala"/>
        <s v="Harishraj M N"/>
        <s v="Harsh Thakur"/>
        <s v="Haseeb Ahmed"/>
        <s v="Heather Wang"/>
        <s v="Hemendra Singh Rao"/>
        <s v="Himanshu Pravin Pathak"/>
        <s v="Hongxu Jiang (Johnson)"/>
        <s v="Hritish Goud Kandukuri"/>
        <s v="Ishan Gupta"/>
        <s v="Ishtiaque Anwar Shaikh"/>
        <s v="Jack YAN"/>
        <s v="Jake Cetnar"/>
        <s v="James Pan"/>
        <s v="Jaspal Sinh Yadav"/>
        <s v="Jatin Bachal"/>
        <s v="Jayesh Sharma"/>
        <s v="Jessica Palmer"/>
        <s v="Jian LV (Michael)"/>
        <s v="Jianhua Zhou"/>
        <s v="Jianjun Chen (JJ)"/>
        <s v="Jiashun LI (Aaron)"/>
        <s v="Jiayan Li (Michael)"/>
        <s v="Jiayi Ma (Johnny)"/>
        <s v="Jidhish Sidharthan"/>
        <s v="Jingang Zhang (Gage)"/>
        <s v="Jitendra Patel"/>
        <s v="Jitesh Gala"/>
        <s v="Joel Vargas"/>
        <s v="Jones Ren"/>
        <s v="Joshua Huett"/>
        <s v="Joyce Wu (Wenling Wu)"/>
        <s v="Jun Chi"/>
        <s v="Jun Zhang"/>
        <s v="Kai Wang"/>
        <s v="Kaihua Zhu (Kalvin)"/>
        <s v="Kamal Singh"/>
        <s v="Kapil Gupta"/>
        <s v="Kapil Kumar"/>
        <s v="Karen Yu"/>
        <s v="Karthik Ramamurthy"/>
        <s v="Kartik Kalbande"/>
        <s v="Kathiravan Saminathan"/>
        <s v="Kavita Fadanvis"/>
        <s v="Kavitha Ajay"/>
        <s v="Kavyashri Venkatesh"/>
        <s v="Kenny Yu"/>
        <s v="Keshav Sharma"/>
        <s v="Ketaki Rao"/>
        <s v="Kevin Wang"/>
        <s v="Kevin Wolter"/>
        <s v="Kiran Kumar Allaka"/>
        <s v="Kiran Kumar Pydisetti"/>
        <s v="Kiran MR"/>
        <s v="Kirti Deshpande"/>
        <s v="Kirti Laxman Katkar"/>
        <s v="Kirubakaran Palanisamy"/>
        <s v="Kishor Bankar"/>
        <s v="Kishor Gomkale"/>
        <s v="Komal Dhumal"/>
        <s v="Koustubh Vijay Sambhare"/>
        <s v="Krishna Baberwal"/>
        <s v="Krishna Prasad K"/>
        <s v="Krishna RS"/>
        <s v="Kulasekhar K"/>
        <s v="Kumar, Singampalli Sridhar"/>
        <s v="Kun Wang (Richard)"/>
        <s v="Lakshmi B"/>
        <s v="Lalit Subhash"/>
        <s v="Laxman Thorat"/>
        <s v="Lijie Wang (Jackie)"/>
        <s v="Likhit V"/>
        <s v="M Anija"/>
        <s v="M.V.D Srinivas"/>
        <s v="Madduri Chinnaiah"/>
        <s v="Madhuri Sambharam"/>
        <s v="Mahaveer K Gogi"/>
        <s v="Mahendra Pounikar"/>
        <s v="Mahesh Dhumal"/>
        <s v="Mahesh Ishwar Rodge"/>
        <s v="Mahesh Patil"/>
        <s v="Makarand Dharmadhikari"/>
        <s v="Malapati Rajasekhara Reddy"/>
        <s v="Malisetty Likhitha"/>
        <s v="Manasvini Vaya"/>
        <s v="Mandar Shridhar Joshi"/>
        <s v="Manish Kumar Sharma"/>
        <s v="Manish More"/>
        <s v="Manish Sharma"/>
        <s v="Manish Srivastav"/>
        <s v="Manjunath Pattar"/>
        <s v="Manohar lal Sonwan"/>
        <s v="Manoj Bhadane"/>
        <s v="Manoj Suryawanshi"/>
        <s v="Manoj Verma"/>
        <s v="Mansi Ramchandra Upadhye"/>
        <s v="Marco Albarran Guerrero"/>
        <s v="Maria Jackson"/>
        <s v="Marivel Pillai"/>
        <s v="Mark Zhang"/>
        <s v="Meenakshi Devi"/>
        <s v="Megha Shankaralingappa"/>
        <s v="Michael Prakansha"/>
        <s v="Michael S Fernandis"/>
        <s v="Mihir Ponkshe"/>
        <s v="Mingzhu Di (Pearl)"/>
        <s v="Minlai Ji (Steven)"/>
        <s v="Mithun NS"/>
        <s v="Mohammad Ateeb Ahmad"/>
        <s v="Mohan Suklal Ahire"/>
        <s v="Mohit Akhilesh Singh"/>
        <s v="Mohit Deshmukh"/>
        <s v="Mrunal Kunal Kale"/>
        <s v="Mrunal Mahesh Deshpande"/>
        <s v="Mudassar Inamdar"/>
        <s v="Mukesh Kumar Rathore"/>
        <s v="Mukti Lakra"/>
        <s v="Nageswararao Soodani"/>
        <s v="Namitha Chandran Poduval"/>
        <s v="Namrata Raskar"/>
        <s v="Narayan Bhagaram Bochkari"/>
        <s v="Naveen Kumar T"/>
        <s v="Navida Momin"/>
        <s v="Navnath Kokare"/>
        <s v="Neel patel"/>
        <s v="Neeraj Chhabra"/>
        <s v="Nicholas Oldakowski"/>
        <s v="Nikhil Bhosale"/>
        <s v="Nikhil Chavan"/>
        <s v="Nikhil Navle"/>
        <s v="Nikint Kshirsagar"/>
        <s v="Nikita Dilip Deshmukh"/>
        <s v="Ninad Surve"/>
        <s v="NIRANJAN K"/>
        <s v="Nishant Nair"/>
        <s v="Nishil Shetty"/>
        <s v="Nishita Rabha"/>
        <s v="Nitesh Girase"/>
        <s v="Nitin Tapase"/>
        <s v="Nitin Totre"/>
        <s v="Nitin Yadav"/>
        <s v="Noah Hugunine"/>
        <s v="Nutan Dinkar Patil"/>
        <s v="Omkar Sapre"/>
        <s v="P Dhanapal"/>
        <s v="Palash Shah"/>
        <s v="Pallavi Joshi"/>
        <s v="Panchal, Gaurav"/>
        <s v="Pankaj Chaudhari"/>
        <s v="Pankaj Patil"/>
        <s v="Pankaj Singh"/>
        <s v="Parag Kulkarni"/>
        <s v="Paresh Jagannath Sapale"/>
        <s v="Paresh Yeole"/>
        <s v="Patil, Siddhi Abhishek"/>
        <s v="Patrick Petraglia"/>
        <s v="Pavan Bhutekar"/>
        <s v="Pawan Jaiswal"/>
        <s v="Pawel Gacia"/>
        <s v="Pon S Chinnaraja (Raj)"/>
        <s v="Pooja Nambiar"/>
        <s v="Pooja Singh"/>
        <s v="Pooja Vishwakarma"/>
        <s v="Prachi Rathore"/>
        <s v="Prachi Tipole"/>
        <s v="Pradeep Kochare"/>
        <s v="Prafulla Attarde"/>
        <s v="Pramila Devi"/>
        <s v="Pramila Mote"/>
        <s v="Pramod Mane"/>
        <s v="Pranav R Menon"/>
        <s v="Pranita Ashok Mane"/>
        <s v="Prasad Dilip Sonawne"/>
        <s v="Prasad Joshi"/>
        <s v="PRASANNA Baskaran"/>
        <s v="Prashant KaranWalkar"/>
        <s v="Prashant Kumar"/>
        <s v="Pratik Aher"/>
        <s v="Praveen E"/>
        <s v="Praveen Shetty"/>
        <s v="Pravin Bhatiya"/>
        <s v="Pravin Birsingh Sahrawat"/>
        <s v="Preffy Thomas"/>
        <s v="Priya Desai"/>
        <s v="Priyadarshini Adiga"/>
        <s v="Puja Singh"/>
        <s v="Purnendu Jena"/>
        <s v="Pushkal Singh"/>
        <s v="Qiong Fang (Amy)"/>
        <s v="Radhaprasanna Merugu"/>
        <s v="Raghavendra Gaonkar"/>
        <s v="Raghavendra K S (Koneri)"/>
        <s v="Raghavendra Kumar Singh"/>
        <s v="Raghunath S"/>
        <s v="Rahul Bhandari"/>
        <s v="Rahul Kakol"/>
        <s v="Rahul Maruti Dhokale"/>
        <s v="Rahul Singh"/>
        <s v="Rahul Sonawane"/>
        <s v="Rahul Suryawanshi"/>
        <s v="Rajaram Dadasaheb Patil"/>
        <s v="Rajesh Chavan"/>
        <s v="Rajesh Kulkarni"/>
        <s v="Rajesh Yadav"/>
        <s v="Rajkiran Somvanshi"/>
        <s v="Rajkumar Hiralal Gokharu"/>
        <s v="Ramesh Bijili"/>
        <s v="Ramkumar K"/>
        <s v="Ranjeet Patil"/>
        <s v="Ranjith Kumar Madupalli"/>
        <s v="Rashmi Khawale"/>
        <s v="Rashmita Prabhan"/>
        <s v="Ratish Rajaram Ganve"/>
        <s v="Ratnadip Birajdar"/>
        <s v="Ravindra Kudalkar"/>
        <s v="Ravindra Mohite"/>
        <s v="Raviteja Gangisetty"/>
        <s v="RICHARD FAUSTINO"/>
        <s v="Ritesh Kumar Kurrel"/>
        <s v="Ritu Mehta"/>
        <s v="Rohan Nirwal"/>
        <s v="Rohit Bakare"/>
        <s v="Rohit Dabas"/>
        <s v="Rong Wang (Sara)"/>
        <s v="Roshan Yadav"/>
        <s v="Rupali Gobbur"/>
        <s v="Rupali Murumkar"/>
        <s v="Rupesh Jain"/>
        <s v="Sabir Yusuf Shaikh"/>
        <s v="Sachin Gavhane"/>
        <s v="Sachin Joshi"/>
        <s v="Sachin Khot"/>
        <s v="Sachin Shelake"/>
        <s v="Sachin Shinde"/>
        <s v="Sagar Chatur"/>
        <s v="Sagar Gayakwad"/>
        <s v="Sagar More"/>
        <s v="Sagar Toragal"/>
        <s v="Sainath Hiragong"/>
        <s v="Sakshi Sahare"/>
        <s v="Samadhan Babar"/>
        <s v="Samar Rajan Dash"/>
        <s v="Sandeep Darjipati"/>
        <s v="Sandeep Singh"/>
        <s v="Sandeep Surwase"/>
        <s v="Sandip Savale"/>
        <s v="Sanghmitra Abhijeet Gaikwad"/>
        <s v="Sanjay K Rudraswamy"/>
        <s v="Sanjay Rao Pulluri"/>
        <s v="Sanjeev Kumar"/>
        <s v="Sanjeevani Kumbhar"/>
        <s v="Sankar Ramasamy"/>
        <s v="Sanket Kothekar"/>
        <s v="Sanket Tapar"/>
        <s v="Saravana Palani"/>
        <s v="Saravanan Jayarajan"/>
        <s v="Saroj Yadav"/>
        <s v="Satheesh Nair"/>
        <s v="Satish Biradar"/>
        <s v="Satish Duraikannnan"/>
        <s v="Satish Ganesh Rathod"/>
        <s v="Satish Kumar"/>
        <s v="Saurabh Agrawal"/>
        <s v="Saurabh Khedkar"/>
        <s v="Sayali Chandrakant Pingale"/>
        <s v="Sayali Govind Kulkarni"/>
        <s v="Seema Goudar"/>
        <s v="Sha sha Shi"/>
        <s v="Shabazbaig Mirza"/>
        <s v="Shailesh Kashinath Patil"/>
        <s v="Shailesh Nikam"/>
        <s v="Shanmuganathan Nadimuthu"/>
        <s v="Sharad Rayguru"/>
        <s v="Sharique Shaikh"/>
        <s v="Sharvari Jagtap"/>
        <s v="Shashank Pimpalgaonkar"/>
        <s v="Shashikant Patil"/>
        <s v="Sheikh firoj Kayyum"/>
        <s v="Shelly Lan"/>
        <s v="Shengyang Dai (Matthew)"/>
        <s v="Shijun Ren (Leon)"/>
        <s v="Shine Zhang"/>
        <s v="Shirish Dilip Kulkarni"/>
        <s v="Shiv Kumar"/>
        <s v="Shivam Zagade"/>
        <s v="Shivaraj C Havanur"/>
        <s v="Shivkumar S Biradar"/>
        <s v="Shivprakash Chivati"/>
        <s v="Shiwani Akkewar"/>
        <s v="Shreeram Vijay Muley"/>
        <s v="Shreya Vinod Tavare"/>
        <s v="Shreyas V Koushik"/>
        <s v="Shruti Ganesh Sarvankar"/>
        <s v="Shubham Mahajan"/>
        <s v="Shubham Patil"/>
        <s v="Shubham Sathe"/>
        <s v="Shubham Thakre"/>
        <s v="Shubhangi Narvekar"/>
        <s v="Shweta Garg"/>
        <s v="Siddesh Bademmi"/>
        <s v="Silambarasan S"/>
        <s v="Smita Patil"/>
        <s v="Sneha Parekh"/>
        <s v="Snehal Badhade"/>
        <s v="Snehal Bhandare"/>
        <s v="Snehal Nalgirkar"/>
        <s v="Sonal Anup Pawar"/>
        <s v="Sonal Darade (Nareddiwar)"/>
        <s v="Sonam Nikam"/>
        <s v="Soundararajan Mylswamy"/>
        <s v="Sourabh Ghatage"/>
        <s v="Sourojyoti Pal"/>
        <s v="Souvik Sarkar"/>
        <s v="Sowmya Nayak"/>
        <s v="Sreekumar M"/>
        <s v="Sreeraj E"/>
        <s v="Srigowtham Poranki"/>
        <s v="Srihari R"/>
        <s v="Steve King"/>
        <s v="Steve Scurria"/>
        <s v="Steven Mroch"/>
        <s v="Subhankar Das"/>
        <s v="Subhash Jha"/>
        <s v="Subramaniasiva Rengaswamy"/>
        <s v="Sudhan Armugam"/>
        <s v="Suhana Khanum"/>
        <s v="Sumit Chaware"/>
        <s v="Sunay Prabhune"/>
        <s v="Sunil Dalvi"/>
        <s v="Sunil Kokate"/>
        <s v="Sunoj P"/>
        <s v="Supriya Kumari"/>
        <s v="Suraj Barad"/>
        <s v="Suraj Mali"/>
        <s v="Suraj More"/>
        <s v="Suraj Ramchandani"/>
        <s v="Suryanarayanan R"/>
        <s v="Sushruth Rudrachary"/>
        <s v="Suvarna Avdhutwar"/>
        <s v="Suvidha Dhananjay Patil"/>
        <s v="Suyamburaj Moorthilingam"/>
        <s v="Suyash Sanghavi"/>
        <s v="Suyash Shastri"/>
        <s v="Swapnil Kamerkar"/>
        <s v="Swapnil Liladhar Patil"/>
        <s v="Swapnil Narke"/>
        <s v="Swapnil shirish Chavan"/>
        <s v="SWATHIKA SREEDHAR"/>
        <s v="Swati Baikrushna Gunjal"/>
        <s v="Tamaghna Sarkar"/>
        <s v="Tao He (Tonny)"/>
        <s v="Tapas Ghosh"/>
        <s v="Tejaganesh Chirunomula"/>
        <s v="Tejashree Bhinge"/>
        <s v="Tejashree Patil"/>
        <s v="Thanuj Kumar"/>
        <s v="Thomas Liu"/>
        <s v="Tianle Xue (Taylor)"/>
        <s v="Tim Bokelman"/>
        <s v="Trisha Gupta"/>
        <s v="Tushar Amodkar"/>
        <s v="Tushar Bhoj"/>
        <s v="Tushar Dasharath Mandhare"/>
        <s v="Tushar Naik"/>
        <s v="Tushar Patangray"/>
        <s v="Umeshuday Pednekar"/>
        <s v="Unnatee Sarjerao Parande"/>
        <s v="Uppula Pavan Kumar"/>
        <s v="Vaibhav Patil"/>
        <s v="Vaishnavi Jagdale"/>
        <s v="Vaishnavi Langar"/>
        <s v="Vedanand Amonkar"/>
        <s v="Veeranna Virupaxi Halagatti"/>
        <s v="Velagaleti Koteshwar Prasad"/>
        <s v="Venkatasubramanian Kallagam Swaminathan"/>
        <s v="Venkateswara Bellamkonda"/>
        <s v="Vicky Chavan"/>
        <s v="Vidyashree MJ"/>
        <s v="Vihung Saradar"/>
        <s v="Vijeta Mishra"/>
        <s v="Vikram Dasharath Gawari"/>
        <s v="Vinay Kumar"/>
        <s v="Vinay Kumar Srivastava"/>
        <s v="Vinayak Lohar"/>
        <s v="Vinayak Waingankar"/>
        <s v="Vinayaka Kulkarni"/>
        <s v="Vinaykumar B Shanwad"/>
        <s v="Vindhya B.S."/>
        <s v="Vinit Devis"/>
        <s v="Vinod Ganesan"/>
        <s v="Vipin Modak"/>
        <s v="Virendra Bavjibhai Parmar"/>
        <s v="Vishal Vijay Phulke"/>
        <s v="Vishwa Amit Shah"/>
        <s v="Vivek Chitte"/>
        <s v="Vivek Deshmukh"/>
        <s v="Vivek Narasimman"/>
        <s v="Vivek Sonagra"/>
        <s v="Vivin Walter"/>
        <s v="Wadkar, Sumit"/>
        <s v="Wei Zhang"/>
        <s v="Wei Zhao"/>
        <s v="Weibing Shao (Andy)"/>
        <s v="Weibing Xu (Alex)"/>
        <s v="Wenjie Zhao"/>
        <s v="Wenping Liu (Mary)"/>
        <s v="Xi Wang (Jerry)"/>
        <s v="Xia Ling Zhang"/>
        <s v="Xianrang Li (George)"/>
        <s v="Xiaokun Xu (Chris)"/>
        <s v="XiaoLi Zhu (Jolie)"/>
        <s v="Xiaoqian Ren (Ida)"/>
        <s v="Xiaoqin Wu (Anna)"/>
        <s v="Xiaoyang Gao (Carl)"/>
        <s v="Xiayong Wang (Thomas)"/>
        <s v="Xiumei Li (Cindy)"/>
        <s v="Xueping Li (Andy)"/>
        <s v="Xuguang Wang (Devy)"/>
        <s v="Yanjun Wei"/>
        <s v="Yanli Chen"/>
        <s v="Yarasani Vedavathi"/>
        <s v="Yash Kamble"/>
        <s v="Yash Khanwilkar"/>
        <s v="Yogesh More"/>
        <s v="Yogesh Narute"/>
        <s v="Yogesh Posnak"/>
        <s v="Yogesh Shelgaonkar"/>
        <s v="Yohan Mychal A"/>
        <s v="Yuan Xu"/>
        <s v="Yuehua Zhai (Kevin)"/>
        <s v="Yugandhar  Chandele"/>
        <s v="Zeesha Shah"/>
        <s v="Zhaoqi Wang (Tony)"/>
        <s v="Zhenjie Chen"/>
        <s v="Zhibin Wu (Jason)"/>
        <s v="Zhixin Zhou (Jasmine)"/>
        <s v="Zhongqiang Ding (Roy)"/>
        <s v="Vishal Veeraraghavan"/>
        <s v="Phil Jenkins"/>
        <s v="Adrianna Davis"/>
        <s v="Sam Zhao"/>
        <s v="Tanmay Surve"/>
        <s v="Vandita Katrolia"/>
        <s v="Yaswanth Jayakumar"/>
        <s v="Chandra Bhushan Kumar"/>
        <s v="Gaius paul S"/>
        <s v="Gulam Goush"/>
        <s v="Homeshwar Prasad"/>
        <s v="Kiran Borse"/>
        <s v="Sharad Patil"/>
        <s v="Shivam Sarswat"/>
        <s v="Tanushree Das"/>
        <s v="Utsav Sarjerao Angaj"/>
        <s v="Vinayraj Gambo"/>
        <s v="Arjun V"/>
        <s v="Mithali Manohar"/>
        <s v="Manoj Ojha"/>
        <s v="Kun Wu (Mike)" u="1"/>
        <s v="Mohammad Suhail" u="1"/>
      </sharedItems>
    </cacheField>
    <cacheField name="Region" numFmtId="0">
      <sharedItems/>
    </cacheField>
    <cacheField name="Tool" numFmtId="0">
      <sharedItems/>
    </cacheField>
    <cacheField name="FTE/Contingent" numFmtId="0">
      <sharedItems/>
    </cacheField>
    <cacheField name="FTE: Reporting Manager" numFmtId="0">
      <sharedItems/>
    </cacheField>
    <cacheField name="FTE:Director"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77">
  <r>
    <n v="34708"/>
    <s v="Adrianna Davis"/>
    <s v="Multiva FRU coils : package localization"/>
    <s v="Phil"/>
    <m/>
    <s v="PROCUREMENT"/>
    <s v="PRODUCTIVITY"/>
    <s v="SOURCING"/>
    <s v="Mechanical Parts &amp; Assemblies"/>
    <s v="MR"/>
    <x v="0"/>
    <s v="IL3"/>
    <n v="0.1"/>
    <x v="0"/>
    <s v="China"/>
    <s v="SYSTEUR"/>
    <x v="0"/>
    <s v="Fred.CAI@philips.com"/>
    <x v="0"/>
    <m/>
  </r>
  <r>
    <n v="34528"/>
    <s v="Wei"/>
    <s v="STET: Multiva FRU coils foaming localization"/>
    <s v="Phil"/>
    <m/>
    <s v="PROCUREMENT"/>
    <s v="PRODUCTIVITY"/>
    <s v="SOURCING"/>
    <s v="Mechanical Parts &amp; Assemblies"/>
    <s v="MR"/>
    <x v="0"/>
    <s v="IL3"/>
    <n v="0.1"/>
    <x v="0"/>
    <s v="China"/>
    <s v="SYSTEUR"/>
    <x v="0"/>
    <s v="Fred.CAI@philips.com"/>
    <x v="0"/>
    <m/>
  </r>
  <r>
    <n v="36594"/>
    <s v="Xia Ling"/>
    <s v="Noah Mattress supplier transfer from L&amp;K to Sunhat II"/>
    <s v="Phil"/>
    <m/>
    <s v="PROCUREMENT"/>
    <s v="PRODUCTIVITY"/>
    <s v="SOURCING"/>
    <s v="Mechanical Parts &amp; Assemblies"/>
    <s v="CT/AMI"/>
    <x v="0"/>
    <s v="IL4"/>
    <n v="0.1"/>
    <x v="1"/>
    <s v="China"/>
    <s v="SYSTEUR"/>
    <x v="0"/>
    <s v="Fred.CAI@philips.com"/>
    <x v="0"/>
    <m/>
  </r>
  <r>
    <n v="33419"/>
    <s v="Xia Ling"/>
    <s v="HAWK &amp; BB IVC Transfer Phase II _ RAFI"/>
    <s v="Phil"/>
    <m/>
    <s v="PROCUREMENT"/>
    <s v="PRODUCTIVITY"/>
    <s v="CONCEPT"/>
    <s v="Medical ODM Markets"/>
    <s v="CT/AMI"/>
    <x v="0"/>
    <s v="IL2"/>
    <n v="0.05"/>
    <x v="1"/>
    <s v="China"/>
    <s v="SYSTEUR"/>
    <x v="0"/>
    <s v="Fred.CAI@philips.com"/>
    <x v="0"/>
    <m/>
  </r>
  <r>
    <n v="33323"/>
    <s v="Xia Ling"/>
    <s v="Pony Slipring 2nd source development"/>
    <s v="Phil"/>
    <m/>
    <s v="PROCUREMENT"/>
    <s v="PRODUCTIVITY"/>
    <s v="CONCEPT"/>
    <s v="Mechanical Parts &amp; Assemblies"/>
    <s v="CT/AMI"/>
    <x v="0"/>
    <s v="IL2"/>
    <n v="0.1"/>
    <x v="1"/>
    <s v="China"/>
    <s v="SYSTEUR"/>
    <x v="0"/>
    <s v="Fred.CAI@philips.com"/>
    <x v="0"/>
    <m/>
  </r>
  <r>
    <s v="TEUS8"/>
    <s v="Jidhish Siddharthan"/>
    <s v="Shelby - CB"/>
    <s v="Nishant"/>
    <m/>
    <s v="TCO"/>
    <s v="TEST ENG"/>
    <s v="CONCEPT"/>
    <s v="Key Components &amp; Electronics"/>
    <s v="US"/>
    <x v="0"/>
    <s v="IL3"/>
    <n v="1"/>
    <x v="2"/>
    <s v="India"/>
    <s v="SYSTEUR"/>
    <x v="1"/>
    <s v="Jidhish.Sidharthan@philips.com"/>
    <x v="1"/>
    <m/>
  </r>
  <r>
    <n v="25666"/>
    <s v="Viraj Bhagwat"/>
    <s v="STET: Transfer 18.5&quot; Phoenix displays from Tianma Japan to Tianma China"/>
    <s v="Nishant"/>
    <m/>
    <s v="PROCUREMENT"/>
    <s v="PRODUCTIVITY"/>
    <s v="SOURCING"/>
    <s v="Medical ODM Markets"/>
    <s v="HPM"/>
    <x v="1"/>
    <s v="IL3"/>
    <n v="0.5"/>
    <x v="3"/>
    <s v="India"/>
    <s v="SYSTEUR"/>
    <x v="0"/>
    <s v="Jidhish.Sidharthan@philips.com"/>
    <x v="2"/>
    <m/>
  </r>
  <r>
    <n v="25668"/>
    <s v="Viraj Bhagwat"/>
    <s v="STET-DfX PM2020:transfer 21.5 Phoenix displays from Tianma Akita/JP to AVIC.Shanghai/CN(or potentially resource to AUO)"/>
    <s v="Nishant"/>
    <m/>
    <s v="PROCUREMENT"/>
    <s v="PRODUCTIVITY"/>
    <s v="SOURCING"/>
    <s v="Medical ODM Markets"/>
    <s v="HPM"/>
    <x v="1"/>
    <s v="IL3"/>
    <n v="0.5"/>
    <x v="3"/>
    <s v="India"/>
    <s v="SYSTEUR"/>
    <x v="0"/>
    <s v="Jidhish.Sidharthan@philips.com"/>
    <x v="2"/>
    <m/>
  </r>
  <r>
    <s v="TEOHC1"/>
    <s v="Jidhish Siddharthan"/>
    <s v="FCT Development for Zoom Lamp PCBAs"/>
    <s v="Nishant"/>
    <m/>
    <s v="TCO"/>
    <s v="TEST ENG"/>
    <s v="CONCEPT"/>
    <s v="Key Components &amp; Electronics"/>
    <s v="OHC"/>
    <x v="2"/>
    <s v="IL3"/>
    <n v="1"/>
    <x v="4"/>
    <s v="India"/>
    <s v="SYSTEUR"/>
    <x v="0"/>
    <s v="Jidhish.Sidharthan@philips.com"/>
    <x v="2"/>
    <m/>
  </r>
  <r>
    <s v="TEUS3"/>
    <s v="Jidhish Siddharthan"/>
    <s v="Quick Silver - FEC"/>
    <s v="Nishant"/>
    <m/>
    <s v="TCO"/>
    <s v="TEST ENG"/>
    <s v="CONCEPT"/>
    <s v="Key Components &amp; Electronics"/>
    <s v="US"/>
    <x v="0"/>
    <s v="IL3"/>
    <n v="0.5"/>
    <x v="5"/>
    <s v="India"/>
    <s v="SYSTEUR"/>
    <x v="0"/>
    <s v="Jidhish.Sidharthan@philips.com"/>
    <x v="2"/>
    <m/>
  </r>
  <r>
    <s v="TECT3"/>
    <s v="Jidhish Siddharthan"/>
    <s v="HAIFA FCT Development"/>
    <s v="Nishant"/>
    <m/>
    <s v="TCO"/>
    <s v="TEST ENG"/>
    <s v="CONCEPT"/>
    <s v="Key Components &amp; Electronics"/>
    <s v="CT/AMI"/>
    <x v="0"/>
    <s v="IL3"/>
    <n v="0.5"/>
    <x v="5"/>
    <s v="India"/>
    <s v="SYSTEUR"/>
    <x v="0"/>
    <s v="Jidhish.Sidharthan@philips.com"/>
    <x v="2"/>
    <m/>
  </r>
  <r>
    <s v="TECT3"/>
    <s v="Jidhish Siddharthan"/>
    <s v="HAIFA FCT Development"/>
    <s v="Nishant"/>
    <m/>
    <s v="TCO"/>
    <s v="TEST ENG"/>
    <s v="CONCEPT"/>
    <s v="Key Components &amp; Electronics"/>
    <s v="CT/AMI"/>
    <x v="0"/>
    <s v="IL3"/>
    <n v="1"/>
    <x v="6"/>
    <s v="India"/>
    <s v="SYSTEUR"/>
    <x v="0"/>
    <s v="Jidhish.Sidharthan@philips.com"/>
    <x v="2"/>
    <m/>
  </r>
  <r>
    <s v="NPIUSDISP1"/>
    <s v="Viraj Bhagwat / Geert Lievens"/>
    <s v="Display-XT: Ultrasound Quick Silver NPI: Development of Display module with DIVA ( current supplier BA)"/>
    <s v="Nishant"/>
    <m/>
    <s v="PROCUREMENT"/>
    <s v="NPI"/>
    <s v="CONCEPT"/>
    <s v="Medical ODM Markets"/>
    <s v="US"/>
    <x v="0"/>
    <s v="IL1"/>
    <n v="1"/>
    <x v="7"/>
    <s v="India"/>
    <s v="SYSTEUR"/>
    <x v="0"/>
    <s v="Jidhish.Sidharthan@philips.com"/>
    <x v="2"/>
    <m/>
  </r>
  <r>
    <s v="TEHPM1"/>
    <s v="Jidhish Siddharthan"/>
    <s v="HPM Measurement Boards FCT Development"/>
    <s v="Nishant"/>
    <m/>
    <s v="TCO"/>
    <s v="TEST ENG"/>
    <s v="CONCEPT"/>
    <s v="Key Components &amp; Electronics"/>
    <s v="HPM"/>
    <x v="1"/>
    <s v="IL3"/>
    <n v="1"/>
    <x v="8"/>
    <s v="India"/>
    <s v="SYSTEUR"/>
    <x v="0"/>
    <s v="Jidhish.Sidharthan@philips.com"/>
    <x v="2"/>
    <m/>
  </r>
  <r>
    <n v="32401"/>
    <s v="Charles Moses"/>
    <s v="OLED Display 2nd Source"/>
    <s v="Nishant"/>
    <m/>
    <s v="PROCUREMENT"/>
    <s v="PRODUCTIVITY"/>
    <s v="SOURCING"/>
    <s v="Key Components &amp; Electronics"/>
    <s v="US"/>
    <x v="0"/>
    <s v="IL3"/>
    <n v="1"/>
    <x v="9"/>
    <s v="India"/>
    <s v="SYSTEUR"/>
    <x v="0"/>
    <s v="Jidhish.Sidharthan@philips.com"/>
    <x v="2"/>
    <m/>
  </r>
  <r>
    <s v="NPIUSDISP1"/>
    <s v="Viraj Bhagwat / Geert Lievens"/>
    <s v="Display-XT: Ultrasound Quick Silver NPI: Development of Display module with DIVA ( current supplier BA)"/>
    <s v="Nishant"/>
    <m/>
    <s v="PROCUREMENT"/>
    <s v="NPI"/>
    <s v="CONCEPT"/>
    <s v="Medical ODM Markets"/>
    <s v="US"/>
    <x v="0"/>
    <s v="IL1"/>
    <n v="0.5"/>
    <x v="10"/>
    <s v="India"/>
    <s v="SYSTEUR"/>
    <x v="0"/>
    <s v="Jidhish.Sidharthan@philips.com"/>
    <x v="2"/>
    <m/>
  </r>
  <r>
    <s v="TECT3"/>
    <s v="Jidhish Siddharthan"/>
    <s v="HAIFA FCT Development"/>
    <s v="Nishant"/>
    <m/>
    <s v="TCO"/>
    <s v="TEST ENG"/>
    <s v="CONCEPT"/>
    <s v="Key Components &amp; Electronics"/>
    <s v="CT/AMI"/>
    <x v="0"/>
    <s v="IL3"/>
    <n v="0.5"/>
    <x v="10"/>
    <s v="India"/>
    <s v="SYSTEUR"/>
    <x v="0"/>
    <s v="Jidhish.Sidharthan@philips.com"/>
    <x v="2"/>
    <m/>
  </r>
  <r>
    <n v="36256"/>
    <s v="Adrianna Davis"/>
    <s v="Ussuri"/>
    <s v="Phil"/>
    <m/>
    <s v="PROCUREMENT"/>
    <s v="PRODUCTIVITY"/>
    <s v="NPP"/>
    <s v="Mechanical Parts &amp; Assemblies"/>
    <s v="MR"/>
    <x v="0"/>
    <s v="IL3"/>
    <n v="0.5"/>
    <x v="11"/>
    <s v="China"/>
    <s v="SYSTEUR"/>
    <x v="0"/>
    <s v="sam.zhao@philips.com"/>
    <x v="0"/>
    <m/>
  </r>
  <r>
    <n v="26320"/>
    <s v="Saravana"/>
    <s v="STET : Sheet metal Supply Base optimization (PCI-2020-011)"/>
    <s v="Dan"/>
    <m/>
    <s v="PROCUREMENT"/>
    <s v="PRODUCTIVITY"/>
    <s v="SOURCING"/>
    <s v="Mechanical Parts &amp; Assemblies"/>
    <s v="IGT-S"/>
    <x v="3"/>
    <s v="IL1"/>
    <n v="1"/>
    <x v="12"/>
    <s v="China"/>
    <s v="SYSTEUR"/>
    <x v="0"/>
    <s v="sam.zhao@philips.com"/>
    <x v="0"/>
    <m/>
  </r>
  <r>
    <n v="35499"/>
    <s v="Saravana"/>
    <s v="BD- Machining mono parts China localization (unit price reduction) (PCI-2022-018)"/>
    <s v="Dan"/>
    <m/>
    <s v="PROCUREMENT"/>
    <s v="PRODUCTIVITY"/>
    <s v="SOURCING"/>
    <s v="Mechanical Parts &amp; Assemblies"/>
    <s v="IGT-S"/>
    <x v="3"/>
    <s v="IL0"/>
    <n v="1"/>
    <x v="13"/>
    <s v="China"/>
    <s v="SYSTEUR"/>
    <x v="0"/>
    <s v="sam.zhao@philips.com"/>
    <x v="0"/>
    <m/>
  </r>
  <r>
    <s v="TEUS8"/>
    <s v="Jidhish Siddharthan"/>
    <s v="Shelby - CB"/>
    <s v="Nishant"/>
    <m/>
    <s v="TCO"/>
    <s v="TEST ENG"/>
    <s v="CONCEPT"/>
    <s v="Key Components &amp; Electronics"/>
    <s v="US"/>
    <x v="0"/>
    <s v="IL3"/>
    <n v="1"/>
    <x v="14"/>
    <s v="India"/>
    <s v="SYSTEUR"/>
    <x v="0"/>
    <s v="Jidhish.Sidharthan@philips.com"/>
    <x v="2"/>
    <m/>
  </r>
  <r>
    <s v="TEUS7"/>
    <s v="Jidhish Siddharthan"/>
    <s v="Shelby - FEC"/>
    <s v="Nishant"/>
    <m/>
    <s v="TCO"/>
    <s v="TEST ENG"/>
    <s v="CONCEPT"/>
    <s v="Key Components &amp; Electronics"/>
    <s v="US"/>
    <x v="0"/>
    <s v="IL3"/>
    <n v="1"/>
    <x v="15"/>
    <s v="India"/>
    <s v="SYSTEUR"/>
    <x v="0"/>
    <s v="Jidhish.Sidharthan@philips.com"/>
    <x v="2"/>
    <m/>
  </r>
  <r>
    <s v="TECT3"/>
    <s v="Jidhish Siddharthan"/>
    <s v="HAIFA FCT Development"/>
    <s v="Nishant"/>
    <m/>
    <s v="TCO"/>
    <s v="TEST ENG"/>
    <s v="CONCEPT"/>
    <s v="Key Components &amp; Electronics"/>
    <s v="CT/AMI"/>
    <x v="0"/>
    <s v="IL3"/>
    <n v="1"/>
    <x v="16"/>
    <s v="India"/>
    <s v="SYSTEUR"/>
    <x v="0"/>
    <s v="Jidhish.Sidharthan@philips.com"/>
    <x v="2"/>
    <m/>
  </r>
  <r>
    <n v="36057"/>
    <s v="Vijayanand Purushothaman"/>
    <s v="PCBA Refresh - 989603021748 - 300008341291 - QIB WA 3.0T"/>
    <s v="Dan"/>
    <m/>
    <s v="N/A"/>
    <s v="LCM"/>
    <s v="CONCEPT"/>
    <s v="Key Components &amp; Electronics"/>
    <s v="MR"/>
    <x v="0"/>
    <s v="IL1"/>
    <n v="0.2"/>
    <x v="17"/>
    <s v="India"/>
    <s v="SYSTEUR"/>
    <x v="0"/>
    <s v="sushruth.rudrachary@philips.com"/>
    <x v="3"/>
    <m/>
  </r>
  <r>
    <n v="36058"/>
    <s v="Vijayanand Purushothaman"/>
    <s v="PCBA Refresh - 300006630641 - 452211796923 - PFEI-1.5T-WA-IRF"/>
    <s v="Dan"/>
    <m/>
    <s v="N/A"/>
    <s v="LCM"/>
    <s v="CONCEPT"/>
    <s v="Key Components &amp; Electronics"/>
    <s v="MR"/>
    <x v="0"/>
    <s v="IL1"/>
    <n v="0.2"/>
    <x v="17"/>
    <s v="India"/>
    <s v="SYSTEUR"/>
    <x v="0"/>
    <s v="sushruth.rudrachary@philips.com"/>
    <x v="3"/>
    <m/>
  </r>
  <r>
    <n v="36120"/>
    <s v="Saravana"/>
    <s v="PCBA Refresh - 452212914099 - 452212703288 - CLEA EXTENSION 1"/>
    <s v="Dan"/>
    <m/>
    <s v="N/A"/>
    <s v="LCM"/>
    <s v="CONCEPT"/>
    <s v="Key Components &amp; Electronics"/>
    <s v="IGT-S"/>
    <x v="3"/>
    <s v="IL2"/>
    <n v="0.2"/>
    <x v="17"/>
    <s v="India"/>
    <s v="SYSTEUR"/>
    <x v="0"/>
    <s v="sushruth.rudrachary@philips.com"/>
    <x v="3"/>
    <m/>
  </r>
  <r>
    <n v="36119"/>
    <s v="Saravana"/>
    <s v="PCBA Refresh - 452212914099 - 452212702657 - MVR TWIN HIGH POWER"/>
    <s v="Dan"/>
    <m/>
    <s v="N/A"/>
    <s v="LCM"/>
    <s v="CONCEPT"/>
    <s v="Key Components &amp; Electronics"/>
    <s v="IGT-S"/>
    <x v="3"/>
    <s v="IL2"/>
    <n v="0.2"/>
    <x v="17"/>
    <s v="India"/>
    <s v="SYSTEUR"/>
    <x v="0"/>
    <s v="sushruth.rudrachary@philips.com"/>
    <x v="3"/>
    <m/>
  </r>
  <r>
    <n v="24497"/>
    <s v="Viraj Bhagwat"/>
    <s v="Jupiter Project Phase 1 (former STET - PM-BBN Q319 Kaizen: Expand OMS Besser Project (Exit Schwarz))"/>
    <s v="Nishant"/>
    <m/>
    <s v="PROCUREMENT"/>
    <s v="AOS"/>
    <s v="SOURCING"/>
    <s v="Mechanical Parts &amp; Assemblies"/>
    <s v="HPM"/>
    <x v="1"/>
    <s v="IL3"/>
    <n v="0.2"/>
    <x v="18"/>
    <s v="India"/>
    <s v="SYSTEUR"/>
    <x v="0"/>
    <s v="sushruth.rudrachary@philips.com"/>
    <x v="3"/>
    <m/>
  </r>
  <r>
    <n v="31799"/>
    <s v="Viraj Bhagwat"/>
    <s v="Jupiter Project Phase 2"/>
    <s v="Nishant"/>
    <m/>
    <s v="PROCUREMENT"/>
    <s v="PRODUCTIVITY"/>
    <s v="SOURCING"/>
    <s v="Mechanical Parts &amp; Assemblies"/>
    <s v="HPM"/>
    <x v="1"/>
    <s v="IL3"/>
    <n v="0.2"/>
    <x v="18"/>
    <s v="India"/>
    <s v="SYSTEUR"/>
    <x v="0"/>
    <s v="sushruth.rudrachary@philips.com"/>
    <x v="3"/>
    <m/>
  </r>
  <r>
    <s v="PDTEAM59"/>
    <s v="Tiger Xiao"/>
    <s v="TE Cable Components supplier transfer"/>
    <s v="Phil"/>
    <m/>
    <s v="PROCUREMENT"/>
    <s v="PRODUCTIVITY"/>
    <s v="SOURCING"/>
    <s v="Key Components &amp; Electronics"/>
    <s v="US"/>
    <x v="0"/>
    <s v="IL1"/>
    <n v="0.2"/>
    <x v="19"/>
    <s v="China"/>
    <s v="SYSTEUR"/>
    <x v="0"/>
    <s v="philip.jenkins@philips.com"/>
    <x v="0"/>
    <m/>
  </r>
  <r>
    <n v="35499"/>
    <s v="Saravana"/>
    <s v="BD- Machining mono parts China localization (unit price reduction) (PCI-2022-018)"/>
    <s v="Dan"/>
    <m/>
    <s v="PROCUREMENT"/>
    <s v="PRODUCTIVITY"/>
    <s v="SOURCING"/>
    <s v="Mechanical Parts &amp; Assemblies"/>
    <s v="IGT-S"/>
    <x v="3"/>
    <s v="IL0"/>
    <n v="0.15"/>
    <x v="20"/>
    <s v="China"/>
    <s v="SYSTEUR"/>
    <x v="0"/>
    <s v="Fred.CAI@philips.com"/>
    <x v="0"/>
    <m/>
  </r>
  <r>
    <n v="30435"/>
    <s v="Saravana"/>
    <s v="Transfer CF Table tops (PCI-2021-020)"/>
    <s v="Dan"/>
    <m/>
    <s v="PROCUREMENT"/>
    <s v="PRODUCTIVITY"/>
    <s v="SOURCING"/>
    <s v="Mechanical Parts &amp; Assemblies"/>
    <s v="IGT-S"/>
    <x v="3"/>
    <s v="IL1"/>
    <n v="0.2"/>
    <x v="20"/>
    <s v="China"/>
    <s v="SYSTEUR"/>
    <x v="0"/>
    <s v="Fred.CAI@philips.com"/>
    <x v="0"/>
    <m/>
  </r>
  <r>
    <n v="26320"/>
    <s v="Saravana"/>
    <s v="STET : Sheet metal Supply Base optimization (PCI-2020-011)"/>
    <s v="Dan"/>
    <m/>
    <s v="PROCUREMENT"/>
    <s v="PRODUCTIVITY"/>
    <s v="SOURCING"/>
    <s v="Mechanical Parts &amp; Assemblies"/>
    <s v="IGT-S"/>
    <x v="3"/>
    <s v="IL1"/>
    <n v="0.15"/>
    <x v="20"/>
    <s v="China"/>
    <s v="SYSTEUR"/>
    <x v="0"/>
    <s v="Fred.CAI@philips.com"/>
    <x v="0"/>
    <m/>
  </r>
  <r>
    <n v="32253"/>
    <s v="Matt Morse"/>
    <s v="Mobile (M3) China Market"/>
    <s v="Dan"/>
    <m/>
    <s v="PROCUREMENT"/>
    <s v="PRODUCTIVITY"/>
    <s v="SOURCING"/>
    <s v="Medical ODM Markets"/>
    <s v="IGT-D"/>
    <x v="3"/>
    <s v="IL2"/>
    <n v="0.2"/>
    <x v="20"/>
    <s v="China"/>
    <s v="SYSTEUR"/>
    <x v="0"/>
    <s v="Fred.CAI@philips.com"/>
    <x v="0"/>
    <m/>
  </r>
  <r>
    <n v="32252"/>
    <s v="Matt Morse"/>
    <s v="Intrasight Integrated China Market"/>
    <s v="Dan"/>
    <m/>
    <s v="PROCUREMENT"/>
    <s v="PRODUCTIVITY"/>
    <s v="SOURCING"/>
    <s v="Medical ODM Markets"/>
    <s v="IGT-D"/>
    <x v="3"/>
    <s v="IL0"/>
    <n v="0.3"/>
    <x v="20"/>
    <s v="China"/>
    <s v="SYSTEUR"/>
    <x v="0"/>
    <s v="Fred.CAI@philips.com"/>
    <x v="0"/>
    <m/>
  </r>
  <r>
    <n v="30851"/>
    <s v="Saravana"/>
    <s v="STET : China localisation Tables"/>
    <s v="Dan"/>
    <m/>
    <s v="PROCUREMENT"/>
    <s v="PRODUCTIVITY"/>
    <s v="SOURCING"/>
    <s v="Mechanical Parts &amp; Assemblies"/>
    <s v="IGT-S"/>
    <x v="3"/>
    <s v="IL1"/>
    <n v="1"/>
    <x v="21"/>
    <s v="China"/>
    <s v="SYSTEUR"/>
    <x v="0"/>
    <s v="Thomas.LIU@philips.com"/>
    <x v="0"/>
    <m/>
  </r>
  <r>
    <n v="28347"/>
    <s v="Saurabh Agarwal"/>
    <s v="Dual Sourcing: Unip Plastics (Ontario)"/>
    <s v="Tim"/>
    <m/>
    <s v="N/A"/>
    <s v="AOS"/>
    <s v="SOURCING"/>
    <s v="Mechanical Parts &amp; Assemblies"/>
    <s v="OHC"/>
    <x v="2"/>
    <s v="IL3"/>
    <n v="0.8"/>
    <x v="22"/>
    <s v="India"/>
    <s v="SYSTEUR"/>
    <x v="0"/>
    <s v="saurabhk.khedkar@philips.com"/>
    <x v="3"/>
    <m/>
  </r>
  <r>
    <n v="32991"/>
    <s v="Tiger Xiao"/>
    <s v="APEX C5-1 Heatsink Localization"/>
    <s v="Phil"/>
    <m/>
    <s v="PROCUREMENT"/>
    <s v="PRODUCTIVITY"/>
    <s v="SOURCING"/>
    <s v="Mechanical Parts &amp; Assemblies"/>
    <s v="US"/>
    <x v="0"/>
    <s v="IL3"/>
    <n v="0.05"/>
    <x v="19"/>
    <s v="China"/>
    <s v="SYSTEUR"/>
    <x v="0"/>
    <s v="philip.jenkins@philips.com"/>
    <x v="0"/>
    <m/>
  </r>
  <r>
    <n v="30948"/>
    <s v="Tiger Xiao"/>
    <s v="APEX:3D9-3V FPC's Localization project to Topsun"/>
    <s v="Phil"/>
    <m/>
    <s v="PROCUREMENT"/>
    <s v="PRODUCTIVITY"/>
    <s v="SOURCING"/>
    <s v="Key Components &amp; Electronics"/>
    <s v="US"/>
    <x v="0"/>
    <s v="IL3"/>
    <n v="0.1"/>
    <x v="19"/>
    <s v="China"/>
    <s v="SYSTEUR"/>
    <x v="0"/>
    <s v="philip.jenkins@philips.com"/>
    <x v="0"/>
    <m/>
  </r>
  <r>
    <n v="28104"/>
    <s v="Tiger Xiao"/>
    <s v="APEX: Localization of C5-1 from Tech-Etch to Topsun"/>
    <s v="Phil"/>
    <m/>
    <s v="PROCUREMENT"/>
    <s v="PRODUCTIVITY"/>
    <s v="SOURCING"/>
    <s v="Mechanical Parts &amp; Assemblies"/>
    <s v="MR"/>
    <x v="0"/>
    <s v="IL3"/>
    <n v="0.2"/>
    <x v="19"/>
    <s v="China"/>
    <s v="SYSTEUR"/>
    <x v="0"/>
    <s v="philip.jenkins@philips.com"/>
    <x v="0"/>
    <m/>
  </r>
  <r>
    <n v="33029"/>
    <s v="Tiger Xiao"/>
    <s v="Hawk System PCBA transfer from Vexos to Plexus - RPD"/>
    <s v="Phil"/>
    <m/>
    <s v="PROCUREMENT"/>
    <s v="PRODUCTIVITY"/>
    <s v="SOURCING"/>
    <s v="Key Components &amp; Electronics"/>
    <s v="CT/AMI"/>
    <x v="0"/>
    <s v="IL3"/>
    <n v="0.05"/>
    <x v="19"/>
    <s v="China"/>
    <s v="SYSTEUR"/>
    <x v="0"/>
    <s v="philip.jenkins@philips.com"/>
    <x v="0"/>
    <m/>
  </r>
  <r>
    <n v="37250"/>
    <s v="Tiger Xiao"/>
    <s v="Stencil Localization"/>
    <s v="Phil"/>
    <m/>
    <s v="PROCUREMENT"/>
    <s v="PRODUCTIVITY"/>
    <s v="TCO"/>
    <s v="Key Components &amp; Electronics"/>
    <s v="US"/>
    <x v="0"/>
    <s v="IL0"/>
    <n v="0.1"/>
    <x v="19"/>
    <s v="China"/>
    <s v="SYSTEUR"/>
    <x v="0"/>
    <s v="philip.jenkins@philips.com"/>
    <x v="0"/>
    <m/>
  </r>
  <r>
    <n v="29275"/>
    <s v="Fred Cai"/>
    <s v="Incisive Gantry HLA sealing plate removal"/>
    <s v="Phil"/>
    <m/>
    <s v="PROCUREMENT"/>
    <s v="PRODUCTIVITY"/>
    <s v="CONCEPT"/>
    <s v="Mechanical Parts &amp; Assemblies"/>
    <s v="CT/AMI"/>
    <x v="0"/>
    <s v="IL3"/>
    <n v="0.2"/>
    <x v="19"/>
    <s v="China"/>
    <s v="SYSTEUR"/>
    <x v="0"/>
    <s v="philip.jenkins@philips.com"/>
    <x v="0"/>
    <m/>
  </r>
  <r>
    <n v="36612"/>
    <s v="Tiger Xiao"/>
    <s v="Saving for sub-tier source change of Sumitumo cable assembly driven by STET Gemba activity"/>
    <s v="Phil"/>
    <m/>
    <s v="PROCUREMENT"/>
    <s v="PRODUCTIVITY"/>
    <s v="SOURCING"/>
    <s v="Key Components &amp; Electronics"/>
    <s v="US"/>
    <x v="0"/>
    <s v="IL0"/>
    <n v="0.05"/>
    <x v="19"/>
    <s v="China"/>
    <s v="SYSTEUR"/>
    <x v="0"/>
    <s v="philip.jenkins@philips.com"/>
    <x v="0"/>
    <m/>
  </r>
  <r>
    <n v="36613"/>
    <s v="Tiger Xiao"/>
    <s v="Saving for resource change of chemical and packaging material of sub-tier components of Sumitumo"/>
    <s v="Phil"/>
    <m/>
    <s v="PROCUREMENT"/>
    <s v="PRODUCTIVITY"/>
    <s v="SOURCING"/>
    <s v="Key Components &amp; Electronics"/>
    <s v="US"/>
    <x v="0"/>
    <s v="IL0"/>
    <n v="0.05"/>
    <x v="19"/>
    <s v="China"/>
    <s v="SYSTEUR"/>
    <x v="0"/>
    <s v="philip.jenkins@philips.com"/>
    <x v="0"/>
    <m/>
  </r>
  <r>
    <n v="33230"/>
    <s v="Fred Cai"/>
    <s v="Qin ling_RF matching capacitor optimization"/>
    <s v="Phil"/>
    <m/>
    <s v="PROCUREMENT"/>
    <s v="PRODUCTIVITY"/>
    <s v="CONCEPT"/>
    <s v="Key Components &amp; Electronics"/>
    <s v="MR"/>
    <x v="0"/>
    <s v="IL3"/>
    <n v="0.1"/>
    <x v="23"/>
    <s v="China"/>
    <s v="SYSTEUR"/>
    <x v="0"/>
    <s v="Fred.CAI@philips.com"/>
    <x v="0"/>
    <m/>
  </r>
  <r>
    <n v="35949"/>
    <s v="Johnson Jiang"/>
    <s v="Maxwell project - Heater/Thermocouple local source develop &amp; quality improve"/>
    <s v="Phil"/>
    <m/>
    <s v="PROCUREMENT"/>
    <s v="PRODUCTIVITY"/>
    <s v="SOURCING"/>
    <s v="Medical ODM Markets"/>
    <s v="MR"/>
    <x v="0"/>
    <s v="IL3"/>
    <n v="0.1"/>
    <x v="23"/>
    <s v="China"/>
    <s v="SYSTEUR"/>
    <x v="0"/>
    <s v="Fred.CAI@philips.com"/>
    <x v="0"/>
    <m/>
  </r>
  <r>
    <n v="35919"/>
    <s v="Johnson Jiang"/>
    <s v="Maxwell project - new added machining parts ACM to local supplier Turnxon"/>
    <s v="Phil"/>
    <m/>
    <s v="PROCUREMENT"/>
    <s v="PRODUCTIVITY"/>
    <s v="SOURCING"/>
    <s v="Mechanical Parts &amp; Assemblies"/>
    <s v="MR"/>
    <x v="0"/>
    <s v="IL1"/>
    <n v="0.1"/>
    <x v="23"/>
    <s v="China"/>
    <s v="SYSTEUR"/>
    <x v="0"/>
    <s v="Fred.CAI@philips.com"/>
    <x v="0"/>
    <m/>
  </r>
  <r>
    <n v="26317"/>
    <s v="Saravana"/>
    <s v="STET : introduce dual sourcing Clea C-arcs &amp; sleeves (PCI-2020-008)"/>
    <s v="Dan"/>
    <m/>
    <s v="PROCUREMENT"/>
    <s v="PRODUCTIVITY"/>
    <s v="SOURCING"/>
    <s v="Mechanical Parts &amp; Assemblies"/>
    <s v="IGT-S"/>
    <x v="3"/>
    <s v="IL1"/>
    <n v="0.25"/>
    <x v="24"/>
    <s v="China"/>
    <s v="SYSTEUR"/>
    <x v="0"/>
    <s v="philip.jenkins@philips.com"/>
    <x v="0"/>
    <m/>
  </r>
  <r>
    <n v="33270"/>
    <s v="Fred Cai"/>
    <s v="Vexos PCBA Couch Insourcing Project"/>
    <s v="Phil"/>
    <m/>
    <s v="PROCUREMENT"/>
    <s v="PRODUCTIVITY"/>
    <s v="CONCEPT"/>
    <s v="Key Components &amp; Electronics"/>
    <s v="CT/AMI"/>
    <x v="0"/>
    <s v="IL2"/>
    <n v="0.1"/>
    <x v="24"/>
    <s v="China"/>
    <s v="SYSTEUR"/>
    <x v="0"/>
    <s v="philip.jenkins@philips.com"/>
    <x v="0"/>
    <m/>
  </r>
  <r>
    <s v="L&amp;A"/>
    <s v="N/A"/>
    <s v="MISC. ENTRY TO BALANCE WITH RESOURCE DATABASE"/>
    <s v="All"/>
    <m/>
    <s v="L&amp;A"/>
    <s v="L&amp;A"/>
    <s v="L&amp;A"/>
    <s v="L&amp;A"/>
    <s v="L&amp;A"/>
    <x v="4"/>
    <s v="L&amp;A"/>
    <n v="0.5"/>
    <x v="24"/>
    <s v="China"/>
    <s v="SYSTEUR"/>
    <x v="0"/>
    <s v="philip.jenkins@philips.com"/>
    <x v="0"/>
    <m/>
  </r>
  <r>
    <n v="36760"/>
    <s v="JJ Chen"/>
    <s v="Oring supplier changes from Green Rubber to BDI"/>
    <s v="Phil"/>
    <m/>
    <s v="PROCUREMENT"/>
    <s v="PRODUCTIVITY"/>
    <s v="SOURCING"/>
    <s v="Mechanical Parts &amp; Assemblies"/>
    <s v="EC"/>
    <x v="1"/>
    <s v="IL3"/>
    <n v="0.05"/>
    <x v="25"/>
    <s v="China"/>
    <s v="SYSTEUR"/>
    <x v="0"/>
    <s v="Fred.CAI@philips.com"/>
    <x v="0"/>
    <m/>
  </r>
  <r>
    <n v="29267"/>
    <s v="Saravana"/>
    <s v="STET : IGT L-arc China supply base"/>
    <s v="Dan"/>
    <m/>
    <s v="PROCUREMENT"/>
    <s v="PRODUCTIVITY"/>
    <s v="SOURCING"/>
    <s v="Mechanical Parts &amp; Assemblies"/>
    <s v="IGT-S"/>
    <x v="3"/>
    <s v="IL0"/>
    <n v="0.15"/>
    <x v="25"/>
    <s v="China"/>
    <s v="SYSTEUR"/>
    <x v="0"/>
    <s v="Fred.CAI@philips.com"/>
    <x v="0"/>
    <m/>
  </r>
  <r>
    <n v="36670"/>
    <s v="JJ Chen"/>
    <s v="PCBA Refresh-85802247000-PCA NIBP Module C-NIBP312B Pb Free"/>
    <s v="Phil"/>
    <m/>
    <s v="PROCUREMENT"/>
    <s v="PRODUCTIVITY"/>
    <s v="SOURCING"/>
    <s v="Key Components &amp; Electronics"/>
    <s v="EC"/>
    <x v="1"/>
    <s v="IL1"/>
    <n v="0.05"/>
    <x v="25"/>
    <s v="China"/>
    <s v="SYSTEUR"/>
    <x v="0"/>
    <s v="Fred.CAI@philips.com"/>
    <x v="0"/>
    <m/>
  </r>
  <r>
    <n v="36671"/>
    <s v="JJ Chen"/>
    <s v="PCBA Refresh-453564383921-PCA PR50 RCDR Control"/>
    <s v="Phil"/>
    <m/>
    <s v="PROCUREMENT"/>
    <s v="PRODUCTIVITY"/>
    <s v="SOURCING"/>
    <s v="Key Components &amp; Electronics"/>
    <s v="EC"/>
    <x v="1"/>
    <s v="IL3"/>
    <n v="0.05"/>
    <x v="25"/>
    <s v="China"/>
    <s v="SYSTEUR"/>
    <x v="0"/>
    <s v="Fred.CAI@philips.com"/>
    <x v="0"/>
    <m/>
  </r>
  <r>
    <n v="30851"/>
    <s v="Saravana"/>
    <s v="STET : China localisation Tables"/>
    <s v="Dan"/>
    <m/>
    <s v="PROCUREMENT"/>
    <s v="PRODUCTIVITY"/>
    <s v="SOURCING"/>
    <s v="Mechanical Parts &amp; Assemblies"/>
    <s v="IGT-S"/>
    <x v="3"/>
    <s v="IL1"/>
    <n v="0.3"/>
    <x v="25"/>
    <s v="China"/>
    <s v="SYSTEUR"/>
    <x v="0"/>
    <s v="Fred.CAI@philips.com"/>
    <x v="0"/>
    <m/>
  </r>
  <r>
    <n v="36408"/>
    <s v="Fred Cai"/>
    <s v="PCBA Refresh-453564870581-PCA therapy Board Rubicon pb free"/>
    <s v="Phil"/>
    <m/>
    <s v="PROCUREMENT"/>
    <s v="LCM"/>
    <s v="SOURCING"/>
    <s v="Key Components &amp; Electronics"/>
    <s v="EC"/>
    <x v="1"/>
    <s v="IL1"/>
    <n v="0.05"/>
    <x v="25"/>
    <s v="China"/>
    <s v="SYSTEUR"/>
    <x v="0"/>
    <s v="Fred.CAI@philips.com"/>
    <x v="0"/>
    <m/>
  </r>
  <r>
    <n v="36437"/>
    <s v="Fred Cai"/>
    <s v="PCBA Refresh-453564689961-PCCRD System on Module (SOM) Rubicon"/>
    <s v="Phil"/>
    <m/>
    <s v="PROCUREMENT"/>
    <s v="LCM"/>
    <s v="SOURCING"/>
    <s v="Key Components &amp; Electronics"/>
    <s v="EC"/>
    <x v="1"/>
    <s v="IL3"/>
    <n v="0.05"/>
    <x v="25"/>
    <s v="China"/>
    <s v="SYSTEUR"/>
    <x v="0"/>
    <s v="Fred.CAI@philips.com"/>
    <x v="0"/>
    <m/>
  </r>
  <r>
    <n v="36406"/>
    <s v="Fred Cai"/>
    <s v="PCBA Refresh-453564734931-PCA therapy Board pb free DFM100"/>
    <s v="Phil"/>
    <m/>
    <s v="PROCUREMENT"/>
    <s v="LCM"/>
    <s v="SOURCING"/>
    <s v="Key Components &amp; Electronics"/>
    <s v="EC"/>
    <x v="1"/>
    <s v="IL1"/>
    <n v="0.05"/>
    <x v="25"/>
    <s v="China"/>
    <s v="SYSTEUR"/>
    <x v="0"/>
    <s v="Fred.CAI@philips.com"/>
    <x v="0"/>
    <m/>
  </r>
  <r>
    <n v="36401"/>
    <s v="Fred Cai"/>
    <s v="PCBA Refresh-453564801051-PCBA PCCR Module"/>
    <s v="Phil"/>
    <m/>
    <s v="PROCUREMENT"/>
    <s v="LCM"/>
    <s v="SOURCING"/>
    <s v="Key Components &amp; Electronics"/>
    <s v="EC"/>
    <x v="1"/>
    <s v="IL3"/>
    <n v="0.05"/>
    <x v="25"/>
    <s v="China"/>
    <s v="SYSTEUR"/>
    <x v="0"/>
    <s v="Fred.CAI@philips.com"/>
    <x v="0"/>
    <m/>
  </r>
  <r>
    <n v="36399"/>
    <s v="Fred Cai"/>
    <s v="PCBA Refresh-453564376661-PCA Process Board DFMSYS01"/>
    <s v="Phil"/>
    <m/>
    <s v="PROCUREMENT"/>
    <s v="LCM"/>
    <s v="SOURCING"/>
    <s v="Key Components &amp; Electronics"/>
    <s v="EC"/>
    <x v="1"/>
    <s v="IL1"/>
    <n v="0.05"/>
    <x v="25"/>
    <s v="China"/>
    <s v="SYSTEUR"/>
    <x v="0"/>
    <s v="Fred.CAI@philips.com"/>
    <x v="0"/>
    <m/>
  </r>
  <r>
    <n v="23648"/>
    <s v="Fred Cai"/>
    <s v="Efficia 19 PCBs material change from 370HR to EM827 and dual source in SCC"/>
    <s v="Phil"/>
    <m/>
    <s v="PROCUREMENT"/>
    <s v="PRODUCTIVITY"/>
    <s v="CONCEPT"/>
    <s v="Key Components &amp; Electronics"/>
    <s v="CT/AMI"/>
    <x v="0"/>
    <s v="IL3"/>
    <n v="0.05"/>
    <x v="25"/>
    <s v="China"/>
    <s v="SYSTEUR"/>
    <x v="0"/>
    <s v="Fred.CAI@philips.com"/>
    <x v="0"/>
    <m/>
  </r>
  <r>
    <n v="18181"/>
    <s v="Fred Cai"/>
    <s v="VS30  5PCBs material change from 370HR to EM827 and dual source in SCC"/>
    <s v="Phil"/>
    <m/>
    <s v="PROCUREMENT"/>
    <s v="PRODUCTIVITY"/>
    <s v="CONCEPT"/>
    <s v="Key Components &amp; Electronics"/>
    <s v="CT/AMI"/>
    <x v="0"/>
    <s v="IL3"/>
    <n v="0.05"/>
    <x v="25"/>
    <s v="China"/>
    <s v="SYSTEUR"/>
    <x v="0"/>
    <s v="Fred.CAI@philips.com"/>
    <x v="0"/>
    <m/>
  </r>
  <r>
    <n v="34983"/>
    <s v="JJ Chen"/>
    <s v="P60E80E PCB material change to EM827 and dual source in SCC"/>
    <s v="Phil"/>
    <m/>
    <s v="PROCUREMENT"/>
    <s v="PRODUCTIVITY"/>
    <s v="CONCEPT"/>
    <s v="Key Components &amp; Electronics"/>
    <s v="CT/AMI"/>
    <x v="0"/>
    <s v="IL3"/>
    <n v="0.05"/>
    <x v="25"/>
    <s v="China"/>
    <s v="SYSTEUR"/>
    <x v="0"/>
    <s v="Fred.CAI@philips.com"/>
    <x v="0"/>
    <m/>
  </r>
  <r>
    <n v="35980"/>
    <s v="ShaSha Shi"/>
    <s v="Noah HLA optimziation"/>
    <s v="Phil"/>
    <m/>
    <s v="PROCUREMENT"/>
    <s v="PRODUCTIVITY"/>
    <s v="CONCEPT"/>
    <s v="Mechanical Parts &amp; Assemblies"/>
    <s v="CT/AMI"/>
    <x v="0"/>
    <s v="IL3"/>
    <n v="0.05"/>
    <x v="26"/>
    <s v="China"/>
    <s v="SYSTEUR"/>
    <x v="0"/>
    <s v="Fred.CAI@philips.com"/>
    <x v="0"/>
    <m/>
  </r>
  <r>
    <n v="35535"/>
    <s v="ShaSha Shi"/>
    <s v="Noah H-frame design optimization"/>
    <s v="Phil"/>
    <m/>
    <s v="PROCUREMENT"/>
    <s v="PRODUCTIVITY"/>
    <s v="CONCEPT"/>
    <s v="Mechanical Parts &amp; Assemblies"/>
    <s v="CT/AMI"/>
    <x v="0"/>
    <s v="IL3"/>
    <n v="0.05"/>
    <x v="26"/>
    <s v="China"/>
    <s v="SYSTEUR"/>
    <x v="0"/>
    <s v="Fred.CAI@philips.com"/>
    <x v="0"/>
    <m/>
  </r>
  <r>
    <n v="34330"/>
    <s v="Adrianna Davis"/>
    <s v="Noah HLA machining parts to Laser cutting/(Scissor &amp; connecting block/seat)"/>
    <s v="Phil"/>
    <m/>
    <s v="PROCUREMENT"/>
    <s v="PRODUCTIVITY"/>
    <s v="CONCEPT"/>
    <s v="Mechanical Parts &amp; Assemblies"/>
    <s v="CT/AMI"/>
    <x v="0"/>
    <s v="IL3"/>
    <n v="0.05"/>
    <x v="26"/>
    <s v="China"/>
    <s v="SYSTEUR"/>
    <x v="0"/>
    <s v="Fred.CAI@philips.com"/>
    <x v="0"/>
    <m/>
  </r>
  <r>
    <n v="34786"/>
    <s v="Sha Sha"/>
    <s v="Incisive gantry weight reduction ( remove the feature for anti-earth quake)"/>
    <s v="Phil"/>
    <m/>
    <s v="PROCUREMENT"/>
    <s v="PRODUCTIVITY"/>
    <s v="CONCEPT"/>
    <s v="Mechanical Parts &amp; Assemblies"/>
    <s v="CT/AMI"/>
    <x v="0"/>
    <s v="IL3"/>
    <n v="0.3"/>
    <x v="26"/>
    <s v="China"/>
    <s v="SYSTEUR"/>
    <x v="0"/>
    <s v="Fred.CAI@philips.com"/>
    <x v="0"/>
    <m/>
  </r>
  <r>
    <n v="34408"/>
    <s v="Sha Sha"/>
    <s v="BB/Hawk/Taichi H-Phantom transfer (CTI to Joho)"/>
    <s v="Phil"/>
    <m/>
    <s v="PROCUREMENT"/>
    <s v="PRODUCTIVITY"/>
    <s v="SOURCING"/>
    <s v="Mechanical Parts &amp; Assemblies"/>
    <s v="CT/AMI"/>
    <x v="0"/>
    <s v="IL3"/>
    <n v="0.1"/>
    <x v="26"/>
    <s v="China"/>
    <s v="SYSTEUR"/>
    <x v="0"/>
    <s v="Fred.CAI@philips.com"/>
    <x v="0"/>
    <m/>
  </r>
  <r>
    <n v="32461"/>
    <s v="Sha Sha"/>
    <s v="Incisive CTI step phantom transfer"/>
    <s v="Phil"/>
    <m/>
    <s v="PROCUREMENT"/>
    <s v="PRODUCTIVITY"/>
    <s v="SOURCING"/>
    <s v="Mechanical Parts &amp; Assemblies"/>
    <s v="CT/AMI"/>
    <x v="0"/>
    <s v="IL4"/>
    <n v="0.05"/>
    <x v="26"/>
    <s v="China"/>
    <s v="SYSTEUR"/>
    <x v="0"/>
    <s v="Fred.CAI@philips.com"/>
    <x v="0"/>
    <m/>
  </r>
  <r>
    <n v="34052"/>
    <s v="Steven Li"/>
    <s v="Big Bore Transceiver Enclosure 2nd Source"/>
    <s v="Phil"/>
    <m/>
    <s v="PROCUREMENT"/>
    <s v="PRODUCTIVITY"/>
    <s v="SOURCING"/>
    <s v="Key Components &amp; Electronics"/>
    <s v="CT/AMI"/>
    <x v="0"/>
    <s v="IL1"/>
    <n v="0.05"/>
    <x v="26"/>
    <s v="China"/>
    <s v="SYSTEUR"/>
    <x v="0"/>
    <s v="Fred.CAI@philips.com"/>
    <x v="0"/>
    <m/>
  </r>
  <r>
    <n v="35545"/>
    <s v="ShaSha Shi"/>
    <s v="Noah couch anti-pinch design change from tape switch to microswitch"/>
    <s v="Phil"/>
    <m/>
    <s v="PROCUREMENT"/>
    <s v="PRODUCTIVITY"/>
    <s v="CONCEPT"/>
    <s v="Mechanical Parts &amp; Assemblies"/>
    <s v="CT/AMI"/>
    <x v="0"/>
    <s v="IL3"/>
    <n v="0.05"/>
    <x v="26"/>
    <s v="China"/>
    <s v="SYSTEUR"/>
    <x v="0"/>
    <s v="Fred.CAI@philips.com"/>
    <x v="0"/>
    <m/>
  </r>
  <r>
    <n v="32340"/>
    <s v="Fred Cai"/>
    <s v="Incisive Couch Tabletop &amp; Head Rest 2nd Source Development"/>
    <s v="Phil"/>
    <m/>
    <s v="N/A"/>
    <s v="LCM"/>
    <s v="SOURCING"/>
    <s v="Mechanical Parts &amp; Assemblies"/>
    <s v="CT/AMI"/>
    <x v="0"/>
    <s v="IL0"/>
    <n v="0.15"/>
    <x v="26"/>
    <s v="China"/>
    <s v="SYSTEUR"/>
    <x v="0"/>
    <s v="Fred.CAI@philips.com"/>
    <x v="0"/>
    <m/>
  </r>
  <r>
    <n v="31645"/>
    <s v="Steven Li"/>
    <s v="SOF Phantom transfer"/>
    <s v="Phil"/>
    <m/>
    <s v="PROCUREMENT"/>
    <s v="PRODUCTIVITY"/>
    <s v="CONCEPT"/>
    <s v="Mechanical Parts &amp; Assemblies"/>
    <s v="CT/AMI"/>
    <x v="0"/>
    <s v="IL3"/>
    <n v="0.05"/>
    <x v="26"/>
    <s v="China"/>
    <s v="SYSTEUR"/>
    <x v="0"/>
    <s v="Fred.CAI@philips.com"/>
    <x v="0"/>
    <m/>
  </r>
  <r>
    <n v="34051"/>
    <s v="Wei"/>
    <s v="Access Couch Tabletop &amp; Head Rest 2nd Source Development"/>
    <s v="Phil"/>
    <m/>
    <s v="PROCUREMENT"/>
    <s v="PRODUCTIVITY"/>
    <s v="SOURCING"/>
    <s v="Mechanical Parts &amp; Assemblies"/>
    <s v="CT/AMI"/>
    <x v="0"/>
    <s v="IL2"/>
    <n v="0.1"/>
    <x v="26"/>
    <s v="China"/>
    <s v="SYSTEUR"/>
    <x v="0"/>
    <s v="Fred.CAI@philips.com"/>
    <x v="0"/>
    <m/>
  </r>
  <r>
    <n v="35737"/>
    <s v="Wei Zhao"/>
    <s v="Risk Mitigation-Maxwell: Outsource welding processes for Roll Up and End plate"/>
    <s v="Phil"/>
    <m/>
    <s v="PROCUREMENT"/>
    <s v="PRODUCTIVITY"/>
    <s v="SOURCING"/>
    <s v="Mechanical Parts &amp; Assemblies"/>
    <s v="MR"/>
    <x v="0"/>
    <s v="IL3"/>
    <n v="0.2"/>
    <x v="0"/>
    <s v="China"/>
    <s v="SYSTEUR"/>
    <x v="0"/>
    <s v="Fred.CAI@philips.com"/>
    <x v="0"/>
    <m/>
  </r>
  <r>
    <n v="37009"/>
    <s v="Wei Zhao"/>
    <s v="Localize MIDDLE BAR with Hontech"/>
    <s v="Phil"/>
    <m/>
    <s v="PROCUREMENT"/>
    <s v="PRODUCTIVITY"/>
    <s v="SOURCING"/>
    <s v="Mechanical Parts &amp; Assemblies"/>
    <s v="MR"/>
    <x v="0"/>
    <s v="IL3"/>
    <n v="0.15"/>
    <x v="0"/>
    <s v="China"/>
    <s v="SYSTEUR"/>
    <x v="0"/>
    <s v="Fred.CAI@philips.com"/>
    <x v="0"/>
    <m/>
  </r>
  <r>
    <n v="35740"/>
    <s v="Wei Zhao"/>
    <s v="Risk mitigation-Maxwell: Localize bellows with Aidi"/>
    <s v="Phil"/>
    <m/>
    <s v="PROCUREMENT"/>
    <s v="PRODUCTIVITY"/>
    <s v="SOURCING"/>
    <s v="Mechanical Parts &amp; Assemblies"/>
    <s v="MR"/>
    <x v="0"/>
    <s v="IL3"/>
    <n v="0.1"/>
    <x v="0"/>
    <s v="China"/>
    <s v="SYSTEUR"/>
    <x v="0"/>
    <s v="Fred.CAI@philips.com"/>
    <x v="0"/>
    <m/>
  </r>
  <r>
    <n v="37011"/>
    <s v="Wei Zhao"/>
    <s v="Localize SEALANT &amp; Tape NITTO with Wurth"/>
    <s v="Phil"/>
    <m/>
    <s v="PROCUREMENT"/>
    <s v="PRODUCTIVITY"/>
    <s v="SOURCING"/>
    <s v="Mechanical Parts &amp; Assemblies"/>
    <s v="MR"/>
    <x v="0"/>
    <s v="IL3"/>
    <n v="0.05"/>
    <x v="0"/>
    <s v="China"/>
    <s v="SYSTEUR"/>
    <x v="0"/>
    <s v="Fred.CAI@philips.com"/>
    <x v="0"/>
    <m/>
  </r>
  <r>
    <n v="35738"/>
    <s v="Wei Zhao"/>
    <s v="Risk Mitigation-Maxwell: Localize 16 parts - Simecona"/>
    <s v="Phil"/>
    <m/>
    <s v="PROCUREMENT"/>
    <s v="PRODUCTIVITY"/>
    <s v="SOURCING"/>
    <s v="Mechanical Parts &amp; Assemblies"/>
    <s v="MR"/>
    <x v="0"/>
    <s v="IL3"/>
    <n v="0.05"/>
    <x v="0"/>
    <s v="China"/>
    <s v="SYSTEUR"/>
    <x v="0"/>
    <s v="Fred.CAI@philips.com"/>
    <x v="0"/>
    <m/>
  </r>
  <r>
    <n v="37010"/>
    <s v="Wei Zhao"/>
    <s v="Risk mitigation for 3 Glue from Wesco"/>
    <s v="Phil"/>
    <m/>
    <s v="PROCUREMENT"/>
    <s v="PRODUCTIVITY"/>
    <s v="SOURCING"/>
    <s v="Mechanical Parts &amp; Assemblies"/>
    <s v="MR"/>
    <x v="0"/>
    <s v="IL3"/>
    <n v="0.05"/>
    <x v="0"/>
    <s v="China"/>
    <s v="SYSTEUR"/>
    <x v="0"/>
    <s v="Fred.CAI@philips.com"/>
    <x v="0"/>
    <m/>
  </r>
  <r>
    <n v="35295"/>
    <s v="Wei Zhao"/>
    <s v="Kunpeng gantry bearing dual source to LYC"/>
    <s v="Phil"/>
    <m/>
    <s v="PROCUREMENT"/>
    <s v="PRODUCTIVITY"/>
    <s v="CONCEPT"/>
    <s v="Mechanical Parts &amp; Assemblies"/>
    <s v="CT/AMI"/>
    <x v="0"/>
    <s v="IL3"/>
    <n v="0.1"/>
    <x v="0"/>
    <s v="China"/>
    <s v="SYSTEUR"/>
    <x v="0"/>
    <s v="Fred.CAI@philips.com"/>
    <x v="0"/>
    <m/>
  </r>
  <r>
    <n v="32339"/>
    <s v="Steven Li"/>
    <s v="Access &amp; Kunpeng Bearing dual source to LYC"/>
    <s v="Phil"/>
    <m/>
    <s v="PROCUREMENT"/>
    <s v="PRODUCTIVITY"/>
    <s v="CONCEPT"/>
    <s v="Mechanical Parts &amp; Assemblies"/>
    <s v="CT/AMI"/>
    <x v="0"/>
    <s v="IL2"/>
    <n v="0.1"/>
    <x v="0"/>
    <s v="China"/>
    <s v="SYSTEUR"/>
    <x v="0"/>
    <s v="Fred.CAI@philips.com"/>
    <x v="0"/>
    <m/>
  </r>
  <r>
    <n v="26197"/>
    <s v="Xin Ling"/>
    <s v="BB/ING Cushion Pad localization"/>
    <s v="Phil"/>
    <m/>
    <s v="PROCUREMENT"/>
    <s v="PRODUCTIVITY"/>
    <s v="SOURCING"/>
    <s v="Mechanical Parts &amp; Assemblies"/>
    <s v="CT/AMI"/>
    <x v="0"/>
    <s v="IL4"/>
    <n v="0.05"/>
    <x v="1"/>
    <s v="China"/>
    <s v="SYSTEUR"/>
    <x v="0"/>
    <s v="Fred.CAI@philips.com"/>
    <x v="0"/>
    <m/>
  </r>
  <r>
    <n v="35758"/>
    <s v="Xia Ling"/>
    <s v="Hawk IVC Transfer Phase II Cable _ RAFI"/>
    <s v="Phil"/>
    <m/>
    <s v="PROCUREMENT"/>
    <s v="PRODUCTIVITY"/>
    <s v="CONCEPT"/>
    <s v="Medical ODM Markets"/>
    <s v="CT/AMI"/>
    <x v="0"/>
    <s v="IL3"/>
    <n v="0.1"/>
    <x v="1"/>
    <s v="China"/>
    <s v="SYSTEUR"/>
    <x v="0"/>
    <s v="Fred.CAI@philips.com"/>
    <x v="0"/>
    <m/>
  </r>
  <r>
    <s v="PDTEAM39"/>
    <s v="Xia Ling"/>
    <s v="CT Shenyang PCBA de-risk project 1"/>
    <s v="Phil"/>
    <m/>
    <s v="PROCUREMENT"/>
    <s v="PRODUCTIVITY"/>
    <s v="SOURCING"/>
    <s v="Key Components &amp; Electronics"/>
    <s v="CT/AMI"/>
    <x v="0"/>
    <s v="IL3"/>
    <n v="0.4"/>
    <x v="1"/>
    <s v="China"/>
    <s v="SYSTEUR"/>
    <x v="0"/>
    <s v="Fred.CAI@philips.com"/>
    <x v="0"/>
    <m/>
  </r>
  <r>
    <n v="33755"/>
    <s v="Fred Cai"/>
    <s v="HAWK &amp; BB IVC Transfer Phase II PCBA_ RAFI"/>
    <s v="Phil"/>
    <m/>
    <s v="PROCUREMENT"/>
    <s v="PRODUCTIVITY"/>
    <s v="CONCEPT"/>
    <s v="Key Components &amp; Electronics"/>
    <s v="CT/AMI"/>
    <x v="0"/>
    <s v="IL3"/>
    <n v="0.1"/>
    <x v="1"/>
    <s v="China"/>
    <s v="SYSTEUR"/>
    <x v="0"/>
    <s v="Fred.CAI@philips.com"/>
    <x v="0"/>
    <m/>
  </r>
  <r>
    <n v="28689"/>
    <s v="Xin Ling"/>
    <s v="Incisive &amp; Access_PCBA transfer out from Sinbon"/>
    <s v="Phil"/>
    <m/>
    <s v="PROCUREMENT"/>
    <s v="PRODUCTIVITY"/>
    <s v="SOURCING"/>
    <s v="Key Components &amp; Electronics"/>
    <s v="CT/AMI"/>
    <x v="0"/>
    <s v="IL3"/>
    <n v="0.1"/>
    <x v="1"/>
    <s v="China"/>
    <s v="SYSTEUR"/>
    <x v="0"/>
    <s v="Fred.CAI@philips.com"/>
    <x v="0"/>
    <m/>
  </r>
  <r>
    <n v="33765"/>
    <s v="Fred Cai"/>
    <s v="STET Qin Ling DFX: High integrated circulator design"/>
    <s v="Phil"/>
    <m/>
    <s v="PROCUREMENT"/>
    <s v="PRODUCTIVITY"/>
    <s v="CONCEPT"/>
    <s v="Mechanical Parts &amp; Assemblies"/>
    <s v="MR"/>
    <x v="0"/>
    <s v="IL1"/>
    <n v="0.1"/>
    <x v="23"/>
    <s v="China"/>
    <s v="SYSTEUR"/>
    <x v="0"/>
    <s v="Fred.CAI@philips.com"/>
    <x v="0"/>
    <m/>
  </r>
  <r>
    <n v="35951"/>
    <s v="Adrianna Davis"/>
    <s v="Maxwell Project - Tube parts from CMIC to Nelson direct buy"/>
    <s v="Phil"/>
    <m/>
    <s v="PROCUREMENT"/>
    <s v="PRODUCTIVITY"/>
    <s v="SOURCING"/>
    <s v="Mechanical Parts &amp; Assemblies"/>
    <s v="MR"/>
    <x v="0"/>
    <s v="IL3"/>
    <n v="0.1"/>
    <x v="23"/>
    <s v="China"/>
    <s v="SYSTEUR"/>
    <x v="0"/>
    <s v="Fred.CAI@philips.com"/>
    <x v="0"/>
    <m/>
  </r>
  <r>
    <n v="35726"/>
    <s v="Johnson Jiang"/>
    <s v="Risk mitigation on EOP parts on MR table and RFRC parts"/>
    <s v="Phil"/>
    <m/>
    <s v="PROCUREMENT"/>
    <s v="PRODUCTIVITY"/>
    <s v="NON_12NC"/>
    <s v="Key Components &amp; Electronics"/>
    <s v="MR"/>
    <x v="0"/>
    <s v="IL2"/>
    <n v="0.1"/>
    <x v="23"/>
    <s v="China"/>
    <s v="SYSTEUR"/>
    <x v="0"/>
    <s v="Fred.CAI@philips.com"/>
    <x v="0"/>
    <m/>
  </r>
  <r>
    <n v="19186"/>
    <s v="Steven Li"/>
    <s v="Alternative supplier for the headset/nurse call connector (chasis)"/>
    <s v="Phil"/>
    <m/>
    <s v="PROCUREMENT"/>
    <s v="PRODUCTIVITY"/>
    <s v="CONCEPT"/>
    <s v="Key Components &amp; Electronics"/>
    <s v="MR"/>
    <x v="0"/>
    <s v="IL3"/>
    <n v="0.1"/>
    <x v="23"/>
    <s v="China"/>
    <s v="SYSTEUR"/>
    <x v="0"/>
    <s v="Fred.CAI@philips.com"/>
    <x v="0"/>
    <m/>
  </r>
  <r>
    <s v="RTC-GRO20230301329"/>
    <s v="Tjisse"/>
    <s v="New SKU for Europe, replacing current BT5 range. BT5505 15New"/>
    <s v="Tim"/>
    <m/>
    <s v="TCO"/>
    <s v="IGM"/>
    <s v="TCO"/>
    <s v="Mechanical Parts &amp; Assemblies"/>
    <s v="GB"/>
    <x v="2"/>
    <s v="IL3"/>
    <n v="0.1"/>
    <x v="27"/>
    <s v="India"/>
    <s v="SYSTEUR"/>
    <x v="0"/>
    <s v="sushruth.rudrachary@philips.com"/>
    <x v="3"/>
    <m/>
  </r>
  <r>
    <s v="CARTPDCUS1"/>
    <s v="Charles Moses"/>
    <s v="Carts PDC - Ultrasound Quicksilver NPI"/>
    <s v="Nishant"/>
    <m/>
    <s v="PROCUREMENT"/>
    <s v="CART PDC"/>
    <s v="CONCEPT"/>
    <s v="Mechanical Parts &amp; Assemblies"/>
    <s v="US"/>
    <x v="0"/>
    <s v="IL3"/>
    <n v="1"/>
    <x v="28"/>
    <s v="India"/>
    <s v="SYSTEUR"/>
    <x v="0"/>
    <s v="Charles.Moses@philips.com"/>
    <x v="2"/>
    <m/>
  </r>
  <r>
    <s v="RTC-GRO20230301329"/>
    <s v="Tjisse"/>
    <s v="New SKU for Europe, replacing current BT5 range. BT5505 15New"/>
    <s v="Tim"/>
    <m/>
    <s v="TCO"/>
    <s v="IGM"/>
    <s v="TCO"/>
    <s v="Mechanical Parts &amp; Assemblies"/>
    <s v="GB"/>
    <x v="2"/>
    <s v="IL3"/>
    <n v="0.15"/>
    <x v="27"/>
    <s v="India"/>
    <s v="SYSTEUR"/>
    <x v="0"/>
    <s v="sushruth.rudrachary@philips.com"/>
    <x v="3"/>
    <m/>
  </r>
  <r>
    <n v="33632"/>
    <s v="Tjisse"/>
    <s v="Sunstone - Adaptor 2nd source - Iskra+PZH"/>
    <s v="Tim"/>
    <m/>
    <s v="PROCUREMENT"/>
    <s v="PRODUCTIVITY"/>
    <s v="SOURCING"/>
    <s v="Personal Health"/>
    <s v="GB"/>
    <x v="2"/>
    <s v="IL1"/>
    <n v="0.05"/>
    <x v="29"/>
    <s v="India"/>
    <s v="SYSTEUR"/>
    <x v="0"/>
    <s v="sushruth.rudrachary@philips.com"/>
    <x v="3"/>
    <m/>
  </r>
  <r>
    <s v="CR154512"/>
    <s v="Saurabh Agarwal"/>
    <s v="E-Series Blister BH Packaging"/>
    <s v="Tim"/>
    <m/>
    <s v="PROCUREMENT"/>
    <s v="AOS"/>
    <s v="SOURCING"/>
    <s v="Mechanical Parts &amp; Assemblies"/>
    <s v="OHC"/>
    <x v="2"/>
    <s v="IL4"/>
    <n v="0.25"/>
    <x v="30"/>
    <s v="India"/>
    <s v="SYSTEUR"/>
    <x v="0"/>
    <s v="saurabh.agrawal_1@philips.com"/>
    <x v="3"/>
    <m/>
  </r>
  <r>
    <s v="CR174438"/>
    <s v="Saurabh Agarwal"/>
    <s v="China WPT Project"/>
    <s v="Tim"/>
    <m/>
    <s v="N/A"/>
    <s v="LCM"/>
    <s v="SOURCING"/>
    <s v="Personal Health"/>
    <s v="OHC"/>
    <x v="2"/>
    <s v="IL2"/>
    <n v="0.6"/>
    <x v="30"/>
    <s v="India"/>
    <s v="SYSTEUR"/>
    <x v="0"/>
    <s v="saurabh.agrawal_1@philips.com"/>
    <x v="3"/>
    <m/>
  </r>
  <r>
    <n v="23596"/>
    <s v="Saurabh Agarwal"/>
    <s v="Zoom Lamp -- Shift supplier of PCBA from MSD to Preferred"/>
    <s v="Tim"/>
    <m/>
    <s v="PROCUREMENT"/>
    <s v="PRODUCTIVITY"/>
    <s v="SOURCING"/>
    <s v="Key Components &amp; Electronics"/>
    <s v="OHC"/>
    <x v="2"/>
    <s v="IL3"/>
    <n v="0.15"/>
    <x v="30"/>
    <s v="India"/>
    <s v="SYSTEUR"/>
    <x v="0"/>
    <s v="saurabh.agrawal_1@philips.com"/>
    <x v="3"/>
    <m/>
  </r>
  <r>
    <n v="24293"/>
    <s v="Saurabh Agarwal"/>
    <s v="Localization US Label (OHC DFX WORKSHOP)"/>
    <s v="Nishant"/>
    <m/>
    <s v="PROCUREMENT"/>
    <s v="PRODUCTIVITY"/>
    <s v="SOURCING"/>
    <s v="Mechanical Parts &amp; Assemblies"/>
    <s v="OHC"/>
    <x v="2"/>
    <s v="IL3"/>
    <n v="1"/>
    <x v="31"/>
    <s v="China"/>
    <s v="SYSTEUR"/>
    <x v="0"/>
    <s v="anil.c.s@philips.com"/>
    <x v="3"/>
    <m/>
  </r>
  <r>
    <s v="COA202202"/>
    <s v="Sanjeev"/>
    <s v="COA Hamburg"/>
    <s v="Tim"/>
    <m/>
    <s v="N/A"/>
    <s v="CONQ"/>
    <s v="CONQ"/>
    <s v="Medical ODM Markets"/>
    <s v="IGT-S"/>
    <x v="3"/>
    <s v="IL3"/>
    <n v="1"/>
    <x v="32"/>
    <s v="India"/>
    <s v="SYSTEUR"/>
    <x v="1"/>
    <s v="Ishan.Gupta@philips.com"/>
    <x v="3"/>
    <m/>
  </r>
  <r>
    <n v="27654"/>
    <s v="Pushkar Kulkarni"/>
    <s v="STET : Localisation Machined parts Labo, Nijdra to Raychem"/>
    <s v="Dan"/>
    <m/>
    <s v="PROCUREMENT"/>
    <s v="PRODUCTIVITY"/>
    <s v="SOURCING"/>
    <s v="Mechanical Parts &amp; Assemblies"/>
    <s v="IGT-MoS"/>
    <x v="3"/>
    <s v="IL3"/>
    <n v="0.2"/>
    <x v="33"/>
    <s v="India"/>
    <s v="SYSTEUR"/>
    <x v="0"/>
    <s v="Sanjeev.Kumar_2@philips.com"/>
    <x v="3"/>
    <m/>
  </r>
  <r>
    <n v="35247"/>
    <s v="Tjisse"/>
    <s v="422201516761: change Curing process to cold forging process"/>
    <s v="Tim"/>
    <m/>
    <s v="PROCUREMENT"/>
    <s v="PRODUCTIVITY"/>
    <s v="CONCEPT"/>
    <s v="Mechanical Parts &amp; Assemblies"/>
    <s v="GB"/>
    <x v="2"/>
    <s v="IL3"/>
    <n v="0.1"/>
    <x v="34"/>
    <s v="India"/>
    <s v="SYSTEUR"/>
    <x v="0"/>
    <s v="sushruth.rudrachary@philips.com"/>
    <x v="3"/>
    <m/>
  </r>
  <r>
    <s v="IGM69"/>
    <s v="Tjisse"/>
    <s v="Phase Out of S1010/04 for China in March 2023 because of the introduction of S7833"/>
    <s v="Tim"/>
    <m/>
    <s v="N/A"/>
    <s v="LCM"/>
    <s v="TCO"/>
    <s v="Personal Health"/>
    <s v="GB"/>
    <x v="2"/>
    <s v="IL3"/>
    <n v="0.1"/>
    <x v="34"/>
    <s v="India"/>
    <s v="SYSTEUR"/>
    <x v="0"/>
    <s v="sushruth.rudrachary@philips.com"/>
    <x v="3"/>
    <m/>
  </r>
  <r>
    <s v="IGM71"/>
    <s v="Tjisse"/>
    <s v="Phase Out - These two Bohu skus are eol skus - BoHu (S218/02, S208/02), U-Tube (S666/02, S629/02, S628/02, S1050/02) , Cerberus ( S1020/04 , S1010/04)"/>
    <s v="Tim"/>
    <m/>
    <s v="N/A"/>
    <s v="LCM"/>
    <s v="TCO"/>
    <s v="Personal Health"/>
    <s v="GB"/>
    <x v="2"/>
    <s v="IL3"/>
    <n v="0.1"/>
    <x v="34"/>
    <s v="India"/>
    <s v="SYSTEUR"/>
    <x v="0"/>
    <s v="sushruth.rudrachary@philips.com"/>
    <x v="3"/>
    <m/>
  </r>
  <r>
    <s v="IGM80"/>
    <s v="Tjisse"/>
    <s v="Phase out of current Prestige shaving head range (SH90XX &amp; SH98XX) because of the introduction of new Prestige shaving head (SH91XX"/>
    <s v="Tim"/>
    <m/>
    <s v="N/A"/>
    <s v="LCM"/>
    <s v="TCO"/>
    <s v="Personal Health"/>
    <s v="GB"/>
    <x v="2"/>
    <s v="IL3"/>
    <n v="0.1"/>
    <x v="34"/>
    <s v="India"/>
    <s v="SYSTEUR"/>
    <x v="0"/>
    <s v="sushruth.rudrachary@philips.com"/>
    <x v="3"/>
    <m/>
  </r>
  <r>
    <s v="IGM87"/>
    <s v="Tjisse"/>
    <s v="Launch (New product) S5465/18 (APA Refresh) Amazon EU-Add  Soft Pouch &amp; Beard Styler"/>
    <s v="Tim"/>
    <m/>
    <s v="TCO"/>
    <s v="IGM"/>
    <s v="TCO"/>
    <s v="Personal Health"/>
    <s v="GB"/>
    <x v="2"/>
    <s v="IL3"/>
    <n v="0.1"/>
    <x v="34"/>
    <s v="India"/>
    <s v="SYSTEUR"/>
    <x v="0"/>
    <s v="sushruth.rudrachary@philips.com"/>
    <x v="3"/>
    <m/>
  </r>
  <r>
    <s v="IGM81"/>
    <s v="Tjisse"/>
    <s v="Phase-out model (S1332/41)"/>
    <s v="Tim"/>
    <m/>
    <s v="N/A"/>
    <s v="LCM"/>
    <s v="TCO"/>
    <s v="Personal Health"/>
    <s v="GB"/>
    <x v="2"/>
    <s v="IL3"/>
    <n v="0.1"/>
    <x v="34"/>
    <s v="India"/>
    <s v="SYSTEUR"/>
    <x v="0"/>
    <s v="sushruth.rudrachary@philips.com"/>
    <x v="3"/>
    <m/>
  </r>
  <r>
    <n v="27653"/>
    <s v="Pushkar Kulkarni"/>
    <s v="STET : Localisation - Cables purcahsed from Leoni &amp; Volex to be re-source including core cable (MoS"/>
    <s v="Dan"/>
    <m/>
    <s v="PROCUREMENT"/>
    <s v="PRODUCTIVITY"/>
    <s v="SOURCING"/>
    <s v="Key Components &amp; Electronics"/>
    <s v="IGT-MoS"/>
    <x v="3"/>
    <s v="IL3"/>
    <n v="0.4"/>
    <x v="35"/>
    <s v="India"/>
    <s v="SYSTEUR"/>
    <x v="0"/>
    <s v="Ishan.Gupta@philips.com"/>
    <x v="3"/>
    <m/>
  </r>
  <r>
    <n v="32190"/>
    <s v="Adrianna Davis"/>
    <s v="Standardization of PreAMP PCBA (Micro2, Midtrap &amp; Mini)"/>
    <s v="Phil"/>
    <m/>
    <s v="PROCUREMENT"/>
    <s v="PRODUCTIVITY"/>
    <s v="CONCEPT"/>
    <s v="Key Components &amp; Electronics"/>
    <s v="MR"/>
    <x v="0"/>
    <s v="IL3"/>
    <n v="0.3"/>
    <x v="35"/>
    <s v="India"/>
    <s v="SYSTEUR"/>
    <x v="0"/>
    <s v="Ishan.Gupta@philips.com"/>
    <x v="3"/>
    <m/>
  </r>
  <r>
    <n v="36430"/>
    <s v="Sushruth"/>
    <s v="Molding Resin Cost Optimization_TK SD"/>
    <s v="Tim"/>
    <m/>
    <s v="PROCUREMENT"/>
    <s v="PRODUCTIVITY"/>
    <s v="CONCEPT"/>
    <s v="Mechanical Parts &amp; Assemblies"/>
    <s v="OHC"/>
    <x v="2"/>
    <s v="IL2"/>
    <n v="0.3"/>
    <x v="35"/>
    <s v="India"/>
    <s v="SYSTEUR"/>
    <x v="0"/>
    <s v="Ishan.Gupta@philips.com"/>
    <x v="3"/>
    <m/>
  </r>
  <r>
    <n v="27668"/>
    <s v="Pushkar Kulkarni"/>
    <s v="STET : Localisation Fastron (Zenition) to Glastronix"/>
    <s v="Dan"/>
    <m/>
    <s v="PROCUREMENT"/>
    <s v="PRODUCTIVITY"/>
    <s v="SOURCING"/>
    <s v="Mechanical Parts &amp; Assemblies"/>
    <s v="IGT-MoS"/>
    <x v="3"/>
    <s v="IL3"/>
    <n v="1"/>
    <x v="36"/>
    <s v="India"/>
    <s v="SYSTEUR"/>
    <x v="1"/>
    <s v="Ishan.Gupta@philips.com"/>
    <x v="3"/>
    <m/>
  </r>
  <r>
    <s v="SGIT_2022_10"/>
    <s v="Reena"/>
    <s v="SGIT_Haishun Electric_Gemba"/>
    <s v="Tim"/>
    <m/>
    <s v="N/A"/>
    <s v="LCM"/>
    <s v="TCO"/>
    <s v="Mechanical Parts &amp; Assemblies"/>
    <s v="GB"/>
    <x v="2"/>
    <s v="IL3"/>
    <n v="1"/>
    <x v="37"/>
    <s v="China"/>
    <s v="SYSTEUR"/>
    <x v="0"/>
    <s v="sam.zhao@philips.com"/>
    <x v="0"/>
    <m/>
  </r>
  <r>
    <s v="SGIT_2022_10"/>
    <s v="Reena"/>
    <s v="SGIT_Haishun Electric_Gemba"/>
    <s v="Tim"/>
    <m/>
    <s v="N/A"/>
    <s v="LCM"/>
    <s v="TCO"/>
    <s v="Mechanical Parts &amp; Assemblies"/>
    <s v="GB"/>
    <x v="2"/>
    <s v="IL3"/>
    <n v="1"/>
    <x v="38"/>
    <s v="Mexico"/>
    <s v="SYSTEUR"/>
    <x v="0"/>
    <s v="anil.c.s@philips.com"/>
    <x v="3"/>
    <m/>
  </r>
  <r>
    <n v="29650"/>
    <s v="Saurabh Agarwal"/>
    <s v="Syrma- Automatic Visual Inspection Equipment"/>
    <s v="Nishant"/>
    <m/>
    <s v="PROCUREMENT"/>
    <s v="PRODUCTIVITY"/>
    <s v="CONCEPT"/>
    <s v="Key Components &amp; Electronics"/>
    <s v="OHC"/>
    <x v="2"/>
    <s v="IL3"/>
    <n v="1"/>
    <x v="39"/>
    <s v="India"/>
    <s v="SYSTEUR"/>
    <x v="0"/>
    <s v="anil.c.s@philips.com"/>
    <x v="3"/>
    <m/>
  </r>
  <r>
    <n v="29650"/>
    <s v="Saurabh Agarwal"/>
    <s v="Syrma- Automatic Visual Inspection Equipment"/>
    <s v="Nishant"/>
    <m/>
    <s v="PROCUREMENT"/>
    <s v="PRODUCTIVITY"/>
    <s v="CONCEPT"/>
    <s v="Key Components &amp; Electronics"/>
    <s v="OHC"/>
    <x v="2"/>
    <s v="IL3"/>
    <n v="1"/>
    <x v="40"/>
    <s v="India"/>
    <s v="SYSTEUR"/>
    <x v="0"/>
    <s v="anil.c.s@philips.com"/>
    <x v="3"/>
    <m/>
  </r>
  <r>
    <n v="24497"/>
    <s v="Viraj Bhagwat"/>
    <s v="Jupiter Project Phase 1 (former STET - PM-BBN Q319 Kaizen: Expand OMS Besser Project (Exit Schwarz))"/>
    <s v="Nishant"/>
    <m/>
    <s v="PROCUREMENT"/>
    <s v="AOS"/>
    <s v="SOURCING"/>
    <s v="Mechanical Parts &amp; Assemblies"/>
    <s v="HPM"/>
    <x v="1"/>
    <s v="IL3"/>
    <n v="0.2"/>
    <x v="41"/>
    <s v="India"/>
    <s v="SYSTEUR"/>
    <x v="0"/>
    <s v="Reenarani.Panda@philips.com"/>
    <x v="3"/>
    <m/>
  </r>
  <r>
    <n v="29650"/>
    <s v="Saurabh Agarwal"/>
    <s v="Syrma- Automatic Visual Inspection Equipment"/>
    <s v="Nishant"/>
    <m/>
    <s v="PROCUREMENT"/>
    <s v="PRODUCTIVITY"/>
    <s v="CONCEPT"/>
    <s v="Key Components &amp; Electronics"/>
    <s v="OHC"/>
    <x v="2"/>
    <s v="IL3"/>
    <n v="0.2"/>
    <x v="41"/>
    <s v="India"/>
    <s v="SYSTEUR"/>
    <x v="0"/>
    <s v="Reenarani.Panda@philips.com"/>
    <x v="3"/>
    <m/>
  </r>
  <r>
    <n v="35343"/>
    <s v="Tjisse"/>
    <s v="Gemba Walk Elin - Elimination of Pad printing with Printed Stickers"/>
    <s v="Tim"/>
    <m/>
    <s v="PROCUREMENT"/>
    <s v="PRODUCTIVITY"/>
    <s v="CONCEPT"/>
    <s v="Personal Health"/>
    <s v="GB"/>
    <x v="2"/>
    <s v="IL1"/>
    <n v="0.3"/>
    <x v="41"/>
    <s v="India"/>
    <s v="SYSTEUR"/>
    <x v="0"/>
    <s v="Reenarani.Panda@philips.com"/>
    <x v="3"/>
    <m/>
  </r>
  <r>
    <n v="24497"/>
    <s v="Viraj Bhagwat"/>
    <s v="Jupiter Project Phase 1 (former STET - PM-BBN Q319 Kaizen: Expand OMS Besser Project (Exit Schwarz))"/>
    <s v="Nishant"/>
    <m/>
    <s v="PROCUREMENT"/>
    <s v="AOS"/>
    <s v="SOURCING"/>
    <s v="Mechanical Parts &amp; Assemblies"/>
    <s v="HPM"/>
    <x v="1"/>
    <s v="IL3"/>
    <n v="0.3"/>
    <x v="41"/>
    <s v="India"/>
    <s v="SYSTEUR"/>
    <x v="0"/>
    <s v="Reenarani.Panda@philips.com"/>
    <x v="3"/>
    <m/>
  </r>
  <r>
    <n v="35343"/>
    <s v="Tjisse"/>
    <s v="Gemba Walk Elin - Elimination of Pad printing with Printed Stickers"/>
    <s v="Tim"/>
    <m/>
    <s v="PROCUREMENT"/>
    <s v="PRODUCTIVITY"/>
    <s v="CONCEPT"/>
    <s v="Personal Health"/>
    <s v="GB"/>
    <x v="2"/>
    <s v="IL1"/>
    <n v="1"/>
    <x v="42"/>
    <s v="India"/>
    <s v="SYSTEUR"/>
    <x v="0"/>
    <s v="anil.c.s@philips.com"/>
    <x v="3"/>
    <m/>
  </r>
  <r>
    <n v="30354"/>
    <s v="Eugene Jagminas"/>
    <s v="CA2 Part Production Resourcing (12 parts from NYX)"/>
    <s v="Nishant"/>
    <m/>
    <s v="PROCUREMENT"/>
    <s v="PRODUCTIVITY"/>
    <s v="SOURCING"/>
    <s v="Mechanical Parts &amp; Assemblies"/>
    <s v="HRC"/>
    <x v="1"/>
    <s v="IL3"/>
    <n v="0.4"/>
    <x v="43"/>
    <s v="Mexico"/>
    <s v="SYSTEUR"/>
    <x v="0"/>
    <s v="anil.c.s@philips.com"/>
    <x v="3"/>
    <m/>
  </r>
  <r>
    <n v="18560"/>
    <s v="Matt Morse"/>
    <s v="Angio from CGNA CA/Singapore to CGNA Costa Rica"/>
    <s v="Dan"/>
    <m/>
    <s v="PROCUREMENT"/>
    <s v="PRODUCTIVITY"/>
    <s v="SOURCING"/>
    <s v="Mechanical Parts &amp; Assemblies"/>
    <s v="IGT-D"/>
    <x v="3"/>
    <s v="IL2"/>
    <n v="0.3"/>
    <x v="43"/>
    <s v="Mexico"/>
    <s v="SYSTEUR"/>
    <x v="0"/>
    <s v="anil.c.s@philips.com"/>
    <x v="3"/>
    <m/>
  </r>
  <r>
    <n v="29851"/>
    <s v="Matt Morse"/>
    <s v="Step Up - Supply chain optimization for composite core - 3 tiers of supplier (1 manufacturer) to 1 supplier, US suppliers to Costa Rica supplier, direct saving + TCO"/>
    <s v="Dan"/>
    <m/>
    <s v="PROCUREMENT"/>
    <s v="PRODUCTIVITY"/>
    <s v="SOURCING"/>
    <s v="Mechanical Parts &amp; Assemblies"/>
    <s v="IGT-D"/>
    <x v="3"/>
    <s v="IL3"/>
    <n v="0.3"/>
    <x v="43"/>
    <s v="Mexico"/>
    <s v="SYSTEUR"/>
    <x v="0"/>
    <s v="anil.c.s@philips.com"/>
    <x v="3"/>
    <m/>
  </r>
  <r>
    <n v="27668"/>
    <s v="Pushkar Kulkarni"/>
    <s v="STET : Localisation Fastron (Zenition) to Glastronix"/>
    <s v="Dan"/>
    <m/>
    <s v="PROCUREMENT"/>
    <s v="PRODUCTIVITY"/>
    <s v="SOURCING"/>
    <s v="Mechanical Parts &amp; Assemblies"/>
    <s v="IGT-MoS"/>
    <x v="3"/>
    <s v="IL3"/>
    <n v="0.1"/>
    <x v="33"/>
    <s v="India"/>
    <s v="SYSTEUR"/>
    <x v="0"/>
    <s v="Sanjeev.Kumar_2@philips.com"/>
    <x v="3"/>
    <m/>
  </r>
  <r>
    <n v="33747"/>
    <s v="Saurabh Agarwal"/>
    <s v="RIPTION Magnet N48H to lower grade_Triton_BAT"/>
    <s v="Tim"/>
    <m/>
    <s v="PROCUREMENT"/>
    <s v="PRODUCTIVITY"/>
    <s v="CONCEPT"/>
    <s v="Mechanical Parts &amp; Assemblies"/>
    <s v="OHC"/>
    <x v="2"/>
    <s v="IL3"/>
    <n v="0.2"/>
    <x v="33"/>
    <s v="India"/>
    <s v="SYSTEUR"/>
    <x v="0"/>
    <s v="Sanjeev.Kumar_2@philips.com"/>
    <x v="3"/>
    <m/>
  </r>
  <r>
    <n v="34148"/>
    <s v="Saurabh Agarwal"/>
    <s v="Klockner to IP Films supplier change (CR113027) for Nebraska line in Ontario"/>
    <s v="Tim"/>
    <m/>
    <s v="PROCUREMENT"/>
    <s v="PRODUCTIVITY"/>
    <s v="CONCEPT"/>
    <s v="Mechanical Parts &amp; Assemblies"/>
    <s v="OHC"/>
    <x v="2"/>
    <s v="IL3"/>
    <n v="0.2"/>
    <x v="33"/>
    <s v="India"/>
    <s v="SYSTEUR"/>
    <x v="0"/>
    <s v="Sanjeev.Kumar_2@philips.com"/>
    <x v="3"/>
    <m/>
  </r>
  <r>
    <n v="31100"/>
    <s v="Saurabh Agarwal"/>
    <s v="Osaka light ring removal"/>
    <s v="Tim"/>
    <m/>
    <s v="PROCUREMENT"/>
    <s v="PRODUCTIVITY"/>
    <s v="CONCEPT"/>
    <s v="Mechanical Parts &amp; Assemblies"/>
    <s v="OHC"/>
    <x v="2"/>
    <s v="IL4"/>
    <n v="0.3"/>
    <x v="33"/>
    <s v="India"/>
    <s v="SYSTEUR"/>
    <x v="0"/>
    <s v="Sanjeev.Kumar_2@philips.com"/>
    <x v="3"/>
    <m/>
  </r>
  <r>
    <s v="SGIT_2023_15"/>
    <s v="Sushruth"/>
    <s v="SGIT_ZHE_Gemba"/>
    <s v="Tim"/>
    <m/>
    <s v="N/A"/>
    <s v="LCM"/>
    <s v="CONCEPT"/>
    <s v="Personal Health"/>
    <s v="GB"/>
    <x v="2"/>
    <s v="IL3"/>
    <n v="0.3"/>
    <x v="44"/>
    <s v="China"/>
    <s v="SYSTEUR"/>
    <x v="0"/>
    <s v="James.PAN@philips.com"/>
    <x v="3"/>
    <m/>
  </r>
  <r>
    <n v="27156"/>
    <s v="Anil CS"/>
    <s v="STET:Project Vayu - Cluster 1 (ProxiDiagnost Geometry)"/>
    <s v="Phil"/>
    <m/>
    <s v="PROCUREMENT"/>
    <s v="LCM"/>
    <s v="CONCEPT"/>
    <s v="Mechanical Parts &amp; Assemblies"/>
    <s v="DXR"/>
    <x v="0"/>
    <s v="IL3"/>
    <n v="0.2"/>
    <x v="44"/>
    <s v="China"/>
    <s v="SYSTEUR"/>
    <x v="0"/>
    <s v="James.PAN@philips.com"/>
    <x v="3"/>
    <m/>
  </r>
  <r>
    <n v="32939"/>
    <s v="Fred Cai"/>
    <s v="STET: localize 2 parts with Hontech"/>
    <s v="Phil"/>
    <m/>
    <s v="PROCUREMENT"/>
    <s v="PRODUCTIVITY"/>
    <s v="SOURCING"/>
    <s v="Mechanical Parts &amp; Assemblies"/>
    <s v="MR"/>
    <x v="0"/>
    <s v="IL3"/>
    <n v="0.2"/>
    <x v="44"/>
    <s v="China"/>
    <s v="SYSTEUR"/>
    <x v="0"/>
    <s v="James.PAN@philips.com"/>
    <x v="3"/>
    <m/>
  </r>
  <r>
    <n v="34051"/>
    <s v="Wei"/>
    <s v="Access Couch Tabletop &amp; Head Rest 2nd Source Development"/>
    <s v="Phil"/>
    <m/>
    <s v="PROCUREMENT"/>
    <s v="PRODUCTIVITY"/>
    <s v="SOURCING"/>
    <s v="Mechanical Parts &amp; Assemblies"/>
    <s v="CT/AMI"/>
    <x v="0"/>
    <s v="IL2"/>
    <n v="0.3"/>
    <x v="44"/>
    <s v="China"/>
    <s v="SYSTEUR"/>
    <x v="0"/>
    <s v="James.PAN@philips.com"/>
    <x v="3"/>
    <m/>
  </r>
  <r>
    <n v="27669"/>
    <s v="Pushkar Kulkarni"/>
    <s v="STET : Zenition UI Panel localisation to Keetronics"/>
    <s v="Dan"/>
    <m/>
    <s v="PROCUREMENT"/>
    <s v="PRODUCTIVITY"/>
    <s v="SOURCING"/>
    <s v="Medical ODM Markets"/>
    <s v="IGT-MoS"/>
    <x v="3"/>
    <s v="IL3"/>
    <n v="1"/>
    <x v="45"/>
    <s v="India"/>
    <s v="SYSTEUR"/>
    <x v="0"/>
    <s v="Ishan.Gupta@philips.com"/>
    <x v="3"/>
    <m/>
  </r>
  <r>
    <n v="33205"/>
    <s v="Pushkar Kulkarni"/>
    <s v="EPV C arc Localization with Raychem"/>
    <s v="Dan"/>
    <m/>
    <s v="PROCUREMENT"/>
    <s v="PRODUCTIVITY"/>
    <s v="SOURCING"/>
    <s v="Mechanical Parts &amp; Assemblies"/>
    <s v="IGT-MoS"/>
    <x v="3"/>
    <s v="IL3"/>
    <n v="0.2"/>
    <x v="46"/>
    <s v="India"/>
    <s v="SYSTEUR"/>
    <x v="0"/>
    <s v="Sanjeev.Kumar_2@philips.com"/>
    <x v="3"/>
    <m/>
  </r>
  <r>
    <n v="27477"/>
    <s v="Vijayanand Purushothaman"/>
    <s v="STET : Transfer of MR Coils Foam Technology Parts From HCC to LCC for Pune factory."/>
    <s v="Dan"/>
    <m/>
    <s v="PROCUREMENT"/>
    <s v="PRODUCTIVITY"/>
    <s v="SOURCING"/>
    <s v="Mechanical Parts &amp; Assemblies"/>
    <s v="MR"/>
    <x v="0"/>
    <s v="IL3"/>
    <n v="0.2"/>
    <x v="46"/>
    <s v="India"/>
    <s v="SYSTEUR"/>
    <x v="0"/>
    <s v="Sanjeev.Kumar_2@philips.com"/>
    <x v="3"/>
    <m/>
  </r>
  <r>
    <n v="27278"/>
    <s v="Vijayanand Purushothaman"/>
    <s v="STET:FASTNERS RoHS compliance and localization to India"/>
    <s v="Dan"/>
    <m/>
    <s v="PROCUREMENT"/>
    <s v="PRODUCTIVITY"/>
    <s v="SOURCING"/>
    <s v="Mechanical Parts &amp; Assemblies"/>
    <s v="MR"/>
    <x v="0"/>
    <s v="IL3"/>
    <n v="0.3"/>
    <x v="46"/>
    <s v="India"/>
    <s v="SYSTEUR"/>
    <x v="0"/>
    <s v="Sanjeev.Kumar_2@philips.com"/>
    <x v="3"/>
    <m/>
  </r>
  <r>
    <n v="30377"/>
    <s v="Vijayanand Purushothaman"/>
    <s v="Plastic machining transfer phase 2"/>
    <s v="Dan"/>
    <m/>
    <s v="PROCUREMENT"/>
    <s v="PRODUCTIVITY"/>
    <s v="SOURCING"/>
    <s v="Mechanical Parts &amp; Assemblies"/>
    <s v="MR"/>
    <x v="0"/>
    <s v="IL3"/>
    <n v="0.3"/>
    <x v="46"/>
    <s v="India"/>
    <s v="SYSTEUR"/>
    <x v="0"/>
    <s v="Sanjeev.Kumar_2@philips.com"/>
    <x v="3"/>
    <m/>
  </r>
  <r>
    <s v="CONQ_CY2023_01"/>
    <s v="Sanjeev"/>
    <s v="MR RFA 1.5T PCBA stock scrap avoidance"/>
    <s v="Tim"/>
    <m/>
    <s v="N/A"/>
    <s v="CONQ"/>
    <s v="TCO"/>
    <s v="Key Components &amp; Electronics"/>
    <s v="MR"/>
    <x v="0"/>
    <s v="IL3"/>
    <n v="0.3"/>
    <x v="47"/>
    <s v="China"/>
    <s v="SYSTEUR"/>
    <x v="0"/>
    <s v="James.PAN@philips.com"/>
    <x v="3"/>
    <m/>
  </r>
  <r>
    <n v="32215"/>
    <s v="Vijayanand Purushothaman"/>
    <s v="ERUI touch quality problems"/>
    <s v="Dan"/>
    <m/>
    <s v="PROCUREMENT"/>
    <s v="PRODUCTIVITY"/>
    <s v="CONCEPT"/>
    <s v="Medical ODM Markets"/>
    <s v="MR"/>
    <x v="0"/>
    <s v="IL3"/>
    <n v="0.2"/>
    <x v="47"/>
    <s v="China"/>
    <s v="SYSTEUR"/>
    <x v="0"/>
    <s v="James.PAN@philips.com"/>
    <x v="3"/>
    <m/>
  </r>
  <r>
    <n v="34528"/>
    <s v="Wei"/>
    <s v="STET: Multiva FRU coils foaming localization"/>
    <s v="Phil"/>
    <m/>
    <s v="PROCUREMENT"/>
    <s v="PRODUCTIVITY"/>
    <s v="SOURCING"/>
    <s v="Mechanical Parts &amp; Assemblies"/>
    <s v="MR"/>
    <x v="0"/>
    <s v="IL3"/>
    <n v="0.3"/>
    <x v="47"/>
    <s v="China"/>
    <s v="SYSTEUR"/>
    <x v="0"/>
    <s v="James.PAN@philips.com"/>
    <x v="3"/>
    <m/>
  </r>
  <r>
    <n v="32223"/>
    <s v="Saurabh Agarwal"/>
    <s v="OHC molder supplier base alternative souce- Sydney"/>
    <s v="Tim"/>
    <m/>
    <s v="PROCUREMENT"/>
    <s v="PRODUCTIVITY"/>
    <s v="SOURCING"/>
    <s v="Mechanical Parts &amp; Assemblies"/>
    <s v="OHC"/>
    <x v="2"/>
    <s v="IL3"/>
    <n v="0.2"/>
    <x v="47"/>
    <s v="China"/>
    <s v="SYSTEUR"/>
    <x v="0"/>
    <s v="James.PAN@philips.com"/>
    <x v="3"/>
    <m/>
  </r>
  <r>
    <s v="SGIT_2022_10"/>
    <s v="Reena"/>
    <s v="SGIT_Haishun Electric_Gemba"/>
    <s v="Tim"/>
    <m/>
    <s v="N/A"/>
    <s v="LCM"/>
    <s v="TCO"/>
    <s v="Mechanical Parts &amp; Assemblies"/>
    <s v="GB"/>
    <x v="2"/>
    <s v="IL3"/>
    <n v="1"/>
    <x v="48"/>
    <s v="China"/>
    <s v="SYSTEUR"/>
    <x v="0"/>
    <s v="James.PAN@philips.com"/>
    <x v="3"/>
    <m/>
  </r>
  <r>
    <n v="28102"/>
    <s v="Adrianna Davis"/>
    <s v="Dual source cable TCZif connectors with ITT Cannon"/>
    <s v="Phil"/>
    <m/>
    <s v="PROCUREMENT"/>
    <s v="PRODUCTIVITY"/>
    <s v="SOURCING"/>
    <s v="Key Components &amp; Electronics"/>
    <s v="US"/>
    <x v="0"/>
    <s v="IL3"/>
    <n v="0.3"/>
    <x v="49"/>
    <s v="China"/>
    <s v="SYSTEUR"/>
    <x v="0"/>
    <s v="James.PAN@philips.com"/>
    <x v="3"/>
    <m/>
  </r>
  <r>
    <n v="33202"/>
    <s v="Leeds Tang"/>
    <s v="APEX L12-3 MVT Nose and Handle localization from Tech NH to Ace"/>
    <s v="Phil"/>
    <m/>
    <s v="PROCUREMENT"/>
    <s v="PRODUCTIVITY"/>
    <s v="SOURCING"/>
    <s v="Mechanical Parts &amp; Assemblies"/>
    <s v="US"/>
    <x v="0"/>
    <s v="IL2"/>
    <n v="0.3"/>
    <x v="49"/>
    <s v="China"/>
    <s v="SYSTEUR"/>
    <x v="0"/>
    <s v="James.PAN@philips.com"/>
    <x v="3"/>
    <m/>
  </r>
  <r>
    <n v="29165"/>
    <s v="Maria Jackson"/>
    <s v="Transfer L12-4, S4-1 &amp; C5-2 Flex circuits from premium vendor to reel to reel flex vendor"/>
    <s v="Phil"/>
    <m/>
    <s v="PROCUREMENT"/>
    <s v="PRODUCTIVITY"/>
    <s v="SOURCING"/>
    <s v="Key Components &amp; Electronics"/>
    <s v="US"/>
    <x v="0"/>
    <s v="IL3"/>
    <n v="0.4"/>
    <x v="49"/>
    <s v="China"/>
    <s v="SYSTEUR"/>
    <x v="0"/>
    <s v="James.PAN@philips.com"/>
    <x v="3"/>
    <m/>
  </r>
  <r>
    <n v="30948"/>
    <s v="Tiger Xiao"/>
    <s v="APEX:3D9-3V FPC's Localization project to Topsun"/>
    <s v="Phil"/>
    <m/>
    <s v="PROCUREMENT"/>
    <s v="PRODUCTIVITY"/>
    <s v="SOURCING"/>
    <s v="Key Components &amp; Electronics"/>
    <s v="US"/>
    <x v="0"/>
    <s v="IL3"/>
    <n v="0.2"/>
    <x v="50"/>
    <s v="China"/>
    <s v="SYSTEUR"/>
    <x v="0"/>
    <s v="James.PAN@philips.com"/>
    <x v="3"/>
    <m/>
  </r>
  <r>
    <n v="26317"/>
    <s v="Saravana"/>
    <s v="STET : introduce dual sourcing Clea C-arcs &amp; sleeves (PCI-2020-008)"/>
    <s v="Dan"/>
    <m/>
    <s v="PROCUREMENT"/>
    <s v="PRODUCTIVITY"/>
    <s v="SOURCING"/>
    <s v="Mechanical Parts &amp; Assemblies"/>
    <s v="IGT-S"/>
    <x v="3"/>
    <s v="IL1"/>
    <n v="0.2"/>
    <x v="50"/>
    <s v="China"/>
    <s v="SYSTEUR"/>
    <x v="0"/>
    <s v="James.PAN@philips.com"/>
    <x v="3"/>
    <m/>
  </r>
  <r>
    <n v="35301"/>
    <s v="Leeds Tang"/>
    <s v="Shanghai Labels Supplier consolidation - Transfer to Varicut"/>
    <s v="Phil"/>
    <m/>
    <s v="PROCUREMENT"/>
    <s v="PRODUCTIVITY"/>
    <s v="SOURCING"/>
    <s v="Mechanical Parts &amp; Assemblies"/>
    <s v="US"/>
    <x v="0"/>
    <s v="IL1"/>
    <n v="0.2"/>
    <x v="50"/>
    <s v="China"/>
    <s v="SYSTEUR"/>
    <x v="0"/>
    <s v="James.PAN@philips.com"/>
    <x v="3"/>
    <m/>
  </r>
  <r>
    <n v="30435"/>
    <s v="Saravana"/>
    <s v="Transfer CF Table tops (PCI-2021-020)"/>
    <s v="Dan"/>
    <m/>
    <s v="PROCUREMENT"/>
    <s v="PRODUCTIVITY"/>
    <s v="SOURCING"/>
    <s v="Mechanical Parts &amp; Assemblies"/>
    <s v="IGT-S"/>
    <x v="3"/>
    <s v="IL1"/>
    <n v="0.2"/>
    <x v="50"/>
    <s v="China"/>
    <s v="SYSTEUR"/>
    <x v="0"/>
    <s v="James.PAN@philips.com"/>
    <x v="3"/>
    <m/>
  </r>
  <r>
    <n v="28104"/>
    <s v="Tiger Xiao"/>
    <s v="APEX: Localization of C5-1 from Tech-Etch to Topsun"/>
    <s v="Phil"/>
    <m/>
    <s v="PROCUREMENT"/>
    <s v="PRODUCTIVITY"/>
    <s v="SOURCING"/>
    <s v="Mechanical Parts &amp; Assemblies"/>
    <s v="MR"/>
    <x v="0"/>
    <s v="IL3"/>
    <n v="0.2"/>
    <x v="50"/>
    <s v="China"/>
    <s v="SYSTEUR"/>
    <x v="0"/>
    <s v="James.PAN@philips.com"/>
    <x v="3"/>
    <m/>
  </r>
  <r>
    <n v="27192"/>
    <s v="Anil CS"/>
    <s v="STET:Project Vayu - Cluster 2 (TH-S Table)"/>
    <s v="Phil"/>
    <m/>
    <s v="PROCUREMENT"/>
    <s v="LCM"/>
    <s v="CONCEPT"/>
    <s v="Mechanical Parts &amp; Assemblies"/>
    <s v="DXR"/>
    <x v="0"/>
    <s v="IL3"/>
    <n v="0.2"/>
    <x v="51"/>
    <s v="China"/>
    <s v="SYSTEUR"/>
    <x v="0"/>
    <s v="James.PAN@philips.com"/>
    <x v="3"/>
    <m/>
  </r>
  <r>
    <n v="33899"/>
    <s v="Saurabh Agarwal"/>
    <s v="Osaka PCBA dual source for H&amp;T"/>
    <s v="Tim"/>
    <m/>
    <s v="PROCUREMENT"/>
    <s v="PRODUCTIVITY"/>
    <s v="SOURCING"/>
    <s v="Key Components &amp; Electronics"/>
    <s v="OHC"/>
    <x v="2"/>
    <s v="IL3"/>
    <n v="0.3"/>
    <x v="51"/>
    <s v="China"/>
    <s v="SYSTEUR"/>
    <x v="0"/>
    <s v="James.PAN@philips.com"/>
    <x v="3"/>
    <m/>
  </r>
  <r>
    <n v="27157"/>
    <s v="Anil CS"/>
    <s v="STET:Project Vayu - Cluster 1 (ProxiDiagnost Geometry)"/>
    <s v="Phil"/>
    <m/>
    <s v="PROCUREMENT"/>
    <s v="LCM"/>
    <s v="CONCEPT"/>
    <s v="Mechanical Parts &amp; Assemblies"/>
    <s v="DXR"/>
    <x v="0"/>
    <s v="IL3"/>
    <n v="0.3"/>
    <x v="51"/>
    <s v="China"/>
    <s v="SYSTEUR"/>
    <x v="0"/>
    <s v="James.PAN@philips.com"/>
    <x v="3"/>
    <m/>
  </r>
  <r>
    <n v="27156"/>
    <s v="Anil CS"/>
    <s v="STET:Project Vayu - Cluster 1 (ProxiDiagnost Geometry)"/>
    <s v="Phil"/>
    <m/>
    <s v="PROCUREMENT"/>
    <s v="LCM"/>
    <s v="CONCEPT"/>
    <s v="Mechanical Parts &amp; Assemblies"/>
    <s v="DXR"/>
    <x v="0"/>
    <s v="IL3"/>
    <n v="0.2"/>
    <x v="51"/>
    <s v="China"/>
    <s v="SYSTEUR"/>
    <x v="0"/>
    <s v="James.PAN@philips.com"/>
    <x v="3"/>
    <m/>
  </r>
  <r>
    <n v="34398"/>
    <s v="Saurabh Agarwal"/>
    <s v="N23,Honor Tone,OHC Batam,1% PCBA saving"/>
    <s v="Tim"/>
    <m/>
    <s v="PROCUREMENT"/>
    <s v="PRODUCTIVITY"/>
    <s v="NEGO"/>
    <s v="Key Components &amp; Electronics"/>
    <s v="OHC"/>
    <x v="2"/>
    <s v="IL5"/>
    <n v="0.3"/>
    <x v="52"/>
    <s v="India"/>
    <s v="SYSTEUR"/>
    <x v="1"/>
    <s v="Ishan.Gupta@philips.com"/>
    <x v="3"/>
    <m/>
  </r>
  <r>
    <n v="34112"/>
    <s v="Tjisse"/>
    <s v="SD Giken : Double side tape elimination"/>
    <s v="Tim"/>
    <m/>
    <s v="PROCUREMENT"/>
    <s v="PRODUCTIVITY"/>
    <s v="CONCEPT"/>
    <s v="Key Components &amp; Electronics"/>
    <s v="GB"/>
    <x v="2"/>
    <s v="IL2"/>
    <n v="0.4"/>
    <x v="52"/>
    <s v="India"/>
    <s v="SYSTEUR"/>
    <x v="1"/>
    <s v="Ishan.Gupta@philips.com"/>
    <x v="3"/>
    <m/>
  </r>
  <r>
    <n v="36067"/>
    <s v="Saurabh Agarwal"/>
    <s v="Packaging tray recycle frequency optimization"/>
    <s v="Tim"/>
    <m/>
    <s v="PROCUREMENT"/>
    <s v="PRODUCTIVITY"/>
    <s v="CONCEPT"/>
    <s v="Key Components &amp; Electronics"/>
    <s v="OHC"/>
    <x v="2"/>
    <s v="IL1"/>
    <n v="0.3"/>
    <x v="52"/>
    <s v="India"/>
    <s v="SYSTEUR"/>
    <x v="1"/>
    <s v="Ishan.Gupta@philips.com"/>
    <x v="3"/>
    <m/>
  </r>
  <r>
    <n v="33755"/>
    <s v="Fred Cai"/>
    <s v="HAWK &amp; BB IVC Transfer Phase II PCBA_ RAFI"/>
    <s v="Phil"/>
    <m/>
    <s v="PROCUREMENT"/>
    <s v="PRODUCTIVITY"/>
    <s v="CONCEPT"/>
    <s v="Key Components &amp; Electronics"/>
    <s v="CT/AMI"/>
    <x v="0"/>
    <s v="IL3"/>
    <n v="0.5"/>
    <x v="53"/>
    <s v="China"/>
    <s v="SYSTEUR"/>
    <x v="0"/>
    <s v="James.PAN@philips.com"/>
    <x v="3"/>
    <m/>
  </r>
  <r>
    <n v="32402"/>
    <s v="Charles Moses"/>
    <s v="Localize EPIQ cart for China L4L"/>
    <s v="Nishant"/>
    <m/>
    <s v="PROCUREMENT"/>
    <s v="PRODUCTIVITY"/>
    <s v="SOURCING"/>
    <s v="Mechanical Parts &amp; Assemblies"/>
    <s v="US"/>
    <x v="0"/>
    <s v="IL1"/>
    <n v="0.5"/>
    <x v="53"/>
    <s v="China"/>
    <s v="SYSTEUR"/>
    <x v="0"/>
    <s v="James.PAN@philips.com"/>
    <x v="3"/>
    <m/>
  </r>
  <r>
    <n v="35567"/>
    <s v="Vijayanand Purushothaman"/>
    <s v="Labels phase 2 (Total) transfer"/>
    <s v="Dan"/>
    <m/>
    <s v="PROCUREMENT"/>
    <s v="PRODUCTIVITY"/>
    <s v="SOURCING"/>
    <s v="Mechanical Parts &amp; Assemblies"/>
    <s v="MR"/>
    <x v="0"/>
    <s v="IL2"/>
    <n v="0.1"/>
    <x v="54"/>
    <s v="India"/>
    <s v="SYSTEUR"/>
    <x v="0"/>
    <s v="Sanjeev.Kumar_2@philips.com"/>
    <x v="3"/>
    <m/>
  </r>
  <r>
    <n v="30383"/>
    <s v="Vijayanand Purushothaman"/>
    <s v="Hardware localization from GNV supplier base to india supplier base"/>
    <s v="Dan"/>
    <m/>
    <s v="PROCUREMENT"/>
    <s v="PRODUCTIVITY"/>
    <s v="SOURCING"/>
    <s v="Mechanical Parts &amp; Assemblies"/>
    <s v="MR"/>
    <x v="0"/>
    <s v="IL0"/>
    <n v="0.2"/>
    <x v="54"/>
    <s v="India"/>
    <s v="SYSTEUR"/>
    <x v="0"/>
    <s v="Sanjeev.Kumar_2@philips.com"/>
    <x v="3"/>
    <m/>
  </r>
  <r>
    <n v="35224"/>
    <s v="Sushruth"/>
    <s v="Alternate Material Proposal: PC ABS to LUPOY HR5007A(Supplier- LG) for 300003637491 BB housing - Hera"/>
    <s v="Tim"/>
    <m/>
    <s v="PROCUREMENT"/>
    <s v="PRODUCTIVITY"/>
    <s v="CONCEPT"/>
    <s v="Mechanical Parts &amp; Assemblies"/>
    <s v="GB"/>
    <x v="2"/>
    <s v="IL2"/>
    <n v="0.2"/>
    <x v="54"/>
    <s v="India"/>
    <s v="SYSTEUR"/>
    <x v="0"/>
    <s v="Sanjeev.Kumar_2@philips.com"/>
    <x v="3"/>
    <m/>
  </r>
  <r>
    <n v="35223"/>
    <s v="Sushruth"/>
    <s v="Alternate Material Proposal: PC ABS to LUPOY HR5007A(Supplier- LG) for 300003977521 Hair chamber-S1000"/>
    <s v="Tim"/>
    <m/>
    <s v="PROCUREMENT"/>
    <s v="PRODUCTIVITY"/>
    <s v="CONCEPT"/>
    <s v="Mechanical Parts &amp; Assemblies"/>
    <s v="GB"/>
    <x v="2"/>
    <s v="IL2"/>
    <n v="0.2"/>
    <x v="54"/>
    <s v="India"/>
    <s v="SYSTEUR"/>
    <x v="0"/>
    <s v="Sanjeev.Kumar_2@philips.com"/>
    <x v="3"/>
    <m/>
  </r>
  <r>
    <n v="35068"/>
    <s v="Tjisse"/>
    <s v="SD H&amp;T : Current Materials prices can be cost down"/>
    <s v="Tim"/>
    <m/>
    <s v="PROCUREMENT"/>
    <s v="PRODUCTIVITY"/>
    <s v="CONCEPT"/>
    <s v="Personal Health"/>
    <s v="GB"/>
    <x v="2"/>
    <s v="IL1"/>
    <n v="0.2"/>
    <x v="54"/>
    <s v="India"/>
    <s v="SYSTEUR"/>
    <x v="0"/>
    <s v="Sanjeev.Kumar_2@philips.com"/>
    <x v="3"/>
    <m/>
  </r>
  <r>
    <n v="35225"/>
    <s v="Sushruth"/>
    <s v="Alternate Material Proposal: PC ABS to LUPOY HR5007A(Supplier- LG) for 422202748961 BB housing"/>
    <s v="Tim"/>
    <m/>
    <s v="PROCUREMENT"/>
    <s v="PRODUCTIVITY"/>
    <s v="CONCEPT"/>
    <s v="Mechanical Parts &amp; Assemblies"/>
    <s v="GB"/>
    <x v="2"/>
    <s v="IL2"/>
    <n v="0.1"/>
    <x v="54"/>
    <s v="India"/>
    <s v="SYSTEUR"/>
    <x v="0"/>
    <s v="Sanjeev.Kumar_2@philips.com"/>
    <x v="3"/>
    <m/>
  </r>
  <r>
    <n v="28808"/>
    <s v="Saravana"/>
    <s v="STET : De-risking Mediagnost (V3 parts) (PCI-2020-066)"/>
    <s v="Dan"/>
    <m/>
    <s v="PROCUREMENT"/>
    <s v="AOS"/>
    <s v="SOURCING"/>
    <s v="Mechanical Parts &amp; Assemblies"/>
    <s v="IGT-S"/>
    <x v="3"/>
    <s v="IL2"/>
    <n v="0.3"/>
    <x v="55"/>
    <s v="Romania"/>
    <s v="SYSTEUR"/>
    <x v="0"/>
    <s v="anil.c.s@philips.com"/>
    <x v="3"/>
    <m/>
  </r>
  <r>
    <n v="28809"/>
    <s v="Saravana"/>
    <s v="STET : De-risking Mediagnost (V3 parts) (PCI-2020-066)"/>
    <s v="Dan"/>
    <m/>
    <s v="PROCUREMENT"/>
    <s v="AOS"/>
    <s v="SOURCING"/>
    <s v="Mechanical Parts &amp; Assemblies"/>
    <s v="IGT-S"/>
    <x v="3"/>
    <s v="IL2"/>
    <n v="0.3"/>
    <x v="55"/>
    <s v="Romania"/>
    <s v="SYSTEUR"/>
    <x v="0"/>
    <s v="anil.c.s@philips.com"/>
    <x v="3"/>
    <m/>
  </r>
  <r>
    <n v="19170"/>
    <s v="Shukla B"/>
    <s v="Transfer of Certeray PCBA's and HLA's 14 part numbers; program epic 72056; feature 60771"/>
    <s v="Phil"/>
    <m/>
    <s v="PROCUREMENT"/>
    <s v="PRODUCTIVITY"/>
    <s v="SOURCING"/>
    <s v="Key Components &amp; Electronics"/>
    <s v="MR"/>
    <x v="0"/>
    <s v="IL5"/>
    <n v="0.2"/>
    <x v="55"/>
    <s v="Romania"/>
    <s v="SYSTEUR"/>
    <x v="0"/>
    <s v="anil.c.s@philips.com"/>
    <x v="3"/>
    <m/>
  </r>
  <r>
    <n v="24497"/>
    <s v="Viraj Bhagwat"/>
    <s v="Jupiter Project Phase 1 (former STET - PM-BBN Q319 Kaizen: Expand OMS Besser Project (Exit Schwarz))"/>
    <s v="Nishant"/>
    <m/>
    <s v="PROCUREMENT"/>
    <s v="AOS"/>
    <s v="SOURCING"/>
    <s v="Mechanical Parts &amp; Assemblies"/>
    <s v="HPM"/>
    <x v="1"/>
    <s v="IL3"/>
    <n v="0.2"/>
    <x v="55"/>
    <s v="Romania"/>
    <s v="SYSTEUR"/>
    <x v="0"/>
    <s v="anil.c.s@philips.com"/>
    <x v="3"/>
    <m/>
  </r>
  <r>
    <n v="27156"/>
    <s v="Anil CS"/>
    <s v="STET:Project Vayu - Cluster 1 (ProxiDiagnost Geometry)"/>
    <s v="Phil"/>
    <m/>
    <s v="PROCUREMENT"/>
    <s v="LCM"/>
    <s v="CONCEPT"/>
    <s v="Mechanical Parts &amp; Assemblies"/>
    <s v="DXR"/>
    <x v="0"/>
    <s v="IL3"/>
    <n v="0.5"/>
    <x v="56"/>
    <s v="Poland"/>
    <s v="SYSTEUR"/>
    <x v="0"/>
    <s v="anil.c.s@philips.com"/>
    <x v="3"/>
    <m/>
  </r>
  <r>
    <n v="5382"/>
    <s v="Anil CS"/>
    <s v="STET:Project Vayu - Cluster 1 (CSM telescopic carriage)"/>
    <s v="Phil"/>
    <m/>
    <s v="PROCUREMENT"/>
    <s v="LCM"/>
    <s v="CONCEPT"/>
    <s v="Mechanical Parts &amp; Assemblies"/>
    <s v="DXR"/>
    <x v="0"/>
    <s v="IL3"/>
    <n v="0.5"/>
    <x v="56"/>
    <s v="Poland"/>
    <s v="SYSTEUR"/>
    <x v="0"/>
    <s v="anil.c.s@philips.com"/>
    <x v="3"/>
    <m/>
  </r>
  <r>
    <n v="32257"/>
    <s v="Vijayanand Purushothaman"/>
    <s v="NYX Albany parts transfer"/>
    <s v="Dan"/>
    <m/>
    <s v="PROCUREMENT"/>
    <s v="PRODUCTIVITY"/>
    <s v="SOURCING"/>
    <s v="Mechanical Parts &amp; Assemblies"/>
    <s v="MR"/>
    <x v="0"/>
    <s v="IL3"/>
    <n v="0.2"/>
    <x v="57"/>
    <s v="India"/>
    <s v="SYSTEUR"/>
    <x v="0"/>
    <s v="Sanjeev.Kumar_2@philips.com"/>
    <x v="3"/>
    <m/>
  </r>
  <r>
    <n v="34241"/>
    <s v="Pushkar Kulkarni"/>
    <s v="FD30*30 Cover &amp; Interface"/>
    <s v="Dan"/>
    <m/>
    <s v="PROCUREMENT"/>
    <s v="PRODUCTIVITY"/>
    <s v="SOURCING"/>
    <s v="Mechanical Parts &amp; Assemblies"/>
    <s v="IGT-MoS"/>
    <x v="3"/>
    <s v="IL2"/>
    <n v="0.3"/>
    <x v="57"/>
    <s v="India"/>
    <s v="SYSTEUR"/>
    <x v="0"/>
    <s v="Sanjeev.Kumar_2@philips.com"/>
    <x v="3"/>
    <m/>
  </r>
  <r>
    <n v="27654"/>
    <s v="Pushkar Kulkarni"/>
    <s v="STET : Localisation Machined parts Labo, Nijdra to Raychem"/>
    <s v="Dan"/>
    <m/>
    <s v="PROCUREMENT"/>
    <s v="PRODUCTIVITY"/>
    <s v="SOURCING"/>
    <s v="Mechanical Parts &amp; Assemblies"/>
    <s v="IGT-MoS"/>
    <x v="3"/>
    <s v="IL3"/>
    <n v="0.2"/>
    <x v="57"/>
    <s v="India"/>
    <s v="SYSTEUR"/>
    <x v="0"/>
    <s v="Sanjeev.Kumar_2@philips.com"/>
    <x v="3"/>
    <m/>
  </r>
  <r>
    <n v="33849"/>
    <s v="Adrianna Davis"/>
    <s v="Seaway Plastic 16 parts localization to SMIIEL (MOTHERSON GROUP)"/>
    <s v="Phil"/>
    <m/>
    <s v="PROCUREMENT"/>
    <s v="PRODUCTIVITY"/>
    <s v="SOURCING"/>
    <s v="Mechanical Parts &amp; Assemblies"/>
    <s v="MR"/>
    <x v="0"/>
    <s v="IL3"/>
    <n v="0.3"/>
    <x v="57"/>
    <s v="India"/>
    <s v="SYSTEUR"/>
    <x v="0"/>
    <s v="Sanjeev.Kumar_2@philips.com"/>
    <x v="3"/>
    <m/>
  </r>
  <r>
    <n v="20234"/>
    <s v="Pushkar Kulkarni"/>
    <s v="STET: Outsourcing - MVS Assembly"/>
    <s v="Dan"/>
    <m/>
    <s v="PROCUREMENT"/>
    <s v="PRODUCTIVITY"/>
    <s v="CONCEPT"/>
    <s v="Mechanical Parts &amp; Assemblies"/>
    <s v="IGT-MoS"/>
    <x v="3"/>
    <s v="IL3"/>
    <n v="0.2"/>
    <x v="58"/>
    <s v="India"/>
    <s v="SYSTEUR"/>
    <x v="0"/>
    <s v="Sanjeev.Kumar_2@philips.com"/>
    <x v="3"/>
    <m/>
  </r>
  <r>
    <n v="36385"/>
    <s v="Vijayanand"/>
    <s v="Jabil Exit"/>
    <s v="Dan"/>
    <m/>
    <s v="PROCUREMENT"/>
    <s v="AOS"/>
    <s v="SOURCING"/>
    <s v="Key Components &amp; Electronics"/>
    <s v="IGT-S"/>
    <x v="3"/>
    <s v="IL2"/>
    <n v="0.5"/>
    <x v="58"/>
    <s v="India"/>
    <s v="SYSTEUR"/>
    <x v="0"/>
    <s v="Sanjeev.Kumar_2@philips.com"/>
    <x v="3"/>
    <m/>
  </r>
  <r>
    <n v="33506"/>
    <s v="Vijayanand Purushothaman"/>
    <s v="Arctronics De-risking to SFO for Small Extremity coils family"/>
    <s v="Dan"/>
    <m/>
    <s v="PROCUREMENT"/>
    <s v="LCM"/>
    <s v="SOURCING"/>
    <s v="Key Components &amp; Electronics"/>
    <s v="MR"/>
    <x v="0"/>
    <s v="IL0"/>
    <n v="0.3"/>
    <x v="58"/>
    <s v="India"/>
    <s v="SYSTEUR"/>
    <x v="0"/>
    <s v="Sanjeev.Kumar_2@philips.com"/>
    <x v="3"/>
    <m/>
  </r>
  <r>
    <n v="30623"/>
    <s v="Steve Scurria"/>
    <s v="CMM Supplier Transfer to LCC"/>
    <s v="Phil"/>
    <m/>
    <s v="PROCUREMENT"/>
    <s v="PRODUCTIVITY"/>
    <s v="SOURCING"/>
    <s v="Mechanical Parts &amp; Assemblies"/>
    <s v="CT/AMI"/>
    <x v="0"/>
    <s v="IL3"/>
    <n v="0.3"/>
    <x v="59"/>
    <s v="India"/>
    <s v="SYSTEUR"/>
    <x v="0"/>
    <s v="Sanjeev.Kumar_2@philips.com"/>
    <x v="3"/>
    <m/>
  </r>
  <r>
    <n v="32165"/>
    <s v="Vijayanand Purushothaman"/>
    <s v="Wave 4,5 &amp; 6 phase 1 packaging transfer"/>
    <s v="Dan"/>
    <m/>
    <s v="PROCUREMENT"/>
    <s v="PRODUCTIVITY"/>
    <s v="SOURCING"/>
    <s v="Mechanical Parts &amp; Assemblies"/>
    <s v="MR"/>
    <x v="0"/>
    <s v="IL3"/>
    <n v="0.1"/>
    <x v="59"/>
    <s v="India"/>
    <s v="SYSTEUR"/>
    <x v="0"/>
    <s v="Sanjeev.Kumar_2@philips.com"/>
    <x v="3"/>
    <m/>
  </r>
  <r>
    <n v="32418"/>
    <s v="Vijayanand Purushothaman"/>
    <s v="Localization of IFU &amp; Labels (Wave 4 onwards"/>
    <s v="Dan"/>
    <m/>
    <s v="PROCUREMENT"/>
    <s v="PRODUCTIVITY"/>
    <s v="SOURCING"/>
    <s v="Mechanical Parts &amp; Assemblies"/>
    <s v="MR"/>
    <x v="0"/>
    <s v="IL3"/>
    <n v="0.3"/>
    <x v="59"/>
    <s v="India"/>
    <s v="SYSTEUR"/>
    <x v="0"/>
    <s v="Sanjeev.Kumar_2@philips.com"/>
    <x v="3"/>
    <m/>
  </r>
  <r>
    <n v="33953"/>
    <s v="Pushkar Kulkarni"/>
    <s v="Vectra packaging redesigning"/>
    <s v="Dan"/>
    <m/>
    <s v="PROCUREMENT"/>
    <s v="PRODUCTIVITY"/>
    <s v="CONCEPT"/>
    <s v="Mechanical Parts &amp; Assemblies"/>
    <s v="IGT-MoS"/>
    <x v="3"/>
    <s v="IL3"/>
    <n v="0.1"/>
    <x v="59"/>
    <s v="India"/>
    <s v="SYSTEUR"/>
    <x v="0"/>
    <s v="Sanjeev.Kumar_2@philips.com"/>
    <x v="3"/>
    <m/>
  </r>
  <r>
    <n v="29268"/>
    <s v="Adrianna Davis"/>
    <s v="De-Risk: Transfer of IC components from supplier Kahl"/>
    <s v="Phil"/>
    <m/>
    <s v="PROCUREMENT"/>
    <s v="PRODUCTIVITY"/>
    <s v="SOURCING"/>
    <s v="Mechanical Parts &amp; Assemblies"/>
    <s v="MR"/>
    <x v="0"/>
    <s v="IL3"/>
    <n v="0.2"/>
    <x v="59"/>
    <s v="India"/>
    <s v="SYSTEUR"/>
    <x v="0"/>
    <s v="Sanjeev.Kumar_2@philips.com"/>
    <x v="3"/>
    <m/>
  </r>
  <r>
    <s v="L&amp;A"/>
    <s v="N/A"/>
    <s v="MISC. ENTRY TO BALANCE WITH RESOURCE DATABASE"/>
    <s v="All"/>
    <m/>
    <s v="L&amp;A"/>
    <s v="L&amp;A"/>
    <s v="L&amp;A"/>
    <s v="L&amp;A"/>
    <s v="L&amp;A"/>
    <x v="4"/>
    <s v="L&amp;A"/>
    <n v="1"/>
    <x v="60"/>
    <s v="India"/>
    <s v="SYSTEUR"/>
    <x v="0"/>
    <s v="Tim.Bokelman@philips.com"/>
    <x v="3"/>
    <m/>
  </r>
  <r>
    <n v="14732"/>
    <s v="Saurabh Agarwal"/>
    <s v="Cold Form Triton Drivetrain Shaft - NFC/Navy"/>
    <s v="Tim"/>
    <m/>
    <s v="PROCUREMENT"/>
    <s v="PRODUCTIVITY"/>
    <s v="CONCEPT"/>
    <s v="Mechanical Parts &amp; Assemblies"/>
    <s v="OHC"/>
    <x v="2"/>
    <s v="IL3"/>
    <n v="0.5"/>
    <x v="61"/>
    <s v="USA"/>
    <s v="SYSTEUR"/>
    <x v="0"/>
    <s v="saurabh.agrawal_1@philips.com"/>
    <x v="3"/>
    <m/>
  </r>
  <r>
    <n v="28347"/>
    <s v="Saurabh Agarwal"/>
    <s v="Dual Sourcing: Unip Plastics (Ontario)"/>
    <s v="Tim"/>
    <m/>
    <s v="N/A"/>
    <s v="AOS"/>
    <s v="SOURCING"/>
    <s v="Mechanical Parts &amp; Assemblies"/>
    <s v="OHC"/>
    <x v="2"/>
    <s v="IL3"/>
    <n v="0.2"/>
    <x v="61"/>
    <s v="USA"/>
    <s v="SYSTEUR"/>
    <x v="0"/>
    <s v="saurabh.agrawal_1@philips.com"/>
    <x v="3"/>
    <m/>
  </r>
  <r>
    <n v="23713"/>
    <s v="Saurabh Agarwal"/>
    <s v="Critical components of Triton insourcing from DTN"/>
    <s v="Tim"/>
    <m/>
    <s v="TCO"/>
    <s v="PRODUCTIVITY"/>
    <s v="TCO"/>
    <s v="Mechanical Parts &amp; Assemblies"/>
    <s v="OHC"/>
    <x v="2"/>
    <s v="IL2"/>
    <n v="0.1"/>
    <x v="61"/>
    <s v="USA"/>
    <s v="SYSTEUR"/>
    <x v="0"/>
    <s v="saurabh.agrawal_1@philips.com"/>
    <x v="3"/>
    <m/>
  </r>
  <r>
    <s v="RTC-GRO20230201324"/>
    <s v="Sushruth"/>
    <s v="Comb detach force for BT3"/>
    <s v="Tim"/>
    <m/>
    <s v="N/A"/>
    <s v="LCM"/>
    <s v="TCO"/>
    <s v="Personal Health"/>
    <s v="GB"/>
    <x v="2"/>
    <s v="IL3"/>
    <n v="0.25"/>
    <x v="62"/>
    <s v="India"/>
    <s v="SYSTEUR"/>
    <x v="0"/>
    <s v="Mihir.Vaidya@philips.com"/>
    <x v="3"/>
    <m/>
  </r>
  <r>
    <n v="33752"/>
    <s v="Tjisse"/>
    <s v="DFX BODYSHAVER - Junior's cutter dual sourcing"/>
    <s v="Tim"/>
    <m/>
    <s v="PROCUREMENT"/>
    <s v="PRODUCTIVITY"/>
    <s v="SOURCING"/>
    <s v="Personal Health"/>
    <s v="GB"/>
    <x v="2"/>
    <s v="IL3"/>
    <n v="0.25"/>
    <x v="63"/>
    <s v="India"/>
    <s v="SYSTEUR"/>
    <x v="0"/>
    <s v="Mihir.Vaidya@philips.com"/>
    <x v="3"/>
    <m/>
  </r>
  <r>
    <s v="RTC-SHA20230101369"/>
    <s v="Sushruth"/>
    <s v="Inlet strip Best right and Inlet strip Best left (new metal repeat tools)"/>
    <s v="Tim"/>
    <m/>
    <s v="N/A"/>
    <s v="LCM"/>
    <s v="SOURCING"/>
    <s v="Mechanical Parts &amp; Assemblies"/>
    <s v="GB"/>
    <x v="2"/>
    <s v="IL3"/>
    <n v="0.25"/>
    <x v="63"/>
    <s v="India"/>
    <s v="SYSTEUR"/>
    <x v="0"/>
    <s v="Mihir.Vaidya@philips.com"/>
    <x v="3"/>
    <m/>
  </r>
  <r>
    <s v="RTC-SHA20220901293"/>
    <s v="Sushruth"/>
    <s v="Intermediate Spindle 422201516761 (used in Cerberus, Lamda, Heracles, Hebe)"/>
    <s v="Tim"/>
    <m/>
    <s v="N/A"/>
    <s v="LCM"/>
    <s v="SOURCING"/>
    <s v="Mechanical Parts &amp; Assemblies"/>
    <s v="GB"/>
    <x v="2"/>
    <s v="IL3"/>
    <n v="0.25"/>
    <x v="63"/>
    <s v="India"/>
    <s v="SYSTEUR"/>
    <x v="0"/>
    <s v="Mihir.Vaidya@philips.com"/>
    <x v="3"/>
    <m/>
  </r>
  <r>
    <s v="RTC-SHA20221001314"/>
    <s v="Sushruth"/>
    <s v="12NC: 422202752171 Intermediate Support Atlas"/>
    <s v="Tim"/>
    <m/>
    <s v="N/A"/>
    <s v="LCM"/>
    <s v="SOURCING"/>
    <s v="Mechanical Parts &amp; Assemblies"/>
    <s v="GB"/>
    <x v="2"/>
    <s v="IL3"/>
    <n v="0.25"/>
    <x v="63"/>
    <s v="India"/>
    <s v="SYSTEUR"/>
    <x v="0"/>
    <s v="Mihir.Vaidya@philips.com"/>
    <x v="3"/>
    <m/>
  </r>
  <r>
    <n v="33752"/>
    <s v="Tjisse"/>
    <s v="DFX BODYSHAVER - Junior's cutter dual sourcing"/>
    <s v="Tim"/>
    <m/>
    <s v="PROCUREMENT"/>
    <s v="PRODUCTIVITY"/>
    <s v="SOURCING"/>
    <s v="Personal Health"/>
    <s v="GB"/>
    <x v="2"/>
    <s v="IL3"/>
    <n v="0.25"/>
    <x v="63"/>
    <s v="India"/>
    <s v="SYSTEUR"/>
    <x v="0"/>
    <s v="Mihir.Vaidya@philips.com"/>
    <x v="3"/>
    <m/>
  </r>
  <r>
    <n v="33289"/>
    <s v="Viraj Bhagwat"/>
    <s v="Transfer of 9 parts from CMP and AMS to Sanmina's source Baiteng"/>
    <s v="Nishant"/>
    <m/>
    <s v="PROCUREMENT"/>
    <s v="PRODUCTIVITY"/>
    <s v="SOURCING"/>
    <s v="Key Components &amp; Electronics"/>
    <s v="HPM"/>
    <x v="1"/>
    <s v="IL3"/>
    <n v="0.2"/>
    <x v="64"/>
    <s v="India"/>
    <s v="SYSTEUR"/>
    <x v="0"/>
    <s v="viraj.bhagwat@philips.com"/>
    <x v="2"/>
    <m/>
  </r>
  <r>
    <n v="35401"/>
    <s v="Viraj Bhagwat"/>
    <s v="Display-12&quot;-Delphi MX450-replacement with cheaper customized display by Tianma (alternative idea to CS ID 30093)"/>
    <s v="Nishant"/>
    <m/>
    <s v="PROCUREMENT"/>
    <s v="PRODUCTIVITY"/>
    <s v="CONCEPT"/>
    <s v="Key Components &amp; Electronics"/>
    <s v="HPM"/>
    <x v="1"/>
    <s v="IL3"/>
    <n v="1E-3"/>
    <x v="64"/>
    <s v="India"/>
    <s v="SYSTEUR"/>
    <x v="0"/>
    <s v="viraj.bhagwat@philips.com"/>
    <x v="2"/>
    <m/>
  </r>
  <r>
    <n v="24497"/>
    <s v="Viraj Bhagwat"/>
    <s v="Jupiter Project Phase 1 (former STET - PM-BBN Q319 Kaizen: Expand OMS Besser Project (Exit Schwarz))"/>
    <s v="Nishant"/>
    <m/>
    <s v="PROCUREMENT"/>
    <s v="AOS"/>
    <s v="SOURCING"/>
    <s v="Mechanical Parts &amp; Assemblies"/>
    <s v="HPM"/>
    <x v="1"/>
    <s v="IL3"/>
    <n v="1E-3"/>
    <x v="64"/>
    <s v="India"/>
    <s v="SYSTEUR"/>
    <x v="0"/>
    <s v="viraj.bhagwat@philips.com"/>
    <x v="2"/>
    <m/>
  </r>
  <r>
    <s v="PDTEAM58"/>
    <s v="Fred Cai"/>
    <s v="Cover NPI Projects"/>
    <s v="Phil"/>
    <m/>
    <s v="PROCUREMENT"/>
    <s v="NPI"/>
    <s v="SOURCING"/>
    <s v="Mechanical Parts &amp; Assemblies"/>
    <s v="CT/AMI"/>
    <x v="0"/>
    <s v="IL3"/>
    <n v="1"/>
    <x v="65"/>
    <s v="China"/>
    <s v="SYSTEUR"/>
    <x v="0"/>
    <s v="sam.zhao@philips.com"/>
    <x v="0"/>
    <m/>
  </r>
  <r>
    <n v="36556"/>
    <s v="Tjisse"/>
    <s v="Dfx - 5 sets Mold move to PPD of Philips from FUYU as 1st phase (Cerberus, Pinky, S3000)"/>
    <s v="Tim"/>
    <m/>
    <s v="PROCUREMENT"/>
    <s v="PRODUCTIVITY"/>
    <s v="SOURCING"/>
    <s v="Mechanical Parts &amp; Assemblies"/>
    <s v="GB"/>
    <x v="2"/>
    <s v="IL3"/>
    <n v="0.25"/>
    <x v="62"/>
    <s v="India"/>
    <s v="SYSTEUR"/>
    <x v="0"/>
    <s v="Mihir.Vaidya@philips.com"/>
    <x v="3"/>
    <m/>
  </r>
  <r>
    <s v="PH_G&amp;B_LCM01"/>
    <s v="Sushruth"/>
    <s v="GHP Alternative Stand Counter Weight"/>
    <s v="Tim"/>
    <m/>
    <s v="N/A"/>
    <s v="LCM"/>
    <s v="CONCEPT"/>
    <s v="Mechanical Parts &amp; Assemblies"/>
    <s v="GB"/>
    <x v="2"/>
    <s v="IL3"/>
    <n v="0.25"/>
    <x v="62"/>
    <s v="India"/>
    <s v="SYSTEUR"/>
    <x v="0"/>
    <s v="Mihir.Vaidya@philips.com"/>
    <x v="3"/>
    <m/>
  </r>
  <r>
    <s v="G&amp;B_PAC_RFQ"/>
    <s v="Sushruth"/>
    <s v="Scope to work on RFQ creation, till the time RFS is created"/>
    <s v="Tim"/>
    <m/>
    <s v="N/A"/>
    <s v="LCM"/>
    <s v="SOURCING"/>
    <s v="Personal Health"/>
    <s v="GB"/>
    <x v="2"/>
    <s v="IL1"/>
    <n v="0.1"/>
    <x v="62"/>
    <s v="India"/>
    <s v="SYSTEUR"/>
    <x v="0"/>
    <s v="Mihir.Vaidya@philips.com"/>
    <x v="3"/>
    <m/>
  </r>
  <r>
    <n v="35140"/>
    <s v="Tjisse"/>
    <s v="Business Reallocation from Yingcheng to FuYu"/>
    <s v="Tim"/>
    <m/>
    <s v="PROCUREMENT"/>
    <s v="PRODUCTIVITY"/>
    <s v="SOURCING"/>
    <s v="Mechanical Parts &amp; Assemblies"/>
    <s v="GB"/>
    <x v="2"/>
    <s v="IL3"/>
    <n v="0.25"/>
    <x v="62"/>
    <s v="India"/>
    <s v="SYSTEUR"/>
    <x v="0"/>
    <s v="Mihir.Vaidya@philips.com"/>
    <x v="3"/>
    <m/>
  </r>
  <r>
    <n v="35751"/>
    <s v="Tjisse"/>
    <s v="BodyGroomer &amp; Lady Shaver LE Production Transfer from Raymond China to Raymond Batam"/>
    <s v="Tim"/>
    <m/>
    <s v="PROCUREMENT"/>
    <s v="PRODUCTIVITY"/>
    <s v="CONCEPT"/>
    <s v="Mechanical Parts &amp; Assemblies"/>
    <s v="GB"/>
    <x v="2"/>
    <s v="IL3"/>
    <n v="1"/>
    <x v="66"/>
    <s v="India"/>
    <s v="SYSTEUR"/>
    <x v="0"/>
    <s v="Mihir.Vaidya@philips.com"/>
    <x v="3"/>
    <m/>
  </r>
  <r>
    <s v="TPDLM6"/>
    <s v="Tjisse"/>
    <s v="XXXXX:PH LCM Mechanical 2022"/>
    <s v="Tim"/>
    <m/>
    <s v="N/A"/>
    <s v="LCM"/>
    <s v="SOURCING"/>
    <s v="Mechanical Parts &amp; Assemblies"/>
    <s v="GB"/>
    <x v="2"/>
    <s v="IL1"/>
    <n v="1"/>
    <x v="67"/>
    <s v="India"/>
    <s v="SYSTEUR"/>
    <x v="0"/>
    <s v="Mihir.Vaidya@philips.com"/>
    <x v="3"/>
    <m/>
  </r>
  <r>
    <s v="TPDLM6"/>
    <s v="Tjisse"/>
    <s v="XXXXX:PH LCM Mechanical 2022"/>
    <s v="Tim"/>
    <m/>
    <s v="N/A"/>
    <s v="LCM"/>
    <s v="SOURCING"/>
    <s v="Mechanical Parts &amp; Assemblies"/>
    <s v="GB"/>
    <x v="2"/>
    <s v="IL1"/>
    <n v="1"/>
    <x v="68"/>
    <s v="India"/>
    <s v="SYSTEUR"/>
    <x v="0"/>
    <s v="Mihir.Vaidya@philips.com"/>
    <x v="3"/>
    <m/>
  </r>
  <r>
    <n v="121284"/>
    <s v="Sushruth"/>
    <s v="Shaving S9 Prestige phoenix 2024 GL AD QCP 2"/>
    <s v="Tim"/>
    <m/>
    <s v="N/A"/>
    <s v="LCM"/>
    <s v="SOURCING"/>
    <s v="Mechanical Parts &amp; Assemblies"/>
    <s v="GB"/>
    <x v="2"/>
    <s v="IL3"/>
    <n v="1"/>
    <x v="69"/>
    <s v="India"/>
    <s v="SYSTEUR"/>
    <x v="0"/>
    <s v="Mihir.Vaidya@philips.com"/>
    <x v="3"/>
    <m/>
  </r>
  <r>
    <s v="TPDLM16"/>
    <s v="Tjisse"/>
    <s v="PDLM AIO 1&amp;3"/>
    <s v="Tim"/>
    <m/>
    <s v="N/A"/>
    <s v="NPI"/>
    <s v="CONCEPT"/>
    <s v="Personal Health"/>
    <s v="GB"/>
    <x v="2"/>
    <s v="IL3"/>
    <n v="1"/>
    <x v="70"/>
    <s v="India"/>
    <s v="SYSTEUR"/>
    <x v="0"/>
    <s v="Mihir.Vaidya@philips.com"/>
    <x v="3"/>
    <m/>
  </r>
  <r>
    <s v="L&amp;A"/>
    <s v="N/A"/>
    <s v="MISC. ENTRY TO BALANCE WITH RESOURCE DATABASE"/>
    <s v="All"/>
    <m/>
    <s v="L&amp;A"/>
    <s v="L&amp;A"/>
    <s v="L&amp;A"/>
    <s v="L&amp;A"/>
    <s v="L&amp;A"/>
    <x v="4"/>
    <s v="L&amp;A"/>
    <n v="1"/>
    <x v="71"/>
    <s v="India"/>
    <s v="SYSTEUR"/>
    <x v="0"/>
    <s v="Mihir.Vaidya@philips.com"/>
    <x v="3"/>
    <m/>
  </r>
  <r>
    <n v="28766"/>
    <s v="Mark Lewandowski"/>
    <s v="Incisive cradle HLA with LCC Supplier"/>
    <s v="Phil"/>
    <m/>
    <s v="PROCUREMENT"/>
    <s v="PRODUCTIVITY"/>
    <s v="SOURCING"/>
    <s v="Mechanical Parts &amp; Assemblies"/>
    <s v="CT/AMI"/>
    <x v="0"/>
    <s v="IL3"/>
    <n v="0.2"/>
    <x v="72"/>
    <s v="USA"/>
    <s v="SYSTEUR"/>
    <x v="0"/>
    <s v="philip.jenkins@philips.com"/>
    <x v="0"/>
    <m/>
  </r>
  <r>
    <s v="PDTEAM100"/>
    <s v="Phil Jenkins"/>
    <s v="Jabil Exit"/>
    <s v="Phil"/>
    <m/>
    <s v="PROCUREMENT"/>
    <s v="PRODUCTIVITY"/>
    <s v="SOURCING"/>
    <s v="All"/>
    <s v="MR"/>
    <x v="0"/>
    <s v="IL3"/>
    <n v="0.1"/>
    <x v="72"/>
    <s v="USA"/>
    <s v="SYSTEUR"/>
    <x v="0"/>
    <s v="philip.jenkins@philips.com"/>
    <x v="0"/>
    <m/>
  </r>
  <r>
    <n v="25562"/>
    <s v="Jeremy Cronin"/>
    <s v="STET - Haifa Sheet Metal Transfer Q3"/>
    <s v="Phil"/>
    <m/>
    <s v="PROCUREMENT"/>
    <s v="PRODUCTIVITY"/>
    <s v="SOURCING"/>
    <s v="Mechanical Parts &amp; Assemblies"/>
    <s v="CT/AMI"/>
    <x v="0"/>
    <s v="IL5"/>
    <n v="0.2"/>
    <x v="72"/>
    <s v="USA"/>
    <s v="SYSTEUR"/>
    <x v="0"/>
    <s v="philip.jenkins@philips.com"/>
    <x v="0"/>
    <m/>
  </r>
  <r>
    <n v="31023"/>
    <s v="Maria Jackson"/>
    <s v="Hawk Cradle dual source with LCC."/>
    <s v="Phil"/>
    <m/>
    <s v="PROCUREMENT"/>
    <s v="PRODUCTIVITY"/>
    <s v="SOURCING"/>
    <s v="Mechanical Parts &amp; Assemblies"/>
    <s v="CT/AMI"/>
    <x v="0"/>
    <s v="IL2"/>
    <n v="0.1"/>
    <x v="72"/>
    <s v="USA"/>
    <s v="SYSTEUR"/>
    <x v="0"/>
    <s v="philip.jenkins@philips.com"/>
    <x v="0"/>
    <m/>
  </r>
  <r>
    <n v="35837"/>
    <s v="Joey Roney"/>
    <s v="EOL Connector"/>
    <s v="Phil"/>
    <m/>
    <s v="PROCUREMENT"/>
    <s v="PRODUCTIVITY"/>
    <s v="SOURCING"/>
    <s v="Key Components &amp; Electronics"/>
    <s v="US"/>
    <x v="0"/>
    <s v="IL3"/>
    <n v="0.2"/>
    <x v="72"/>
    <s v="USA"/>
    <s v="SYSTEUR"/>
    <x v="0"/>
    <s v="philip.jenkins@philips.com"/>
    <x v="0"/>
    <m/>
  </r>
  <r>
    <n v="28766"/>
    <s v="Mark Lewandowski"/>
    <s v="Incisive cradle HLA with LCC Supplier"/>
    <s v="Phil"/>
    <m/>
    <s v="PROCUREMENT"/>
    <s v="PRODUCTIVITY"/>
    <s v="SOURCING"/>
    <s v="Mechanical Parts &amp; Assemblies"/>
    <s v="CT/AMI"/>
    <x v="0"/>
    <s v="IL3"/>
    <n v="0.2"/>
    <x v="73"/>
    <s v="USA"/>
    <s v="SYSTEUR"/>
    <x v="0"/>
    <s v="philip.jenkins@philips.com"/>
    <x v="0"/>
    <m/>
  </r>
  <r>
    <n v="31023"/>
    <s v="Maria Jackson"/>
    <s v="Hawk Cradle dual source with LCC."/>
    <s v="Phil"/>
    <m/>
    <s v="PROCUREMENT"/>
    <s v="PRODUCTIVITY"/>
    <s v="SOURCING"/>
    <s v="Mechanical Parts &amp; Assemblies"/>
    <s v="CT/AMI"/>
    <x v="0"/>
    <s v="IL2"/>
    <n v="0.2"/>
    <x v="73"/>
    <s v="USA"/>
    <s v="SYSTEUR"/>
    <x v="0"/>
    <s v="philip.jenkins@philips.com"/>
    <x v="0"/>
    <m/>
  </r>
  <r>
    <n v="28640"/>
    <s v="Mark Lewandowski"/>
    <s v="Ring Resolver transfer"/>
    <s v="Phil"/>
    <m/>
    <s v="PROCUREMENT"/>
    <s v="PRODUCTIVITY"/>
    <s v="SOURCING"/>
    <s v="Mechanical Parts &amp; Assemblies"/>
    <s v="CT/AMI"/>
    <x v="0"/>
    <s v="IL3"/>
    <n v="0.1"/>
    <x v="73"/>
    <s v="USA"/>
    <s v="SYSTEUR"/>
    <x v="0"/>
    <s v="philip.jenkins@philips.com"/>
    <x v="0"/>
    <m/>
  </r>
  <r>
    <n v="32260"/>
    <s v="Tiger Xiao"/>
    <s v="Hawk Lasers TR to DS"/>
    <s v="Phil"/>
    <m/>
    <s v="PROCUREMENT"/>
    <s v="PRODUCTIVITY"/>
    <s v="CONCEPT"/>
    <s v="Mechanical Parts &amp; Assemblies"/>
    <s v="CT/AMI"/>
    <x v="0"/>
    <s v="IL3"/>
    <n v="0.3"/>
    <x v="73"/>
    <s v="USA"/>
    <s v="SYSTEUR"/>
    <x v="0"/>
    <s v="philip.jenkins@philips.com"/>
    <x v="0"/>
    <m/>
  </r>
  <r>
    <n v="33029"/>
    <s v="Tiger Xiao"/>
    <s v="Hawk System PCBA transfer from Vexos to Plexus - RPD"/>
    <s v="Phil"/>
    <m/>
    <s v="PROCUREMENT"/>
    <s v="PRODUCTIVITY"/>
    <s v="SOURCING"/>
    <s v="Key Components &amp; Electronics"/>
    <s v="CT/AMI"/>
    <x v="0"/>
    <s v="IL3"/>
    <n v="0.1"/>
    <x v="73"/>
    <s v="USA"/>
    <s v="SYSTEUR"/>
    <x v="0"/>
    <s v="philip.jenkins@philips.com"/>
    <x v="0"/>
    <m/>
  </r>
  <r>
    <n v="26676"/>
    <s v="Mark Lewandowski"/>
    <s v="Access module base dual source"/>
    <s v="Phil"/>
    <m/>
    <s v="PROCUREMENT"/>
    <s v="PRODUCTIVITY"/>
    <s v="SOURCING"/>
    <s v="Mechanical Parts &amp; Assemblies"/>
    <s v="CT/AMI"/>
    <x v="0"/>
    <s v="IL3"/>
    <n v="0.1"/>
    <x v="73"/>
    <s v="USA"/>
    <s v="SYSTEUR"/>
    <x v="0"/>
    <s v="philip.jenkins@philips.com"/>
    <x v="0"/>
    <m/>
  </r>
  <r>
    <n v="29165"/>
    <s v="Maria Jackson"/>
    <s v="Transfer L12-4, S4-1 &amp; C5-2 Flex circuits from premium vendor to reel to reel flex vendor"/>
    <s v="Phil"/>
    <m/>
    <s v="PROCUREMENT"/>
    <s v="PRODUCTIVITY"/>
    <s v="SOURCING"/>
    <s v="Key Components &amp; Electronics"/>
    <s v="US"/>
    <x v="0"/>
    <s v="IL3"/>
    <n v="0.1"/>
    <x v="74"/>
    <s v="USA"/>
    <s v="SYSTEUR"/>
    <x v="0"/>
    <s v="philip.jenkins@philips.com"/>
    <x v="0"/>
    <m/>
  </r>
  <r>
    <n v="28766"/>
    <s v="Mark Lewandowski"/>
    <s v="Incisive cradle HLA with LCC Supplier"/>
    <s v="Phil"/>
    <m/>
    <s v="PROCUREMENT"/>
    <s v="PRODUCTIVITY"/>
    <s v="SOURCING"/>
    <s v="Mechanical Parts &amp; Assemblies"/>
    <s v="CT/AMI"/>
    <x v="0"/>
    <s v="IL3"/>
    <n v="0.1"/>
    <x v="74"/>
    <s v="USA"/>
    <s v="SYSTEUR"/>
    <x v="0"/>
    <s v="philip.jenkins@philips.com"/>
    <x v="0"/>
    <m/>
  </r>
  <r>
    <s v="PDTEAM200"/>
    <s v="Maria Jackson"/>
    <s v="Volex transfer project"/>
    <s v="Phil"/>
    <m/>
    <s v="PROCUREMENT"/>
    <s v="PRODUCTIVITY"/>
    <s v="SOURCING"/>
    <s v="Key Components &amp; Electronics"/>
    <s v="CT/AMI"/>
    <x v="0"/>
    <s v="IL3"/>
    <n v="0.1"/>
    <x v="74"/>
    <s v="USA"/>
    <s v="SYSTEUR"/>
    <x v="0"/>
    <s v="philip.jenkins@philips.com"/>
    <x v="0"/>
    <m/>
  </r>
  <r>
    <n v="31023"/>
    <s v="Maria Jackson"/>
    <s v="Hawk Cradle dual source with LCC."/>
    <s v="Phil"/>
    <m/>
    <s v="PROCUREMENT"/>
    <s v="PRODUCTIVITY"/>
    <s v="SOURCING"/>
    <s v="Mechanical Parts &amp; Assemblies"/>
    <s v="CT/AMI"/>
    <x v="0"/>
    <s v="IL2"/>
    <n v="0.1"/>
    <x v="74"/>
    <s v="USA"/>
    <s v="SYSTEUR"/>
    <x v="0"/>
    <s v="philip.jenkins@philips.com"/>
    <x v="0"/>
    <m/>
  </r>
  <r>
    <n v="25562"/>
    <s v="Jeremy Cronin"/>
    <s v="STET - Haifa Sheet Metal Transfer Q3"/>
    <s v="Phil"/>
    <m/>
    <s v="PROCUREMENT"/>
    <s v="PRODUCTIVITY"/>
    <s v="SOURCING"/>
    <s v="Mechanical Parts &amp; Assemblies"/>
    <s v="CT/AMI"/>
    <x v="0"/>
    <s v="IL5"/>
    <n v="0.1"/>
    <x v="74"/>
    <s v="USA"/>
    <s v="SYSTEUR"/>
    <x v="0"/>
    <s v="philip.jenkins@philips.com"/>
    <x v="0"/>
    <m/>
  </r>
  <r>
    <n v="28088"/>
    <s v="Maria Jackson"/>
    <s v="Prospector 2 Mechanical Portfolio"/>
    <s v="Phil"/>
    <m/>
    <s v="PROCUREMENT"/>
    <s v="PRODUCTIVITY"/>
    <s v="CONCEPT"/>
    <s v="Mechanical Parts &amp; Assemblies"/>
    <s v="US"/>
    <x v="0"/>
    <s v="IL3"/>
    <n v="0.1"/>
    <x v="74"/>
    <s v="USA"/>
    <s v="SYSTEUR"/>
    <x v="0"/>
    <s v="philip.jenkins@philips.com"/>
    <x v="0"/>
    <m/>
  </r>
  <r>
    <n v="36359"/>
    <s v="Adrianna Davis"/>
    <s v="Transfer of IGT-MoS PCBAs 459801306321 and 459800581772 from Jabil Belgium to Sanmina Chennai as par..."/>
    <s v="Phil"/>
    <m/>
    <s v="PROCUREMENT"/>
    <s v="PRODUCTIVITY"/>
    <s v="SOURCING"/>
    <s v="Key Components &amp; Electronics"/>
    <s v="IGT-MoS"/>
    <x v="3"/>
    <s v="IL0"/>
    <n v="1"/>
    <x v="75"/>
    <s v="USA"/>
    <s v="SYSTEUR"/>
    <x v="0"/>
    <s v="philip.jenkins@philips.com"/>
    <x v="0"/>
    <m/>
  </r>
  <r>
    <n v="37233"/>
    <s v="Jack Dougherty"/>
    <s v="RIO-STET-IMESA-MR METALS TRANSFER"/>
    <s v="Phil"/>
    <m/>
    <s v="PROCUREMENT"/>
    <s v="PRODUCTIVITY"/>
    <s v="SOURCING"/>
    <s v="Mechanical Parts &amp; Assemblies"/>
    <s v="MR"/>
    <x v="0"/>
    <s v="IL3"/>
    <n v="0.1"/>
    <x v="76"/>
    <s v="USA"/>
    <s v="SYSTEUR"/>
    <x v="0"/>
    <s v="philip.jenkins@philips.com"/>
    <x v="0"/>
    <m/>
  </r>
  <r>
    <n v="37232"/>
    <s v="Victor De Bellis"/>
    <s v="STET-RIO-LOW COST 40K TEMPERATURE SENSOR"/>
    <s v="Phil"/>
    <m/>
    <s v="PROCUREMENT"/>
    <s v="PRODUCTIVITY"/>
    <s v="CONCEPT"/>
    <s v="Mechanical Parts &amp; Assemblies"/>
    <s v="MR"/>
    <x v="0"/>
    <s v="IL3"/>
    <n v="0.1"/>
    <x v="76"/>
    <s v="USA"/>
    <s v="SYSTEUR"/>
    <x v="0"/>
    <s v="philip.jenkins@philips.com"/>
    <x v="0"/>
    <m/>
  </r>
  <r>
    <n v="35612"/>
    <s v="Jack Doughtery"/>
    <s v="All - Ottenweller Phase 2 - Project"/>
    <s v="Phil"/>
    <m/>
    <s v="PROCUREMENT"/>
    <s v="PRODUCTIVITY"/>
    <s v="SOURCING"/>
    <s v="Mechanical Parts &amp; Assemblies"/>
    <s v="MR"/>
    <x v="0"/>
    <s v="IL3"/>
    <n v="0.1"/>
    <x v="76"/>
    <s v="USA"/>
    <s v="SYSTEUR"/>
    <x v="0"/>
    <s v="philip.jenkins@philips.com"/>
    <x v="0"/>
    <m/>
  </r>
  <r>
    <n v="34896"/>
    <s v="Jason Lafond"/>
    <s v="All-STET-4K Coil Form Rings Second Source"/>
    <s v="Phil"/>
    <m/>
    <s v="PROCUREMENT"/>
    <s v="PRODUCTIVITY"/>
    <s v="SOURCING"/>
    <s v="Mechanical Parts &amp; Assemblies"/>
    <s v="MR"/>
    <x v="0"/>
    <s v="IL2"/>
    <n v="0.1"/>
    <x v="76"/>
    <s v="USA"/>
    <s v="SYSTEUR"/>
    <x v="0"/>
    <s v="philip.jenkins@philips.com"/>
    <x v="0"/>
    <m/>
  </r>
  <r>
    <n v="37221"/>
    <s v="Jack Dougherty"/>
    <s v="Rio-STET-Mexico-Chandler MR Metals Transfer - Set 2 - Phase 1.2"/>
    <s v="Phil"/>
    <m/>
    <s v="PROCUREMENT"/>
    <s v="PRODUCTIVITY"/>
    <s v="SOURCING"/>
    <s v="Mechanical Parts &amp; Assemblies"/>
    <s v="MR"/>
    <x v="0"/>
    <s v="IL3"/>
    <n v="0.1"/>
    <x v="76"/>
    <s v="USA"/>
    <s v="SYSTEUR"/>
    <x v="0"/>
    <s v="philip.jenkins@philips.com"/>
    <x v="0"/>
    <m/>
  </r>
  <r>
    <n v="35115"/>
    <s v="Jack Dougherty"/>
    <s v="Rio OTS elbows and tees"/>
    <s v="Phil"/>
    <m/>
    <s v="PROCUREMENT"/>
    <s v="PRODUCTIVITY"/>
    <s v="CONCEPT"/>
    <s v="Mechanical Parts &amp; Assemblies"/>
    <s v="MR"/>
    <x v="0"/>
    <s v="IL0"/>
    <n v="0.1"/>
    <x v="76"/>
    <s v="USA"/>
    <s v="SYSTEUR"/>
    <x v="0"/>
    <s v="philip.jenkins@philips.com"/>
    <x v="0"/>
    <m/>
  </r>
  <r>
    <n v="33140"/>
    <s v="Jack Doughtery"/>
    <s v="RIO Center Ring"/>
    <s v="Phil"/>
    <m/>
    <s v="PROCUREMENT"/>
    <s v="PRODUCTIVITY"/>
    <s v="SOURCING"/>
    <s v="Key Components &amp; Electronics"/>
    <s v="MR"/>
    <x v="0"/>
    <s v="IL3"/>
    <n v="0.1"/>
    <x v="76"/>
    <s v="USA"/>
    <s v="SYSTEUR"/>
    <x v="0"/>
    <s v="philip.jenkins@philips.com"/>
    <x v="0"/>
    <m/>
  </r>
  <r>
    <n v="32179"/>
    <s v="Jack Doughtery"/>
    <s v="ALL-STET-MR METALS TRANSFER-(Chamberlain)-SET 2"/>
    <s v="Phil"/>
    <m/>
    <s v="PROCUREMENT"/>
    <s v="PRODUCTIVITY"/>
    <s v="SOURCING"/>
    <s v="Mechanical Parts &amp; Assemblies"/>
    <s v="MR"/>
    <x v="0"/>
    <s v="IL3"/>
    <n v="0.1"/>
    <x v="76"/>
    <s v="USA"/>
    <s v="SYSTEUR"/>
    <x v="0"/>
    <s v="philip.jenkins@philips.com"/>
    <x v="0"/>
    <m/>
  </r>
  <r>
    <n v="27371"/>
    <s v="Jack Dougherty"/>
    <s v="Rio-Insource HTS lead assembly 459801169622"/>
    <s v="Phil"/>
    <m/>
    <s v="PROCUREMENT"/>
    <s v="PRODUCTIVITY"/>
    <s v="CONCEPT"/>
    <s v="Mechanical Parts &amp; Assemblies"/>
    <s v="MR"/>
    <x v="0"/>
    <s v="IL3"/>
    <n v="0.1"/>
    <x v="76"/>
    <s v="USA"/>
    <s v="SYSTEUR"/>
    <x v="0"/>
    <s v="philip.jenkins@philips.com"/>
    <x v="0"/>
    <m/>
  </r>
  <r>
    <n v="23826"/>
    <s v="Jack Doughtery"/>
    <s v="All - Ottenweller Phase 3 Project - RIO Rollups-4 parts"/>
    <s v="Phil"/>
    <m/>
    <s v="PROCUREMENT"/>
    <s v="PRODUCTIVITY"/>
    <s v="SOURCING"/>
    <s v="Mechanical Parts &amp; Assemblies"/>
    <s v="MR"/>
    <x v="0"/>
    <s v="IL0"/>
    <n v="0.1"/>
    <x v="76"/>
    <s v="USA"/>
    <s v="SYSTEUR"/>
    <x v="0"/>
    <s v="philip.jenkins@philips.com"/>
    <x v="0"/>
    <m/>
  </r>
  <r>
    <n v="35837"/>
    <s v="Joey Roney"/>
    <s v="EOL Connector"/>
    <s v="Phil"/>
    <m/>
    <s v="PROCUREMENT"/>
    <s v="PRODUCTIVITY"/>
    <s v="SOURCING"/>
    <s v="Key Components &amp; Electronics"/>
    <s v="US"/>
    <x v="0"/>
    <s v="IL3"/>
    <n v="0.2"/>
    <x v="77"/>
    <s v="USA"/>
    <s v="SYSTEUR"/>
    <x v="0"/>
    <s v="philip.jenkins@philips.com"/>
    <x v="0"/>
    <m/>
  </r>
  <r>
    <n v="32260"/>
    <s v="Tiger Xiao"/>
    <s v="Hawk Lasers TR to DS"/>
    <s v="Phil"/>
    <m/>
    <s v="PROCUREMENT"/>
    <s v="PRODUCTIVITY"/>
    <s v="CONCEPT"/>
    <s v="Mechanical Parts &amp; Assemblies"/>
    <s v="CT/AMI"/>
    <x v="0"/>
    <s v="IL3"/>
    <n v="0.3"/>
    <x v="77"/>
    <s v="USA"/>
    <s v="SYSTEUR"/>
    <x v="0"/>
    <s v="philip.jenkins@philips.com"/>
    <x v="0"/>
    <m/>
  </r>
  <r>
    <n v="34897"/>
    <s v="Jason Lafond"/>
    <s v="RIO-STET-Helium Tubes &amp; Caps Dual Source"/>
    <s v="Phil"/>
    <m/>
    <s v="PROCUREMENT"/>
    <s v="PRODUCTIVITY"/>
    <s v="SOURCING"/>
    <s v="Mechanical Parts &amp; Assemblies"/>
    <s v="MR"/>
    <x v="0"/>
    <s v="IL2"/>
    <n v="0.1"/>
    <x v="78"/>
    <s v="USA"/>
    <s v="SYSTEUR"/>
    <x v="0"/>
    <s v="philip.jenkins@philips.com"/>
    <x v="0"/>
    <m/>
  </r>
  <r>
    <s v="PDTEAM23"/>
    <s v="Victor De Bellis"/>
    <s v="Coliform Machining Outsourcing"/>
    <s v="Phil"/>
    <m/>
    <s v="N/A"/>
    <s v="AOS"/>
    <s v="SOURCING"/>
    <s v="Mechanical Parts &amp; Assemblies"/>
    <s v="MR"/>
    <x v="0"/>
    <s v="IL1"/>
    <n v="0.2"/>
    <x v="78"/>
    <s v="USA"/>
    <s v="SYSTEUR"/>
    <x v="0"/>
    <s v="philip.jenkins@philips.com"/>
    <x v="0"/>
    <m/>
  </r>
  <r>
    <n v="37060"/>
    <s v="Victor De Bellis"/>
    <s v="De-risk Sealed SC- Chamberlain"/>
    <s v="Phil"/>
    <m/>
    <s v="PROCUREMENT"/>
    <s v="PRODUCTIVITY"/>
    <s v="SOURCING"/>
    <s v="Mechanical Parts &amp; Assemblies"/>
    <s v="MR"/>
    <x v="0"/>
    <s v="IL0"/>
    <n v="0.1"/>
    <x v="78"/>
    <s v="USA"/>
    <s v="SYSTEUR"/>
    <x v="0"/>
    <s v="philip.jenkins@philips.com"/>
    <x v="0"/>
    <m/>
  </r>
  <r>
    <n v="37234"/>
    <s v="Jack Dougherty"/>
    <s v="ALL-STET-BENCO-MR METALS TRANSFER"/>
    <s v="Phil"/>
    <m/>
    <s v="PROCUREMENT"/>
    <s v="PRODUCTIVITY"/>
    <s v="SOURCING"/>
    <s v="Mechanical Parts &amp; Assemblies"/>
    <s v="MR"/>
    <x v="0"/>
    <s v="IL0"/>
    <n v="0.2"/>
    <x v="78"/>
    <s v="USA"/>
    <s v="SYSTEUR"/>
    <x v="0"/>
    <s v="philip.jenkins@philips.com"/>
    <x v="0"/>
    <m/>
  </r>
  <r>
    <n v="34035"/>
    <s v="Victor De Bellis"/>
    <s v="STET-Rio-Watteredge to TCM"/>
    <s v="Phil"/>
    <m/>
    <s v="PROCUREMENT"/>
    <s v="PRODUCTIVITY"/>
    <s v="CONCEPT"/>
    <s v="Mechanical Parts &amp; Assemblies"/>
    <s v="MR"/>
    <x v="0"/>
    <s v="IL2"/>
    <n v="0.2"/>
    <x v="78"/>
    <s v="USA"/>
    <s v="SYSTEUR"/>
    <x v="0"/>
    <s v="philip.jenkins@philips.com"/>
    <x v="0"/>
    <m/>
  </r>
  <r>
    <n v="27382"/>
    <s v="Victor De Bellis"/>
    <s v="Rio-ACR re-design"/>
    <s v="Phil"/>
    <m/>
    <s v="PROCUREMENT"/>
    <s v="PRODUCTIVITY"/>
    <s v="CONCEPT"/>
    <s v="Mechanical Parts &amp; Assemblies"/>
    <s v="MR"/>
    <x v="0"/>
    <s v="IL3"/>
    <n v="0.1"/>
    <x v="78"/>
    <s v="USA"/>
    <s v="SYSTEUR"/>
    <x v="0"/>
    <s v="philip.jenkins@philips.com"/>
    <x v="0"/>
    <m/>
  </r>
  <r>
    <n v="27375"/>
    <s v="Victor De Bellis"/>
    <s v="Rio - resource burst disk weldment 459800779172"/>
    <s v="Phil"/>
    <m/>
    <s v="PROCUREMENT"/>
    <s v="PRODUCTIVITY"/>
    <s v="SOURCING"/>
    <s v="Mechanical Parts &amp; Assemblies"/>
    <s v="MR"/>
    <x v="0"/>
    <s v="IL3"/>
    <n v="0.1"/>
    <x v="78"/>
    <s v="USA"/>
    <s v="SYSTEUR"/>
    <x v="0"/>
    <s v="philip.jenkins@philips.com"/>
    <x v="0"/>
    <m/>
  </r>
  <r>
    <n v="27157"/>
    <s v="Anil CS"/>
    <s v="STET:Project Vayu - Cluster 1 (ProxiDiagnost Geometry)"/>
    <s v="Phil"/>
    <m/>
    <s v="PROCUREMENT"/>
    <s v="LCM"/>
    <s v="CONCEPT"/>
    <s v="Mechanical Parts &amp; Assemblies"/>
    <s v="DXR"/>
    <x v="0"/>
    <s v="IL3"/>
    <n v="0.5"/>
    <x v="79"/>
    <s v="India"/>
    <s v="SYSTEUR"/>
    <x v="0"/>
    <s v="philip.jenkins@philips.com"/>
    <x v="0"/>
    <m/>
  </r>
  <r>
    <n v="27192"/>
    <s v="Anil CS"/>
    <s v="STET:Project Vayu - Cluster 2 (TH-S Table)"/>
    <s v="Phil"/>
    <m/>
    <s v="PROCUREMENT"/>
    <s v="LCM"/>
    <s v="CONCEPT"/>
    <s v="Mechanical Parts &amp; Assemblies"/>
    <s v="DXR"/>
    <x v="0"/>
    <s v="IL3"/>
    <n v="0.4"/>
    <x v="79"/>
    <s v="India"/>
    <s v="SYSTEUR"/>
    <x v="0"/>
    <s v="philip.jenkins@philips.com"/>
    <x v="0"/>
    <m/>
  </r>
  <r>
    <n v="37232"/>
    <s v="Victor De Bellis"/>
    <s v="STET-RIO-LOW COST 40K TEMPERATURE SENSOR"/>
    <s v="Phil"/>
    <m/>
    <s v="PROCUREMENT"/>
    <s v="PRODUCTIVITY"/>
    <s v="CONCEPT"/>
    <s v="Mechanical Parts &amp; Assemblies"/>
    <s v="MR"/>
    <x v="0"/>
    <s v="IL3"/>
    <n v="0.1"/>
    <x v="80"/>
    <s v="USA"/>
    <s v="SYSTEUR"/>
    <x v="0"/>
    <s v="philip.jenkins@philips.com"/>
    <x v="0"/>
    <m/>
  </r>
  <r>
    <n v="34897"/>
    <s v="Jason Lafond"/>
    <s v="RIO-STET-Helium Tubes &amp; Caps Dual Source"/>
    <s v="Phil"/>
    <m/>
    <s v="PROCUREMENT"/>
    <s v="PRODUCTIVITY"/>
    <s v="SOURCING"/>
    <s v="Mechanical Parts &amp; Assemblies"/>
    <s v="MR"/>
    <x v="0"/>
    <s v="IL2"/>
    <n v="0.1"/>
    <x v="80"/>
    <s v="USA"/>
    <s v="SYSTEUR"/>
    <x v="0"/>
    <s v="philip.jenkins@philips.com"/>
    <x v="0"/>
    <m/>
  </r>
  <r>
    <n v="34035"/>
    <s v="Victor De Bellis"/>
    <s v="STET-Rio-Watteredge to TCM"/>
    <s v="Phil"/>
    <m/>
    <s v="PROCUREMENT"/>
    <s v="PRODUCTIVITY"/>
    <s v="CONCEPT"/>
    <s v="Mechanical Parts &amp; Assemblies"/>
    <s v="MR"/>
    <x v="0"/>
    <s v="IL2"/>
    <n v="0.1"/>
    <x v="80"/>
    <s v="USA"/>
    <s v="SYSTEUR"/>
    <x v="0"/>
    <s v="philip.jenkins@philips.com"/>
    <x v="0"/>
    <m/>
  </r>
  <r>
    <n v="37221"/>
    <s v="Jack Dougherty"/>
    <s v="Rio-STET-Mexico-Chandler MR Metals Transfer - Set 2 - Phase 1.2"/>
    <s v="Phil"/>
    <m/>
    <s v="PROCUREMENT"/>
    <s v="PRODUCTIVITY"/>
    <s v="SOURCING"/>
    <s v="Mechanical Parts &amp; Assemblies"/>
    <s v="MR"/>
    <x v="0"/>
    <s v="IL3"/>
    <n v="0.1"/>
    <x v="80"/>
    <s v="USA"/>
    <s v="SYSTEUR"/>
    <x v="0"/>
    <s v="philip.jenkins@philips.com"/>
    <x v="0"/>
    <m/>
  </r>
  <r>
    <n v="34896"/>
    <s v="Jason Lafond"/>
    <s v="All-STET-4K Coil Form Rings Second Source"/>
    <s v="Phil"/>
    <m/>
    <s v="PROCUREMENT"/>
    <s v="PRODUCTIVITY"/>
    <s v="SOURCING"/>
    <s v="Mechanical Parts &amp; Assemblies"/>
    <s v="MR"/>
    <x v="0"/>
    <s v="IL2"/>
    <n v="0.1"/>
    <x v="80"/>
    <s v="USA"/>
    <s v="SYSTEUR"/>
    <x v="0"/>
    <s v="philip.jenkins@philips.com"/>
    <x v="0"/>
    <m/>
  </r>
  <r>
    <n v="33140"/>
    <s v="Jack Doughtery"/>
    <s v="RIO Center Ring"/>
    <s v="Phil"/>
    <m/>
    <s v="PROCUREMENT"/>
    <s v="PRODUCTIVITY"/>
    <s v="SOURCING"/>
    <s v="Key Components &amp; Electronics"/>
    <s v="MR"/>
    <x v="0"/>
    <s v="IL3"/>
    <n v="0.1"/>
    <x v="80"/>
    <s v="USA"/>
    <s v="SYSTEUR"/>
    <x v="0"/>
    <s v="philip.jenkins@philips.com"/>
    <x v="0"/>
    <m/>
  </r>
  <r>
    <n v="23826"/>
    <s v="Jack Doughtery"/>
    <s v="All - Ottenweller Phase 3 Project - RIO Rollups-4 parts"/>
    <s v="Phil"/>
    <m/>
    <s v="PROCUREMENT"/>
    <s v="PRODUCTIVITY"/>
    <s v="SOURCING"/>
    <s v="Mechanical Parts &amp; Assemblies"/>
    <s v="MR"/>
    <x v="0"/>
    <s v="IL0"/>
    <n v="0.1"/>
    <x v="80"/>
    <s v="USA"/>
    <s v="SYSTEUR"/>
    <x v="0"/>
    <s v="philip.jenkins@philips.com"/>
    <x v="0"/>
    <m/>
  </r>
  <r>
    <n v="32179"/>
    <s v="Jack Doughtery"/>
    <s v="ALL-STET-MR METALS TRANSFER-(Chamberlain)-SET 2"/>
    <s v="Phil"/>
    <m/>
    <s v="PROCUREMENT"/>
    <s v="PRODUCTIVITY"/>
    <s v="SOURCING"/>
    <s v="Mechanical Parts &amp; Assemblies"/>
    <s v="MR"/>
    <x v="0"/>
    <s v="IL3"/>
    <n v="0.1"/>
    <x v="80"/>
    <s v="USA"/>
    <s v="SYSTEUR"/>
    <x v="0"/>
    <s v="philip.jenkins@philips.com"/>
    <x v="0"/>
    <m/>
  </r>
  <r>
    <n v="37233"/>
    <s v="Jack Dougherty"/>
    <s v="RIO-STET-IMESA-MR METALS TRANSFER"/>
    <s v="Phil"/>
    <m/>
    <s v="PROCUREMENT"/>
    <s v="PRODUCTIVITY"/>
    <s v="SOURCING"/>
    <s v="Mechanical Parts &amp; Assemblies"/>
    <s v="MR"/>
    <x v="0"/>
    <s v="IL3"/>
    <n v="0.1"/>
    <x v="80"/>
    <s v="USA"/>
    <s v="SYSTEUR"/>
    <x v="0"/>
    <s v="philip.jenkins@philips.com"/>
    <x v="0"/>
    <m/>
  </r>
  <r>
    <n v="35612"/>
    <s v="Jack Doughtery"/>
    <s v="All - Ottenweller Phase 2 - Project"/>
    <s v="Phil"/>
    <m/>
    <s v="PROCUREMENT"/>
    <s v="PRODUCTIVITY"/>
    <s v="SOURCING"/>
    <s v="Mechanical Parts &amp; Assemblies"/>
    <s v="MR"/>
    <x v="0"/>
    <s v="IL3"/>
    <n v="0.1"/>
    <x v="80"/>
    <s v="USA"/>
    <s v="SYSTEUR"/>
    <x v="0"/>
    <s v="philip.jenkins@philips.com"/>
    <x v="0"/>
    <m/>
  </r>
  <r>
    <n v="28088"/>
    <s v="Maria Jackson"/>
    <s v="Prospector 2 Mechanical Portfolio"/>
    <s v="Phil"/>
    <m/>
    <s v="PROCUREMENT"/>
    <s v="PRODUCTIVITY"/>
    <s v="CONCEPT"/>
    <s v="Mechanical Parts &amp; Assemblies"/>
    <s v="US"/>
    <x v="0"/>
    <s v="IL3"/>
    <n v="0.1"/>
    <x v="81"/>
    <s v="USA"/>
    <s v="SYSTEUR"/>
    <x v="0"/>
    <s v="philip.jenkins@philips.com"/>
    <x v="0"/>
    <m/>
  </r>
  <r>
    <n v="36662"/>
    <s v="Steve Scurria"/>
    <s v="X7-2t flex update tech - etch"/>
    <s v="Phil"/>
    <m/>
    <s v="PROCUREMENT"/>
    <s v="PRODUCTIVITY"/>
    <s v="SOURCING"/>
    <s v="Key Components &amp; Electronics"/>
    <s v="US"/>
    <x v="0"/>
    <s v="IL2"/>
    <n v="0.2"/>
    <x v="81"/>
    <s v="USA"/>
    <s v="SYSTEUR"/>
    <x v="0"/>
    <s v="philip.jenkins@philips.com"/>
    <x v="0"/>
    <m/>
  </r>
  <r>
    <n v="6865"/>
    <s v="Steve Scurria"/>
    <s v="CP1: X7-2t Insertion Tube Cable and Cable Braid, Hitachi"/>
    <s v="Phil"/>
    <m/>
    <s v="PROCUREMENT"/>
    <s v="PRODUCTIVITY"/>
    <s v="SOURCING"/>
    <s v="Mechanical Parts &amp; Assemblies"/>
    <s v="US"/>
    <x v="0"/>
    <s v="IL3"/>
    <n v="0.3"/>
    <x v="81"/>
    <s v="USA"/>
    <s v="SYSTEUR"/>
    <x v="0"/>
    <s v="philip.jenkins@philips.com"/>
    <x v="0"/>
    <m/>
  </r>
  <r>
    <n v="35837"/>
    <s v="Joey Roney"/>
    <s v="EOL Connector"/>
    <s v="Phil"/>
    <m/>
    <s v="PROCUREMENT"/>
    <s v="PRODUCTIVITY"/>
    <s v="SOURCING"/>
    <s v="Key Components &amp; Electronics"/>
    <s v="US"/>
    <x v="0"/>
    <s v="IL3"/>
    <n v="0.1"/>
    <x v="81"/>
    <s v="USA"/>
    <s v="SYSTEUR"/>
    <x v="0"/>
    <s v="philip.jenkins@philips.com"/>
    <x v="0"/>
    <m/>
  </r>
  <r>
    <n v="30623"/>
    <s v="Steve Scurria"/>
    <s v="CMM Supplier Transfer to LCC"/>
    <s v="Phil"/>
    <m/>
    <s v="PROCUREMENT"/>
    <s v="PRODUCTIVITY"/>
    <s v="SOURCING"/>
    <s v="Mechanical Parts &amp; Assemblies"/>
    <s v="CT/AMI"/>
    <x v="0"/>
    <s v="IL3"/>
    <n v="0.2"/>
    <x v="81"/>
    <s v="USA"/>
    <s v="SYSTEUR"/>
    <x v="0"/>
    <s v="philip.jenkins@philips.com"/>
    <x v="0"/>
    <m/>
  </r>
  <r>
    <n v="30851"/>
    <s v="Saravana"/>
    <s v="STET : China localisation Tables"/>
    <s v="Dan"/>
    <m/>
    <s v="PROCUREMENT"/>
    <s v="PRODUCTIVITY"/>
    <s v="SOURCING"/>
    <s v="Mechanical Parts &amp; Assemblies"/>
    <s v="IGT-S"/>
    <x v="3"/>
    <s v="IL1"/>
    <n v="0.1"/>
    <x v="82"/>
    <s v="China"/>
    <s v="SYSTEUR"/>
    <x v="0"/>
    <s v="philip.jenkins@philips.com"/>
    <x v="0"/>
    <m/>
  </r>
  <r>
    <n v="34037"/>
    <s v="Fred Cai"/>
    <s v="Billy-Gradient Amp 1.6MVA"/>
    <s v="Phil"/>
    <m/>
    <s v="PROCUREMENT"/>
    <s v="PRODUCTIVITY"/>
    <s v="CONCEPT"/>
    <s v="Key Components &amp; Electronics"/>
    <s v="MR"/>
    <x v="0"/>
    <s v="IL0"/>
    <n v="0.2"/>
    <x v="82"/>
    <s v="China"/>
    <s v="SYSTEUR"/>
    <x v="0"/>
    <s v="philip.jenkins@philips.com"/>
    <x v="0"/>
    <m/>
  </r>
  <r>
    <n v="33028"/>
    <s v="Adrianna Davis"/>
    <s v="Redesign Hawk PCBA's - Hawk Gantry Display"/>
    <s v="Phil"/>
    <m/>
    <s v="PROCUREMENT"/>
    <s v="LCM"/>
    <s v="CONCEPT"/>
    <s v="Key Components &amp; Electronics"/>
    <s v="CT/AMI"/>
    <x v="0"/>
    <s v="IL3"/>
    <n v="0.2"/>
    <x v="82"/>
    <s v="China"/>
    <s v="SYSTEUR"/>
    <x v="0"/>
    <s v="philip.jenkins@philips.com"/>
    <x v="0"/>
    <m/>
  </r>
  <r>
    <n v="35737"/>
    <s v="Wei Zhao"/>
    <s v="Risk Mitigation-Maxwell: Outsource welding processes for Roll Up and End plate"/>
    <s v="Phil"/>
    <m/>
    <s v="PROCUREMENT"/>
    <s v="PRODUCTIVITY"/>
    <s v="SOURCING"/>
    <s v="Mechanical Parts &amp; Assemblies"/>
    <s v="MR"/>
    <x v="0"/>
    <s v="IL3"/>
    <n v="0.15"/>
    <x v="24"/>
    <s v="China"/>
    <s v="SYSTEUR"/>
    <x v="0"/>
    <s v="philip.jenkins@philips.com"/>
    <x v="0"/>
    <m/>
  </r>
  <r>
    <n v="35726"/>
    <s v="Johnson Jiang"/>
    <s v="Risk mitigation on EOP parts on MR table and RFRC parts"/>
    <s v="Phil"/>
    <m/>
    <s v="PROCUREMENT"/>
    <s v="PRODUCTIVITY"/>
    <s v="NON_12NC"/>
    <s v="Key Components &amp; Electronics"/>
    <s v="MR"/>
    <x v="0"/>
    <s v="IL2"/>
    <n v="0.1"/>
    <x v="83"/>
    <s v="China"/>
    <s v="SYSTEUR"/>
    <x v="0"/>
    <s v="Thomas.LIU@philips.com"/>
    <x v="0"/>
    <m/>
  </r>
  <r>
    <n v="36789"/>
    <s v="Fred Cai"/>
    <s v="Cable Localization"/>
    <s v="Phil"/>
    <m/>
    <s v="PROCUREMENT"/>
    <s v="PRODUCTIVITY"/>
    <s v="SOURCING"/>
    <s v="Mechanical Parts &amp; Assemblies"/>
    <s v="IGT-S"/>
    <x v="3"/>
    <s v="IL0"/>
    <n v="1"/>
    <x v="84"/>
    <s v="China"/>
    <s v="SYSTEUR"/>
    <x v="0"/>
    <s v="Thomas.LIU@philips.com"/>
    <x v="0"/>
    <m/>
  </r>
  <r>
    <n v="18126"/>
    <s v="Steven Li"/>
    <s v="STET:QCH change source from Telerex to Jonhon - MR Coil Workstream - (QCH)"/>
    <s v="Phil"/>
    <m/>
    <s v="PROCUREMENT"/>
    <s v="PRODUCTIVITY"/>
    <s v="SOURCING"/>
    <s v="Key Components &amp; Electronics"/>
    <s v="MR"/>
    <x v="0"/>
    <s v="IL2"/>
    <n v="0.1"/>
    <x v="23"/>
    <s v="China"/>
    <s v="SYSTEUR"/>
    <x v="0"/>
    <s v="Fred.CAI@philips.com"/>
    <x v="0"/>
    <m/>
  </r>
  <r>
    <s v="TPDLM6"/>
    <s v="Tjisse"/>
    <s v="XXXXX:PH LCM Mechanical 2022"/>
    <s v="Tim"/>
    <m/>
    <s v="N/A"/>
    <s v="LCM"/>
    <s v="SOURCING"/>
    <s v="Mechanical Parts &amp; Assemblies"/>
    <s v="GB"/>
    <x v="2"/>
    <s v="IL1"/>
    <n v="0.4"/>
    <x v="85"/>
    <s v="India"/>
    <s v="SYSTEUR"/>
    <x v="0"/>
    <s v="Yogesh.Shelgaonkar@philips.com"/>
    <x v="3"/>
    <m/>
  </r>
  <r>
    <s v="TPDLM8"/>
    <s v="Tjisse"/>
    <s v="XXXXX:PH LCM Packaging 2022"/>
    <s v="Tim"/>
    <m/>
    <s v="N/A"/>
    <s v="LCM"/>
    <s v="SOURCING"/>
    <s v="Mechanical Parts &amp; Assemblies"/>
    <s v="GB"/>
    <x v="2"/>
    <s v="IL1"/>
    <n v="0.9"/>
    <x v="86"/>
    <s v="India"/>
    <s v="SYSTEUR"/>
    <x v="0"/>
    <s v="Yogesh.Shelgaonkar@philips.com"/>
    <x v="3"/>
    <m/>
  </r>
  <r>
    <s v="IGM7"/>
    <s v="Tjisse"/>
    <s v="Update BT9 artwork for ANZ with the new EU9 Kondo artwork (BT9810/15), both top and bottom artwork parts"/>
    <s v="Tim"/>
    <m/>
    <s v="TCO"/>
    <s v="LCM"/>
    <s v="TCO"/>
    <s v="Personal Health"/>
    <s v="GB"/>
    <x v="2"/>
    <s v="IL5"/>
    <n v="0.1"/>
    <x v="86"/>
    <s v="India"/>
    <s v="SYSTEUR"/>
    <x v="0"/>
    <s v="Yogesh.Shelgaonkar@philips.com"/>
    <x v="3"/>
    <m/>
  </r>
  <r>
    <s v="TPDLM8"/>
    <s v="Tjisse"/>
    <s v="XXXXX:PH LCM Packaging 2022"/>
    <s v="Tim"/>
    <m/>
    <s v="N/A"/>
    <s v="LCM"/>
    <s v="SOURCING"/>
    <s v="Mechanical Parts &amp; Assemblies"/>
    <s v="GB"/>
    <x v="2"/>
    <s v="IL1"/>
    <n v="1"/>
    <x v="87"/>
    <s v="India"/>
    <s v="SYSTEUR"/>
    <x v="1"/>
    <s v="Yogesh.Shelgaonkar@philips.com"/>
    <x v="3"/>
    <m/>
  </r>
  <r>
    <s v="CR174438"/>
    <s v="Saurabh Agarwal"/>
    <s v="China WPT Project"/>
    <s v="Tim"/>
    <m/>
    <s v="N/A"/>
    <s v="LCM"/>
    <s v="SOURCING"/>
    <s v="Personal Health"/>
    <s v="OHC"/>
    <x v="2"/>
    <s v="IL2"/>
    <n v="0.28000000000000003"/>
    <x v="88"/>
    <s v="India"/>
    <s v="SYSTEUR"/>
    <x v="1"/>
    <s v="AmolRavindra.Balkawade@philips.com"/>
    <x v="3"/>
    <m/>
  </r>
  <r>
    <s v="CR155250"/>
    <s v="Saurabh Agarwal"/>
    <s v="T - Label Addition Older Version Milan TC"/>
    <s v="Tim"/>
    <m/>
    <s v="N/A"/>
    <s v="LCM"/>
    <s v="SOURCING"/>
    <s v="Mechanical Parts &amp; Assemblies"/>
    <s v="OHC"/>
    <x v="2"/>
    <s v="IL3"/>
    <n v="0.17"/>
    <x v="88"/>
    <s v="India"/>
    <s v="SYSTEUR"/>
    <x v="1"/>
    <s v="AmolRavindra.Balkawade@philips.com"/>
    <x v="3"/>
    <m/>
  </r>
  <r>
    <s v="CR116508"/>
    <s v="Saurabh Agarwal"/>
    <s v="Cairo non-charging &amp; Charging travel case for the Cairo 1 &amp; 2 propositions"/>
    <s v="Tim"/>
    <m/>
    <s v="PROCUREMENT"/>
    <s v="LCM"/>
    <s v="SOURCING"/>
    <s v="Mechanical Parts &amp; Assemblies"/>
    <s v="OHC"/>
    <x v="2"/>
    <s v="IL3"/>
    <n v="0.55000000000000004"/>
    <x v="88"/>
    <s v="India"/>
    <s v="SYSTEUR"/>
    <x v="1"/>
    <s v="AmolRavindra.Balkawade@philips.com"/>
    <x v="3"/>
    <m/>
  </r>
  <r>
    <n v="23596"/>
    <s v="Saurabh Agarwal"/>
    <s v="Zoom Lamp -- Shift supplier of PCBA from MSD to Preferred"/>
    <s v="Tim"/>
    <m/>
    <s v="PROCUREMENT"/>
    <s v="PRODUCTIVITY"/>
    <s v="SOURCING"/>
    <s v="Key Components &amp; Electronics"/>
    <s v="OHC"/>
    <x v="2"/>
    <s v="IL3"/>
    <n v="1"/>
    <x v="89"/>
    <s v="India"/>
    <s v="SYSTEUR"/>
    <x v="0"/>
    <s v="AmolRavindra.Balkawade@philips.com"/>
    <x v="3"/>
    <m/>
  </r>
  <r>
    <n v="33899"/>
    <s v="Saurabh Agarwal"/>
    <s v="Osaka PCBA dual source for H&amp;T"/>
    <s v="Tim"/>
    <m/>
    <s v="PROCUREMENT"/>
    <s v="PRODUCTIVITY"/>
    <s v="SOURCING"/>
    <s v="Key Components &amp; Electronics"/>
    <s v="OHC"/>
    <x v="2"/>
    <s v="IL3"/>
    <n v="0.7"/>
    <x v="90"/>
    <s v="India"/>
    <s v="SYSTEUR"/>
    <x v="1"/>
    <s v="Neeraj.Chhabra@philips.com"/>
    <x v="3"/>
    <m/>
  </r>
  <r>
    <n v="36009"/>
    <s v="Saurabh Agarwal"/>
    <s v="Osaka/Darwin Light Ring Removal, replace Funnel#31100"/>
    <s v="Tim"/>
    <m/>
    <s v="TCO"/>
    <s v="PRODUCTIVITY"/>
    <s v="CONCEPT"/>
    <s v="Mechanical Parts &amp; Assemblies"/>
    <s v="OHC"/>
    <x v="2"/>
    <s v="IL3"/>
    <n v="0.1"/>
    <x v="90"/>
    <s v="India"/>
    <s v="SYSTEUR"/>
    <x v="1"/>
    <s v="Neeraj.Chhabra@philips.com"/>
    <x v="3"/>
    <m/>
  </r>
  <r>
    <n v="33320"/>
    <s v="Saurabh Agarwal"/>
    <s v="The project is about creating alternate source (ACE) for Osaka housing assembly because of supply constraints at TK Mold"/>
    <s v="Tim"/>
    <m/>
    <s v="PROCUREMENT"/>
    <s v="AOS"/>
    <s v="CONCEPT"/>
    <s v="Mechanical Parts &amp; Assemblies"/>
    <s v="OHC"/>
    <x v="2"/>
    <s v="IL5"/>
    <n v="0.2"/>
    <x v="90"/>
    <s v="India"/>
    <s v="SYSTEUR"/>
    <x v="1"/>
    <s v="Neeraj.Chhabra@philips.com"/>
    <x v="3"/>
    <m/>
  </r>
  <r>
    <n v="33805"/>
    <s v="Saurabh Agarwal"/>
    <s v="Cold Form Triton Drivetrain Shaft -BAT"/>
    <s v="Tim"/>
    <m/>
    <s v="PROCUREMENT"/>
    <s v="PRODUCTIVITY"/>
    <s v="CONCEPT"/>
    <s v="Mechanical Parts &amp; Assemblies"/>
    <s v="OHC"/>
    <x v="2"/>
    <s v="IL3"/>
    <n v="0.1"/>
    <x v="91"/>
    <s v="India"/>
    <s v="SYSTEUR"/>
    <x v="0"/>
    <s v="Neeraj.Chhabra@philips.com"/>
    <x v="1"/>
    <m/>
  </r>
  <r>
    <n v="34734"/>
    <s v="Saurabh Agarwal"/>
    <s v="change paint supplier of Shanghai &amp; Osaka from Finia to ACE/Ruihong"/>
    <s v="Tim"/>
    <m/>
    <s v="PROCUREMENT"/>
    <s v="PRODUCTIVITY"/>
    <s v="SOURCING"/>
    <s v="Mechanical Parts &amp; Assemblies"/>
    <s v="OHC"/>
    <x v="2"/>
    <s v="IL1"/>
    <n v="0.3"/>
    <x v="91"/>
    <s v="India"/>
    <s v="SYSTEUR"/>
    <x v="0"/>
    <s v="Neeraj.Chhabra@philips.com"/>
    <x v="1"/>
    <m/>
  </r>
  <r>
    <n v="33538"/>
    <s v="Saurabh Agarwal"/>
    <s v="Nebraska at Flex in EU"/>
    <s v="Tim"/>
    <m/>
    <s v="PROCUREMENT"/>
    <s v="PRODUCTIVITY"/>
    <s v="CONCEPT"/>
    <s v="Personal Health"/>
    <s v="OHC"/>
    <x v="2"/>
    <s v="IL3"/>
    <n v="0.4"/>
    <x v="92"/>
    <s v="India"/>
    <s v="SYSTEUR"/>
    <x v="0"/>
    <s v="Neeraj.Chhabra@philips.com"/>
    <x v="3"/>
    <m/>
  </r>
  <r>
    <n v="29650"/>
    <s v="Saurabh Agarwal"/>
    <s v="Syrma- Automatic Visual Inspection Equipment"/>
    <s v="Nishant"/>
    <m/>
    <s v="PROCUREMENT"/>
    <s v="PRODUCTIVITY"/>
    <s v="CONCEPT"/>
    <s v="Key Components &amp; Electronics"/>
    <s v="OHC"/>
    <x v="2"/>
    <s v="IL3"/>
    <n v="0.1"/>
    <x v="92"/>
    <s v="India"/>
    <s v="SYSTEUR"/>
    <x v="0"/>
    <s v="Neeraj.Chhabra@philips.com"/>
    <x v="3"/>
    <m/>
  </r>
  <r>
    <s v="CR113027"/>
    <s v="Saurabh Agarwal"/>
    <s v="PET roll alternate supplier"/>
    <s v="Tim"/>
    <m/>
    <s v="PROCUREMENT"/>
    <s v="AOS"/>
    <s v="SOURCING"/>
    <s v="Mechanical Parts &amp; Assemblies"/>
    <s v="OHC"/>
    <x v="2"/>
    <s v="IL3"/>
    <n v="0.1"/>
    <x v="91"/>
    <s v="India"/>
    <s v="SYSTEUR"/>
    <x v="0"/>
    <s v="Neeraj.Chhabra@philips.com"/>
    <x v="1"/>
    <m/>
  </r>
  <r>
    <n v="35182"/>
    <s v="Saurabh Agarwal"/>
    <s v="Triton DT PZH in-sourcing"/>
    <s v="Tim"/>
    <m/>
    <s v="PROCUREMENT"/>
    <s v="PRODUCTIVITY"/>
    <s v="SOURCING"/>
    <s v="Mechanical Parts &amp; Assemblies"/>
    <s v="OHC"/>
    <x v="2"/>
    <s v="IL3"/>
    <n v="0.5"/>
    <x v="91"/>
    <s v="India"/>
    <s v="SYSTEUR"/>
    <x v="0"/>
    <s v="Neeraj.Chhabra@philips.com"/>
    <x v="1"/>
    <m/>
  </r>
  <r>
    <n v="26346"/>
    <s v="Saurabh Agarwal"/>
    <s v="SUP20-other Shanghai travel cases. Remove PU leather on both versions, integrated cable &amp; cover on charging version."/>
    <s v="Tim"/>
    <m/>
    <s v="PROCUREMENT"/>
    <s v="PRODUCTIVITY"/>
    <s v="CONCEPT"/>
    <s v="Key Components &amp; Electronics"/>
    <s v="OHC"/>
    <x v="2"/>
    <s v="IL3"/>
    <n v="0.5"/>
    <x v="92"/>
    <s v="India"/>
    <s v="SYSTEUR"/>
    <x v="0"/>
    <s v="Neeraj.Chhabra@philips.com"/>
    <x v="3"/>
    <m/>
  </r>
  <r>
    <s v="TPDLM8"/>
    <s v="Tjisse"/>
    <s v="XXXXX:PH LCM Packaging 2022"/>
    <s v="Tim"/>
    <m/>
    <s v="N/A"/>
    <s v="LCM"/>
    <s v="SOURCING"/>
    <s v="Mechanical Parts &amp; Assemblies"/>
    <s v="GB"/>
    <x v="2"/>
    <s v="IL1"/>
    <n v="1"/>
    <x v="93"/>
    <s v="India"/>
    <s v="SYSTEUR"/>
    <x v="0"/>
    <s v="Yogesh.Shelgaonkar@philips.com"/>
    <x v="3"/>
    <m/>
  </r>
  <r>
    <n v="37518"/>
    <s v="Fred Cai"/>
    <s v="Hawk Hardware LCC"/>
    <s v="Phil"/>
    <m/>
    <s v="PROCUREMENT"/>
    <s v="PRODUCTIVITY"/>
    <s v="SOURCING"/>
    <s v="Mechanical Parts &amp; Assemblies"/>
    <s v="CT/AMI"/>
    <x v="0"/>
    <s v="IL3"/>
    <n v="0.2"/>
    <x v="94"/>
    <s v="China"/>
    <s v="SYSTEUR"/>
    <x v="0"/>
    <s v="sam.zhao@philips.com"/>
    <x v="0"/>
    <m/>
  </r>
  <r>
    <n v="34408"/>
    <s v="Sha Sha"/>
    <s v="BB/Hawk/Taichi H-Phantom transfer (CTI to Joho)"/>
    <s v="Phil"/>
    <m/>
    <s v="PROCUREMENT"/>
    <s v="PRODUCTIVITY"/>
    <s v="SOURCING"/>
    <s v="Mechanical Parts &amp; Assemblies"/>
    <s v="CT/AMI"/>
    <x v="0"/>
    <s v="IL3"/>
    <n v="0.6"/>
    <x v="95"/>
    <s v="China"/>
    <s v="SYSTEUR"/>
    <x v="0"/>
    <s v="sam.zhao@philips.com"/>
    <x v="0"/>
    <m/>
  </r>
  <r>
    <n v="34708"/>
    <s v="Adrianna Davis"/>
    <s v="Multiva FRU coils : package localization"/>
    <s v="Phil"/>
    <m/>
    <s v="PROCUREMENT"/>
    <s v="PRODUCTIVITY"/>
    <s v="SOURCING"/>
    <s v="Mechanical Parts &amp; Assemblies"/>
    <s v="MR"/>
    <x v="0"/>
    <s v="IL3"/>
    <n v="0.1"/>
    <x v="96"/>
    <s v="China"/>
    <s v="SYSTEUR"/>
    <x v="0"/>
    <s v="sam.zhao@philips.com"/>
    <x v="0"/>
    <m/>
  </r>
  <r>
    <s v="CR065302"/>
    <s v="Saurabh Agarwal"/>
    <s v="Ontario line qual"/>
    <s v="Tim"/>
    <m/>
    <s v="N/A"/>
    <s v="LCM"/>
    <s v="SOURCING"/>
    <s v="Key Components &amp; Electronics"/>
    <s v="OHC"/>
    <x v="2"/>
    <s v="IL2"/>
    <n v="0.4"/>
    <x v="97"/>
    <s v="India"/>
    <s v="SYSTEUR"/>
    <x v="1"/>
    <s v="Neeraj.Chhabra@philips.com"/>
    <x v="3"/>
    <m/>
  </r>
  <r>
    <s v="CAPA1942229"/>
    <s v="Saurabh Agarwal"/>
    <s v="Darwin slim travel case CAPA"/>
    <s v="Tim"/>
    <m/>
    <s v="N/A"/>
    <s v="LCM"/>
    <s v="CONCEPT"/>
    <s v="Personal Health"/>
    <s v="OHC"/>
    <x v="2"/>
    <s v="IL3"/>
    <n v="0.35"/>
    <x v="97"/>
    <s v="India"/>
    <s v="SYSTEUR"/>
    <x v="1"/>
    <s v="Neeraj.Chhabra@philips.com"/>
    <x v="3"/>
    <m/>
  </r>
  <r>
    <s v="CR164167"/>
    <s v="Saurabh Agarwal"/>
    <s v="Keto+"/>
    <s v="Tim"/>
    <m/>
    <s v="N/A"/>
    <s v="LCM"/>
    <s v="SOURCING"/>
    <s v="Personal Health"/>
    <s v="OHC"/>
    <x v="2"/>
    <s v="IL1"/>
    <n v="0.25"/>
    <x v="97"/>
    <s v="India"/>
    <s v="SYSTEUR"/>
    <x v="1"/>
    <s v="Neeraj.Chhabra@philips.com"/>
    <x v="3"/>
    <m/>
  </r>
  <r>
    <n v="36760"/>
    <s v="JJ Chen"/>
    <s v="Oring supplier changes from Green Rubber to BDI"/>
    <s v="Phil"/>
    <m/>
    <s v="PROCUREMENT"/>
    <s v="PRODUCTIVITY"/>
    <s v="SOURCING"/>
    <s v="Mechanical Parts &amp; Assemblies"/>
    <s v="EC"/>
    <x v="1"/>
    <s v="IL3"/>
    <n v="0.2"/>
    <x v="98"/>
    <s v="China"/>
    <s v="SYSTEUR"/>
    <x v="0"/>
    <s v="sam.zhao@philips.com"/>
    <x v="0"/>
    <m/>
  </r>
  <r>
    <n v="37900"/>
    <s v="JJ Chen"/>
    <s v="BD- L-arc China supply base (unit price reduction)"/>
    <s v="Phil"/>
    <m/>
    <s v="PROCUREMENT"/>
    <s v="PRODUCTIVITY"/>
    <s v="SOURCING"/>
    <s v="Mechanical Parts &amp; Assemblies"/>
    <s v="IGT-S"/>
    <x v="3"/>
    <s v="IL2"/>
    <n v="1"/>
    <x v="99"/>
    <s v="China"/>
    <s v="SYSTEUR"/>
    <x v="0"/>
    <s v="sam.zhao@philips.com"/>
    <x v="0"/>
    <m/>
  </r>
  <r>
    <s v="TPDLM8"/>
    <s v="Tjisse"/>
    <s v="XXXXX:PH LCM Packaging 2022"/>
    <s v="Tim"/>
    <m/>
    <s v="N/A"/>
    <s v="LCM"/>
    <s v="SOURCING"/>
    <s v="Mechanical Parts &amp; Assemblies"/>
    <s v="GB"/>
    <x v="2"/>
    <s v="IL1"/>
    <n v="1"/>
    <x v="100"/>
    <s v="India"/>
    <s v="SYSTEUR"/>
    <x v="0"/>
    <s v="Yogesh.Shelgaonkar@philips.com"/>
    <x v="3"/>
    <m/>
  </r>
  <r>
    <s v="TPDLM8"/>
    <s v="Tjisse"/>
    <s v="XXXXX:PH LCM Packaging 2022"/>
    <s v="Tim"/>
    <m/>
    <s v="N/A"/>
    <s v="LCM"/>
    <s v="SOURCING"/>
    <s v="Mechanical Parts &amp; Assemblies"/>
    <s v="GB"/>
    <x v="2"/>
    <s v="IL1"/>
    <n v="1"/>
    <x v="101"/>
    <s v="India"/>
    <s v="SYSTEUR"/>
    <x v="0"/>
    <s v="Yogesh.Shelgaonkar@philips.com"/>
    <x v="3"/>
    <m/>
  </r>
  <r>
    <s v="TPDLM6"/>
    <s v="Tjisse"/>
    <s v="XXXXX:PH LCM Mechanical 2022"/>
    <s v="Tim"/>
    <m/>
    <s v="N/A"/>
    <s v="LCM"/>
    <s v="SOURCING"/>
    <s v="Mechanical Parts &amp; Assemblies"/>
    <s v="GB"/>
    <x v="2"/>
    <s v="IL1"/>
    <n v="1"/>
    <x v="102"/>
    <s v="India"/>
    <s v="SYSTEUR"/>
    <x v="0"/>
    <s v="Siddarth.Shetty@philips.com"/>
    <x v="1"/>
    <m/>
  </r>
  <r>
    <s v="TPDLM6"/>
    <s v="Tjisse"/>
    <s v="XXXXX:PH LCM Mechanical 2022"/>
    <s v="Tim"/>
    <m/>
    <s v="N/A"/>
    <s v="LCM"/>
    <s v="SOURCING"/>
    <s v="Mechanical Parts &amp; Assemblies"/>
    <s v="GB"/>
    <x v="2"/>
    <s v="IL1"/>
    <n v="1"/>
    <x v="103"/>
    <s v="India"/>
    <s v="SYSTEUR"/>
    <x v="0"/>
    <s v="Yogesh.Shelgaonkar@philips.com"/>
    <x v="3"/>
    <m/>
  </r>
  <r>
    <s v="TPDLM6"/>
    <s v="Tjisse"/>
    <s v="XXXXX:PH LCM Mechanical 2022"/>
    <s v="Tim"/>
    <m/>
    <s v="N/A"/>
    <s v="LCM"/>
    <s v="SOURCING"/>
    <s v="Mechanical Parts &amp; Assemblies"/>
    <s v="GB"/>
    <x v="2"/>
    <s v="IL1"/>
    <n v="1"/>
    <x v="104"/>
    <s v="India"/>
    <s v="SYSTEUR"/>
    <x v="0"/>
    <s v="Yogesh.Shelgaonkar@philips.com"/>
    <x v="3"/>
    <m/>
  </r>
  <r>
    <s v="PDTEAM100"/>
    <s v="Phil Jenkins"/>
    <s v="Jabil Exit"/>
    <s v="Phil"/>
    <m/>
    <s v="PROCUREMENT"/>
    <s v="PRODUCTIVITY"/>
    <s v="SOURCING"/>
    <s v="All"/>
    <s v="MR"/>
    <x v="0"/>
    <s v="IL3"/>
    <n v="0.4"/>
    <x v="105"/>
    <s v="USA"/>
    <s v="SYSTEUR"/>
    <x v="0"/>
    <s v="philip.jenkins@philips.com"/>
    <x v="0"/>
    <m/>
  </r>
  <r>
    <n v="33843"/>
    <s v="Saurabh Agarwal"/>
    <s v="Develop alternative source to Nitto vent for end plugs  (Dual sources will be promotion - IPRO vent ..."/>
    <s v="Tim"/>
    <m/>
    <s v="PROCUREMENT"/>
    <s v="PRODUCTIVITY"/>
    <s v="SOURCING"/>
    <s v="Mechanical Parts &amp; Assemblies"/>
    <s v="OHC"/>
    <x v="2"/>
    <s v="IL3"/>
    <n v="0.1"/>
    <x v="106"/>
    <s v="India"/>
    <s v="SYSTEUR"/>
    <x v="0"/>
    <s v="saurabhk.khedkar@philips.com"/>
    <x v="3"/>
    <m/>
  </r>
  <r>
    <n v="32194"/>
    <s v="Vijayanand Purushothaman"/>
    <s v="Transfer Midwest parts to LCC"/>
    <s v="Dan"/>
    <m/>
    <s v="PROCUREMENT"/>
    <s v="PRODUCTIVITY"/>
    <s v="SOURCING"/>
    <s v="Mechanical Parts &amp; Assemblies"/>
    <s v="MR"/>
    <x v="0"/>
    <s v="IL1"/>
    <n v="0.1"/>
    <x v="107"/>
    <s v="India"/>
    <s v="SYSTEUR"/>
    <x v="0"/>
    <s v="Siddarth.Shetty@philips.com"/>
    <x v="1"/>
    <m/>
  </r>
  <r>
    <s v="LCM9"/>
    <s v="Vijayanand Purushothaman"/>
    <s v="XXXXX : MR LCM Support"/>
    <s v="Dan"/>
    <m/>
    <s v="N/A"/>
    <s v="LCM"/>
    <s v="SOURCING"/>
    <s v="Mechanical Parts &amp; Assemblies"/>
    <s v="MR"/>
    <x v="0"/>
    <s v="IL1"/>
    <n v="0.9"/>
    <x v="107"/>
    <s v="India"/>
    <s v="SYSTEUR"/>
    <x v="0"/>
    <s v="Siddarth.Shetty@philips.com"/>
    <x v="1"/>
    <m/>
  </r>
  <r>
    <s v="CR158171"/>
    <s v="Saurabh Agarwal"/>
    <s v="To Qualify Alt Battery Tab for Sydney/Hobart"/>
    <s v="Tim"/>
    <m/>
    <s v="PROCUREMENT"/>
    <s v="AOS"/>
    <s v="SOURCING"/>
    <s v="Mechanical Parts &amp; Assemblies"/>
    <s v="OHC"/>
    <x v="2"/>
    <s v="IL3"/>
    <n v="0.2"/>
    <x v="108"/>
    <s v="India"/>
    <s v="SYSTEUR"/>
    <x v="0"/>
    <s v="saurabhk.khedkar@philips.com"/>
    <x v="3"/>
    <m/>
  </r>
  <r>
    <n v="33899"/>
    <s v="Saurabh Agarwal"/>
    <s v="Osaka PCBA dual source for H&amp;T"/>
    <s v="Tim"/>
    <m/>
    <s v="PROCUREMENT"/>
    <s v="PRODUCTIVITY"/>
    <s v="SOURCING"/>
    <s v="Key Components &amp; Electronics"/>
    <s v="OHC"/>
    <x v="2"/>
    <s v="IL3"/>
    <n v="0.4"/>
    <x v="108"/>
    <s v="India"/>
    <s v="SYSTEUR"/>
    <x v="0"/>
    <s v="saurabhk.khedkar@philips.com"/>
    <x v="3"/>
    <m/>
  </r>
  <r>
    <s v="CR058919"/>
    <s v="Saurabh Agarwal"/>
    <s v="Cost savings initiative for current D shaped Pin charger."/>
    <s v="Tim"/>
    <m/>
    <s v="PROCUREMENT"/>
    <s v="LCM"/>
    <s v="SOURCING"/>
    <s v="Key Components &amp; Electronics"/>
    <s v="OHC"/>
    <x v="2"/>
    <s v="IL3"/>
    <n v="0.3"/>
    <x v="109"/>
    <s v="India"/>
    <s v="SYSTEUR"/>
    <x v="0"/>
    <s v="saurabhk.khedkar@philips.com"/>
    <x v="3"/>
    <m/>
  </r>
  <r>
    <s v="CR116508"/>
    <s v="Saurabh Agarwal"/>
    <s v="Cairo non-charging &amp; Charging travel case for the Cairo 1 &amp; 2 propositions"/>
    <s v="Tim"/>
    <m/>
    <s v="PROCUREMENT"/>
    <s v="LCM"/>
    <s v="SOURCING"/>
    <s v="Mechanical Parts &amp; Assemblies"/>
    <s v="OHC"/>
    <x v="2"/>
    <s v="IL3"/>
    <n v="0.5"/>
    <x v="109"/>
    <s v="India"/>
    <s v="SYSTEUR"/>
    <x v="0"/>
    <s v="saurabhk.khedkar@philips.com"/>
    <x v="3"/>
    <m/>
  </r>
  <r>
    <s v="CR158171"/>
    <s v="Saurabh Agarwal"/>
    <s v="To Qualify Alt Battery Tab for Sydney/Hobart"/>
    <s v="Tim"/>
    <m/>
    <s v="PROCUREMENT"/>
    <s v="AOS"/>
    <s v="SOURCING"/>
    <s v="Mechanical Parts &amp; Assemblies"/>
    <s v="OHC"/>
    <x v="2"/>
    <s v="IL3"/>
    <n v="0.2"/>
    <x v="110"/>
    <s v="India"/>
    <s v="SYSTEUR"/>
    <x v="0"/>
    <s v="alec.benton@philips.com"/>
    <x v="3"/>
    <m/>
  </r>
  <r>
    <s v="CR053346"/>
    <s v="Saurabh Agarwal"/>
    <s v="Qualification of BFR free resin for EE bridge across all PTB range to ensure transition before extension expiration in October this year"/>
    <s v="Tim"/>
    <m/>
    <s v="N/A"/>
    <s v="AOS"/>
    <s v="SOURCING"/>
    <s v="Mechanical Parts &amp; Assemblies"/>
    <s v="OHC"/>
    <x v="2"/>
    <s v="IL3"/>
    <n v="0.1"/>
    <x v="110"/>
    <s v="India"/>
    <s v="SYSTEUR"/>
    <x v="0"/>
    <s v="alec.benton@philips.com"/>
    <x v="3"/>
    <m/>
  </r>
  <r>
    <s v="CR116508"/>
    <s v="Saurabh Agarwal"/>
    <s v="Cairo non-charging &amp; Charging travel case for the Cairo 1 &amp; 2 propositions"/>
    <s v="Tim"/>
    <m/>
    <s v="PROCUREMENT"/>
    <s v="LCM"/>
    <s v="SOURCING"/>
    <s v="Mechanical Parts &amp; Assemblies"/>
    <s v="OHC"/>
    <x v="2"/>
    <s v="IL3"/>
    <n v="0.2"/>
    <x v="110"/>
    <s v="India"/>
    <s v="SYSTEUR"/>
    <x v="0"/>
    <s v="alec.benton@philips.com"/>
    <x v="3"/>
    <m/>
  </r>
  <r>
    <n v="33899"/>
    <s v="Saurabh Agarwal"/>
    <s v="Osaka PCBA dual source for H&amp;T"/>
    <s v="Tim"/>
    <m/>
    <s v="PROCUREMENT"/>
    <s v="PRODUCTIVITY"/>
    <s v="SOURCING"/>
    <s v="Key Components &amp; Electronics"/>
    <s v="OHC"/>
    <x v="2"/>
    <s v="IL3"/>
    <n v="0.1"/>
    <x v="110"/>
    <s v="India"/>
    <s v="SYSTEUR"/>
    <x v="0"/>
    <s v="alec.benton@philips.com"/>
    <x v="3"/>
    <m/>
  </r>
  <r>
    <s v="TPDLM11"/>
    <s v="Tjisse"/>
    <s v="PDLM Phoenix 1.0"/>
    <s v="Tim"/>
    <m/>
    <s v="N/A"/>
    <s v="NPI"/>
    <s v="CONCEPT"/>
    <s v="Personal Health"/>
    <s v="GB"/>
    <x v="2"/>
    <s v="IL3"/>
    <n v="0.5"/>
    <x v="111"/>
    <s v="India"/>
    <s v="SYSTEUR"/>
    <x v="1"/>
    <s v="Adarsh.Shrivastava@philips.com"/>
    <x v="1"/>
    <m/>
  </r>
  <r>
    <s v="TPDLM21"/>
    <s v="Sushruth"/>
    <s v="PDLM Xenon"/>
    <s v="Tim"/>
    <m/>
    <s v="N/A"/>
    <s v="NPI"/>
    <s v="CONCEPT"/>
    <s v="Personal Health"/>
    <s v="GB"/>
    <x v="2"/>
    <s v="IL3"/>
    <n v="1"/>
    <x v="112"/>
    <s v="India"/>
    <s v="SYSTEUR"/>
    <x v="1"/>
    <s v="Adarsh.Shrivastava@philips.com"/>
    <x v="3"/>
    <m/>
  </r>
  <r>
    <n v="23928"/>
    <s v="Fabian Bartel"/>
    <s v="Project Mammoth-P1 CEB and Detune boards"/>
    <s v="Phil"/>
    <m/>
    <s v="PROCUREMENT"/>
    <s v="LCM"/>
    <s v="SOURCING"/>
    <s v="Key Components &amp; Electronics"/>
    <s v="MR"/>
    <x v="0"/>
    <s v="IL3"/>
    <n v="0.7"/>
    <x v="113"/>
    <s v="Netherlands"/>
    <s v="SYSTEUR"/>
    <x v="0"/>
    <s v="philip.jenkins@philips.com"/>
    <x v="0"/>
    <m/>
  </r>
  <r>
    <s v="PDTEAM52"/>
    <s v="Fabian Bartel"/>
    <s v="ERIC2 Project - Multi-Nuclei robustness improvement of 3T Posterior coil"/>
    <s v="Phil"/>
    <m/>
    <s v="PROCUREMENT"/>
    <s v="PRODUCTIVITY"/>
    <s v="SOURCING"/>
    <s v="Medical ODM Markets"/>
    <s v="MR"/>
    <x v="0"/>
    <s v="IL3"/>
    <n v="0.3"/>
    <x v="113"/>
    <s v="Netherlands"/>
    <s v="SYSTEUR"/>
    <x v="0"/>
    <s v="philip.jenkins@philips.com"/>
    <x v="0"/>
    <m/>
  </r>
  <r>
    <n v="35182"/>
    <s v="Saurabh Agarwal"/>
    <s v="Triton DT PZH in-sourcing"/>
    <s v="Tim"/>
    <m/>
    <s v="PROCUREMENT"/>
    <s v="PRODUCTIVITY"/>
    <s v="SOURCING"/>
    <s v="Mechanical Parts &amp; Assemblies"/>
    <s v="OHC"/>
    <x v="2"/>
    <s v="IL3"/>
    <n v="0.5"/>
    <x v="114"/>
    <s v="India"/>
    <s v="SYSTEUR"/>
    <x v="0"/>
    <s v="muppidisamatha.reddy@philips.com"/>
    <x v="3"/>
    <m/>
  </r>
  <r>
    <n v="33805"/>
    <s v="Saurabh Agarwal"/>
    <s v="Cold Form Triton Drivetrain Shaft -BAT"/>
    <s v="Tim"/>
    <m/>
    <s v="PROCUREMENT"/>
    <s v="PRODUCTIVITY"/>
    <s v="CONCEPT"/>
    <s v="Mechanical Parts &amp; Assemblies"/>
    <s v="OHC"/>
    <x v="2"/>
    <s v="IL3"/>
    <n v="0.1"/>
    <x v="114"/>
    <s v="India"/>
    <s v="SYSTEUR"/>
    <x v="0"/>
    <s v="muppidisamatha.reddy@philips.com"/>
    <x v="3"/>
    <m/>
  </r>
  <r>
    <n v="36545"/>
    <s v="Saurabh Agarwal"/>
    <s v="SYDNEY 2ND SOURCE TI MCU"/>
    <s v="Tim"/>
    <m/>
    <s v="PROCUREMENT"/>
    <s v="PRODUCTIVITY"/>
    <s v="CONCEPT"/>
    <s v="Key Components &amp; Electronics"/>
    <s v="OHC"/>
    <x v="2"/>
    <s v="IL2"/>
    <n v="0.3"/>
    <x v="114"/>
    <s v="India"/>
    <s v="SYSTEUR"/>
    <x v="0"/>
    <s v="muppidisamatha.reddy@philips.com"/>
    <x v="3"/>
    <m/>
  </r>
  <r>
    <n v="33899"/>
    <s v="Saurabh Agarwal"/>
    <s v="Osaka PCBA dual source for H&amp;T"/>
    <s v="Tim"/>
    <m/>
    <s v="PROCUREMENT"/>
    <s v="PRODUCTIVITY"/>
    <s v="SOURCING"/>
    <s v="Key Components &amp; Electronics"/>
    <s v="OHC"/>
    <x v="2"/>
    <s v="IL3"/>
    <n v="0.1"/>
    <x v="114"/>
    <s v="India"/>
    <s v="SYSTEUR"/>
    <x v="0"/>
    <s v="muppidisamatha.reddy@philips.com"/>
    <x v="3"/>
    <m/>
  </r>
  <r>
    <s v="CR174438"/>
    <s v="Saurabh Agarwal"/>
    <s v="China WPT Project"/>
    <s v="Tim"/>
    <m/>
    <s v="N/A"/>
    <s v="LCM"/>
    <s v="SOURCING"/>
    <s v="Personal Health"/>
    <s v="OHC"/>
    <x v="2"/>
    <s v="IL2"/>
    <n v="0.4"/>
    <x v="115"/>
    <s v="India"/>
    <s v="SYSTEUR"/>
    <x v="0"/>
    <s v="muppidisamatha.reddy@philips.com"/>
    <x v="3"/>
    <m/>
  </r>
  <r>
    <s v="CR116508"/>
    <s v="Saurabh Agarwal"/>
    <s v="Cairo non-charging &amp; Charging travel case for the Cairo 1 &amp; 2 propositions"/>
    <s v="Tim"/>
    <m/>
    <s v="PROCUREMENT"/>
    <s v="LCM"/>
    <s v="SOURCING"/>
    <s v="Mechanical Parts &amp; Assemblies"/>
    <s v="OHC"/>
    <x v="2"/>
    <s v="IL3"/>
    <n v="0.4"/>
    <x v="115"/>
    <s v="India"/>
    <s v="SYSTEUR"/>
    <x v="0"/>
    <s v="muppidisamatha.reddy@philips.com"/>
    <x v="3"/>
    <m/>
  </r>
  <r>
    <s v="CR052511"/>
    <s v="Saurabh Agarwal"/>
    <s v="CR052511, CR-18-0381-Development, qualification and release to production of automated assembly operations at Philips Ontario for Inertia rings, E0091 PH_OHC_OHC_BTH, A"/>
    <s v="Tim"/>
    <m/>
    <s v="N/A"/>
    <s v="LCM"/>
    <s v="SOURCING"/>
    <s v="Mechanical Parts &amp; Assemblies"/>
    <s v="OHC"/>
    <x v="2"/>
    <s v="IL3"/>
    <n v="0.18"/>
    <x v="115"/>
    <s v="India"/>
    <s v="SYSTEUR"/>
    <x v="0"/>
    <s v="muppidisamatha.reddy@philips.com"/>
    <x v="3"/>
    <m/>
  </r>
  <r>
    <n v="23596"/>
    <s v="Saurabh Agarwal"/>
    <s v="Zoom Lamp -- Shift supplier of PCBA from MSD to Preferred"/>
    <s v="Tim"/>
    <m/>
    <s v="PROCUREMENT"/>
    <s v="PRODUCTIVITY"/>
    <s v="SOURCING"/>
    <s v="Key Components &amp; Electronics"/>
    <s v="OHC"/>
    <x v="2"/>
    <s v="IL3"/>
    <n v="0.02"/>
    <x v="115"/>
    <s v="India"/>
    <s v="SYSTEUR"/>
    <x v="0"/>
    <s v="muppidisamatha.reddy@philips.com"/>
    <x v="3"/>
    <m/>
  </r>
  <r>
    <n v="32418"/>
    <s v="Vijayanand Purushothaman"/>
    <s v="Localization of IFU &amp; Labels (Wave 4 onwards"/>
    <s v="Dan"/>
    <m/>
    <s v="PROCUREMENT"/>
    <s v="PRODUCTIVITY"/>
    <s v="SOURCING"/>
    <s v="Mechanical Parts &amp; Assemblies"/>
    <s v="MR"/>
    <x v="0"/>
    <s v="IL3"/>
    <n v="1"/>
    <x v="116"/>
    <s v="India"/>
    <s v="SYSTEUR"/>
    <x v="0"/>
    <s v="Ishan.Gupta@philips.com"/>
    <x v="1"/>
    <m/>
  </r>
  <r>
    <n v="34935"/>
    <s v="Noah H."/>
    <s v="H321 Standardized crate for airfreight of 1.5T/3T magnets with re-use for transporting systems to customer"/>
    <s v="Phil"/>
    <m/>
    <s v="PROCUREMENT"/>
    <s v="PRODUCTIVITY"/>
    <s v="CONCEPT"/>
    <s v="Mechanical Parts &amp; Assemblies"/>
    <s v="MR"/>
    <x v="0"/>
    <s v="IL1"/>
    <n v="0.1"/>
    <x v="117"/>
    <s v="USA"/>
    <s v="SYSTEUR"/>
    <x v="0"/>
    <s v="philip.jenkins@philips.com"/>
    <x v="0"/>
    <m/>
  </r>
  <r>
    <s v="PDTEAM60"/>
    <s v="Noah H."/>
    <s v="Dual source qualification of 4K Coldhead for Latham"/>
    <s v="Phil"/>
    <m/>
    <s v="PROCUREMENT"/>
    <s v="PRODUCTIVITY"/>
    <s v="SOURCING"/>
    <s v="Key Components &amp; Electronics"/>
    <s v="MR"/>
    <x v="0"/>
    <s v="IL1"/>
    <n v="0.6"/>
    <x v="117"/>
    <s v="USA"/>
    <s v="SYSTEUR"/>
    <x v="0"/>
    <s v="philip.jenkins@philips.com"/>
    <x v="0"/>
    <m/>
  </r>
  <r>
    <s v="LCM9"/>
    <s v="Vijayanand Purushothaman"/>
    <s v="XXXXX : MR LCM Support"/>
    <s v="Dan"/>
    <m/>
    <s v="N/A"/>
    <s v="LCM"/>
    <s v="SOURCING"/>
    <s v="Mechanical Parts &amp; Assemblies"/>
    <s v="MR"/>
    <x v="0"/>
    <s v="IL1"/>
    <n v="1"/>
    <x v="118"/>
    <s v="India"/>
    <s v="SYSTEUR"/>
    <x v="0"/>
    <s v="Siddarth.Shetty@philips.com"/>
    <x v="1"/>
    <m/>
  </r>
  <r>
    <s v="MR00253597"/>
    <s v="Vijayanand Purushothaman"/>
    <s v="HFO Coils EOL - LTB Stockout"/>
    <s v="Dan"/>
    <m/>
    <s v="N/A"/>
    <s v="LCM"/>
    <s v="SOURCING"/>
    <s v="Key Components &amp; Electronics"/>
    <s v="MR"/>
    <x v="0"/>
    <s v="IL3"/>
    <n v="0.4"/>
    <x v="119"/>
    <s v="India"/>
    <s v="SYSTEUR"/>
    <x v="0"/>
    <s v="Siddarth.Shetty@philips.com"/>
    <x v="1"/>
    <m/>
  </r>
  <r>
    <s v="MR00248241"/>
    <s v="Vijayanand Purushothaman"/>
    <s v="UIM Redesign"/>
    <s v="Dan"/>
    <m/>
    <s v="N/A"/>
    <s v="LCM"/>
    <s v="SOURCING"/>
    <s v="Key Components &amp; Electronics"/>
    <s v="MR"/>
    <x v="0"/>
    <s v="IL3"/>
    <n v="0.2"/>
    <x v="119"/>
    <s v="India"/>
    <s v="SYSTEUR"/>
    <x v="0"/>
    <s v="Siddarth.Shetty@philips.com"/>
    <x v="1"/>
    <m/>
  </r>
  <r>
    <n v="24552"/>
    <s v="Kiran MR"/>
    <s v="Sanmina Huntsville Resourcing SPS"/>
    <s v="Dan"/>
    <m/>
    <s v="PROCUREMENT"/>
    <s v="PRODUCTIVITY"/>
    <s v="SOURCING"/>
    <s v="Key Components &amp; Electronics"/>
    <s v="CT/AMI"/>
    <x v="0"/>
    <s v="IL3"/>
    <n v="0.4"/>
    <x v="120"/>
    <s v="India"/>
    <s v="SYSTEUR"/>
    <x v="1"/>
    <s v="Vijayanand.Purushothaman@philips.com"/>
    <x v="1"/>
    <m/>
  </r>
  <r>
    <n v="33513"/>
    <s v="Kiran MR"/>
    <s v="Laco Cables Transfer"/>
    <s v="Dan"/>
    <m/>
    <s v="PROCUREMENT"/>
    <s v="PRODUCTIVITY"/>
    <s v="SOURCING"/>
    <s v="Key Components &amp; Electronics"/>
    <s v="CT/AMI"/>
    <x v="0"/>
    <s v="IL3"/>
    <n v="0.2"/>
    <x v="120"/>
    <s v="India"/>
    <s v="SYSTEUR"/>
    <x v="1"/>
    <s v="Vijayanand.Purushothaman@philips.com"/>
    <x v="1"/>
    <m/>
  </r>
  <r>
    <n v="18601"/>
    <s v="Sam Zhao"/>
    <s v="STET:Libra phase out - Plastic &amp; Metal"/>
    <s v="Phil"/>
    <m/>
    <s v="N/A"/>
    <s v="AOS"/>
    <s v="CONCEPT"/>
    <s v="Key Components &amp; Electronics"/>
    <s v="CT/AMI"/>
    <x v="0"/>
    <s v="IL5"/>
    <n v="0.4"/>
    <x v="120"/>
    <s v="India"/>
    <s v="SYSTEUR"/>
    <x v="1"/>
    <s v="Vijayanand.Purushothaman@philips.com"/>
    <x v="1"/>
    <m/>
  </r>
  <r>
    <n v="35567"/>
    <s v="Vijayanand Purushothaman"/>
    <s v="Labels phase 2 (Total) transfer"/>
    <s v="Dan"/>
    <m/>
    <s v="PROCUREMENT"/>
    <s v="PRODUCTIVITY"/>
    <s v="SOURCING"/>
    <s v="Mechanical Parts &amp; Assemblies"/>
    <s v="MR"/>
    <x v="0"/>
    <s v="IL2"/>
    <n v="0.25"/>
    <x v="121"/>
    <s v="India"/>
    <s v="SYSTEUR"/>
    <x v="1"/>
    <s v="Vijayanand.Purushothaman@philips.com"/>
    <x v="1"/>
    <m/>
  </r>
  <r>
    <n v="36634"/>
    <s v="Vijayanand Purushothaman"/>
    <s v="STET : Transfer of MR Coils Molded Technology Parts From HCC to LCC for Pune factory-8 Part"/>
    <s v="Dan"/>
    <m/>
    <s v="PROCUREMENT"/>
    <s v="PRODUCTIVITY"/>
    <s v="SOURCING"/>
    <s v="Mechanical Parts &amp; Assemblies"/>
    <s v="MR"/>
    <x v="0"/>
    <s v="IL3"/>
    <n v="0.2"/>
    <x v="121"/>
    <s v="India"/>
    <s v="SYSTEUR"/>
    <x v="1"/>
    <s v="Vijayanand.Purushothaman@philips.com"/>
    <x v="1"/>
    <m/>
  </r>
  <r>
    <n v="31575"/>
    <s v="Vijayanand Purushothaman"/>
    <s v="Sheet metal &amp; Casting parts localisation from Gainesville supplier base to India."/>
    <s v="Dan"/>
    <m/>
    <s v="PROCUREMENT"/>
    <s v="PRODUCTIVITY"/>
    <s v="SOURCING"/>
    <s v="Mechanical Parts &amp; Assemblies"/>
    <s v="MR"/>
    <x v="0"/>
    <s v="IL0"/>
    <n v="0.1"/>
    <x v="121"/>
    <s v="India"/>
    <s v="SYSTEUR"/>
    <x v="1"/>
    <s v="Vijayanand.Purushothaman@philips.com"/>
    <x v="1"/>
    <m/>
  </r>
  <r>
    <s v="GXRCQ00096652"/>
    <s v="Vijayanand"/>
    <s v="Supplier transfer from HH to supplier - Hosun and ETLA"/>
    <s v="Dan"/>
    <m/>
    <s v="N/A"/>
    <s v="LCM"/>
    <s v="AOS"/>
    <s v="Mechanical Parts &amp; Assemblies"/>
    <s v="DXR"/>
    <x v="0"/>
    <s v="IL0"/>
    <n v="0.05"/>
    <x v="121"/>
    <s v="India"/>
    <s v="SYSTEUR"/>
    <x v="1"/>
    <s v="Vijayanand.Purushothaman@philips.com"/>
    <x v="1"/>
    <m/>
  </r>
  <r>
    <s v="GXRCQ00095358"/>
    <s v="Vijayanand Purushothaman"/>
    <s v="Supplier transfer from HH to supplier-VDL Fiber Tech Industries"/>
    <s v="Dan"/>
    <m/>
    <s v="N/A"/>
    <s v="LCM"/>
    <s v="SOURCING"/>
    <s v="Mechanical Parts &amp; Assemblies"/>
    <s v="DXR"/>
    <x v="0"/>
    <s v="IL0"/>
    <n v="0.1"/>
    <x v="121"/>
    <s v="India"/>
    <s v="SYSTEUR"/>
    <x v="1"/>
    <s v="Vijayanand.Purushothaman@philips.com"/>
    <x v="1"/>
    <m/>
  </r>
  <r>
    <s v="MR00249173"/>
    <s v="Vijayanand Purushothaman"/>
    <s v="SCR Data Modul 2159.0034 Due to the fact that one main component of the POS Systems is end of life"/>
    <s v="Dan"/>
    <m/>
    <s v="N/A"/>
    <s v="LCM"/>
    <s v="SOURCING"/>
    <s v="Key Components &amp; Electronics"/>
    <s v="MR"/>
    <x v="0"/>
    <s v="IL0"/>
    <n v="0.4"/>
    <x v="119"/>
    <s v="India"/>
    <s v="SYSTEUR"/>
    <x v="0"/>
    <s v="Siddarth.Shetty@philips.com"/>
    <x v="1"/>
    <m/>
  </r>
  <r>
    <n v="30377"/>
    <s v="Vijayanand Purushothaman"/>
    <s v="Plastic machining transfer phase 2"/>
    <s v="Dan"/>
    <m/>
    <s v="PROCUREMENT"/>
    <s v="PRODUCTIVITY"/>
    <s v="SOURCING"/>
    <s v="Mechanical Parts &amp; Assemblies"/>
    <s v="MR"/>
    <x v="0"/>
    <s v="IL3"/>
    <n v="0.1"/>
    <x v="122"/>
    <s v="India"/>
    <s v="SYSTEUR"/>
    <x v="0"/>
    <s v="Siddarth.Shetty@philips.com"/>
    <x v="1"/>
    <m/>
  </r>
  <r>
    <n v="33972"/>
    <s v="Vijayanand Purushothaman"/>
    <s v="Plastic machining phase 3"/>
    <s v="Dan"/>
    <m/>
    <s v="PROCUREMENT"/>
    <s v="PRODUCTIVITY"/>
    <s v="SOURCING"/>
    <s v="Mechanical Parts &amp; Assemblies"/>
    <s v="MR"/>
    <x v="0"/>
    <s v="IL2"/>
    <n v="0.3"/>
    <x v="122"/>
    <s v="India"/>
    <s v="SYSTEUR"/>
    <x v="0"/>
    <s v="Siddarth.Shetty@philips.com"/>
    <x v="1"/>
    <m/>
  </r>
  <r>
    <n v="33913"/>
    <s v="Adrianna Davis"/>
    <s v="Replace 4K video extenders for R11 initial systems and upgrades"/>
    <s v="Phil"/>
    <m/>
    <s v="PROCUREMENT"/>
    <s v="PRODUCTIVITY"/>
    <s v="CONCEPT"/>
    <s v="Medical ODM Markets"/>
    <s v="MR"/>
    <x v="0"/>
    <s v="IL3"/>
    <n v="0.25"/>
    <x v="122"/>
    <s v="India"/>
    <s v="SYSTEUR"/>
    <x v="0"/>
    <s v="Siddarth.Shetty@philips.com"/>
    <x v="1"/>
    <m/>
  </r>
  <r>
    <n v="23287"/>
    <s v="Sam Zhao"/>
    <s v="Transfer Volex Cable (Ambition cyc. Cable set, DACC, TR/OR/ER) to other vendor (ex. Time) - MR SFB/Cable Workstream - (CGR-930 - OR+TR-ER cable Harness transfer for Ambition)"/>
    <s v="Phil"/>
    <m/>
    <s v="PROCUREMENT"/>
    <s v="PRODUCTIVITY"/>
    <s v="CONCEPT"/>
    <s v="Key Components &amp; Electronics"/>
    <s v="MR"/>
    <x v="0"/>
    <s v="IL3"/>
    <n v="0.3"/>
    <x v="122"/>
    <s v="India"/>
    <s v="SYSTEUR"/>
    <x v="0"/>
    <s v="Siddarth.Shetty@philips.com"/>
    <x v="1"/>
    <m/>
  </r>
  <r>
    <n v="36492"/>
    <s v="Adrianna Davis"/>
    <s v="CGR 824 : Pre assy cable for Ambition system :  459801775481 : CYL. CABLE SET PRE ASSY 1.5T SEALED"/>
    <s v="Phil"/>
    <m/>
    <s v="PROCUREMENT"/>
    <s v="PRODUCTIVITY"/>
    <s v="SOURCING"/>
    <s v="Key Components &amp; Electronics"/>
    <s v="MR"/>
    <x v="0"/>
    <s v="IL3"/>
    <n v="0.05"/>
    <x v="122"/>
    <s v="India"/>
    <s v="SYSTEUR"/>
    <x v="0"/>
    <s v="Siddarth.Shetty@philips.com"/>
    <x v="1"/>
    <m/>
  </r>
  <r>
    <n v="34799"/>
    <s v="Vijayanand Purushothaman"/>
    <s v="E.R.Derisking"/>
    <s v="Dan"/>
    <m/>
    <s v="PROCUREMENT"/>
    <s v="PRODUCTIVITY"/>
    <s v="SOURCING"/>
    <s v="Mechanical Parts &amp; Assemblies"/>
    <s v="MR"/>
    <x v="0"/>
    <s v="IL3"/>
    <n v="0.1"/>
    <x v="122"/>
    <s v="India"/>
    <s v="SYSTEUR"/>
    <x v="0"/>
    <s v="Siddarth.Shetty@philips.com"/>
    <x v="1"/>
    <m/>
  </r>
  <r>
    <n v="36151"/>
    <s v="Saurabh Agarwal"/>
    <s v="PIE to use new China supplier for glass charger cup ARC -&gt; Xinmin, direct purchase"/>
    <s v="Tim"/>
    <m/>
    <s v="PROCUREMENT"/>
    <s v="PRODUCTIVITY"/>
    <s v="SOURCING"/>
    <s v="Key Components &amp; Electronics"/>
    <s v="OHC"/>
    <x v="2"/>
    <s v="IL1"/>
    <n v="0.15"/>
    <x v="123"/>
    <s v="India"/>
    <s v="SYSTEUR"/>
    <x v="0"/>
    <s v="saurabh.agrawal_1@philips.com"/>
    <x v="3"/>
    <m/>
  </r>
  <r>
    <s v="CR174438"/>
    <s v="Saurabh Agarwal"/>
    <s v="China WPT Project"/>
    <s v="Tim"/>
    <m/>
    <s v="N/A"/>
    <s v="LCM"/>
    <s v="SOURCING"/>
    <s v="Personal Health"/>
    <s v="OHC"/>
    <x v="2"/>
    <s v="IL2"/>
    <n v="0.3"/>
    <x v="123"/>
    <s v="India"/>
    <s v="SYSTEUR"/>
    <x v="0"/>
    <s v="saurabh.agrawal_1@philips.com"/>
    <x v="3"/>
    <m/>
  </r>
  <r>
    <n v="33899"/>
    <s v="Saurabh Agarwal"/>
    <s v="Osaka PCBA dual source for H&amp;T"/>
    <s v="Tim"/>
    <m/>
    <s v="PROCUREMENT"/>
    <s v="PRODUCTIVITY"/>
    <s v="SOURCING"/>
    <s v="Key Components &amp; Electronics"/>
    <s v="OHC"/>
    <x v="2"/>
    <s v="IL3"/>
    <n v="0.5"/>
    <x v="124"/>
    <s v="India"/>
    <s v="SYSTEUR"/>
    <x v="0"/>
    <s v="pramila.mote@philips.com"/>
    <x v="3"/>
    <m/>
  </r>
  <r>
    <n v="36009"/>
    <s v="Saurabh Agarwal"/>
    <s v="Osaka/Darwin Light Ring Removal, replace Funnel#31100"/>
    <s v="Tim"/>
    <m/>
    <s v="TCO"/>
    <s v="PRODUCTIVITY"/>
    <s v="CONCEPT"/>
    <s v="Mechanical Parts &amp; Assemblies"/>
    <s v="OHC"/>
    <x v="2"/>
    <s v="IL3"/>
    <n v="0.1"/>
    <x v="125"/>
    <s v="India"/>
    <s v="SYSTEUR"/>
    <x v="1"/>
    <s v="pramila.mote@philips.com"/>
    <x v="3"/>
    <m/>
  </r>
  <r>
    <s v="CR163210"/>
    <s v="Saurabh Agarwal"/>
    <s v="T - Plastic Free Charger (Galway)"/>
    <s v="Tim"/>
    <m/>
    <s v="N/A"/>
    <s v="LCM"/>
    <s v="SOURCING"/>
    <s v="Mechanical Parts &amp; Assemblies"/>
    <s v="OHC"/>
    <x v="2"/>
    <s v="IL3"/>
    <n v="0.15"/>
    <x v="123"/>
    <s v="India"/>
    <s v="SYSTEUR"/>
    <x v="0"/>
    <s v="saurabh.agrawal_1@philips.com"/>
    <x v="3"/>
    <m/>
  </r>
  <r>
    <n v="36151"/>
    <s v="Saurabh Agarwal"/>
    <s v="PIE to use new China supplier for glass charger cup ARC -&gt; Xinmin, direct purchase"/>
    <s v="Tim"/>
    <m/>
    <s v="PROCUREMENT"/>
    <s v="PRODUCTIVITY"/>
    <s v="SOURCING"/>
    <s v="Key Components &amp; Electronics"/>
    <s v="OHC"/>
    <x v="2"/>
    <s v="IL1"/>
    <n v="0.1"/>
    <x v="125"/>
    <s v="India"/>
    <s v="SYSTEUR"/>
    <x v="1"/>
    <s v="pramila.mote@philips.com"/>
    <x v="3"/>
    <m/>
  </r>
  <r>
    <n v="23596"/>
    <s v="Saurabh Agarwal"/>
    <s v="Zoom Lamp -- Shift supplier of PCBA from MSD to Preferred"/>
    <s v="Tim"/>
    <m/>
    <s v="PROCUREMENT"/>
    <s v="PRODUCTIVITY"/>
    <s v="SOURCING"/>
    <s v="Key Components &amp; Electronics"/>
    <s v="OHC"/>
    <x v="2"/>
    <s v="IL3"/>
    <n v="0.2"/>
    <x v="123"/>
    <s v="India"/>
    <s v="SYSTEUR"/>
    <x v="0"/>
    <s v="saurabh.agrawal_1@philips.com"/>
    <x v="3"/>
    <m/>
  </r>
  <r>
    <s v="CR163210"/>
    <s v="Saurabh Agarwal"/>
    <s v="T - Plastic Free Charger (Galway)"/>
    <s v="Tim"/>
    <m/>
    <s v="N/A"/>
    <s v="LCM"/>
    <s v="SOURCING"/>
    <s v="Mechanical Parts &amp; Assemblies"/>
    <s v="OHC"/>
    <x v="2"/>
    <s v="IL3"/>
    <n v="0.2"/>
    <x v="125"/>
    <s v="India"/>
    <s v="SYSTEUR"/>
    <x v="1"/>
    <s v="pramila.mote@philips.com"/>
    <x v="3"/>
    <m/>
  </r>
  <r>
    <s v="CR154512"/>
    <s v="Saurabh Agarwal"/>
    <s v="E-Series Blister BH Packaging"/>
    <s v="Tim"/>
    <m/>
    <s v="PROCUREMENT"/>
    <s v="AOS"/>
    <s v="SOURCING"/>
    <s v="Mechanical Parts &amp; Assemblies"/>
    <s v="OHC"/>
    <x v="2"/>
    <s v="IL4"/>
    <n v="0.2"/>
    <x v="124"/>
    <s v="India"/>
    <s v="SYSTEUR"/>
    <x v="0"/>
    <s v="pramila.mote@philips.com"/>
    <x v="3"/>
    <m/>
  </r>
  <r>
    <n v="36430"/>
    <s v="Sushruth"/>
    <s v="Molding Resin Cost Optimization_TK SD"/>
    <s v="Tim"/>
    <m/>
    <s v="PROCUREMENT"/>
    <s v="PRODUCTIVITY"/>
    <s v="CONCEPT"/>
    <s v="Mechanical Parts &amp; Assemblies"/>
    <s v="OHC"/>
    <x v="2"/>
    <s v="IL2"/>
    <n v="0.2"/>
    <x v="125"/>
    <s v="India"/>
    <s v="SYSTEUR"/>
    <x v="1"/>
    <s v="pramila.mote@philips.com"/>
    <x v="3"/>
    <m/>
  </r>
  <r>
    <n v="31337"/>
    <s v="Saurabh Agarwal"/>
    <s v="Molding DFX - Change of resin material for Housing &amp; End Plug - Styrolution (PA-ABS NM11) + Avient (precolored) to LG Korea (PA-ABS 5006AH) Precolored resin"/>
    <s v="Tim"/>
    <m/>
    <s v="N/A"/>
    <s v="AOS"/>
    <s v="CONCEPT"/>
    <s v="Mechanical Parts &amp; Assemblies"/>
    <s v="OHC"/>
    <x v="2"/>
    <s v="IL1"/>
    <n v="0.2"/>
    <x v="125"/>
    <s v="India"/>
    <s v="SYSTEUR"/>
    <x v="1"/>
    <s v="pramila.mote@philips.com"/>
    <x v="3"/>
    <m/>
  </r>
  <r>
    <n v="23596"/>
    <s v="Saurabh Agarwal"/>
    <s v="Zoom Lamp -- Shift supplier of PCBA from MSD to Preferred"/>
    <s v="Tim"/>
    <m/>
    <s v="PROCUREMENT"/>
    <s v="PRODUCTIVITY"/>
    <s v="SOURCING"/>
    <s v="Key Components &amp; Electronics"/>
    <s v="OHC"/>
    <x v="2"/>
    <s v="IL3"/>
    <n v="0.2"/>
    <x v="125"/>
    <s v="India"/>
    <s v="SYSTEUR"/>
    <x v="1"/>
    <s v="pramila.mote@philips.com"/>
    <x v="3"/>
    <m/>
  </r>
  <r>
    <n v="33538"/>
    <s v="Saurabh Agarwal"/>
    <s v="Nebraska at Flex in EU"/>
    <s v="Tim"/>
    <m/>
    <s v="PROCUREMENT"/>
    <s v="PRODUCTIVITY"/>
    <s v="CONCEPT"/>
    <s v="Personal Health"/>
    <s v="OHC"/>
    <x v="2"/>
    <s v="IL3"/>
    <n v="0.2"/>
    <x v="126"/>
    <s v="India"/>
    <s v="SYSTEUR"/>
    <x v="1"/>
    <s v="pramila.mote@philips.com"/>
    <x v="3"/>
    <m/>
  </r>
  <r>
    <s v="CR148362"/>
    <s v="Saurabh Agarwal"/>
    <s v="T -  PIE Power Cord Updates(Shanghai &amp; Osaka Glass chargers)"/>
    <s v="Tim"/>
    <m/>
    <s v="PROCUREMENT"/>
    <s v="LCM"/>
    <s v="SOURCING"/>
    <s v="Key Components &amp; Electronics"/>
    <s v="OHC"/>
    <x v="2"/>
    <s v="IL3"/>
    <n v="0.3"/>
    <x v="126"/>
    <s v="India"/>
    <s v="SYSTEUR"/>
    <x v="1"/>
    <s v="pramila.mote@philips.com"/>
    <x v="3"/>
    <m/>
  </r>
  <r>
    <n v="26346"/>
    <s v="Saurabh Agarwal"/>
    <s v="SUP20-other Shanghai travel cases. Remove PU leather on both versions, integrated cable &amp; cover on charging version."/>
    <s v="Tim"/>
    <m/>
    <s v="PROCUREMENT"/>
    <s v="PRODUCTIVITY"/>
    <s v="CONCEPT"/>
    <s v="Key Components &amp; Electronics"/>
    <s v="OHC"/>
    <x v="2"/>
    <s v="IL3"/>
    <n v="0.5"/>
    <x v="126"/>
    <s v="India"/>
    <s v="SYSTEUR"/>
    <x v="1"/>
    <s v="pramila.mote@philips.com"/>
    <x v="3"/>
    <m/>
  </r>
  <r>
    <s v="CR058919"/>
    <s v="Saurabh Agarwal"/>
    <s v="Cost savings initiative for current D shaped Pin charger."/>
    <s v="Tim"/>
    <m/>
    <s v="PROCUREMENT"/>
    <s v="LCM"/>
    <s v="SOURCING"/>
    <s v="Key Components &amp; Electronics"/>
    <s v="OHC"/>
    <x v="2"/>
    <s v="IL3"/>
    <n v="0.2"/>
    <x v="123"/>
    <s v="India"/>
    <s v="SYSTEUR"/>
    <x v="0"/>
    <s v="saurabh.agrawal_1@philips.com"/>
    <x v="3"/>
    <m/>
  </r>
  <r>
    <s v="TPDLM20"/>
    <s v="Tjisse"/>
    <s v="Yin Yang"/>
    <s v="Tim"/>
    <m/>
    <s v="N/A"/>
    <s v="NPI"/>
    <s v="CONCEPT"/>
    <s v="Personal Health"/>
    <s v="GB"/>
    <x v="2"/>
    <s v="IL3"/>
    <n v="1"/>
    <x v="127"/>
    <s v="India"/>
    <s v="SYSTEUR"/>
    <x v="1"/>
    <s v="Adarsh.Shrivastava@philips.com"/>
    <x v="1"/>
    <m/>
  </r>
  <r>
    <s v="TPDLM20"/>
    <s v="Tjisse"/>
    <s v="Yin Yang"/>
    <s v="Tim"/>
    <m/>
    <s v="N/A"/>
    <s v="NPI"/>
    <s v="CONCEPT"/>
    <s v="Personal Health"/>
    <s v="GB"/>
    <x v="2"/>
    <s v="IL3"/>
    <n v="1"/>
    <x v="128"/>
    <s v="India"/>
    <s v="SYSTEUR"/>
    <x v="1"/>
    <s v="Adarsh.Shrivastava@philips.com"/>
    <x v="1"/>
    <m/>
  </r>
  <r>
    <s v="TPDLM20"/>
    <s v="Tjisse"/>
    <s v="Yin Yang"/>
    <s v="Tim"/>
    <m/>
    <s v="N/A"/>
    <s v="NPI"/>
    <s v="CONCEPT"/>
    <s v="Personal Health"/>
    <s v="GB"/>
    <x v="2"/>
    <s v="IL3"/>
    <n v="1"/>
    <x v="129"/>
    <s v="India"/>
    <s v="SYSTEUR"/>
    <x v="1"/>
    <s v="Adarsh.Shrivastava@philips.com"/>
    <x v="3"/>
    <m/>
  </r>
  <r>
    <s v="TPDLM21"/>
    <s v="Sushruth"/>
    <s v="PDLM Xenon"/>
    <s v="Tim"/>
    <m/>
    <s v="N/A"/>
    <s v="NPI"/>
    <s v="CONCEPT"/>
    <s v="Personal Health"/>
    <s v="GB"/>
    <x v="2"/>
    <s v="IL3"/>
    <n v="1"/>
    <x v="130"/>
    <s v="India"/>
    <s v="SYSTEUR"/>
    <x v="1"/>
    <s v="Adarsh.Shrivastava@philips.com"/>
    <x v="3"/>
    <m/>
  </r>
  <r>
    <s v="TPDLM11"/>
    <s v="Tjisse"/>
    <s v="PDLM Phoenix 1.0"/>
    <s v="Tim"/>
    <m/>
    <s v="N/A"/>
    <s v="NPI"/>
    <s v="CONCEPT"/>
    <s v="Personal Health"/>
    <s v="GB"/>
    <x v="2"/>
    <s v="IL3"/>
    <n v="1"/>
    <x v="131"/>
    <s v="India"/>
    <s v="SYSTEUR"/>
    <x v="1"/>
    <s v="Adarsh.Shrivastava@philips.com"/>
    <x v="3"/>
    <m/>
  </r>
  <r>
    <n v="33509"/>
    <s v="Vijayanand Purushothaman"/>
    <s v="Arctronics De-risking to SFO for Flex coils family"/>
    <s v="Dan"/>
    <m/>
    <s v="PROCUREMENT"/>
    <s v="LCM"/>
    <s v="SOURCING"/>
    <s v="Key Components &amp; Electronics"/>
    <s v="MR"/>
    <x v="0"/>
    <s v="IL0"/>
    <n v="0.1"/>
    <x v="132"/>
    <s v="India"/>
    <s v="SYSTEUR"/>
    <x v="0"/>
    <s v="Siddarth.Shetty@philips.com"/>
    <x v="1"/>
    <m/>
  </r>
  <r>
    <n v="33510"/>
    <s v="Vijayanand Purushothaman"/>
    <s v="Arctronics De-risking to SFO for Breast coils family"/>
    <s v="Dan"/>
    <m/>
    <s v="PROCUREMENT"/>
    <s v="LCM"/>
    <s v="SOURCING"/>
    <s v="Key Components &amp; Electronics"/>
    <s v="MR"/>
    <x v="0"/>
    <s v="IL0"/>
    <n v="0.2"/>
    <x v="132"/>
    <s v="India"/>
    <s v="SYSTEUR"/>
    <x v="0"/>
    <s v="Siddarth.Shetty@philips.com"/>
    <x v="1"/>
    <m/>
  </r>
  <r>
    <n v="33508"/>
    <s v="Vijayanand Purushothaman"/>
    <s v="Arctronics De-risking to SFO for Wrist coils family"/>
    <s v="Dan"/>
    <m/>
    <s v="PROCUREMENT"/>
    <s v="LCM"/>
    <s v="SOURCING"/>
    <s v="Key Components &amp; Electronics"/>
    <s v="MR"/>
    <x v="0"/>
    <s v="IL0"/>
    <n v="0.1"/>
    <x v="132"/>
    <s v="India"/>
    <s v="SYSTEUR"/>
    <x v="0"/>
    <s v="Siddarth.Shetty@philips.com"/>
    <x v="1"/>
    <m/>
  </r>
  <r>
    <n v="33507"/>
    <s v="Vijayanand Purushothaman"/>
    <s v="Arctronics De-risking to SFO for Head coils family"/>
    <s v="Dan"/>
    <m/>
    <s v="PROCUREMENT"/>
    <s v="LCM"/>
    <s v="SOURCING"/>
    <s v="Key Components &amp; Electronics"/>
    <s v="MR"/>
    <x v="0"/>
    <s v="IL0"/>
    <n v="0.25"/>
    <x v="132"/>
    <s v="India"/>
    <s v="SYSTEUR"/>
    <x v="0"/>
    <s v="Siddarth.Shetty@philips.com"/>
    <x v="1"/>
    <m/>
  </r>
  <r>
    <n v="33506"/>
    <s v="Vijayanand Purushothaman"/>
    <s v="Arctronics De-risking to SFO for Small Extremity coils family"/>
    <s v="Dan"/>
    <m/>
    <s v="PROCUREMENT"/>
    <s v="LCM"/>
    <s v="SOURCING"/>
    <s v="Key Components &amp; Electronics"/>
    <s v="MR"/>
    <x v="0"/>
    <s v="IL0"/>
    <n v="0.25"/>
    <x v="132"/>
    <s v="India"/>
    <s v="SYSTEUR"/>
    <x v="0"/>
    <s v="Siddarth.Shetty@philips.com"/>
    <x v="1"/>
    <m/>
  </r>
  <r>
    <n v="32215"/>
    <s v="Vijayanand Purushothaman"/>
    <s v="ERUI touch quality problems"/>
    <s v="Dan"/>
    <m/>
    <s v="PROCUREMENT"/>
    <s v="PRODUCTIVITY"/>
    <s v="CONCEPT"/>
    <s v="Medical ODM Markets"/>
    <s v="MR"/>
    <x v="0"/>
    <s v="IL3"/>
    <n v="0.1"/>
    <x v="133"/>
    <s v="India"/>
    <s v="SYSTEUR"/>
    <x v="0"/>
    <s v="Siddarth.Shetty@philips.com"/>
    <x v="1"/>
    <m/>
  </r>
  <r>
    <n v="33916"/>
    <s v="Vijayanand Purushothaman"/>
    <s v="Localization of Labels (Wave 4 onwards)"/>
    <s v="Dan"/>
    <m/>
    <s v="PROCUREMENT"/>
    <s v="PRODUCTIVITY"/>
    <s v="SOURCING"/>
    <s v="Mechanical Parts &amp; Assemblies"/>
    <s v="MR"/>
    <x v="0"/>
    <s v="IL4"/>
    <n v="0.2"/>
    <x v="133"/>
    <s v="India"/>
    <s v="SYSTEUR"/>
    <x v="0"/>
    <s v="Siddarth.Shetty@philips.com"/>
    <x v="1"/>
    <m/>
  </r>
  <r>
    <n v="30383"/>
    <s v="Vijayanand Purushothaman"/>
    <s v="Hardware localization from GNV supplier base to india supplier base"/>
    <s v="Dan"/>
    <m/>
    <s v="PROCUREMENT"/>
    <s v="PRODUCTIVITY"/>
    <s v="SOURCING"/>
    <s v="Mechanical Parts &amp; Assemblies"/>
    <s v="MR"/>
    <x v="0"/>
    <s v="IL0"/>
    <n v="0.05"/>
    <x v="133"/>
    <s v="India"/>
    <s v="SYSTEUR"/>
    <x v="0"/>
    <s v="Siddarth.Shetty@philips.com"/>
    <x v="1"/>
    <m/>
  </r>
  <r>
    <n v="32418"/>
    <s v="Vijayanand Purushothaman"/>
    <s v="Localization of IFU &amp; Labels (Wave 4 onwards"/>
    <s v="Dan"/>
    <m/>
    <s v="PROCUREMENT"/>
    <s v="PRODUCTIVITY"/>
    <s v="SOURCING"/>
    <s v="Mechanical Parts &amp; Assemblies"/>
    <s v="MR"/>
    <x v="0"/>
    <s v="IL3"/>
    <n v="0.1"/>
    <x v="133"/>
    <s v="India"/>
    <s v="SYSTEUR"/>
    <x v="0"/>
    <s v="Siddarth.Shetty@philips.com"/>
    <x v="1"/>
    <m/>
  </r>
  <r>
    <n v="33849"/>
    <s v="Adrianna Davis"/>
    <s v="Seaway Plastic 16 parts localization to SMIIEL (MOTHERSON GROUP)"/>
    <s v="Phil"/>
    <m/>
    <s v="PROCUREMENT"/>
    <s v="PRODUCTIVITY"/>
    <s v="SOURCING"/>
    <s v="Mechanical Parts &amp; Assemblies"/>
    <s v="MR"/>
    <x v="0"/>
    <s v="IL3"/>
    <n v="0.2"/>
    <x v="133"/>
    <s v="India"/>
    <s v="SYSTEUR"/>
    <x v="0"/>
    <s v="Siddarth.Shetty@philips.com"/>
    <x v="1"/>
    <m/>
  </r>
  <r>
    <n v="27278"/>
    <s v="Vijayanand Purushothaman"/>
    <s v="STET:FASTNERS RoHS compliance and localization to India"/>
    <s v="Dan"/>
    <m/>
    <s v="PROCUREMENT"/>
    <s v="PRODUCTIVITY"/>
    <s v="SOURCING"/>
    <s v="Mechanical Parts &amp; Assemblies"/>
    <s v="MR"/>
    <x v="0"/>
    <s v="IL3"/>
    <n v="0.1"/>
    <x v="133"/>
    <s v="India"/>
    <s v="SYSTEUR"/>
    <x v="0"/>
    <s v="Siddarth.Shetty@philips.com"/>
    <x v="1"/>
    <m/>
  </r>
  <r>
    <n v="32257"/>
    <s v="Vijayanand Purushothaman"/>
    <s v="NYX Albany parts transfer"/>
    <s v="Dan"/>
    <m/>
    <s v="PROCUREMENT"/>
    <s v="PRODUCTIVITY"/>
    <s v="SOURCING"/>
    <s v="Mechanical Parts &amp; Assemblies"/>
    <s v="MR"/>
    <x v="0"/>
    <s v="IL3"/>
    <n v="0.25"/>
    <x v="133"/>
    <s v="India"/>
    <s v="SYSTEUR"/>
    <x v="0"/>
    <s v="Siddarth.Shetty@philips.com"/>
    <x v="1"/>
    <m/>
  </r>
  <r>
    <s v="TPDLM23"/>
    <s v="Sushruth"/>
    <s v="MLD Maserati 2"/>
    <s v="Tim"/>
    <m/>
    <s v="N/A"/>
    <s v="NPI"/>
    <s v="CONCEPT"/>
    <s v="Personal Health"/>
    <s v="GB"/>
    <x v="2"/>
    <s v="IL3"/>
    <n v="0.5"/>
    <x v="134"/>
    <s v="Netherlands"/>
    <s v="SYSTEUR"/>
    <x v="0"/>
    <s v="Tim.Bokelman@philips.com"/>
    <x v="3"/>
    <m/>
  </r>
  <r>
    <s v="TPDLM22"/>
    <s v="Sushruth"/>
    <s v="MLD CI Prestige 2024"/>
    <s v="Tim"/>
    <m/>
    <s v="N/A"/>
    <s v="NPI"/>
    <s v="CONCEPT"/>
    <s v="Personal Health"/>
    <s v="GB"/>
    <x v="2"/>
    <s v="IL3"/>
    <n v="0.5"/>
    <x v="134"/>
    <s v="Netherlands"/>
    <s v="SYSTEUR"/>
    <x v="0"/>
    <s v="Tim.Bokelman@philips.com"/>
    <x v="3"/>
    <m/>
  </r>
  <r>
    <s v="RTC-SHA20210601043"/>
    <s v="Sushruth"/>
    <s v="UKCA"/>
    <s v="Tim"/>
    <m/>
    <s v="N/A"/>
    <s v="LCM"/>
    <s v="CONCEPT"/>
    <s v="Personal Health"/>
    <s v="GB"/>
    <x v="2"/>
    <s v="IL3"/>
    <n v="0.2"/>
    <x v="135"/>
    <s v="Netherlands"/>
    <s v="SYSTEUR"/>
    <x v="0"/>
    <s v="Adarsh.Shrivastava@philips.com"/>
    <x v="3"/>
    <m/>
  </r>
  <r>
    <s v="RTC-SHA20220501210"/>
    <s v="Sushruth"/>
    <s v="RfS Shaver Motor Wire In-House Cutting"/>
    <s v="Tim"/>
    <m/>
    <s v="N/A"/>
    <s v="LCM"/>
    <s v="CONCEPT"/>
    <s v="Personal Health"/>
    <s v="GB"/>
    <x v="2"/>
    <s v="IL3"/>
    <n v="0.2"/>
    <x v="135"/>
    <s v="Netherlands"/>
    <s v="SYSTEUR"/>
    <x v="0"/>
    <s v="Adarsh.Shrivastava@philips.com"/>
    <x v="3"/>
    <m/>
  </r>
  <r>
    <n v="37018"/>
    <s v="Viraj Bhagwat"/>
    <s v="Transfer of Capnography Products from Philips Shenzen Facility to Nextphase Mexico"/>
    <s v="Nishant"/>
    <m/>
    <s v="PROCUREMENT"/>
    <s v="PRODUCTIVITY"/>
    <s v="SOURCING"/>
    <s v="Mechanical Parts &amp; Assemblies"/>
    <s v="HPM"/>
    <x v="1"/>
    <s v="IL0"/>
    <n v="0.3"/>
    <x v="18"/>
    <s v="India"/>
    <s v="SYSTEUR"/>
    <x v="0"/>
    <s v="sushruth.rudrachary@philips.com"/>
    <x v="3"/>
    <m/>
  </r>
  <r>
    <s v="RfS-SHA20230401414"/>
    <s v="Sushruth"/>
    <s v="PO 12nc Reduction"/>
    <s v="Tim"/>
    <m/>
    <s v="N/A"/>
    <s v="LCM"/>
    <s v="SOURCING"/>
    <s v="Personal Health"/>
    <s v="GB"/>
    <x v="2"/>
    <s v="IL3"/>
    <n v="0.1"/>
    <x v="136"/>
    <s v="India"/>
    <s v="SYSTEUR"/>
    <x v="0"/>
    <s v="sushruth.rudrachary@philips.com"/>
    <x v="3"/>
    <m/>
  </r>
  <r>
    <s v="RfS-SHA20230301412"/>
    <s v="Sushruth"/>
    <s v="7 Year Motor and battery claim removal - China"/>
    <s v="Tim"/>
    <m/>
    <s v="N/A"/>
    <s v="LCM"/>
    <s v="CONCEPT"/>
    <s v="Personal Health"/>
    <s v="GB"/>
    <x v="2"/>
    <s v="IL3"/>
    <n v="0.1"/>
    <x v="136"/>
    <s v="India"/>
    <s v="SYSTEUR"/>
    <x v="0"/>
    <s v="sushruth.rudrachary@philips.com"/>
    <x v="3"/>
    <m/>
  </r>
  <r>
    <s v="RfS-SHA20230601447"/>
    <s v="Sushruth"/>
    <s v="PO SH HQ JC3XX SP9XX S7XXX S9XX 82XXL"/>
    <s v="Tim"/>
    <m/>
    <s v="N/A"/>
    <s v="LCM"/>
    <s v="SOURCING"/>
    <s v="Personal Health"/>
    <s v="GB"/>
    <x v="2"/>
    <s v="IL3"/>
    <n v="0.1"/>
    <x v="136"/>
    <s v="India"/>
    <s v="SYSTEUR"/>
    <x v="0"/>
    <s v="sushruth.rudrachary@philips.com"/>
    <x v="3"/>
    <m/>
  </r>
  <r>
    <s v="RfS-SHA20230401427"/>
    <s v="Sushruth"/>
    <s v="PO Accessories"/>
    <s v="Tim"/>
    <m/>
    <s v="N/A"/>
    <s v="LCM"/>
    <s v="CONCEPT"/>
    <s v="Personal Health"/>
    <s v="GB"/>
    <x v="2"/>
    <s v="IL3"/>
    <n v="0.1"/>
    <x v="136"/>
    <s v="India"/>
    <s v="SYSTEUR"/>
    <x v="0"/>
    <s v="sushruth.rudrachary@philips.com"/>
    <x v="3"/>
    <m/>
  </r>
  <r>
    <s v="RTC-FDEP20230500718"/>
    <s v="Sushruth"/>
    <s v="Regmem AMB 554-23009 - Telephone number requirement and minimum dimensions of Lithium marking"/>
    <s v="Tim"/>
    <m/>
    <s v="N/A"/>
    <s v="LCM"/>
    <s v="SOURCING"/>
    <s v="Personal Health"/>
    <s v="GB"/>
    <x v="2"/>
    <s v="IL3"/>
    <n v="0.1"/>
    <x v="136"/>
    <s v="India"/>
    <s v="SYSTEUR"/>
    <x v="0"/>
    <s v="sushruth.rudrachary@philips.com"/>
    <x v="3"/>
    <m/>
  </r>
  <r>
    <s v="RfS-SHA20230201399"/>
    <s v="Sushruth"/>
    <s v="Sellable stocks"/>
    <s v="Tim"/>
    <m/>
    <s v="N/A"/>
    <s v="LCM"/>
    <s v="CONCEPT"/>
    <s v="Personal Health"/>
    <s v="GB"/>
    <x v="2"/>
    <s v="IL3"/>
    <n v="0.1"/>
    <x v="136"/>
    <s v="India"/>
    <s v="SYSTEUR"/>
    <x v="0"/>
    <s v="sushruth.rudrachary@philips.com"/>
    <x v="3"/>
    <m/>
  </r>
  <r>
    <s v="RTC-FDEP20230200701"/>
    <s v="Sushruth"/>
    <s v="TitleRemove EAC certificate from all EU9 SKUs"/>
    <s v="Tim"/>
    <m/>
    <s v="N/A"/>
    <s v="LCM"/>
    <s v="SOURCING"/>
    <s v="Personal Health"/>
    <s v="GB"/>
    <x v="2"/>
    <s v="IL3"/>
    <n v="0.1"/>
    <x v="136"/>
    <s v="India"/>
    <s v="SYSTEUR"/>
    <x v="0"/>
    <s v="sushruth.rudrachary@philips.com"/>
    <x v="3"/>
    <m/>
  </r>
  <r>
    <s v="RfS-SHA20230601450"/>
    <s v="Sushruth"/>
    <s v="Launch Zeta Korea X5007 00 X5012 05 incld PO"/>
    <s v="Tim"/>
    <m/>
    <s v="TCO"/>
    <s v="IGM"/>
    <s v="TCO"/>
    <s v="Personal Health"/>
    <s v="GB"/>
    <x v="2"/>
    <s v="IL3"/>
    <n v="0.1"/>
    <x v="136"/>
    <s v="India"/>
    <s v="SYSTEUR"/>
    <x v="0"/>
    <s v="sushruth.rudrachary@philips.com"/>
    <x v="3"/>
    <m/>
  </r>
  <r>
    <s v="RfS-SHA20230201392"/>
    <s v="Sushruth"/>
    <s v="Prestige pack update"/>
    <s v="Tim"/>
    <m/>
    <s v="N/A"/>
    <s v="LCM"/>
    <s v="CONCEPT"/>
    <s v="Personal Health"/>
    <s v="GB"/>
    <x v="2"/>
    <s v="IL3"/>
    <n v="0.1"/>
    <x v="136"/>
    <s v="India"/>
    <s v="SYSTEUR"/>
    <x v="0"/>
    <s v="sushruth.rudrachary@philips.com"/>
    <x v="3"/>
    <m/>
  </r>
  <r>
    <s v="RfS-SHA20230201394"/>
    <s v="Sushruth"/>
    <s v="Phase-out portfolio optimization Shaving"/>
    <s v="Tim"/>
    <m/>
    <s v="N/A"/>
    <s v="LCM"/>
    <s v="SOURCING"/>
    <s v="Personal Health"/>
    <s v="GB"/>
    <x v="2"/>
    <s v="IL3"/>
    <n v="0.1"/>
    <x v="136"/>
    <s v="India"/>
    <s v="SYSTEUR"/>
    <x v="0"/>
    <s v="sushruth.rudrachary@philips.com"/>
    <x v="3"/>
    <m/>
  </r>
  <r>
    <s v="RfS-SHA20230601450"/>
    <s v="Sushruth"/>
    <s v="Launch Zeta Korea X5007 00 X5012 05 incld PO"/>
    <s v="Tim"/>
    <m/>
    <s v="TCO"/>
    <s v="IGM"/>
    <s v="TCO"/>
    <s v="Personal Health"/>
    <s v="GB"/>
    <x v="2"/>
    <s v="IL3"/>
    <n v="0.1"/>
    <x v="136"/>
    <s v="India"/>
    <s v="SYSTEUR"/>
    <x v="0"/>
    <s v="sushruth.rudrachary@philips.com"/>
    <x v="3"/>
    <m/>
  </r>
  <r>
    <s v="PR60901_1"/>
    <s v="Jidhish Siddharthan"/>
    <s v="HIB FCT Development"/>
    <s v="Nishant"/>
    <m/>
    <s v="TCO"/>
    <s v="TEST ENG"/>
    <s v="TCO"/>
    <s v="Key Components &amp; Electronics"/>
    <s v="CT/AMI"/>
    <x v="0"/>
    <s v="IL3"/>
    <n v="0.2"/>
    <x v="137"/>
    <s v="India"/>
    <s v="SYSTEUR"/>
    <x v="0"/>
    <s v="sushruth.rudrachary@philips.com"/>
    <x v="3"/>
    <m/>
  </r>
  <r>
    <s v="L&amp;A"/>
    <s v="N/A"/>
    <s v="MISC. ENTRY TO BALANCE WITH RESOURCE DATABASE"/>
    <s v="All"/>
    <m/>
    <s v="L&amp;A"/>
    <s v="L&amp;A"/>
    <s v="L&amp;A"/>
    <s v="L&amp;A"/>
    <s v="L&amp;A"/>
    <x v="4"/>
    <s v="L&amp;A"/>
    <n v="0.35"/>
    <x v="137"/>
    <s v="India"/>
    <s v="SYSTEUR"/>
    <x v="0"/>
    <s v="sushruth.rudrachary@philips.com"/>
    <x v="3"/>
    <m/>
  </r>
  <r>
    <s v="PR60901_0"/>
    <s v="Jidhish Siddharthan"/>
    <s v="HPM Measurement Boards FCT Development"/>
    <s v="Nishant"/>
    <m/>
    <s v="TCO"/>
    <s v="TEST ENG"/>
    <s v="TCO"/>
    <s v="Key Components &amp; Electronics"/>
    <s v="HPM"/>
    <x v="1"/>
    <s v="IL3"/>
    <n v="0.2"/>
    <x v="137"/>
    <s v="India"/>
    <s v="SYSTEUR"/>
    <x v="0"/>
    <s v="sushruth.rudrachary@philips.com"/>
    <x v="3"/>
    <m/>
  </r>
  <r>
    <s v="CARTPDCHPM_2"/>
    <s v="Charles Moses"/>
    <s v="Carts PDC - HPM VS Optimus Stands"/>
    <s v="Nishant"/>
    <m/>
    <s v="PROCUREMENT"/>
    <s v="CART PDC"/>
    <s v="CONCEPT"/>
    <s v="Mechanical Parts &amp; Assemblies"/>
    <s v="HPM"/>
    <x v="1"/>
    <s v="IL3"/>
    <n v="0.1"/>
    <x v="138"/>
    <s v="India"/>
    <s v="SYSTEUR"/>
    <x v="0"/>
    <s v="sushruth.rudrachary@philips.com"/>
    <x v="3"/>
    <m/>
  </r>
  <r>
    <n v="37205"/>
    <s v="Charles Moses"/>
    <s v="Protego Cart Re-design"/>
    <s v="Nishant"/>
    <m/>
    <s v="N/A"/>
    <s v="CART PDC"/>
    <s v="CONCEPT"/>
    <s v="Mechanical Parts &amp; Assemblies"/>
    <s v="US"/>
    <x v="0"/>
    <s v="IL1"/>
    <n v="0.2"/>
    <x v="138"/>
    <s v="India"/>
    <s v="SYSTEUR"/>
    <x v="0"/>
    <s v="sushruth.rudrachary@philips.com"/>
    <x v="3"/>
    <m/>
  </r>
  <r>
    <s v="CARTPDCUS2"/>
    <s v="Charles Moses"/>
    <s v="Carts PDC - Ultrasound Shelby NPI"/>
    <s v="Nishant"/>
    <m/>
    <s v="N/A"/>
    <s v="CART PDC"/>
    <s v="CONCEPT"/>
    <s v="Mechanical Parts &amp; Assemblies"/>
    <s v="US"/>
    <x v="0"/>
    <s v="IL2"/>
    <n v="0.1"/>
    <x v="138"/>
    <s v="India"/>
    <s v="SYSTEUR"/>
    <x v="0"/>
    <s v="sushruth.rudrachary@philips.com"/>
    <x v="3"/>
    <m/>
  </r>
  <r>
    <s v="CARTPDCHPM_1"/>
    <s v="Charles Moses"/>
    <s v="Carts PDC - HPM - Calimero material Fetal Cart"/>
    <s v="Nishant"/>
    <m/>
    <s v="PROCUREMENT"/>
    <s v="CART PDC"/>
    <s v="CONCEPT"/>
    <s v="Mechanical Parts &amp; Assemblies"/>
    <s v="HPM"/>
    <x v="1"/>
    <s v="IL3"/>
    <n v="0.1"/>
    <x v="138"/>
    <s v="India"/>
    <s v="SYSTEUR"/>
    <x v="0"/>
    <s v="sushruth.rudrachary@philips.com"/>
    <x v="3"/>
    <m/>
  </r>
  <r>
    <s v="CARTPDCUS3"/>
    <s v="Charles Moses"/>
    <s v="Carts PDC-Ultrasound Shelby Arms"/>
    <s v="Nishant"/>
    <m/>
    <s v="N/A"/>
    <s v="CART PDC"/>
    <s v="CONCEPT"/>
    <s v="Mechanical Parts &amp; Assemblies"/>
    <s v="US"/>
    <x v="0"/>
    <s v="IL1"/>
    <n v="0.1"/>
    <x v="138"/>
    <s v="India"/>
    <s v="SYSTEUR"/>
    <x v="0"/>
    <s v="sushruth.rudrachary@philips.com"/>
    <x v="3"/>
    <m/>
  </r>
  <r>
    <s v="PR60901_2"/>
    <s v="Jidhish Siddharthan"/>
    <s v="FCT Development for Zoom Lamp PCBAs"/>
    <s v="Nishant"/>
    <m/>
    <s v="TCO"/>
    <s v="TEST ENG"/>
    <s v="TCO"/>
    <s v="Key Components &amp; Electronics"/>
    <s v="OHC"/>
    <x v="2"/>
    <s v="IL3"/>
    <n v="0.25"/>
    <x v="139"/>
    <s v="India"/>
    <s v="SYSTEUR"/>
    <x v="0"/>
    <s v="sushruth.rudrachary@philips.com"/>
    <x v="3"/>
    <m/>
  </r>
  <r>
    <s v="TEUS5"/>
    <s v="Jidhish Siddharthan"/>
    <s v="Shelby - PREG"/>
    <s v="Nishant"/>
    <m/>
    <s v="TCO"/>
    <s v="TEST ENG"/>
    <s v="CONCEPT"/>
    <s v="Key Components &amp; Electronics"/>
    <s v="US"/>
    <x v="0"/>
    <s v="IL3"/>
    <n v="0.3"/>
    <x v="139"/>
    <s v="India"/>
    <s v="SYSTEUR"/>
    <x v="0"/>
    <s v="sushruth.rudrachary@philips.com"/>
    <x v="3"/>
    <m/>
  </r>
  <r>
    <s v="TEMR1"/>
    <s v="Jidhish Siddharthan"/>
    <s v="MR H32 Coil - FCT Development"/>
    <s v="Nishant"/>
    <m/>
    <s v="TCO"/>
    <s v="TEST ENG"/>
    <s v="TCO"/>
    <s v="Key Components &amp; Electronics"/>
    <s v="MR"/>
    <x v="0"/>
    <s v="IL1"/>
    <n v="0.1"/>
    <x v="139"/>
    <s v="India"/>
    <s v="SYSTEUR"/>
    <x v="0"/>
    <s v="sushruth.rudrachary@philips.com"/>
    <x v="3"/>
    <m/>
  </r>
  <r>
    <s v="TEIGT1"/>
    <s v="Jidhish Siddharthan"/>
    <s v="Flow PIM - FCT Development"/>
    <s v="Nishant"/>
    <m/>
    <s v="TCO"/>
    <s v="TEST ENG"/>
    <s v="TCO"/>
    <s v="Key Components &amp; Electronics"/>
    <s v="IGT-D"/>
    <x v="3"/>
    <s v="IL1"/>
    <n v="0.1"/>
    <x v="139"/>
    <s v="India"/>
    <s v="SYSTEUR"/>
    <x v="0"/>
    <s v="sushruth.rudrachary@philips.com"/>
    <x v="3"/>
    <m/>
  </r>
  <r>
    <n v="264917"/>
    <s v="Sushruth"/>
    <s v="REGMEM AMB 554-22083 - Italy - Packaging recycling instructions update -&gt; labeling A-Box and F-Box/sleeve packaging elements to be updated"/>
    <s v="Tim"/>
    <m/>
    <s v="N/A"/>
    <s v="LCM"/>
    <s v="CONCEPT"/>
    <s v="Mechanical Parts &amp; Assemblies"/>
    <s v="GB"/>
    <x v="2"/>
    <s v="IL3"/>
    <n v="0.1"/>
    <x v="140"/>
    <s v="India"/>
    <s v="SYSTEUR"/>
    <x v="0"/>
    <s v="sushruth.rudrachary@philips.com"/>
    <x v="3"/>
    <m/>
  </r>
  <r>
    <n v="268091"/>
    <s v="Sushruth"/>
    <s v="Lumea S7000: Launch BRI921/00 for Palestine &amp; Lebanon"/>
    <s v="Tim"/>
    <m/>
    <s v="N/A"/>
    <s v="LCM"/>
    <s v="CONCEPT"/>
    <s v="Personal Health"/>
    <s v="GB"/>
    <x v="2"/>
    <s v="IL1"/>
    <n v="0.1"/>
    <x v="140"/>
    <s v="India"/>
    <s v="SYSTEUR"/>
    <x v="0"/>
    <s v="sushruth.rudrachary@philips.com"/>
    <x v="3"/>
    <m/>
  </r>
  <r>
    <n v="266800"/>
    <s v="Tjisse"/>
    <s v="Launch BRI958 ANZ + Phase out BRI956"/>
    <s v="Tim"/>
    <m/>
    <s v="N/A"/>
    <s v="LCM"/>
    <s v="TCO"/>
    <s v="Personal Health"/>
    <s v="GB"/>
    <x v="2"/>
    <s v="IL3"/>
    <n v="0.1"/>
    <x v="140"/>
    <s v="India"/>
    <s v="SYSTEUR"/>
    <x v="0"/>
    <s v="sushruth.rudrachary@philips.com"/>
    <x v="3"/>
    <m/>
  </r>
  <r>
    <n v="266473"/>
    <s v="Sushruth"/>
    <s v="Check opportunity's to deplete JP adapter stock Iskra"/>
    <s v="Tim"/>
    <m/>
    <s v="N/A"/>
    <s v="LCM"/>
    <s v="CONCEPT"/>
    <s v="Personal Health"/>
    <s v="GB"/>
    <x v="2"/>
    <s v="IL1"/>
    <n v="0.1"/>
    <x v="140"/>
    <s v="India"/>
    <s v="SYSTEUR"/>
    <x v="0"/>
    <s v="sushruth.rudrachary@philips.com"/>
    <x v="3"/>
    <m/>
  </r>
  <r>
    <n v="269503"/>
    <s v="Sushruth"/>
    <s v="Shipment with incorrect ABox Label to Netherlands from Iskra: BRI958/00 sent with incorrect 12NC on ABox Label."/>
    <s v="Tim"/>
    <m/>
    <s v="N/A"/>
    <s v="LCM"/>
    <s v="CONCEPT"/>
    <s v="Mechanical Parts &amp; Assemblies"/>
    <s v="GB"/>
    <x v="2"/>
    <s v="IL1"/>
    <n v="0.1"/>
    <x v="140"/>
    <s v="India"/>
    <s v="SYSTEUR"/>
    <x v="0"/>
    <s v="sushruth.rudrachary@philips.com"/>
    <x v="3"/>
    <m/>
  </r>
  <r>
    <n v="267704"/>
    <s v="Sushruth"/>
    <s v="Eliminate Nordics local rework for Onyx Emerald"/>
    <s v="Tim"/>
    <m/>
    <s v="N/A"/>
    <s v="LCM"/>
    <s v="CONCEPT"/>
    <s v="Mechanical Parts &amp; Assemblies"/>
    <s v="GB"/>
    <x v="2"/>
    <s v="IL3"/>
    <n v="0.1"/>
    <x v="140"/>
    <s v="India"/>
    <s v="SYSTEUR"/>
    <x v="0"/>
    <s v="sushruth.rudrachary@philips.com"/>
    <x v="3"/>
    <m/>
  </r>
  <r>
    <n v="265958"/>
    <s v="Sushruth"/>
    <s v="Add BRP958/9900 in scope of IFU for WEU"/>
    <s v="Tim"/>
    <m/>
    <s v="N/A"/>
    <s v="LCM"/>
    <s v="CONCEPT"/>
    <s v="Personal Health"/>
    <s v="GB"/>
    <x v="2"/>
    <s v="IL3"/>
    <n v="0.1"/>
    <x v="140"/>
    <s v="India"/>
    <s v="SYSTEUR"/>
    <x v="0"/>
    <s v="sushruth.rudrachary@philips.com"/>
    <x v="3"/>
    <m/>
  </r>
  <r>
    <n v="265774"/>
    <s v="Sushruth"/>
    <s v="Phase out Emerald HH range: BRI956 Argentina, BRI956 ANZ &amp; BRI950 Turkey"/>
    <s v="Tim"/>
    <m/>
    <s v="N/A"/>
    <s v="LCM"/>
    <s v="CONCEPT"/>
    <s v="Personal Health"/>
    <s v="GB"/>
    <x v="2"/>
    <s v="IL3"/>
    <n v="0.1"/>
    <x v="140"/>
    <s v="India"/>
    <s v="SYSTEUR"/>
    <x v="0"/>
    <s v="sushruth.rudrachary@philips.com"/>
    <x v="3"/>
    <m/>
  </r>
  <r>
    <n v="254410"/>
    <s v="Sushruth"/>
    <s v="AMB 554-21083  REG MEM Republic of Iraq Certification of Registration (CoR) Scheme for Manufacturers and Suppliers"/>
    <s v="Tim"/>
    <m/>
    <s v="N/A"/>
    <s v="LCM"/>
    <s v="CONCEPT"/>
    <s v="Personal Health"/>
    <s v="GB"/>
    <x v="2"/>
    <s v="IL1"/>
    <n v="0.1"/>
    <x v="140"/>
    <s v="India"/>
    <s v="SYSTEUR"/>
    <x v="0"/>
    <s v="sushruth.rudrachary@philips.com"/>
    <x v="3"/>
    <m/>
  </r>
  <r>
    <n v="227774"/>
    <s v="Sushruth"/>
    <s v="Correct Arabic translation Lumea corded (Only IFU update)"/>
    <s v="Tim"/>
    <m/>
    <s v="N/A"/>
    <s v="LCM"/>
    <s v="CONCEPT"/>
    <s v="Personal Health"/>
    <s v="GB"/>
    <x v="2"/>
    <s v="IL4"/>
    <n v="0.1"/>
    <x v="140"/>
    <s v="India"/>
    <s v="SYSTEUR"/>
    <x v="0"/>
    <s v="sushruth.rudrachary@philips.com"/>
    <x v="3"/>
    <m/>
  </r>
  <r>
    <s v="RfS-SHA20230401417"/>
    <s v="Sushruth"/>
    <s v="Hotfoil stamp (Neue Frutiger font implementation)"/>
    <s v="Tim"/>
    <m/>
    <s v="N/A"/>
    <s v="LCM"/>
    <s v="CONCEPT"/>
    <s v="Personal Health"/>
    <s v="GB"/>
    <x v="2"/>
    <s v="IL3"/>
    <n v="0.1"/>
    <x v="34"/>
    <s v="India"/>
    <s v="SYSTEUR"/>
    <x v="0"/>
    <s v="sushruth.rudrachary@philips.com"/>
    <x v="3"/>
    <m/>
  </r>
  <r>
    <s v="RfS-SHA20230401419-1"/>
    <s v="Sushruth"/>
    <s v="Launch New product S5966/XX by phasing out existing model to maintain Shave distribution in Walmart repositioning the SKU to a higher price point, justified by additional accessories, to mitigate the risk of de-listing"/>
    <s v="Tim"/>
    <m/>
    <s v="TCO"/>
    <s v="IGM"/>
    <s v="TCO"/>
    <s v="Personal Health"/>
    <s v="GB"/>
    <x v="2"/>
    <s v="IL3"/>
    <n v="0.1"/>
    <x v="34"/>
    <s v="India"/>
    <s v="SYSTEUR"/>
    <x v="0"/>
    <s v="sushruth.rudrachary@philips.com"/>
    <x v="3"/>
    <m/>
  </r>
  <r>
    <s v="RfS-SHA20230401415"/>
    <s v="Sushruth"/>
    <s v="New launch CC16_Japan"/>
    <s v="Tim"/>
    <m/>
    <s v="TCO"/>
    <s v="IGM"/>
    <s v="TCO"/>
    <s v="Personal Health"/>
    <s v="GB"/>
    <x v="2"/>
    <s v="IL3"/>
    <n v="0.1"/>
    <x v="34"/>
    <s v="India"/>
    <s v="SYSTEUR"/>
    <x v="0"/>
    <s v="sushruth.rudrachary@philips.com"/>
    <x v="3"/>
    <m/>
  </r>
  <r>
    <s v="RfS-SHA20230401416"/>
    <s v="Sushruth"/>
    <s v="New launch CC12_Japan"/>
    <s v="Tim"/>
    <m/>
    <s v="TCO"/>
    <s v="IGM"/>
    <s v="TCO"/>
    <s v="Personal Health"/>
    <s v="GB"/>
    <x v="2"/>
    <s v="IL3"/>
    <n v="0.1"/>
    <x v="34"/>
    <s v="India"/>
    <s v="SYSTEUR"/>
    <x v="0"/>
    <s v="sushruth.rudrachary@philips.com"/>
    <x v="3"/>
    <m/>
  </r>
  <r>
    <n v="262876"/>
    <s v="Tjisse"/>
    <s v="BRI940 - new entry model HE SKU"/>
    <s v="Tim"/>
    <m/>
    <s v="N/A"/>
    <s v="LCM"/>
    <s v="TCO"/>
    <s v="Personal Health"/>
    <s v="GB"/>
    <x v="2"/>
    <s v="IL3"/>
    <n v="0.15"/>
    <x v="141"/>
    <s v="India"/>
    <s v="SYSTEUR"/>
    <x v="0"/>
    <s v="sushruth.rudrachary@philips.com"/>
    <x v="3"/>
    <m/>
  </r>
  <r>
    <n v="252944"/>
    <s v="Tjisse"/>
    <s v="Adding number of SKU's to the refurbishing scope"/>
    <s v="Tim"/>
    <m/>
    <s v="N/A"/>
    <s v="LCM"/>
    <s v="TCO"/>
    <s v="Personal Health"/>
    <s v="GB"/>
    <x v="2"/>
    <s v="IL3"/>
    <n v="0.15"/>
    <x v="141"/>
    <s v="India"/>
    <s v="SYSTEUR"/>
    <x v="0"/>
    <s v="sushruth.rudrachary@philips.com"/>
    <x v="3"/>
    <m/>
  </r>
  <r>
    <n v="236976"/>
    <s v="Tjisse"/>
    <s v="Release Onyx ZHU SKUs CEE and BRI955 WEU at Iskra"/>
    <s v="Tim"/>
    <m/>
    <s v="N/A"/>
    <s v="LCM"/>
    <s v="TCO"/>
    <s v="Personal Health"/>
    <s v="GB"/>
    <x v="2"/>
    <s v="IL3"/>
    <n v="0.15"/>
    <x v="141"/>
    <s v="India"/>
    <s v="SYSTEUR"/>
    <x v="0"/>
    <s v="sushruth.rudrachary@philips.com"/>
    <x v="3"/>
    <m/>
  </r>
  <r>
    <n v="252147"/>
    <s v="Tjisse"/>
    <s v="Change corded Emerald structural pack into Aqua"/>
    <s v="Tim"/>
    <m/>
    <s v="N/A"/>
    <s v="LCM"/>
    <s v="TCO"/>
    <s v="Personal Health"/>
    <s v="GB"/>
    <x v="2"/>
    <s v="IL3"/>
    <n v="0.15"/>
    <x v="141"/>
    <s v="India"/>
    <s v="SYSTEUR"/>
    <x v="0"/>
    <s v="sushruth.rudrachary@philips.com"/>
    <x v="3"/>
    <m/>
  </r>
  <r>
    <n v="259282"/>
    <s v="Sushruth"/>
    <s v="LOP tester development for GMY Flash lamp"/>
    <s v="Tim"/>
    <m/>
    <s v="TCO"/>
    <s v="AOS"/>
    <s v="TCO"/>
    <s v="Key Components &amp; Electronics"/>
    <s v="GB"/>
    <x v="2"/>
    <s v="IL3"/>
    <n v="0.1"/>
    <x v="29"/>
    <s v="India"/>
    <s v="SYSTEUR"/>
    <x v="0"/>
    <s v="sushruth.rudrachary@philips.com"/>
    <x v="3"/>
    <m/>
  </r>
  <r>
    <n v="240166"/>
    <s v="Sushruth"/>
    <s v="Alternative sourcing On Semi CAT24C02TDI-GT3A"/>
    <s v="Tim"/>
    <m/>
    <s v="PROCUREMENT"/>
    <s v="AOS"/>
    <s v="TCO"/>
    <s v="Key Components &amp; Electronics"/>
    <s v="GB"/>
    <x v="2"/>
    <s v="IL3"/>
    <n v="0.1"/>
    <x v="29"/>
    <s v="India"/>
    <s v="SYSTEUR"/>
    <x v="0"/>
    <s v="sushruth.rudrachary@philips.com"/>
    <x v="3"/>
    <m/>
  </r>
  <r>
    <n v="260321"/>
    <s v="Tjisse"/>
    <s v="Insufficient skin dummy for production lines"/>
    <s v="Tim"/>
    <m/>
    <s v="N/A"/>
    <s v="AOS"/>
    <s v="CONCEPT"/>
    <s v="Mechanical Parts &amp; Assemblies"/>
    <s v="GB"/>
    <x v="2"/>
    <s v="IL1"/>
    <n v="0.1"/>
    <x v="29"/>
    <s v="India"/>
    <s v="SYSTEUR"/>
    <x v="0"/>
    <s v="sushruth.rudrachary@philips.com"/>
    <x v="3"/>
    <m/>
  </r>
  <r>
    <n v="239071"/>
    <s v="Sushruth"/>
    <s v="Project Release alternatives for Everlight and ST Microelectronics"/>
    <s v="Tim"/>
    <m/>
    <s v="PROCUREMENT"/>
    <s v="AOS"/>
    <s v="TCO"/>
    <s v="Key Components &amp; Electronics"/>
    <s v="GB"/>
    <x v="2"/>
    <s v="IL3"/>
    <n v="0.1"/>
    <x v="29"/>
    <s v="India"/>
    <s v="SYSTEUR"/>
    <x v="0"/>
    <s v="sushruth.rudrachary@philips.com"/>
    <x v="3"/>
    <m/>
  </r>
  <r>
    <n v="254779"/>
    <s v="Sushruth"/>
    <s v="Release alternative component for YaGEO PT1206FR-070R1L &amp; RT0603BRD076K8L baseline component"/>
    <s v="Tim"/>
    <m/>
    <s v="PROCUREMENT"/>
    <s v="AOS"/>
    <s v="TCO"/>
    <s v="Key Components &amp; Electronics"/>
    <s v="GB"/>
    <x v="2"/>
    <s v="IL3"/>
    <n v="0.1"/>
    <x v="29"/>
    <s v="India"/>
    <s v="SYSTEUR"/>
    <x v="0"/>
    <s v="sushruth.rudrachary@philips.com"/>
    <x v="3"/>
    <m/>
  </r>
  <r>
    <n v="255514"/>
    <s v="Tjisse"/>
    <s v="Release alternate component for Infineon"/>
    <s v="Tim"/>
    <m/>
    <s v="PROCUREMENT"/>
    <s v="AOS"/>
    <s v="TCO"/>
    <s v="Key Components &amp; Electronics"/>
    <s v="GB"/>
    <x v="2"/>
    <s v="IL3"/>
    <n v="0.1"/>
    <x v="29"/>
    <s v="India"/>
    <s v="SYSTEUR"/>
    <x v="0"/>
    <s v="sushruth.rudrachary@philips.com"/>
    <x v="3"/>
    <m/>
  </r>
  <r>
    <n v="37205"/>
    <s v="Charles Moses"/>
    <s v="Protego Cart Re-design"/>
    <s v="Nishant"/>
    <m/>
    <s v="N/A"/>
    <s v="CART PDC"/>
    <s v="CONCEPT"/>
    <s v="Mechanical Parts &amp; Assemblies"/>
    <s v="US"/>
    <x v="0"/>
    <s v="IL1"/>
    <n v="1"/>
    <x v="142"/>
    <s v="India"/>
    <s v="SYSTEUR"/>
    <x v="0"/>
    <s v="Charles.Moses@philips.com"/>
    <x v="2"/>
    <m/>
  </r>
  <r>
    <n v="30383"/>
    <s v="Vijayanand Purushothaman"/>
    <s v="Hardware localization from GNV supplier base to india supplier base"/>
    <s v="Dan"/>
    <m/>
    <s v="PROCUREMENT"/>
    <s v="PRODUCTIVITY"/>
    <s v="SOURCING"/>
    <s v="Mechanical Parts &amp; Assemblies"/>
    <s v="MR"/>
    <x v="0"/>
    <s v="IL0"/>
    <n v="0.25"/>
    <x v="121"/>
    <s v="India"/>
    <s v="SYSTEUR"/>
    <x v="1"/>
    <s v="Vijayanand.Purushothaman@philips.com"/>
    <x v="1"/>
    <m/>
  </r>
  <r>
    <n v="31299"/>
    <s v="Fabian Bartel"/>
    <s v="STET : Shift to Sea freight with controlled"/>
    <s v="Dan"/>
    <m/>
    <s v="PROCUREMENT"/>
    <s v="PRODUCTIVITY"/>
    <s v="NON_12NC"/>
    <s v="Mechanical Parts &amp; Assemblies"/>
    <s v="MR"/>
    <x v="0"/>
    <s v="IL2"/>
    <n v="0.05"/>
    <x v="121"/>
    <s v="India"/>
    <s v="SYSTEUR"/>
    <x v="1"/>
    <s v="Vijayanand.Purushothaman@philips.com"/>
    <x v="1"/>
    <m/>
  </r>
  <r>
    <s v="GXRCQ00097324"/>
    <s v="Vijayanand"/>
    <s v="Supplier transfer from HH to supplier - Mediagnost"/>
    <s v="Dan"/>
    <m/>
    <s v="N/A"/>
    <s v="LCM"/>
    <s v="SOURCING"/>
    <s v="Mechanical Parts &amp; Assemblies"/>
    <s v="DXR"/>
    <x v="0"/>
    <s v="IL0"/>
    <n v="1"/>
    <x v="143"/>
    <s v="India"/>
    <s v="SYSTEUR"/>
    <x v="1"/>
    <s v="Karthik.Ramamurthy@philips.com"/>
    <x v="1"/>
    <m/>
  </r>
  <r>
    <s v="LCM9"/>
    <s v="Vijayanand Purushothaman"/>
    <s v="XXXXX : MR LCM Support"/>
    <s v="Dan"/>
    <m/>
    <s v="N/A"/>
    <s v="LCM"/>
    <s v="SOURCING"/>
    <s v="Mechanical Parts &amp; Assemblies"/>
    <s v="MR"/>
    <x v="0"/>
    <s v="IL1"/>
    <n v="0.2"/>
    <x v="143"/>
    <s v="India"/>
    <s v="SYSTEUR"/>
    <x v="1"/>
    <s v="Karthik.Ramamurthy@philips.com"/>
    <x v="1"/>
    <m/>
  </r>
  <r>
    <n v="35140"/>
    <s v="Tjisse"/>
    <s v="Business Reallocation from Yingcheng to FuYu"/>
    <s v="Tim"/>
    <m/>
    <s v="PROCUREMENT"/>
    <s v="PRODUCTIVITY"/>
    <s v="SOURCING"/>
    <s v="Mechanical Parts &amp; Assemblies"/>
    <s v="GB"/>
    <x v="2"/>
    <s v="IL3"/>
    <n v="0.1"/>
    <x v="27"/>
    <s v="India"/>
    <s v="SYSTEUR"/>
    <x v="0"/>
    <s v="sushruth.rudrachary@philips.com"/>
    <x v="3"/>
    <m/>
  </r>
  <r>
    <n v="36556"/>
    <s v="Tjisse"/>
    <s v="Dfx - 5 sets Mold move to PPD of Philips from FUYU as 1st phase (Cerberus, Pinky, S3000)"/>
    <s v="Tim"/>
    <m/>
    <s v="PROCUREMENT"/>
    <s v="PRODUCTIVITY"/>
    <s v="SOURCING"/>
    <s v="Mechanical Parts &amp; Assemblies"/>
    <s v="GB"/>
    <x v="2"/>
    <s v="IL3"/>
    <n v="0.1"/>
    <x v="27"/>
    <s v="India"/>
    <s v="SYSTEUR"/>
    <x v="0"/>
    <s v="sushruth.rudrachary@philips.com"/>
    <x v="3"/>
    <m/>
  </r>
  <r>
    <s v="RTC-FDEP20220600656"/>
    <s v="Sushruth"/>
    <s v="Replace plastic from adapter cable tie with paper material"/>
    <s v="Tim"/>
    <m/>
    <s v="N/A"/>
    <s v="LCM"/>
    <s v="CONCEPT"/>
    <s v="Mechanical Parts &amp; Assemblies"/>
    <s v="GB"/>
    <x v="2"/>
    <s v="IL3"/>
    <n v="0.1"/>
    <x v="27"/>
    <s v="India"/>
    <s v="SYSTEUR"/>
    <x v="0"/>
    <s v="sushruth.rudrachary@philips.com"/>
    <x v="3"/>
    <m/>
  </r>
  <r>
    <s v="Astotec De-risking FemDep"/>
    <s v="Sushruth"/>
    <s v="Astotec Supply Chain De-risking Fem Dep"/>
    <s v="Tim"/>
    <m/>
    <s v="N/A"/>
    <s v="AOS"/>
    <s v="SOURCING"/>
    <s v="Mechanical Parts &amp; Assemblies"/>
    <s v="GB"/>
    <x v="2"/>
    <s v="IL2"/>
    <n v="0.05"/>
    <x v="27"/>
    <s v="India"/>
    <s v="SYSTEUR"/>
    <x v="0"/>
    <s v="sushruth.rudrachary@philips.com"/>
    <x v="3"/>
    <m/>
  </r>
  <r>
    <s v="RTC-FDEP20220800666"/>
    <s v="Sushruth"/>
    <s v="Replace BASF Catalyst pellet by Johnson Matthey"/>
    <s v="Tim"/>
    <m/>
    <s v="N/A"/>
    <s v="LCM"/>
    <s v="SOURCING"/>
    <s v="Mechanical Parts &amp; Assemblies"/>
    <s v="GB"/>
    <x v="2"/>
    <s v="IL3"/>
    <n v="0.1"/>
    <x v="27"/>
    <s v="India"/>
    <s v="SYSTEUR"/>
    <x v="0"/>
    <s v="sushruth.rudrachary@philips.com"/>
    <x v="3"/>
    <m/>
  </r>
  <r>
    <s v="RTC-FDEP20220800667"/>
    <s v="Sushruth"/>
    <s v="Change format Inmetro logo Brazil RegMem AMB554-22068"/>
    <s v="Tim"/>
    <m/>
    <s v="N/A"/>
    <s v="LCM"/>
    <s v="CONCEPT"/>
    <s v="Mechanical Parts &amp; Assemblies"/>
    <s v="GB"/>
    <x v="2"/>
    <s v="IL3"/>
    <n v="0.1"/>
    <x v="27"/>
    <s v="India"/>
    <s v="SYSTEUR"/>
    <x v="0"/>
    <s v="sushruth.rudrachary@philips.com"/>
    <x v="3"/>
    <m/>
  </r>
  <r>
    <n v="38002"/>
    <s v="Sushruth"/>
    <s v="Mabuchi motor second source (Chimera)"/>
    <s v="Tim"/>
    <m/>
    <s v="N/A"/>
    <s v="AOS"/>
    <s v="CONCEPT"/>
    <s v="Personal Health"/>
    <s v="GB"/>
    <x v="2"/>
    <s v="IL2"/>
    <n v="0.1"/>
    <x v="144"/>
    <s v="India"/>
    <s v="SYSTEUR"/>
    <x v="0"/>
    <s v="sushruth.rudrachary@philips.com"/>
    <x v="3"/>
    <m/>
  </r>
  <r>
    <s v="IGM77"/>
    <s v="Tjisse"/>
    <s v="Launch of S6800/90 in US"/>
    <s v="Tim"/>
    <m/>
    <s v="TCO"/>
    <s v="IGM"/>
    <s v="TCO"/>
    <s v="Personal Health"/>
    <s v="GB"/>
    <x v="2"/>
    <s v="IL3"/>
    <n v="0.1"/>
    <x v="144"/>
    <s v="India"/>
    <s v="SYSTEUR"/>
    <x v="0"/>
    <s v="sushruth.rudrachary@philips.com"/>
    <x v="3"/>
    <m/>
  </r>
  <r>
    <s v="RTC-GRO20230201323"/>
    <s v="Sushruth"/>
    <s v="Improve on/off button force for BT3000"/>
    <s v="Tim"/>
    <m/>
    <s v="N/A"/>
    <s v="LCM"/>
    <s v="TCO"/>
    <s v="Personal Health"/>
    <s v="GB"/>
    <x v="2"/>
    <s v="IL3"/>
    <n v="0.1"/>
    <x v="144"/>
    <s v="India"/>
    <s v="SYSTEUR"/>
    <x v="0"/>
    <s v="sushruth.rudrachary@philips.com"/>
    <x v="3"/>
    <m/>
  </r>
  <r>
    <s v="RTC-GRO20230201324"/>
    <s v="Sushruth"/>
    <s v="Comb detach force for BT3"/>
    <s v="Tim"/>
    <m/>
    <s v="N/A"/>
    <s v="LCM"/>
    <s v="TCO"/>
    <s v="Personal Health"/>
    <s v="GB"/>
    <x v="2"/>
    <s v="IL3"/>
    <n v="0.1"/>
    <x v="144"/>
    <s v="India"/>
    <s v="SYSTEUR"/>
    <x v="0"/>
    <s v="sushruth.rudrachary@philips.com"/>
    <x v="3"/>
    <m/>
  </r>
  <r>
    <s v="RTC-GRO20230201320"/>
    <s v="Sushruth"/>
    <s v="Phase out NT1715, NT3600, NT5600"/>
    <s v="Tim"/>
    <m/>
    <s v="N/A"/>
    <s v="LCM"/>
    <s v="CONCEPT"/>
    <s v="Personal Health"/>
    <s v="GB"/>
    <x v="2"/>
    <s v="IL3"/>
    <n v="0.1"/>
    <x v="144"/>
    <s v="India"/>
    <s v="SYSTEUR"/>
    <x v="0"/>
    <s v="sushruth.rudrachary@philips.com"/>
    <x v="3"/>
    <m/>
  </r>
  <r>
    <s v="RTC-GRO20221201299"/>
    <s v="Sushruth"/>
    <s v="NT3600 battery and pack update"/>
    <s v="Tim"/>
    <m/>
    <s v="TCO"/>
    <s v="IGM"/>
    <s v="TCO"/>
    <s v="Personal Health"/>
    <s v="GB"/>
    <x v="2"/>
    <s v="IL3"/>
    <n v="0.1"/>
    <x v="144"/>
    <s v="India"/>
    <s v="SYSTEUR"/>
    <x v="0"/>
    <s v="sushruth.rudrachary@philips.com"/>
    <x v="3"/>
    <m/>
  </r>
  <r>
    <s v="IGM76"/>
    <s v="Tjisse"/>
    <s v="Phase Out for NT3610/42"/>
    <s v="Tim"/>
    <m/>
    <s v="N/A"/>
    <s v="LCM"/>
    <s v="TCO"/>
    <s v="Personal Health"/>
    <s v="GB"/>
    <x v="2"/>
    <s v="IL3"/>
    <n v="0.1"/>
    <x v="144"/>
    <s v="India"/>
    <s v="SYSTEUR"/>
    <x v="0"/>
    <s v="sushruth.rudrachary@philips.com"/>
    <x v="3"/>
    <m/>
  </r>
  <r>
    <s v="IGM67"/>
    <s v="Tjisse"/>
    <s v="Transfer Ritdisplay back-end production process for the OLED (SICR20220921004B)"/>
    <s v="Tim"/>
    <m/>
    <s v="N/A"/>
    <s v="LCM"/>
    <s v="TCO"/>
    <s v="Personal Health"/>
    <s v="GB"/>
    <x v="2"/>
    <s v="IL3"/>
    <n v="0.1"/>
    <x v="144"/>
    <s v="India"/>
    <s v="SYSTEUR"/>
    <x v="0"/>
    <s v="sushruth.rudrachary@philips.com"/>
    <x v="3"/>
    <m/>
  </r>
  <r>
    <n v="36420"/>
    <s v="Tjisse"/>
    <s v="Arya Stark - packaging (plastic to closed box) &amp; battery (Lithium -&gt; Alkaline)"/>
    <s v="Tim"/>
    <m/>
    <s v="PROCUREMENT"/>
    <s v="PRODUCTIVITY"/>
    <s v="CONCEPT"/>
    <s v="Mechanical Parts &amp; Assemblies"/>
    <s v="GB"/>
    <x v="2"/>
    <s v="IL3"/>
    <n v="0.1"/>
    <x v="144"/>
    <s v="India"/>
    <s v="SYSTEUR"/>
    <x v="0"/>
    <s v="sushruth.rudrachary@philips.com"/>
    <x v="3"/>
    <m/>
  </r>
  <r>
    <s v="RTC-GRO20221201300"/>
    <s v="Sushruth"/>
    <s v="NT5600 battery and pack update"/>
    <s v="Tim"/>
    <m/>
    <s v="TCO"/>
    <s v="IGM"/>
    <s v="TCO"/>
    <s v="Personal Health"/>
    <s v="GB"/>
    <x v="2"/>
    <s v="IL3"/>
    <n v="0.1"/>
    <x v="144"/>
    <s v="India"/>
    <s v="SYSTEUR"/>
    <x v="0"/>
    <s v="sushruth.rudrachary@philips.com"/>
    <x v="3"/>
    <m/>
  </r>
  <r>
    <s v="AOS15"/>
    <s v="Steven Li"/>
    <s v="Legacy FRU Transfer"/>
    <s v="Phil"/>
    <m/>
    <s v="N/A"/>
    <s v="LCM"/>
    <s v="CONCEPT"/>
    <s v="Medical ODM Markets"/>
    <s v="DXR"/>
    <x v="0"/>
    <s v="IL3"/>
    <n v="1"/>
    <x v="145"/>
    <s v="China"/>
    <s v="SYSTEUR"/>
    <x v="0"/>
    <s v="sam.zhao@philips.com"/>
    <x v="0"/>
    <m/>
  </r>
  <r>
    <n v="35535"/>
    <s v="ShaSha Shi"/>
    <s v="Noah H-frame design optimization"/>
    <s v="Phil"/>
    <m/>
    <s v="PROCUREMENT"/>
    <s v="PRODUCTIVITY"/>
    <s v="CONCEPT"/>
    <s v="Mechanical Parts &amp; Assemblies"/>
    <s v="CT/AMI"/>
    <x v="0"/>
    <s v="IL3"/>
    <n v="0.5"/>
    <x v="146"/>
    <s v="China"/>
    <s v="SYSTEUR"/>
    <x v="0"/>
    <s v="sam.zhao@philips.com"/>
    <x v="0"/>
    <m/>
  </r>
  <r>
    <n v="35295"/>
    <s v="Wei Zhao"/>
    <s v="Kunpeng gantry bearing dual source to LYC"/>
    <s v="Phil"/>
    <m/>
    <s v="PROCUREMENT"/>
    <s v="PRODUCTIVITY"/>
    <s v="CONCEPT"/>
    <s v="Mechanical Parts &amp; Assemblies"/>
    <s v="CT/AMI"/>
    <x v="0"/>
    <s v="IL3"/>
    <n v="0.3"/>
    <x v="146"/>
    <s v="China"/>
    <s v="SYSTEUR"/>
    <x v="0"/>
    <s v="sam.zhao@philips.com"/>
    <x v="0"/>
    <m/>
  </r>
  <r>
    <n v="32939"/>
    <s v="Fred Cai"/>
    <s v="STET: localize 2 parts with Hontech"/>
    <s v="Phil"/>
    <m/>
    <s v="PROCUREMENT"/>
    <s v="PRODUCTIVITY"/>
    <s v="SOURCING"/>
    <s v="Mechanical Parts &amp; Assemblies"/>
    <s v="MR"/>
    <x v="0"/>
    <s v="IL3"/>
    <n v="0.1"/>
    <x v="147"/>
    <s v="China"/>
    <s v="SYSTEUR"/>
    <x v="0"/>
    <s v="sam.zhao@philips.com"/>
    <x v="0"/>
    <m/>
  </r>
  <r>
    <n v="33323"/>
    <s v="Xia Ling"/>
    <s v="Pony Slipring 2nd source development"/>
    <s v="Phil"/>
    <m/>
    <s v="PROCUREMENT"/>
    <s v="PRODUCTIVITY"/>
    <s v="CONCEPT"/>
    <s v="Mechanical Parts &amp; Assemblies"/>
    <s v="CT/AMI"/>
    <x v="0"/>
    <s v="IL2"/>
    <n v="0.2"/>
    <x v="147"/>
    <s v="China"/>
    <s v="SYSTEUR"/>
    <x v="0"/>
    <s v="sam.zhao@philips.com"/>
    <x v="0"/>
    <m/>
  </r>
  <r>
    <n v="34330"/>
    <s v="Adrianna Davis"/>
    <s v="Noah HLA machining parts to Laser cutting/(Scissor &amp; connecting block/seat)"/>
    <s v="Phil"/>
    <m/>
    <s v="PROCUREMENT"/>
    <s v="PRODUCTIVITY"/>
    <s v="CONCEPT"/>
    <s v="Mechanical Parts &amp; Assemblies"/>
    <s v="CT/AMI"/>
    <x v="0"/>
    <s v="IL3"/>
    <n v="0.2"/>
    <x v="147"/>
    <s v="China"/>
    <s v="SYSTEUR"/>
    <x v="0"/>
    <s v="sam.zhao@philips.com"/>
    <x v="0"/>
    <m/>
  </r>
  <r>
    <n v="31472"/>
    <s v="Steven Li"/>
    <s v="CT Tube heat exchanger (CLU4500) transfer"/>
    <s v="Phil"/>
    <m/>
    <s v="PROCUREMENT"/>
    <s v="PRODUCTIVITY"/>
    <s v="CONCEPT"/>
    <s v="Mechanical Parts &amp; Assemblies"/>
    <s v="CT/AMI"/>
    <x v="0"/>
    <s v="IL3"/>
    <n v="0.1"/>
    <x v="147"/>
    <s v="China"/>
    <s v="SYSTEUR"/>
    <x v="0"/>
    <s v="sam.zhao@philips.com"/>
    <x v="0"/>
    <m/>
  </r>
  <r>
    <n v="34786"/>
    <s v="Sha Sha"/>
    <s v="Incisive gantry weight reduction ( remove the feature for anti-earth quake)"/>
    <s v="Phil"/>
    <m/>
    <s v="PROCUREMENT"/>
    <s v="PRODUCTIVITY"/>
    <s v="CONCEPT"/>
    <s v="Mechanical Parts &amp; Assemblies"/>
    <s v="CT/AMI"/>
    <x v="0"/>
    <s v="IL3"/>
    <n v="1"/>
    <x v="148"/>
    <s v="China"/>
    <s v="SYSTEUR"/>
    <x v="0"/>
    <s v="sam.zhao@philips.com"/>
    <x v="0"/>
    <m/>
  </r>
  <r>
    <n v="35292"/>
    <s v="Fred Cai"/>
    <s v="MR Suzhou Loulan GA in Falcon comparing to AG700 replace ID 21360"/>
    <s v="Phil"/>
    <m/>
    <s v="PROCUREMENT"/>
    <s v="PRODUCTIVITY"/>
    <s v="CONCEPT"/>
    <s v="Key Components &amp; Electronics"/>
    <s v="MR"/>
    <x v="0"/>
    <s v="IL3"/>
    <n v="0.7"/>
    <x v="149"/>
    <s v="China"/>
    <s v="SYSTEUR"/>
    <x v="0"/>
    <s v="Thomas.LIU@philips.com"/>
    <x v="0"/>
    <m/>
  </r>
  <r>
    <n v="34037"/>
    <s v="Fred Cai"/>
    <s v="Billy-Gradient Amp 1.6MVA"/>
    <s v="Phil"/>
    <m/>
    <s v="PROCUREMENT"/>
    <s v="PRODUCTIVITY"/>
    <s v="CONCEPT"/>
    <s v="Key Components &amp; Electronics"/>
    <s v="MR"/>
    <x v="0"/>
    <s v="IL0"/>
    <n v="0.3"/>
    <x v="149"/>
    <s v="China"/>
    <s v="SYSTEUR"/>
    <x v="0"/>
    <s v="Thomas.LIU@philips.com"/>
    <x v="0"/>
    <m/>
  </r>
  <r>
    <n v="33270"/>
    <s v="Fred Cai"/>
    <s v="Vexos PCBA Couch Insourcing Project"/>
    <s v="Phil"/>
    <m/>
    <s v="PROCUREMENT"/>
    <s v="PRODUCTIVITY"/>
    <s v="CONCEPT"/>
    <s v="Key Components &amp; Electronics"/>
    <s v="CT/AMI"/>
    <x v="0"/>
    <s v="IL2"/>
    <n v="0.4"/>
    <x v="83"/>
    <s v="China"/>
    <s v="SYSTEUR"/>
    <x v="0"/>
    <s v="Thomas.LIU@philips.com"/>
    <x v="0"/>
    <m/>
  </r>
  <r>
    <n v="35731"/>
    <s v="Johnson Jiang"/>
    <s v="Risk mitigation: Wudang II change spartan 6 IC to 7 series"/>
    <s v="Phil"/>
    <m/>
    <s v="PROCUREMENT"/>
    <s v="PRODUCTIVITY"/>
    <s v="CONCEPT"/>
    <s v="Key Components &amp; Electronics"/>
    <s v="MR"/>
    <x v="0"/>
    <s v="IL3"/>
    <n v="0.4"/>
    <x v="150"/>
    <s v="China"/>
    <s v="SYSTEUR"/>
    <x v="0"/>
    <s v="Thomas.LIU@philips.com"/>
    <x v="0"/>
    <m/>
  </r>
  <r>
    <n v="28842"/>
    <s v="Fred Cai"/>
    <s v="iTCI Integration with RFA3T - MR Amplifier Workstream - (LDRFA + iTCI)"/>
    <s v="Phil"/>
    <m/>
    <s v="PROCUREMENT"/>
    <s v="PRODUCTIVITY"/>
    <s v="CONCEPT"/>
    <s v="Key Components &amp; Electronics"/>
    <s v="MR"/>
    <x v="0"/>
    <s v="IL0"/>
    <n v="0.6"/>
    <x v="150"/>
    <s v="China"/>
    <s v="SYSTEUR"/>
    <x v="0"/>
    <s v="Thomas.LIU@philips.com"/>
    <x v="0"/>
    <m/>
  </r>
  <r>
    <n v="34037"/>
    <s v="Fred Cai"/>
    <s v="Billy-Gradient Amp 1.6MVA"/>
    <s v="Phil"/>
    <m/>
    <s v="PROCUREMENT"/>
    <s v="PRODUCTIVITY"/>
    <s v="CONCEPT"/>
    <s v="Key Components &amp; Electronics"/>
    <s v="MR"/>
    <x v="0"/>
    <s v="IL0"/>
    <n v="1"/>
    <x v="151"/>
    <s v="China"/>
    <s v="SYSTEUR"/>
    <x v="0"/>
    <s v="Thomas.LIU@philips.com"/>
    <x v="0"/>
    <m/>
  </r>
  <r>
    <n v="36400"/>
    <s v="Fred Cai"/>
    <s v="PCBA Refresh-453564689091-PCA Process Board Rubicon pb free"/>
    <s v="Phil"/>
    <m/>
    <s v="PROCUREMENT"/>
    <s v="LCM"/>
    <s v="SOURCING"/>
    <s v="Key Components &amp; Electronics"/>
    <s v="EC"/>
    <x v="1"/>
    <s v="IL1"/>
    <n v="0.2"/>
    <x v="152"/>
    <s v="China"/>
    <s v="SYSTEUR"/>
    <x v="0"/>
    <s v="Thomas.LIU@philips.com"/>
    <x v="0"/>
    <m/>
  </r>
  <r>
    <n v="36399"/>
    <s v="Fred Cai"/>
    <s v="PCBA Refresh-453564376661-PCA Process Board DFMSYS01"/>
    <s v="Phil"/>
    <m/>
    <s v="PROCUREMENT"/>
    <s v="LCM"/>
    <s v="SOURCING"/>
    <s v="Key Components &amp; Electronics"/>
    <s v="EC"/>
    <x v="1"/>
    <s v="IL1"/>
    <n v="0.1"/>
    <x v="152"/>
    <s v="China"/>
    <s v="SYSTEUR"/>
    <x v="0"/>
    <s v="Thomas.LIU@philips.com"/>
    <x v="0"/>
    <m/>
  </r>
  <r>
    <n v="36408"/>
    <s v="Fred Cai"/>
    <s v="PCBA Refresh-453564870581-PCA therapy Board Rubicon pb free"/>
    <s v="Phil"/>
    <m/>
    <s v="PROCUREMENT"/>
    <s v="LCM"/>
    <s v="SOURCING"/>
    <s v="Key Components &amp; Electronics"/>
    <s v="EC"/>
    <x v="1"/>
    <s v="IL1"/>
    <n v="0.2"/>
    <x v="152"/>
    <s v="China"/>
    <s v="SYSTEUR"/>
    <x v="0"/>
    <s v="Thomas.LIU@philips.com"/>
    <x v="0"/>
    <m/>
  </r>
  <r>
    <n v="36438"/>
    <s v="Fred Cai"/>
    <s v="PCBA Refresh-453564731911-ITP ASSY NBP Module"/>
    <s v="Phil"/>
    <m/>
    <s v="PROCUREMENT"/>
    <s v="LCM"/>
    <s v="SOURCING"/>
    <s v="Key Components &amp; Electronics"/>
    <s v="EC"/>
    <x v="1"/>
    <s v="IL1"/>
    <n v="0.1"/>
    <x v="152"/>
    <s v="China"/>
    <s v="SYSTEUR"/>
    <x v="0"/>
    <s v="Thomas.LIU@philips.com"/>
    <x v="0"/>
    <m/>
  </r>
  <r>
    <n v="28689"/>
    <s v="Xin Ling"/>
    <s v="Incisive &amp; Access_PCBA transfer out from Sinbon"/>
    <s v="Phil"/>
    <m/>
    <s v="PROCUREMENT"/>
    <s v="PRODUCTIVITY"/>
    <s v="SOURCING"/>
    <s v="Key Components &amp; Electronics"/>
    <s v="CT/AMI"/>
    <x v="0"/>
    <s v="IL3"/>
    <n v="0.3"/>
    <x v="153"/>
    <s v="China"/>
    <s v="SYSTEUR"/>
    <x v="0"/>
    <s v="Thomas.LIU@philips.com"/>
    <x v="0"/>
    <m/>
  </r>
  <r>
    <s v="PDTEAM19"/>
    <s v="Fred Cai"/>
    <s v="Prodiva table EOL CR"/>
    <s v="Phil"/>
    <m/>
    <s v="N/A"/>
    <s v="LCM"/>
    <s v="CONCEPT"/>
    <s v="Medical ODM Markets"/>
    <s v="MR"/>
    <x v="0"/>
    <s v="IL3"/>
    <n v="0.5"/>
    <x v="154"/>
    <s v="China"/>
    <s v="SYSTEUR"/>
    <x v="0"/>
    <s v="Thomas.LIU@philips.com"/>
    <x v="0"/>
    <m/>
  </r>
  <r>
    <s v="PDTEAM19"/>
    <s v="Fred Cai"/>
    <s v="Prodiva table EOL CR"/>
    <s v="Phil"/>
    <m/>
    <s v="N/A"/>
    <s v="LCM"/>
    <s v="CONCEPT"/>
    <s v="Medical ODM Markets"/>
    <s v="MR"/>
    <x v="0"/>
    <s v="IL3"/>
    <n v="0.5"/>
    <x v="155"/>
    <s v="China"/>
    <s v="SYSTEUR"/>
    <x v="0"/>
    <s v="Thomas.LIU@philips.com"/>
    <x v="0"/>
    <m/>
  </r>
  <r>
    <n v="29185"/>
    <s v="Fred Cai"/>
    <s v="MR LCC4-second source_Technotrans"/>
    <s v="Phil"/>
    <m/>
    <s v="PROCUREMENT"/>
    <s v="PRODUCTIVITY"/>
    <s v="SOURCING"/>
    <s v="Medical ODM Markets"/>
    <s v="MR"/>
    <x v="0"/>
    <s v="IL3"/>
    <n v="0.5"/>
    <x v="156"/>
    <s v="China"/>
    <s v="SYSTEUR"/>
    <x v="0"/>
    <s v="Thomas.LIU@philips.com"/>
    <x v="0"/>
    <m/>
  </r>
  <r>
    <n v="33028"/>
    <s v="Adrianna Davis"/>
    <s v="Redesign Hawk PCBA's - Hawk Gantry Display"/>
    <s v="Phil"/>
    <m/>
    <s v="PROCUREMENT"/>
    <s v="LCM"/>
    <s v="CONCEPT"/>
    <s v="Key Components &amp; Electronics"/>
    <s v="CT/AMI"/>
    <x v="0"/>
    <s v="IL3"/>
    <n v="0.9"/>
    <x v="157"/>
    <s v="China"/>
    <s v="SYSTEUR"/>
    <x v="0"/>
    <s v="Thomas.LIU@philips.com"/>
    <x v="0"/>
    <m/>
  </r>
  <r>
    <n v="33029"/>
    <s v="Tiger Xiao"/>
    <s v="Hawk System PCBA transfer from Vexos to Plexus - RPD"/>
    <s v="Phil"/>
    <m/>
    <s v="PROCUREMENT"/>
    <s v="PRODUCTIVITY"/>
    <s v="SOURCING"/>
    <s v="Key Components &amp; Electronics"/>
    <s v="CT/AMI"/>
    <x v="0"/>
    <s v="IL3"/>
    <n v="0.1"/>
    <x v="157"/>
    <s v="China"/>
    <s v="SYSTEUR"/>
    <x v="0"/>
    <s v="Thomas.LIU@philips.com"/>
    <x v="0"/>
    <m/>
  </r>
  <r>
    <s v="PDTEAM30"/>
    <s v="Fred Cai"/>
    <s v="Billy-Gust project"/>
    <s v="Phil"/>
    <m/>
    <s v="PROCUREMENT"/>
    <s v="NPI"/>
    <s v="CONCEPT"/>
    <s v="Medical ODM Markets"/>
    <s v="MR"/>
    <x v="0"/>
    <s v="IL3"/>
    <n v="1"/>
    <x v="158"/>
    <s v="China"/>
    <s v="SYSTEUR"/>
    <x v="0"/>
    <s v="Thomas.LIU@philips.com"/>
    <x v="0"/>
    <m/>
  </r>
  <r>
    <n v="35295"/>
    <s v="Wei Zhao"/>
    <s v="Kunpeng gantry bearing dual source to LYC"/>
    <s v="Phil"/>
    <m/>
    <s v="PROCUREMENT"/>
    <s v="PRODUCTIVITY"/>
    <s v="CONCEPT"/>
    <s v="Mechanical Parts &amp; Assemblies"/>
    <s v="CT/AMI"/>
    <x v="0"/>
    <s v="IL3"/>
    <n v="0.1"/>
    <x v="159"/>
    <s v="China"/>
    <s v="SYSTEUR"/>
    <x v="0"/>
    <s v="Thomas.LIU@philips.com"/>
    <x v="0"/>
    <m/>
  </r>
  <r>
    <n v="33504"/>
    <s v="Steven Li"/>
    <s v="Antonia HV Board A+C HV Cap Change"/>
    <s v="Phil"/>
    <m/>
    <s v="PROCUREMENT"/>
    <s v="PRODUCTIVITY"/>
    <s v="CONCEPT"/>
    <s v="Key Components &amp; Electronics"/>
    <s v="MR"/>
    <x v="0"/>
    <s v="IL0"/>
    <n v="0.1"/>
    <x v="159"/>
    <s v="China"/>
    <s v="SYSTEUR"/>
    <x v="0"/>
    <s v="Thomas.LIU@philips.com"/>
    <x v="0"/>
    <m/>
  </r>
  <r>
    <n v="32339"/>
    <s v="Steven Li"/>
    <s v="Access &amp; Kunpeng Bearing dual source to LYC"/>
    <s v="Phil"/>
    <m/>
    <s v="PROCUREMENT"/>
    <s v="PRODUCTIVITY"/>
    <s v="CONCEPT"/>
    <s v="Mechanical Parts &amp; Assemblies"/>
    <s v="CT/AMI"/>
    <x v="0"/>
    <s v="IL2"/>
    <n v="0.1"/>
    <x v="159"/>
    <s v="China"/>
    <s v="SYSTEUR"/>
    <x v="0"/>
    <s v="Thomas.LIU@philips.com"/>
    <x v="0"/>
    <m/>
  </r>
  <r>
    <n v="35292"/>
    <s v="Fred Cai"/>
    <s v="MR Suzhou Loulan GA in Falcon comparing to AG700 replace ID 21360"/>
    <s v="Phil"/>
    <m/>
    <s v="PROCUREMENT"/>
    <s v="PRODUCTIVITY"/>
    <s v="CONCEPT"/>
    <s v="Key Components &amp; Electronics"/>
    <s v="MR"/>
    <x v="0"/>
    <s v="IL3"/>
    <n v="0.6"/>
    <x v="160"/>
    <s v="China"/>
    <s v="SYSTEUR"/>
    <x v="0"/>
    <s v="Thomas.LIU@philips.com"/>
    <x v="0"/>
    <m/>
  </r>
  <r>
    <n v="34037"/>
    <s v="Fred Cai"/>
    <s v="Billy-Gradient Amp 1.6MVA"/>
    <s v="Phil"/>
    <m/>
    <s v="PROCUREMENT"/>
    <s v="PRODUCTIVITY"/>
    <s v="CONCEPT"/>
    <s v="Key Components &amp; Electronics"/>
    <s v="MR"/>
    <x v="0"/>
    <s v="IL0"/>
    <n v="0.4"/>
    <x v="160"/>
    <s v="China"/>
    <s v="SYSTEUR"/>
    <x v="0"/>
    <s v="Thomas.LIU@philips.com"/>
    <x v="0"/>
    <m/>
  </r>
  <r>
    <s v="L&amp;A"/>
    <s v="N/A"/>
    <s v="MISC. ENTRY TO BALANCE WITH RESOURCE DATABASE"/>
    <s v="All"/>
    <m/>
    <s v="L&amp;A"/>
    <s v="L&amp;A"/>
    <s v="L&amp;A"/>
    <s v="L&amp;A"/>
    <s v="L&amp;A"/>
    <x v="4"/>
    <s v="L&amp;A"/>
    <n v="1"/>
    <x v="161"/>
    <s v="India"/>
    <s v="SYSTEUR"/>
    <x v="0"/>
    <s v="sushruth.rudrachary@philips.com"/>
    <x v="3"/>
    <m/>
  </r>
  <r>
    <s v="PDTEAM59"/>
    <s v="Tiger Xiao"/>
    <s v="TE Cable Components supplier transfer"/>
    <s v="Phil"/>
    <m/>
    <s v="PROCUREMENT"/>
    <s v="PRODUCTIVITY"/>
    <s v="SOURCING"/>
    <s v="Key Components &amp; Electronics"/>
    <s v="US"/>
    <x v="0"/>
    <s v="IL1"/>
    <n v="0.3"/>
    <x v="162"/>
    <s v="China"/>
    <s v="SYSTEUR"/>
    <x v="0"/>
    <s v="Thomas.LIU@philips.com"/>
    <x v="0"/>
    <m/>
  </r>
  <r>
    <s v="L&amp;A"/>
    <s v="N/A"/>
    <s v="MISC. ENTRY TO BALANCE WITH RESOURCE DATABASE"/>
    <s v="All"/>
    <m/>
    <s v="L&amp;A"/>
    <s v="L&amp;A"/>
    <s v="L&amp;A"/>
    <s v="L&amp;A"/>
    <s v="L&amp;A"/>
    <x v="4"/>
    <s v="L&amp;A"/>
    <n v="0.25"/>
    <x v="139"/>
    <s v="India"/>
    <s v="SYSTEUR"/>
    <x v="0"/>
    <s v="sushruth.rudrachary@philips.com"/>
    <x v="3"/>
    <m/>
  </r>
  <r>
    <n v="35292"/>
    <s v="Fred Cai"/>
    <s v="MR Suzhou Loulan GA in Falcon comparing to AG700 replace ID 21360"/>
    <s v="Phil"/>
    <m/>
    <s v="PROCUREMENT"/>
    <s v="PRODUCTIVITY"/>
    <s v="CONCEPT"/>
    <s v="Key Components &amp; Electronics"/>
    <s v="MR"/>
    <x v="0"/>
    <s v="IL3"/>
    <n v="0.5"/>
    <x v="163"/>
    <s v="China"/>
    <s v="SYSTEUR"/>
    <x v="0"/>
    <s v="Thomas.LIU@philips.com"/>
    <x v="0"/>
    <m/>
  </r>
  <r>
    <s v="PDTEAM19"/>
    <s v="Fred Cai"/>
    <s v="Prodiva table EOL CR"/>
    <s v="Phil"/>
    <m/>
    <s v="N/A"/>
    <s v="LCM"/>
    <s v="CONCEPT"/>
    <s v="Medical ODM Markets"/>
    <s v="MR"/>
    <x v="0"/>
    <s v="IL3"/>
    <n v="0.2"/>
    <x v="163"/>
    <s v="China"/>
    <s v="SYSTEUR"/>
    <x v="0"/>
    <s v="Thomas.LIU@philips.com"/>
    <x v="0"/>
    <m/>
  </r>
  <r>
    <n v="28842"/>
    <s v="Fred Cai"/>
    <s v="iTCI Integration with RFA3T - MR Amplifier Workstream - (LDRFA + iTCI)"/>
    <s v="Phil"/>
    <m/>
    <s v="PROCUREMENT"/>
    <s v="PRODUCTIVITY"/>
    <s v="CONCEPT"/>
    <s v="Key Components &amp; Electronics"/>
    <s v="MR"/>
    <x v="0"/>
    <s v="IL0"/>
    <n v="0.3"/>
    <x v="163"/>
    <s v="China"/>
    <s v="SYSTEUR"/>
    <x v="0"/>
    <s v="Thomas.LIU@philips.com"/>
    <x v="0"/>
    <m/>
  </r>
  <r>
    <s v="L&amp;A"/>
    <s v="N/A"/>
    <s v="MISC. ENTRY TO BALANCE WITH RESOURCE DATABASE"/>
    <s v="All"/>
    <m/>
    <s v="L&amp;A"/>
    <s v="L&amp;A"/>
    <s v="L&amp;A"/>
    <s v="L&amp;A"/>
    <s v="L&amp;A"/>
    <x v="4"/>
    <s v="L&amp;A"/>
    <n v="0.25"/>
    <x v="138"/>
    <s v="India"/>
    <s v="SYSTEUR"/>
    <x v="0"/>
    <s v="sushruth.rudrachary@philips.com"/>
    <x v="3"/>
    <m/>
  </r>
  <r>
    <n v="31645"/>
    <s v="Steven Li"/>
    <s v="SOF Phantom transfer"/>
    <s v="Phil"/>
    <m/>
    <s v="PROCUREMENT"/>
    <s v="PRODUCTIVITY"/>
    <s v="CONCEPT"/>
    <s v="Mechanical Parts &amp; Assemblies"/>
    <s v="CT/AMI"/>
    <x v="0"/>
    <s v="IL3"/>
    <n v="0.2"/>
    <x v="95"/>
    <s v="China"/>
    <s v="SYSTEUR"/>
    <x v="0"/>
    <s v="sam.zhao@philips.com"/>
    <x v="0"/>
    <m/>
  </r>
  <r>
    <n v="32461"/>
    <s v="Sha Sha"/>
    <s v="Incisive CTI step phantom transfer"/>
    <s v="Phil"/>
    <m/>
    <s v="PROCUREMENT"/>
    <s v="PRODUCTIVITY"/>
    <s v="SOURCING"/>
    <s v="Mechanical Parts &amp; Assemblies"/>
    <s v="CT/AMI"/>
    <x v="0"/>
    <s v="IL4"/>
    <n v="0.2"/>
    <x v="95"/>
    <s v="China"/>
    <s v="SYSTEUR"/>
    <x v="0"/>
    <s v="sam.zhao@philips.com"/>
    <x v="0"/>
    <m/>
  </r>
  <r>
    <n v="36256"/>
    <s v="Adrianna Davis"/>
    <s v="Ussuri"/>
    <s v="Phil"/>
    <m/>
    <s v="PROCUREMENT"/>
    <s v="PRODUCTIVITY"/>
    <s v="NPP"/>
    <s v="Mechanical Parts &amp; Assemblies"/>
    <s v="MR"/>
    <x v="0"/>
    <s v="IL3"/>
    <n v="0.7"/>
    <x v="96"/>
    <s v="China"/>
    <s v="SYSTEUR"/>
    <x v="0"/>
    <s v="sam.zhao@philips.com"/>
    <x v="0"/>
    <m/>
  </r>
  <r>
    <n v="34299"/>
    <s v="Sha Sha"/>
    <s v="STET: Putuo interface Heatsink machining to sheet metal"/>
    <s v="Phil"/>
    <m/>
    <s v="PROCUREMENT"/>
    <s v="PRODUCTIVITY"/>
    <s v="CONCEPT"/>
    <s v="Mechanical Parts &amp; Assemblies"/>
    <s v="MR"/>
    <x v="0"/>
    <s v="IL1"/>
    <n v="0.2"/>
    <x v="96"/>
    <s v="China"/>
    <s v="SYSTEUR"/>
    <x v="0"/>
    <s v="sam.zhao@philips.com"/>
    <x v="0"/>
    <m/>
  </r>
  <r>
    <n v="36407"/>
    <s v="Fred Cai"/>
    <s v="PCBA Refresh-453564832551-PCA Knob Connect Board DFM100 1838"/>
    <s v="Phil"/>
    <m/>
    <s v="PROCUREMENT"/>
    <s v="LCM"/>
    <s v="SOURCING"/>
    <s v="Key Components &amp; Electronics"/>
    <s v="EC"/>
    <x v="1"/>
    <s v="IL1"/>
    <n v="0.2"/>
    <x v="152"/>
    <s v="China"/>
    <s v="SYSTEUR"/>
    <x v="0"/>
    <s v="Thomas.LIU@philips.com"/>
    <x v="0"/>
    <m/>
  </r>
  <r>
    <n v="36406"/>
    <s v="Fred Cai"/>
    <s v="PCBA Refresh-453564734931-PCA therapy Board pb free DFM100"/>
    <s v="Phil"/>
    <m/>
    <s v="PROCUREMENT"/>
    <s v="LCM"/>
    <s v="SOURCING"/>
    <s v="Key Components &amp; Electronics"/>
    <s v="EC"/>
    <x v="1"/>
    <s v="IL1"/>
    <n v="0.1"/>
    <x v="152"/>
    <s v="China"/>
    <s v="SYSTEUR"/>
    <x v="0"/>
    <s v="Thomas.LIU@philips.com"/>
    <x v="0"/>
    <m/>
  </r>
  <r>
    <n v="31405"/>
    <s v="Steve Scurria"/>
    <s v="N22: Avnet rebate on UroNav sales (quarterly)"/>
    <s v="Phil"/>
    <m/>
    <s v="PROCUREMENT"/>
    <s v="PRODUCTIVITY"/>
    <s v="NEGO"/>
    <s v="Medical ODM Markets"/>
    <s v="MR"/>
    <x v="0"/>
    <s v="IL5"/>
    <n v="0.1"/>
    <x v="152"/>
    <s v="China"/>
    <s v="SYSTEUR"/>
    <x v="0"/>
    <s v="Thomas.LIU@philips.com"/>
    <x v="0"/>
    <m/>
  </r>
  <r>
    <n v="34038"/>
    <s v="Fred Cai"/>
    <s v="Billy-Amp 1.1MVA"/>
    <s v="Phil"/>
    <m/>
    <s v="PROCUREMENT"/>
    <s v="PRODUCTIVITY"/>
    <s v="CONCEPT"/>
    <s v="Key Components &amp; Electronics"/>
    <s v="MR"/>
    <x v="0"/>
    <s v="IL0"/>
    <n v="0.1"/>
    <x v="164"/>
    <s v="China"/>
    <s v="SYSTEUR"/>
    <x v="0"/>
    <s v="sam.zhao@philips.com"/>
    <x v="0"/>
    <m/>
  </r>
  <r>
    <n v="34330"/>
    <s v="Adrianna Davis"/>
    <s v="Noah HLA machining parts to Laser cutting/(Scissor &amp; connecting block/seat)"/>
    <s v="Phil"/>
    <m/>
    <s v="PROCUREMENT"/>
    <s v="PRODUCTIVITY"/>
    <s v="CONCEPT"/>
    <s v="Mechanical Parts &amp; Assemblies"/>
    <s v="CT/AMI"/>
    <x v="0"/>
    <s v="IL3"/>
    <n v="1"/>
    <x v="165"/>
    <s v="China"/>
    <s v="SYSTEUR"/>
    <x v="0"/>
    <s v="sam.zhao@philips.com"/>
    <x v="0"/>
    <m/>
  </r>
  <r>
    <n v="28842"/>
    <s v="Fred Cai"/>
    <s v="iTCI Integration with RFA3T - MR Amplifier Workstream - (LDRFA + iTCI)"/>
    <s v="Phil"/>
    <m/>
    <s v="PROCUREMENT"/>
    <s v="PRODUCTIVITY"/>
    <s v="CONCEPT"/>
    <s v="Key Components &amp; Electronics"/>
    <s v="MR"/>
    <x v="0"/>
    <s v="IL0"/>
    <n v="0.6"/>
    <x v="166"/>
    <s v="China"/>
    <s v="SYSTEUR"/>
    <x v="0"/>
    <s v="sam.zhao@philips.com"/>
    <x v="0"/>
    <m/>
  </r>
  <r>
    <n v="33227"/>
    <s v="Fred Cai"/>
    <s v="STET: Qinling Isolator module assembly transfer to in-house"/>
    <s v="Phil"/>
    <m/>
    <s v="PROCUREMENT"/>
    <s v="PRODUCTIVITY"/>
    <s v="CONCEPT"/>
    <s v="Mechanical Parts &amp; Assemblies"/>
    <s v="MR"/>
    <x v="0"/>
    <s v="IL3"/>
    <n v="0.1"/>
    <x v="166"/>
    <s v="China"/>
    <s v="SYSTEUR"/>
    <x v="0"/>
    <s v="sam.zhao@philips.com"/>
    <x v="0"/>
    <m/>
  </r>
  <r>
    <n v="33231"/>
    <s v="Fred Cai"/>
    <s v="STET: Qin ling_Re-design RF cable fixture"/>
    <s v="Phil"/>
    <m/>
    <s v="PROCUREMENT"/>
    <s v="PRODUCTIVITY"/>
    <s v="CONCEPT"/>
    <s v="Mechanical Parts &amp; Assemblies"/>
    <s v="MR"/>
    <x v="0"/>
    <s v="IL3"/>
    <n v="0.1"/>
    <x v="166"/>
    <s v="China"/>
    <s v="SYSTEUR"/>
    <x v="0"/>
    <s v="sam.zhao@philips.com"/>
    <x v="0"/>
    <m/>
  </r>
  <r>
    <n v="33232"/>
    <s v="Fred Cai"/>
    <s v="STET:Qin Ling_Driver mechanical box cost down"/>
    <s v="Phil"/>
    <m/>
    <s v="PROCUREMENT"/>
    <s v="PRODUCTIVITY"/>
    <s v="CONCEPT"/>
    <s v="Mechanical Parts &amp; Assemblies"/>
    <s v="MR"/>
    <x v="0"/>
    <s v="IL3"/>
    <n v="0.1"/>
    <x v="166"/>
    <s v="China"/>
    <s v="SYSTEUR"/>
    <x v="0"/>
    <s v="sam.zhao@philips.com"/>
    <x v="0"/>
    <m/>
  </r>
  <r>
    <n v="33765"/>
    <s v="Fred Cai"/>
    <s v="STET Qin Ling DFX: High integrated circulator design"/>
    <s v="Phil"/>
    <m/>
    <s v="PROCUREMENT"/>
    <s v="PRODUCTIVITY"/>
    <s v="CONCEPT"/>
    <s v="Mechanical Parts &amp; Assemblies"/>
    <s v="MR"/>
    <x v="0"/>
    <s v="IL1"/>
    <n v="0.1"/>
    <x v="166"/>
    <s v="China"/>
    <s v="SYSTEUR"/>
    <x v="0"/>
    <s v="sam.zhao@philips.com"/>
    <x v="0"/>
    <m/>
  </r>
  <r>
    <s v="AOS15"/>
    <s v="Steven Li"/>
    <s v="Legacy FRU Transfer"/>
    <s v="Phil"/>
    <m/>
    <s v="N/A"/>
    <s v="LCM"/>
    <s v="CONCEPT"/>
    <s v="Medical ODM Markets"/>
    <s v="DXR"/>
    <x v="0"/>
    <s v="IL3"/>
    <n v="1"/>
    <x v="167"/>
    <s v="China"/>
    <s v="SYSTEUR"/>
    <x v="0"/>
    <s v="sam.zhao@philips.com"/>
    <x v="0"/>
    <m/>
  </r>
  <r>
    <n v="35292"/>
    <s v="Fred Cai"/>
    <s v="MR Suzhou Loulan GA in Falcon comparing to AG700 replace ID 21360"/>
    <s v="Phil"/>
    <m/>
    <s v="PROCUREMENT"/>
    <s v="PRODUCTIVITY"/>
    <s v="CONCEPT"/>
    <s v="Key Components &amp; Electronics"/>
    <s v="MR"/>
    <x v="0"/>
    <s v="IL3"/>
    <n v="1"/>
    <x v="168"/>
    <s v="China"/>
    <s v="SYSTEUR"/>
    <x v="0"/>
    <s v="sam.zhao@philips.com"/>
    <x v="0"/>
    <m/>
  </r>
  <r>
    <n v="27192"/>
    <s v="Anil CS"/>
    <s v="STET:Project Vayu - Cluster 2 (TH-S Table)"/>
    <s v="Phil"/>
    <m/>
    <s v="PROCUREMENT"/>
    <s v="LCM"/>
    <s v="CONCEPT"/>
    <s v="Mechanical Parts &amp; Assemblies"/>
    <s v="DXR"/>
    <x v="0"/>
    <s v="IL3"/>
    <n v="0.7"/>
    <x v="169"/>
    <s v="China"/>
    <s v="SYSTEUR"/>
    <x v="0"/>
    <s v="sam.zhao@philips.com"/>
    <x v="0"/>
    <m/>
  </r>
  <r>
    <n v="27157"/>
    <s v="Anil CS"/>
    <s v="STET:Project Vayu - Cluster 1 (ProxiDiagnost Geometry)"/>
    <s v="Phil"/>
    <m/>
    <s v="PROCUREMENT"/>
    <s v="LCM"/>
    <s v="CONCEPT"/>
    <s v="Mechanical Parts &amp; Assemblies"/>
    <s v="DXR"/>
    <x v="0"/>
    <s v="IL3"/>
    <n v="0.3"/>
    <x v="169"/>
    <s v="China"/>
    <s v="SYSTEUR"/>
    <x v="0"/>
    <s v="sam.zhao@philips.com"/>
    <x v="0"/>
    <m/>
  </r>
  <r>
    <n v="36256"/>
    <s v="Adrianna Davis"/>
    <s v="Ussuri"/>
    <s v="Phil"/>
    <m/>
    <s v="PROCUREMENT"/>
    <s v="PRODUCTIVITY"/>
    <s v="NPP"/>
    <s v="Mechanical Parts &amp; Assemblies"/>
    <s v="MR"/>
    <x v="0"/>
    <s v="IL3"/>
    <n v="1"/>
    <x v="170"/>
    <s v="China"/>
    <s v="SYSTEUR"/>
    <x v="0"/>
    <s v="sam.zhao@philips.com"/>
    <x v="0"/>
    <m/>
  </r>
  <r>
    <n v="32340"/>
    <s v="Fred Cai"/>
    <s v="Incisive Couch Tabletop &amp; Head Rest 2nd Source Development"/>
    <s v="Phil"/>
    <m/>
    <s v="N/A"/>
    <s v="LCM"/>
    <s v="SOURCING"/>
    <s v="Mechanical Parts &amp; Assemblies"/>
    <s v="CT/AMI"/>
    <x v="0"/>
    <s v="IL0"/>
    <n v="0.3"/>
    <x v="171"/>
    <s v="China"/>
    <s v="SYSTEUR"/>
    <x v="0"/>
    <s v="sam.zhao@philips.com"/>
    <x v="0"/>
    <m/>
  </r>
  <r>
    <n v="34051"/>
    <s v="Wei"/>
    <s v="Access Couch Tabletop &amp; Head Rest 2nd Source Development"/>
    <s v="Phil"/>
    <m/>
    <s v="PROCUREMENT"/>
    <s v="PRODUCTIVITY"/>
    <s v="SOURCING"/>
    <s v="Mechanical Parts &amp; Assemblies"/>
    <s v="CT/AMI"/>
    <x v="0"/>
    <s v="IL2"/>
    <n v="0.3"/>
    <x v="171"/>
    <s v="China"/>
    <s v="SYSTEUR"/>
    <x v="0"/>
    <s v="sam.zhao@philips.com"/>
    <x v="0"/>
    <m/>
  </r>
  <r>
    <n v="34052"/>
    <s v="Steven Li"/>
    <s v="Big Bore Transceiver Enclosure 2nd Source"/>
    <s v="Phil"/>
    <m/>
    <s v="PROCUREMENT"/>
    <s v="PRODUCTIVITY"/>
    <s v="SOURCING"/>
    <s v="Key Components &amp; Electronics"/>
    <s v="CT/AMI"/>
    <x v="0"/>
    <s v="IL1"/>
    <n v="0.2"/>
    <x v="171"/>
    <s v="China"/>
    <s v="SYSTEUR"/>
    <x v="0"/>
    <s v="sam.zhao@philips.com"/>
    <x v="0"/>
    <m/>
  </r>
  <r>
    <n v="34037"/>
    <s v="Fred Cai"/>
    <s v="Billy-Gradient Amp 1.6MVA"/>
    <s v="Phil"/>
    <m/>
    <s v="PROCUREMENT"/>
    <s v="PRODUCTIVITY"/>
    <s v="CONCEPT"/>
    <s v="Key Components &amp; Electronics"/>
    <s v="MR"/>
    <x v="0"/>
    <s v="IL0"/>
    <n v="0.8"/>
    <x v="172"/>
    <s v="China"/>
    <s v="SYSTEUR"/>
    <x v="0"/>
    <s v="sam.zhao@philips.com"/>
    <x v="0"/>
    <m/>
  </r>
  <r>
    <n v="34038"/>
    <s v="Fred Cai"/>
    <s v="Billy-Amp 1.1MVA"/>
    <s v="Phil"/>
    <m/>
    <s v="PROCUREMENT"/>
    <s v="PRODUCTIVITY"/>
    <s v="CONCEPT"/>
    <s v="Key Components &amp; Electronics"/>
    <s v="MR"/>
    <x v="0"/>
    <s v="IL0"/>
    <n v="0.2"/>
    <x v="172"/>
    <s v="China"/>
    <s v="SYSTEUR"/>
    <x v="0"/>
    <s v="sam.zhao@philips.com"/>
    <x v="0"/>
    <m/>
  </r>
  <r>
    <n v="36256"/>
    <s v="Adrianna Davis"/>
    <s v="Ussuri"/>
    <s v="Phil"/>
    <m/>
    <s v="PROCUREMENT"/>
    <s v="PRODUCTIVITY"/>
    <s v="NPP"/>
    <s v="Mechanical Parts &amp; Assemblies"/>
    <s v="MR"/>
    <x v="0"/>
    <s v="IL3"/>
    <n v="0.2"/>
    <x v="173"/>
    <s v="China"/>
    <s v="SYSTEUR"/>
    <x v="0"/>
    <s v="Thomas.LIU@philips.com"/>
    <x v="0"/>
    <m/>
  </r>
  <r>
    <n v="35726"/>
    <s v="Johnson Jiang"/>
    <s v="Risk mitigation on EOP parts on MR table and RFRC parts"/>
    <s v="Phil"/>
    <m/>
    <s v="PROCUREMENT"/>
    <s v="PRODUCTIVITY"/>
    <s v="NON_12NC"/>
    <s v="Key Components &amp; Electronics"/>
    <s v="MR"/>
    <x v="0"/>
    <s v="IL2"/>
    <n v="0.2"/>
    <x v="173"/>
    <s v="China"/>
    <s v="SYSTEUR"/>
    <x v="0"/>
    <s v="Thomas.LIU@philips.com"/>
    <x v="0"/>
    <m/>
  </r>
  <r>
    <n v="32339"/>
    <s v="Steven Li"/>
    <s v="Access &amp; Kunpeng Bearing dual source to LYC"/>
    <s v="Phil"/>
    <m/>
    <s v="PROCUREMENT"/>
    <s v="PRODUCTIVITY"/>
    <s v="CONCEPT"/>
    <s v="Mechanical Parts &amp; Assemblies"/>
    <s v="CT/AMI"/>
    <x v="0"/>
    <s v="IL2"/>
    <n v="0.25"/>
    <x v="174"/>
    <s v="China"/>
    <s v="SYSTEUR"/>
    <x v="0"/>
    <s v="sam.zhao@philips.com"/>
    <x v="0"/>
    <m/>
  </r>
  <r>
    <s v="PDTEAM19"/>
    <s v="Fred Cai"/>
    <s v="Prodiva table EOL CR"/>
    <s v="Phil"/>
    <m/>
    <s v="N/A"/>
    <s v="LCM"/>
    <s v="CONCEPT"/>
    <s v="Medical ODM Markets"/>
    <s v="MR"/>
    <x v="0"/>
    <s v="IL3"/>
    <n v="0.6"/>
    <x v="173"/>
    <s v="China"/>
    <s v="SYSTEUR"/>
    <x v="0"/>
    <s v="Thomas.LIU@philips.com"/>
    <x v="0"/>
    <m/>
  </r>
  <r>
    <n v="35295"/>
    <s v="Wei Zhao"/>
    <s v="Kunpeng gantry bearing dual source to LYC"/>
    <s v="Phil"/>
    <m/>
    <s v="PROCUREMENT"/>
    <s v="PRODUCTIVITY"/>
    <s v="CONCEPT"/>
    <s v="Mechanical Parts &amp; Assemblies"/>
    <s v="CT/AMI"/>
    <x v="0"/>
    <s v="IL3"/>
    <n v="0.25"/>
    <x v="174"/>
    <s v="China"/>
    <s v="SYSTEUR"/>
    <x v="0"/>
    <s v="sam.zhao@philips.com"/>
    <x v="0"/>
    <m/>
  </r>
  <r>
    <n v="19186"/>
    <s v="Steven Li"/>
    <s v="Alternative supplier for the headset/nurse call connector (chasis)"/>
    <s v="Phil"/>
    <m/>
    <s v="PROCUREMENT"/>
    <s v="PRODUCTIVITY"/>
    <s v="CONCEPT"/>
    <s v="Key Components &amp; Electronics"/>
    <s v="MR"/>
    <x v="0"/>
    <s v="IL3"/>
    <n v="0.1"/>
    <x v="175"/>
    <s v="China"/>
    <s v="SYSTEUR"/>
    <x v="0"/>
    <s v="sam.zhao@philips.com"/>
    <x v="0"/>
    <m/>
  </r>
  <r>
    <s v="PDTEAM19"/>
    <s v="Fred Cai"/>
    <s v="Prodiva table EOL CR"/>
    <s v="Phil"/>
    <m/>
    <s v="N/A"/>
    <s v="LCM"/>
    <s v="CONCEPT"/>
    <s v="Medical ODM Markets"/>
    <s v="MR"/>
    <x v="0"/>
    <s v="IL3"/>
    <n v="0.1"/>
    <x v="176"/>
    <s v="China"/>
    <s v="SYSTEUR"/>
    <x v="0"/>
    <s v="Thomas.LIU@philips.com"/>
    <x v="0"/>
    <m/>
  </r>
  <r>
    <s v="PDTEAM30"/>
    <s v="Fred Cai"/>
    <s v="Billy-Gust project"/>
    <s v="Phil"/>
    <m/>
    <s v="PROCUREMENT"/>
    <s v="NPI"/>
    <s v="CONCEPT"/>
    <s v="Medical ODM Markets"/>
    <s v="MR"/>
    <x v="0"/>
    <s v="IL3"/>
    <n v="0.3"/>
    <x v="176"/>
    <s v="China"/>
    <s v="SYSTEUR"/>
    <x v="0"/>
    <s v="Thomas.LIU@philips.com"/>
    <x v="0"/>
    <m/>
  </r>
  <r>
    <n v="36256"/>
    <s v="Adrianna Davis"/>
    <s v="Ussuri"/>
    <s v="Phil"/>
    <m/>
    <s v="PROCUREMENT"/>
    <s v="PRODUCTIVITY"/>
    <s v="NPP"/>
    <s v="Mechanical Parts &amp; Assemblies"/>
    <s v="MR"/>
    <x v="0"/>
    <s v="IL3"/>
    <n v="0.6"/>
    <x v="176"/>
    <s v="China"/>
    <s v="SYSTEUR"/>
    <x v="0"/>
    <s v="Thomas.LIU@philips.com"/>
    <x v="0"/>
    <m/>
  </r>
  <r>
    <n v="35211"/>
    <s v="Fred Cai"/>
    <s v="Hawk/Iqon/ICT/ING/BB/Vereos 7 PN's CT-BOX to one platform"/>
    <s v="Phil"/>
    <m/>
    <s v="PROCUREMENT"/>
    <s v="PRODUCTIVITY"/>
    <s v="CONCEPT"/>
    <s v="Medical ODM Markets"/>
    <s v="CT/AMI"/>
    <x v="0"/>
    <s v="IL3"/>
    <n v="0.7"/>
    <x v="94"/>
    <s v="China"/>
    <s v="SYSTEUR"/>
    <x v="0"/>
    <s v="sam.zhao@philips.com"/>
    <x v="0"/>
    <m/>
  </r>
  <r>
    <n v="28689"/>
    <s v="Xin Ling"/>
    <s v="Incisive &amp; Access_PCBA transfer out from Sinbon"/>
    <s v="Phil"/>
    <m/>
    <s v="PROCUREMENT"/>
    <s v="PRODUCTIVITY"/>
    <s v="SOURCING"/>
    <s v="Key Components &amp; Electronics"/>
    <s v="CT/AMI"/>
    <x v="0"/>
    <s v="IL3"/>
    <n v="0.1"/>
    <x v="94"/>
    <s v="China"/>
    <s v="SYSTEUR"/>
    <x v="0"/>
    <s v="sam.zhao@philips.com"/>
    <x v="0"/>
    <m/>
  </r>
  <r>
    <n v="35758"/>
    <s v="Xia Ling"/>
    <s v="Hawk IVC Transfer Phase II Cable _ RAFI"/>
    <s v="Phil"/>
    <m/>
    <s v="PROCUREMENT"/>
    <s v="PRODUCTIVITY"/>
    <s v="CONCEPT"/>
    <s v="Medical ODM Markets"/>
    <s v="CT/AMI"/>
    <x v="0"/>
    <s v="IL3"/>
    <n v="0.1"/>
    <x v="177"/>
    <s v="China"/>
    <s v="SYSTEUR"/>
    <x v="0"/>
    <s v="Thomas.LIU@philips.com"/>
    <x v="0"/>
    <m/>
  </r>
  <r>
    <n v="33755"/>
    <s v="Fred Cai"/>
    <s v="HAWK &amp; BB IVC Transfer Phase II PCBA_ RAFI"/>
    <s v="Phil"/>
    <m/>
    <s v="PROCUREMENT"/>
    <s v="PRODUCTIVITY"/>
    <s v="CONCEPT"/>
    <s v="Key Components &amp; Electronics"/>
    <s v="CT/AMI"/>
    <x v="0"/>
    <s v="IL3"/>
    <n v="0.2"/>
    <x v="177"/>
    <s v="China"/>
    <s v="SYSTEUR"/>
    <x v="0"/>
    <s v="Thomas.LIU@philips.com"/>
    <x v="0"/>
    <m/>
  </r>
  <r>
    <n v="33419"/>
    <s v="Xia Ling"/>
    <s v="HAWK &amp; BB IVC Transfer Phase II _ RAFI"/>
    <s v="Phil"/>
    <m/>
    <s v="PROCUREMENT"/>
    <s v="PRODUCTIVITY"/>
    <s v="CONCEPT"/>
    <s v="Medical ODM Markets"/>
    <s v="CT/AMI"/>
    <x v="0"/>
    <s v="IL2"/>
    <n v="0.2"/>
    <x v="177"/>
    <s v="China"/>
    <s v="SYSTEUR"/>
    <x v="0"/>
    <s v="Thomas.LIU@philips.com"/>
    <x v="0"/>
    <m/>
  </r>
  <r>
    <s v="AOS15"/>
    <s v="Steven Li"/>
    <s v="Legacy FRU Transfer"/>
    <s v="Phil"/>
    <m/>
    <s v="N/A"/>
    <s v="LCM"/>
    <s v="CONCEPT"/>
    <s v="Medical ODM Markets"/>
    <s v="DXR"/>
    <x v="0"/>
    <s v="IL3"/>
    <n v="0.5"/>
    <x v="177"/>
    <s v="China"/>
    <s v="SYSTEUR"/>
    <x v="0"/>
    <s v="Thomas.LIU@philips.com"/>
    <x v="0"/>
    <m/>
  </r>
  <r>
    <n v="34037"/>
    <s v="Fred Cai"/>
    <s v="Billy-Gradient Amp 1.6MVA"/>
    <s v="Phil"/>
    <m/>
    <s v="PROCUREMENT"/>
    <s v="PRODUCTIVITY"/>
    <s v="CONCEPT"/>
    <s v="Key Components &amp; Electronics"/>
    <s v="MR"/>
    <x v="0"/>
    <s v="IL0"/>
    <n v="0.2"/>
    <x v="178"/>
    <s v="China"/>
    <s v="SYSTEUR"/>
    <x v="0"/>
    <s v="Thomas.LIU@philips.com"/>
    <x v="0"/>
    <m/>
  </r>
  <r>
    <n v="35292"/>
    <s v="Fred Cai"/>
    <s v="MR Suzhou Loulan GA in Falcon comparing to AG700 replace ID 21360"/>
    <s v="Phil"/>
    <m/>
    <s v="PROCUREMENT"/>
    <s v="PRODUCTIVITY"/>
    <s v="CONCEPT"/>
    <s v="Key Components &amp; Electronics"/>
    <s v="MR"/>
    <x v="0"/>
    <s v="IL3"/>
    <n v="0.8"/>
    <x v="178"/>
    <s v="China"/>
    <s v="SYSTEUR"/>
    <x v="0"/>
    <s v="Thomas.LIU@philips.com"/>
    <x v="0"/>
    <m/>
  </r>
  <r>
    <s v="PDTEAM30"/>
    <s v="Fred Cai"/>
    <s v="Billy-Gust project"/>
    <s v="Phil"/>
    <m/>
    <s v="PROCUREMENT"/>
    <s v="NPI"/>
    <s v="CONCEPT"/>
    <s v="Medical ODM Markets"/>
    <s v="MR"/>
    <x v="0"/>
    <s v="IL3"/>
    <n v="0.2"/>
    <x v="179"/>
    <s v="China"/>
    <s v="SYSTEUR"/>
    <x v="0"/>
    <s v="Thomas.LIU@philips.com"/>
    <x v="0"/>
    <m/>
  </r>
  <r>
    <n v="36256"/>
    <s v="Adrianna Davis"/>
    <s v="Ussuri"/>
    <s v="Phil"/>
    <m/>
    <s v="PROCUREMENT"/>
    <s v="PRODUCTIVITY"/>
    <s v="NPP"/>
    <s v="Mechanical Parts &amp; Assemblies"/>
    <s v="MR"/>
    <x v="0"/>
    <s v="IL3"/>
    <n v="0.8"/>
    <x v="179"/>
    <s v="China"/>
    <s v="SYSTEUR"/>
    <x v="0"/>
    <s v="Thomas.LIU@philips.com"/>
    <x v="0"/>
    <m/>
  </r>
  <r>
    <n v="28104"/>
    <s v="Tiger Xiao"/>
    <s v="APEX: Localization of C5-1 from Tech-Etch to Topsun"/>
    <s v="Phil"/>
    <m/>
    <s v="PROCUREMENT"/>
    <s v="PRODUCTIVITY"/>
    <s v="SOURCING"/>
    <s v="Mechanical Parts &amp; Assemblies"/>
    <s v="MR"/>
    <x v="0"/>
    <s v="IL3"/>
    <n v="0.2"/>
    <x v="180"/>
    <s v="China"/>
    <s v="SYSTEUR"/>
    <x v="0"/>
    <s v="sam.zhao@philips.com"/>
    <x v="0"/>
    <m/>
  </r>
  <r>
    <n v="35731"/>
    <s v="Johnson Jiang"/>
    <s v="Risk mitigation: Wudang II change spartan 6 IC to 7 series"/>
    <s v="Phil"/>
    <m/>
    <s v="PROCUREMENT"/>
    <s v="PRODUCTIVITY"/>
    <s v="CONCEPT"/>
    <s v="Key Components &amp; Electronics"/>
    <s v="MR"/>
    <x v="0"/>
    <s v="IL3"/>
    <n v="0.2"/>
    <x v="181"/>
    <s v="China"/>
    <s v="SYSTEUR"/>
    <x v="0"/>
    <s v="Thomas.LIU@philips.com"/>
    <x v="0"/>
    <m/>
  </r>
  <r>
    <n v="28842"/>
    <s v="Fred Cai"/>
    <s v="iTCI Integration with RFA3T - MR Amplifier Workstream - (LDRFA + iTCI)"/>
    <s v="Phil"/>
    <m/>
    <s v="PROCUREMENT"/>
    <s v="PRODUCTIVITY"/>
    <s v="CONCEPT"/>
    <s v="Key Components &amp; Electronics"/>
    <s v="MR"/>
    <x v="0"/>
    <s v="IL0"/>
    <n v="0.3"/>
    <x v="181"/>
    <s v="China"/>
    <s v="SYSTEUR"/>
    <x v="0"/>
    <s v="Thomas.LIU@philips.com"/>
    <x v="0"/>
    <m/>
  </r>
  <r>
    <n v="34037"/>
    <s v="Fred Cai"/>
    <s v="Billy-Gradient Amp 1.6MVA"/>
    <s v="Phil"/>
    <m/>
    <s v="PROCUREMENT"/>
    <s v="PRODUCTIVITY"/>
    <s v="CONCEPT"/>
    <s v="Key Components &amp; Electronics"/>
    <s v="MR"/>
    <x v="0"/>
    <s v="IL0"/>
    <n v="0.5"/>
    <x v="181"/>
    <s v="China"/>
    <s v="SYSTEUR"/>
    <x v="0"/>
    <s v="Thomas.LIU@philips.com"/>
    <x v="0"/>
    <m/>
  </r>
  <r>
    <n v="30948"/>
    <s v="Tiger Xiao"/>
    <s v="APEX:3D9-3V FPC's Localization project to Topsun"/>
    <s v="Phil"/>
    <m/>
    <s v="PROCUREMENT"/>
    <s v="PRODUCTIVITY"/>
    <s v="SOURCING"/>
    <s v="Key Components &amp; Electronics"/>
    <s v="US"/>
    <x v="0"/>
    <s v="IL3"/>
    <n v="0.2"/>
    <x v="180"/>
    <s v="China"/>
    <s v="SYSTEUR"/>
    <x v="0"/>
    <s v="sam.zhao@philips.com"/>
    <x v="0"/>
    <m/>
  </r>
  <r>
    <n v="33202"/>
    <s v="Leeds Tang"/>
    <s v="APEX L12-3 MVT Nose and Handle localization from Tech NH to Ace"/>
    <s v="Phil"/>
    <m/>
    <s v="PROCUREMENT"/>
    <s v="PRODUCTIVITY"/>
    <s v="SOURCING"/>
    <s v="Mechanical Parts &amp; Assemblies"/>
    <s v="US"/>
    <x v="0"/>
    <s v="IL2"/>
    <n v="0.2"/>
    <x v="180"/>
    <s v="China"/>
    <s v="SYSTEUR"/>
    <x v="0"/>
    <s v="sam.zhao@philips.com"/>
    <x v="0"/>
    <m/>
  </r>
  <r>
    <n v="33026"/>
    <s v="Adrianna Davis"/>
    <s v="Redesign Hawk PCBA's - HIB"/>
    <s v="Phil"/>
    <m/>
    <s v="PROCUREMENT"/>
    <s v="PRODUCTIVITY"/>
    <s v="CONCEPT"/>
    <s v="Key Components &amp; Electronics"/>
    <s v="CT/AMI"/>
    <x v="0"/>
    <s v="IL3"/>
    <n v="0.3"/>
    <x v="182"/>
    <s v="China"/>
    <s v="SYSTEUR"/>
    <x v="0"/>
    <s v="Thomas.LIU@philips.com"/>
    <x v="0"/>
    <m/>
  </r>
  <r>
    <n v="35211"/>
    <s v="Fred Cai"/>
    <s v="Hawk/Iqon/ICT/ING/BB/Vereos 7 PN's CT-BOX to one platform"/>
    <s v="Phil"/>
    <m/>
    <s v="PROCUREMENT"/>
    <s v="PRODUCTIVITY"/>
    <s v="CONCEPT"/>
    <s v="Medical ODM Markets"/>
    <s v="CT/AMI"/>
    <x v="0"/>
    <s v="IL3"/>
    <n v="0.7"/>
    <x v="182"/>
    <s v="China"/>
    <s v="SYSTEUR"/>
    <x v="0"/>
    <s v="Thomas.LIU@philips.com"/>
    <x v="0"/>
    <m/>
  </r>
  <r>
    <n v="36256"/>
    <s v="Adrianna Davis"/>
    <s v="Ussuri"/>
    <s v="Phil"/>
    <m/>
    <s v="PROCUREMENT"/>
    <s v="PRODUCTIVITY"/>
    <s v="NPP"/>
    <s v="Mechanical Parts &amp; Assemblies"/>
    <s v="MR"/>
    <x v="0"/>
    <s v="IL3"/>
    <n v="1"/>
    <x v="183"/>
    <s v="China"/>
    <s v="SYSTEUR"/>
    <x v="0"/>
    <s v="sam.zhao@philips.com"/>
    <x v="0"/>
    <m/>
  </r>
  <r>
    <n v="34037"/>
    <s v="Fred Cai"/>
    <s v="Billy-Gradient Amp 1.6MVA"/>
    <s v="Phil"/>
    <m/>
    <s v="PROCUREMENT"/>
    <s v="PRODUCTIVITY"/>
    <s v="CONCEPT"/>
    <s v="Key Components &amp; Electronics"/>
    <s v="MR"/>
    <x v="0"/>
    <s v="IL0"/>
    <n v="1"/>
    <x v="184"/>
    <s v="China"/>
    <s v="SYSTEUR"/>
    <x v="0"/>
    <s v="Thomas.LIU@philips.com"/>
    <x v="0"/>
    <m/>
  </r>
  <r>
    <s v="AOS15"/>
    <s v="Steven Li"/>
    <s v="Legacy FRU Transfer"/>
    <s v="Phil"/>
    <m/>
    <s v="N/A"/>
    <s v="LCM"/>
    <s v="CONCEPT"/>
    <s v="Medical ODM Markets"/>
    <s v="DXR"/>
    <x v="0"/>
    <s v="IL3"/>
    <n v="1"/>
    <x v="185"/>
    <s v="China"/>
    <s v="SYSTEUR"/>
    <x v="0"/>
    <s v="sam.zhao@philips.com"/>
    <x v="0"/>
    <m/>
  </r>
  <r>
    <n v="33323"/>
    <s v="Xia Ling"/>
    <s v="Pony Slipring 2nd source development"/>
    <s v="Phil"/>
    <m/>
    <s v="PROCUREMENT"/>
    <s v="PRODUCTIVITY"/>
    <s v="CONCEPT"/>
    <s v="Mechanical Parts &amp; Assemblies"/>
    <s v="CT/AMI"/>
    <x v="0"/>
    <s v="IL2"/>
    <n v="0.2"/>
    <x v="159"/>
    <s v="China"/>
    <s v="SYSTEUR"/>
    <x v="0"/>
    <s v="Thomas.LIU@philips.com"/>
    <x v="0"/>
    <m/>
  </r>
  <r>
    <s v="PDTEAM30"/>
    <s v="Fred Cai"/>
    <s v="Billy-Gust project"/>
    <s v="Phil"/>
    <m/>
    <s v="PROCUREMENT"/>
    <s v="NPI"/>
    <s v="CONCEPT"/>
    <s v="Medical ODM Markets"/>
    <s v="MR"/>
    <x v="0"/>
    <s v="IL3"/>
    <n v="0.1"/>
    <x v="186"/>
    <s v="China"/>
    <s v="SYSTEUR"/>
    <x v="0"/>
    <s v="Thomas.LIU@philips.com"/>
    <x v="0"/>
    <m/>
  </r>
  <r>
    <n v="36256"/>
    <s v="Adrianna Davis"/>
    <s v="Ussuri"/>
    <s v="Phil"/>
    <m/>
    <s v="PROCUREMENT"/>
    <s v="PRODUCTIVITY"/>
    <s v="NPP"/>
    <s v="Mechanical Parts &amp; Assemblies"/>
    <s v="MR"/>
    <x v="0"/>
    <s v="IL3"/>
    <n v="0.9"/>
    <x v="186"/>
    <s v="China"/>
    <s v="SYSTEUR"/>
    <x v="0"/>
    <s v="Thomas.LIU@philips.com"/>
    <x v="0"/>
    <m/>
  </r>
  <r>
    <n v="34037"/>
    <s v="Fred Cai"/>
    <s v="Billy-Gradient Amp 1.6MVA"/>
    <s v="Phil"/>
    <m/>
    <s v="PROCUREMENT"/>
    <s v="PRODUCTIVITY"/>
    <s v="CONCEPT"/>
    <s v="Key Components &amp; Electronics"/>
    <s v="MR"/>
    <x v="0"/>
    <s v="IL0"/>
    <n v="0.8"/>
    <x v="187"/>
    <s v="China"/>
    <s v="SYSTEUR"/>
    <x v="0"/>
    <s v="sam.zhao@philips.com"/>
    <x v="0"/>
    <m/>
  </r>
  <r>
    <n v="34038"/>
    <s v="Fred Cai"/>
    <s v="Billy-Amp 1.1MVA"/>
    <s v="Phil"/>
    <m/>
    <s v="PROCUREMENT"/>
    <s v="PRODUCTIVITY"/>
    <s v="CONCEPT"/>
    <s v="Key Components &amp; Electronics"/>
    <s v="MR"/>
    <x v="0"/>
    <s v="IL0"/>
    <n v="0.2"/>
    <x v="187"/>
    <s v="China"/>
    <s v="SYSTEUR"/>
    <x v="0"/>
    <s v="sam.zhao@philips.com"/>
    <x v="0"/>
    <m/>
  </r>
  <r>
    <s v="PDTEAM39"/>
    <s v="Xia Ling"/>
    <s v="CT Shenyang PCBA de-risk project 1"/>
    <s v="Phil"/>
    <m/>
    <s v="PROCUREMENT"/>
    <s v="PRODUCTIVITY"/>
    <s v="SOURCING"/>
    <s v="Key Components &amp; Electronics"/>
    <s v="CT/AMI"/>
    <x v="0"/>
    <s v="IL3"/>
    <n v="0.9"/>
    <x v="188"/>
    <s v="China"/>
    <s v="SYSTEUR"/>
    <x v="0"/>
    <s v="Thomas.LIU@philips.com"/>
    <x v="0"/>
    <m/>
  </r>
  <r>
    <n v="28689"/>
    <s v="Xin Ling"/>
    <s v="Incisive &amp; Access_PCBA transfer out from Sinbon"/>
    <s v="Phil"/>
    <m/>
    <s v="PROCUREMENT"/>
    <s v="PRODUCTIVITY"/>
    <s v="SOURCING"/>
    <s v="Key Components &amp; Electronics"/>
    <s v="CT/AMI"/>
    <x v="0"/>
    <s v="IL3"/>
    <n v="0.1"/>
    <x v="188"/>
    <s v="China"/>
    <s v="SYSTEUR"/>
    <x v="0"/>
    <s v="Thomas.LIU@philips.com"/>
    <x v="0"/>
    <m/>
  </r>
  <r>
    <n v="35292"/>
    <s v="Fred Cai"/>
    <s v="MR Suzhou Loulan GA in Falcon comparing to AG700 replace ID 21360"/>
    <s v="Phil"/>
    <m/>
    <s v="PROCUREMENT"/>
    <s v="PRODUCTIVITY"/>
    <s v="CONCEPT"/>
    <s v="Key Components &amp; Electronics"/>
    <s v="MR"/>
    <x v="0"/>
    <s v="IL3"/>
    <n v="1"/>
    <x v="189"/>
    <s v="China"/>
    <s v="SYSTEUR"/>
    <x v="0"/>
    <s v="Thomas.LIU@philips.com"/>
    <x v="0"/>
    <m/>
  </r>
  <r>
    <s v="PDTEAM39"/>
    <s v="Xia Ling"/>
    <s v="CT Shenyang PCBA de-risk project 1"/>
    <s v="Phil"/>
    <m/>
    <s v="PROCUREMENT"/>
    <s v="PRODUCTIVITY"/>
    <s v="SOURCING"/>
    <s v="Key Components &amp; Electronics"/>
    <s v="CT/AMI"/>
    <x v="0"/>
    <s v="IL3"/>
    <n v="1"/>
    <x v="190"/>
    <s v="China"/>
    <s v="SYSTEUR"/>
    <x v="0"/>
    <s v="Thomas.LIU@philips.com"/>
    <x v="0"/>
    <m/>
  </r>
  <r>
    <s v="L&amp;A"/>
    <s v="N/A"/>
    <s v="MISC. ENTRY TO BALANCE WITH RESOURCE DATABASE"/>
    <s v="All"/>
    <m/>
    <s v="L&amp;A"/>
    <s v="L&amp;A"/>
    <s v="L&amp;A"/>
    <s v="L&amp;A"/>
    <s v="L&amp;A"/>
    <x v="4"/>
    <s v="L&amp;A"/>
    <n v="0.5"/>
    <x v="82"/>
    <s v="China"/>
    <s v="SYSTEUR"/>
    <x v="0"/>
    <s v="philip.jenkins@philips.com"/>
    <x v="0"/>
    <m/>
  </r>
  <r>
    <n v="35292"/>
    <s v="Fred Cai"/>
    <s v="MR Suzhou Loulan GA in Falcon comparing to AG700 replace ID 21360"/>
    <s v="Phil"/>
    <m/>
    <s v="PROCUREMENT"/>
    <s v="PRODUCTIVITY"/>
    <s v="CONCEPT"/>
    <s v="Key Components &amp; Electronics"/>
    <s v="MR"/>
    <x v="0"/>
    <s v="IL3"/>
    <n v="0.5"/>
    <x v="154"/>
    <s v="China"/>
    <s v="SYSTEUR"/>
    <x v="0"/>
    <s v="Thomas.LIU@philips.com"/>
    <x v="0"/>
    <m/>
  </r>
  <r>
    <s v="PDTEAM19"/>
    <s v="Fred Cai"/>
    <s v="Prodiva table EOL CR"/>
    <s v="Phil"/>
    <m/>
    <s v="N/A"/>
    <s v="LCM"/>
    <s v="CONCEPT"/>
    <s v="Medical ODM Markets"/>
    <s v="MR"/>
    <x v="0"/>
    <s v="IL3"/>
    <n v="0.2"/>
    <x v="191"/>
    <s v="China"/>
    <s v="SYSTEUR"/>
    <x v="0"/>
    <s v="Thomas.LIU@philips.com"/>
    <x v="0"/>
    <m/>
  </r>
  <r>
    <n v="36256"/>
    <s v="Adrianna Davis"/>
    <s v="Ussuri"/>
    <s v="Phil"/>
    <m/>
    <s v="PROCUREMENT"/>
    <s v="PRODUCTIVITY"/>
    <s v="NPP"/>
    <s v="Mechanical Parts &amp; Assemblies"/>
    <s v="MR"/>
    <x v="0"/>
    <s v="IL3"/>
    <n v="0.5"/>
    <x v="191"/>
    <s v="China"/>
    <s v="SYSTEUR"/>
    <x v="0"/>
    <s v="Thomas.LIU@philips.com"/>
    <x v="0"/>
    <m/>
  </r>
  <r>
    <s v="PDTEAM30"/>
    <s v="Fred Cai"/>
    <s v="Billy-Gust project"/>
    <s v="Phil"/>
    <m/>
    <s v="PROCUREMENT"/>
    <s v="NPI"/>
    <s v="CONCEPT"/>
    <s v="Medical ODM Markets"/>
    <s v="MR"/>
    <x v="0"/>
    <s v="IL3"/>
    <n v="0.3"/>
    <x v="191"/>
    <s v="China"/>
    <s v="SYSTEUR"/>
    <x v="0"/>
    <s v="Thomas.LIU@philips.com"/>
    <x v="0"/>
    <m/>
  </r>
  <r>
    <n v="34801"/>
    <s v="Tjisse"/>
    <s v="Replace Nippon Steel 420J2 with Bao Steel 420J2 material"/>
    <s v="Tim"/>
    <m/>
    <s v="PROCUREMENT"/>
    <s v="PRODUCTIVITY"/>
    <s v="CONCEPT"/>
    <s v="Mechanical Parts &amp; Assemblies"/>
    <s v="GB"/>
    <x v="2"/>
    <s v="IL3"/>
    <n v="0.05"/>
    <x v="27"/>
    <s v="India"/>
    <s v="SYSTEUR"/>
    <x v="0"/>
    <s v="sushruth.rudrachary@philips.com"/>
    <x v="3"/>
    <m/>
  </r>
  <r>
    <n v="35068"/>
    <s v="Tjisse"/>
    <s v="SD H&amp;T : Current Materials prices can be cost down"/>
    <s v="Tim"/>
    <m/>
    <s v="PROCUREMENT"/>
    <s v="PRODUCTIVITY"/>
    <s v="CONCEPT"/>
    <s v="Personal Health"/>
    <s v="GB"/>
    <x v="2"/>
    <s v="IL1"/>
    <n v="0.1"/>
    <x v="27"/>
    <s v="India"/>
    <s v="SYSTEUR"/>
    <x v="0"/>
    <s v="sushruth.rudrachary@philips.com"/>
    <x v="3"/>
    <m/>
  </r>
  <r>
    <n v="35173"/>
    <s v="Tjisse"/>
    <s v="SG Workshop : Qualify LG ABS as alternative resin to Toray ABS 100-322 for MG parts"/>
    <s v="Tim"/>
    <m/>
    <s v="PROCUREMENT"/>
    <s v="PRODUCTIVITY"/>
    <s v="CONCEPT"/>
    <s v="Mechanical Parts &amp; Assemblies"/>
    <s v="GB"/>
    <x v="2"/>
    <s v="IL1"/>
    <n v="0.05"/>
    <x v="27"/>
    <s v="India"/>
    <s v="SYSTEUR"/>
    <x v="0"/>
    <s v="sushruth.rudrachary@philips.com"/>
    <x v="3"/>
    <m/>
  </r>
  <r>
    <n v="35599"/>
    <s v="Tjisse"/>
    <s v="YC plastic parts transfer to PZH in house"/>
    <s v="Tim"/>
    <m/>
    <s v="PROCUREMENT"/>
    <s v="PRODUCTIVITY"/>
    <s v="SOURCING"/>
    <s v="Mechanical Parts &amp; Assemblies"/>
    <s v="GB"/>
    <x v="2"/>
    <s v="IL2"/>
    <n v="0.1"/>
    <x v="27"/>
    <s v="India"/>
    <s v="SYSTEUR"/>
    <x v="0"/>
    <s v="sushruth.rudrachary@philips.com"/>
    <x v="3"/>
    <m/>
  </r>
  <r>
    <s v="PDTEAM50"/>
    <s v="Fred Cai"/>
    <s v="IGM-Pogo Pin connector"/>
    <s v="Phil"/>
    <m/>
    <s v="N/A"/>
    <s v="LCM"/>
    <s v="CONCEPT"/>
    <s v="Key Components &amp; Electronics"/>
    <s v="MR"/>
    <x v="0"/>
    <s v="IL3"/>
    <n v="0.5"/>
    <x v="155"/>
    <s v="China"/>
    <s v="SYSTEUR"/>
    <x v="0"/>
    <s v="Thomas.LIU@philips.com"/>
    <x v="0"/>
    <m/>
  </r>
  <r>
    <n v="29589"/>
    <s v="Tjisse"/>
    <s v="Alternative sourcing of power adapter for Emerald"/>
    <s v="Tim"/>
    <m/>
    <s v="PROCUREMENT"/>
    <s v="PRODUCTIVITY"/>
    <s v="SOURCING"/>
    <s v="Key Components &amp; Electronics"/>
    <s v="GB"/>
    <x v="2"/>
    <s v="IL3"/>
    <n v="0.05"/>
    <x v="29"/>
    <s v="India"/>
    <s v="SYSTEUR"/>
    <x v="0"/>
    <s v="sushruth.rudrachary@philips.com"/>
    <x v="3"/>
    <m/>
  </r>
  <r>
    <n v="33632"/>
    <s v="Tjisse"/>
    <s v="Sunstone - Adaptor 2nd source - Iskra+PZH"/>
    <s v="Tim"/>
    <m/>
    <s v="PROCUREMENT"/>
    <s v="PRODUCTIVITY"/>
    <s v="SOURCING"/>
    <s v="Personal Health"/>
    <s v="GB"/>
    <x v="2"/>
    <s v="IL1"/>
    <n v="0.05"/>
    <x v="29"/>
    <s v="India"/>
    <s v="SYSTEUR"/>
    <x v="0"/>
    <s v="sushruth.rudrachary@philips.com"/>
    <x v="3"/>
    <m/>
  </r>
  <r>
    <n v="258978"/>
    <s v="Tjisse"/>
    <s v="EMC mitigation in high frequency range due to lamp oscillations"/>
    <s v="Tim"/>
    <m/>
    <s v="N/A"/>
    <s v="CONQ"/>
    <s v="CONQ"/>
    <s v="Key Components &amp; Electronics"/>
    <s v="GB"/>
    <x v="2"/>
    <s v="IL2"/>
    <n v="0.05"/>
    <x v="29"/>
    <s v="India"/>
    <s v="SYSTEUR"/>
    <x v="0"/>
    <s v="sushruth.rudrachary@philips.com"/>
    <x v="3"/>
    <m/>
  </r>
  <r>
    <n v="265564"/>
    <s v="Tjisse"/>
    <s v="Modified Emerald Body attachment Plastic tube design and tooling (Zhuhai site only)"/>
    <s v="Tim"/>
    <m/>
    <s v="TCO"/>
    <s v="CONQ"/>
    <s v="CONQ"/>
    <s v="Mechanical Parts &amp; Assemblies"/>
    <s v="GB"/>
    <x v="2"/>
    <s v="IL2"/>
    <n v="0.05"/>
    <x v="29"/>
    <s v="India"/>
    <s v="SYSTEUR"/>
    <x v="0"/>
    <s v="sushruth.rudrachary@philips.com"/>
    <x v="3"/>
    <m/>
  </r>
  <r>
    <s v="TPDLM20"/>
    <s v="Tjisse"/>
    <s v="Yin Yang"/>
    <s v="Tim"/>
    <m/>
    <s v="N/A"/>
    <s v="NPI"/>
    <s v="CONCEPT"/>
    <s v="Personal Health"/>
    <s v="GB"/>
    <x v="2"/>
    <s v="IL3"/>
    <n v="1"/>
    <x v="192"/>
    <s v="India"/>
    <s v="SYSTEUR"/>
    <x v="0"/>
    <s v="Adarsh.Shrivastava@philips.com"/>
    <x v="3"/>
    <m/>
  </r>
  <r>
    <s v="GXRCQ00098604"/>
    <s v="Vijayanand Purushothaman"/>
    <s v="Label Printing at supplier Brady for the parts supplied by 17 Tier- 1 supplier"/>
    <s v="Dan"/>
    <m/>
    <s v="N/A"/>
    <s v="LCM"/>
    <s v="SOURCING"/>
    <s v="Mechanical Parts &amp; Assemblies"/>
    <s v="DXR"/>
    <x v="0"/>
    <s v="IL2"/>
    <n v="0.4"/>
    <x v="143"/>
    <s v="India"/>
    <s v="SYSTEUR"/>
    <x v="0"/>
    <s v="Karthik.Ramamurthy@philips.com"/>
    <x v="1"/>
    <m/>
  </r>
  <r>
    <s v="L&amp;A"/>
    <s v="N/A"/>
    <s v="MISC. ENTRY TO BALANCE WITH RESOURCE DATABASE"/>
    <s v="All"/>
    <m/>
    <s v="L&amp;A"/>
    <s v="L&amp;A"/>
    <s v="L&amp;A"/>
    <s v="L&amp;A"/>
    <s v="L&amp;A"/>
    <x v="4"/>
    <s v="L&amp;A"/>
    <n v="0.6"/>
    <x v="193"/>
    <s v="USA"/>
    <s v="SYSTEUR"/>
    <x v="0"/>
    <s v="nishant.nair1@philips.com"/>
    <x v="2"/>
    <m/>
  </r>
  <r>
    <s v="CARTPDCHPM_1"/>
    <s v="Charles Moses"/>
    <s v="Carts PDC - HPM - Calimero material Fetal Cart"/>
    <s v="Nishant"/>
    <m/>
    <s v="PROCUREMENT"/>
    <s v="CART PDC"/>
    <s v="CONCEPT"/>
    <s v="Mechanical Parts &amp; Assemblies"/>
    <s v="HPM"/>
    <x v="1"/>
    <s v="IL3"/>
    <n v="0.2"/>
    <x v="193"/>
    <s v="USA"/>
    <s v="SYSTEUR"/>
    <x v="0"/>
    <s v="nishant.nair1@philips.com"/>
    <x v="2"/>
    <m/>
  </r>
  <r>
    <n v="25490"/>
    <s v="Viraj Bhagwat"/>
    <s v="STET: Re-sourcing the Sharp X3 display with one a lower price preferred supplier (Tianma selected)"/>
    <s v="Nishant"/>
    <m/>
    <s v="PROCUREMENT"/>
    <s v="PRODUCTIVITY"/>
    <s v="SOURCING"/>
    <s v="Medical ODM Markets"/>
    <s v="HPM"/>
    <x v="1"/>
    <s v="IL3"/>
    <n v="0.2"/>
    <x v="194"/>
    <s v="USA"/>
    <s v="SYSTEUR"/>
    <x v="0"/>
    <s v="nishant.nair1@philips.com"/>
    <x v="2"/>
    <m/>
  </r>
  <r>
    <n v="25666"/>
    <s v="Viraj Bhagwat"/>
    <s v="STET: Transfer 18.5&quot; Phoenix displays from Tianma Japan to Tianma China"/>
    <s v="Nishant"/>
    <m/>
    <s v="PROCUREMENT"/>
    <s v="PRODUCTIVITY"/>
    <s v="SOURCING"/>
    <s v="Medical ODM Markets"/>
    <s v="HPM"/>
    <x v="1"/>
    <s v="IL3"/>
    <n v="0.2"/>
    <x v="194"/>
    <s v="USA"/>
    <s v="SYSTEUR"/>
    <x v="0"/>
    <s v="nishant.nair1@philips.com"/>
    <x v="2"/>
    <m/>
  </r>
  <r>
    <s v="TESRC1"/>
    <s v="Jidhish Siddharthan"/>
    <s v="Pinnacle Tester Transfer from CCI to Captronic"/>
    <s v="Nishant"/>
    <m/>
    <s v="TCO"/>
    <s v="TEST ENG"/>
    <s v="CONCEPT"/>
    <s v="Key Components &amp; Electronics"/>
    <s v="SRC"/>
    <x v="1"/>
    <s v="IL3"/>
    <n v="0.2"/>
    <x v="195"/>
    <s v="India"/>
    <s v="SYSTEUR"/>
    <x v="0"/>
    <s v="nishant.nair1@philips.com"/>
    <x v="2"/>
    <m/>
  </r>
  <r>
    <n v="30093"/>
    <s v="Viraj Bhagwat"/>
    <s v="Quasar_Display Standardization_Delphi product line"/>
    <s v="Nishant"/>
    <m/>
    <s v="PROCUREMENT"/>
    <s v="PRODUCTIVITY"/>
    <s v="CONCEPT"/>
    <s v="Key Components &amp; Electronics"/>
    <s v="HPM"/>
    <x v="1"/>
    <s v="IL1"/>
    <n v="0.2"/>
    <x v="194"/>
    <s v="USA"/>
    <s v="SYSTEUR"/>
    <x v="0"/>
    <s v="nishant.nair1@philips.com"/>
    <x v="2"/>
    <m/>
  </r>
  <r>
    <s v="TEHPM1"/>
    <s v="Jidhish Siddharthan"/>
    <s v="HPM Measurement Boards FCT Development"/>
    <s v="Nishant"/>
    <m/>
    <s v="TCO"/>
    <s v="TEST ENG"/>
    <s v="CONCEPT"/>
    <s v="Key Components &amp; Electronics"/>
    <s v="HPM"/>
    <x v="1"/>
    <s v="IL3"/>
    <n v="0.1"/>
    <x v="195"/>
    <s v="India"/>
    <s v="SYSTEUR"/>
    <x v="0"/>
    <s v="nishant.nair1@philips.com"/>
    <x v="2"/>
    <m/>
  </r>
  <r>
    <s v="L&amp;A"/>
    <s v="N/A"/>
    <s v="MISC. ENTRY TO BALANCE WITH RESOURCE DATABASE"/>
    <s v="All"/>
    <m/>
    <s v="L&amp;A"/>
    <s v="L&amp;A"/>
    <s v="L&amp;A"/>
    <s v="L&amp;A"/>
    <s v="L&amp;A"/>
    <x v="4"/>
    <s v="L&amp;A"/>
    <n v="0.6"/>
    <x v="195"/>
    <s v="India"/>
    <s v="SYSTEUR"/>
    <x v="0"/>
    <s v="nishant.nair1@philips.com"/>
    <x v="2"/>
    <m/>
  </r>
  <r>
    <s v="TEUS1"/>
    <s v="Jidhish Siddharthan"/>
    <s v="Quick Silver - PREG"/>
    <s v="Nishant"/>
    <m/>
    <s v="TCO"/>
    <s v="TEST ENG"/>
    <s v="CONCEPT"/>
    <s v="Key Components &amp; Electronics"/>
    <s v="US"/>
    <x v="0"/>
    <s v="IL3"/>
    <n v="0.1"/>
    <x v="195"/>
    <s v="India"/>
    <s v="SYSTEUR"/>
    <x v="0"/>
    <s v="nishant.nair1@philips.com"/>
    <x v="2"/>
    <m/>
  </r>
  <r>
    <s v="L&amp;A"/>
    <s v="N/A"/>
    <s v="MISC. ENTRY TO BALANCE WITH RESOURCE DATABASE"/>
    <s v="All"/>
    <m/>
    <s v="L&amp;A"/>
    <s v="L&amp;A"/>
    <s v="L&amp;A"/>
    <s v="L&amp;A"/>
    <s v="L&amp;A"/>
    <x v="4"/>
    <s v="L&amp;A"/>
    <n v="0.6"/>
    <x v="196"/>
    <s v="USA"/>
    <s v="SYSTEUR"/>
    <x v="0"/>
    <s v="nishant.nair1@philips.com"/>
    <x v="2"/>
    <m/>
  </r>
  <r>
    <s v="SRC Service"/>
    <s v="Steve/Fernando"/>
    <s v="UNO RP Kits"/>
    <s v="Nishant"/>
    <m/>
    <s v="PROCUREMENT"/>
    <s v="PRODUCTIVITY"/>
    <s v="SOURCING"/>
    <s v="Key Components &amp; Electronics"/>
    <s v="SRC"/>
    <x v="1"/>
    <s v="IL3"/>
    <n v="0.2"/>
    <x v="196"/>
    <s v="USA"/>
    <s v="SYSTEUR"/>
    <x v="0"/>
    <s v="nishant.nair1@philips.com"/>
    <x v="2"/>
    <m/>
  </r>
  <r>
    <n v="17628"/>
    <s v="Steve/Fernando"/>
    <s v="111850  Dream 80W Power Supply GaTE Redesign"/>
    <s v="Nishant"/>
    <m/>
    <s v="PROCUREMENT"/>
    <s v="PRODUCTIVITY"/>
    <s v="SOURCING"/>
    <s v="Key Components &amp; Electronics"/>
    <s v="SRC"/>
    <x v="1"/>
    <s v="IL5"/>
    <n v="0.2"/>
    <x v="196"/>
    <s v="USA"/>
    <s v="SYSTEUR"/>
    <x v="0"/>
    <s v="nishant.nair1@philips.com"/>
    <x v="2"/>
    <m/>
  </r>
  <r>
    <s v="CARTPDCUS1"/>
    <s v="Charles Moses"/>
    <s v="Carts PDC - Ultrasound Quicksilver NPI"/>
    <s v="Nishant"/>
    <m/>
    <s v="PROCUREMENT"/>
    <s v="CART PDC"/>
    <s v="CONCEPT"/>
    <s v="Mechanical Parts &amp; Assemblies"/>
    <s v="US"/>
    <x v="0"/>
    <s v="IL3"/>
    <n v="0.1"/>
    <x v="193"/>
    <s v="USA"/>
    <s v="SYSTEUR"/>
    <x v="0"/>
    <s v="nishant.nair1@philips.com"/>
    <x v="2"/>
    <m/>
  </r>
  <r>
    <s v="TEUS1"/>
    <s v="Jidhish Siddharthan"/>
    <s v="Quick Silver - PREG"/>
    <s v="Nishant"/>
    <m/>
    <s v="TCO"/>
    <s v="TEST ENG"/>
    <s v="CONCEPT"/>
    <s v="Key Components &amp; Electronics"/>
    <s v="US"/>
    <x v="0"/>
    <s v="IL3"/>
    <n v="0.2"/>
    <x v="197"/>
    <s v="India"/>
    <s v="SYSTEUR"/>
    <x v="0"/>
    <s v="nishant.nair1@philips.com"/>
    <x v="2"/>
    <m/>
  </r>
  <r>
    <s v="CARTPDCSRC1"/>
    <s v="Charles Moses"/>
    <s v="Carts PDC - SRC Carts"/>
    <s v="Nishant"/>
    <m/>
    <s v="PROCUREMENT"/>
    <s v="CART PDC"/>
    <s v="CONCEPT"/>
    <s v="Mechanical Parts &amp; Assemblies"/>
    <s v="SRC"/>
    <x v="1"/>
    <s v="IL3"/>
    <n v="0.1"/>
    <x v="193"/>
    <s v="USA"/>
    <s v="SYSTEUR"/>
    <x v="0"/>
    <s v="nishant.nair1@philips.com"/>
    <x v="2"/>
    <m/>
  </r>
  <r>
    <s v="TEHPM1"/>
    <s v="Jidhish Siddharthan"/>
    <s v="HPM Measurement Boards FCT Development"/>
    <s v="Nishant"/>
    <m/>
    <s v="TCO"/>
    <s v="TEST ENG"/>
    <s v="CONCEPT"/>
    <s v="Key Components &amp; Electronics"/>
    <s v="HPM"/>
    <x v="1"/>
    <s v="IL3"/>
    <n v="0.5"/>
    <x v="197"/>
    <s v="India"/>
    <s v="SYSTEUR"/>
    <x v="0"/>
    <s v="nishant.nair1@philips.com"/>
    <x v="2"/>
    <m/>
  </r>
  <r>
    <s v="TESRC1"/>
    <s v="Jidhish Siddharthan"/>
    <s v="Pinnacle Tester Transfer from CCI to Captronic"/>
    <s v="Nishant"/>
    <m/>
    <s v="TCO"/>
    <s v="TEST ENG"/>
    <s v="CONCEPT"/>
    <s v="Key Components &amp; Electronics"/>
    <s v="SRC"/>
    <x v="1"/>
    <s v="IL3"/>
    <n v="0.3"/>
    <x v="197"/>
    <s v="India"/>
    <s v="SYSTEUR"/>
    <x v="0"/>
    <s v="nishant.nair1@philips.com"/>
    <x v="2"/>
    <m/>
  </r>
  <r>
    <n v="25490"/>
    <s v="Viraj Bhagwat"/>
    <s v="STET: Re-sourcing the Sharp X3 display with one a lower price preferred supplier (Tianma selected)"/>
    <s v="Nishant"/>
    <m/>
    <s v="PROCUREMENT"/>
    <s v="PRODUCTIVITY"/>
    <s v="SOURCING"/>
    <s v="Medical ODM Markets"/>
    <s v="HPM"/>
    <x v="1"/>
    <s v="IL3"/>
    <n v="0.1"/>
    <x v="198"/>
    <s v="India"/>
    <s v="SYSTEUR"/>
    <x v="0"/>
    <s v="nishant.nair1@philips.com"/>
    <x v="2"/>
    <m/>
  </r>
  <r>
    <n v="26774"/>
    <s v="Viraj Bhagwat"/>
    <s v="STET: DFX_PM_Resourcing Delphi power supply"/>
    <s v="Nishant"/>
    <m/>
    <s v="PROCUREMENT"/>
    <s v="PRODUCTIVITY"/>
    <s v="SOURCING"/>
    <s v="Key Components &amp; Electronics"/>
    <s v="HPM"/>
    <x v="1"/>
    <s v="IL3"/>
    <n v="0.3"/>
    <x v="198"/>
    <s v="India"/>
    <s v="SYSTEUR"/>
    <x v="0"/>
    <s v="nishant.nair1@philips.com"/>
    <x v="2"/>
    <m/>
  </r>
  <r>
    <n v="26598"/>
    <s v="Geert Lievens"/>
    <s v="N55”/65&quot; display solution replacing 58” + all others (PCI-2020-026)"/>
    <s v="Nishant"/>
    <m/>
    <s v="PROCUREMENT"/>
    <s v="PRODUCTIVITY"/>
    <s v="CONCEPT"/>
    <s v="Medical ODM Markets"/>
    <s v="IGT-S"/>
    <x v="3"/>
    <s v="IL2"/>
    <n v="0.2"/>
    <x v="194"/>
    <s v="USA"/>
    <s v="SYSTEUR"/>
    <x v="0"/>
    <s v="nishant.nair1@philips.com"/>
    <x v="2"/>
    <m/>
  </r>
  <r>
    <s v="L&amp;A"/>
    <s v="N/A"/>
    <s v="MISC. ENTRY TO BALANCE WITH RESOURCE DATABASE"/>
    <s v="All"/>
    <m/>
    <s v="L&amp;A"/>
    <s v="L&amp;A"/>
    <s v="L&amp;A"/>
    <s v="L&amp;A"/>
    <s v="L&amp;A"/>
    <x v="4"/>
    <s v="L&amp;A"/>
    <n v="0.6"/>
    <x v="198"/>
    <s v="India"/>
    <s v="SYSTEUR"/>
    <x v="0"/>
    <s v="nishant.nair1@philips.com"/>
    <x v="2"/>
    <m/>
  </r>
  <r>
    <s v="CR116508"/>
    <s v="Saurabh Agarwal"/>
    <s v="Cairo non-charging &amp; Charging travel case for the Cairo 1 &amp; 2 propositions"/>
    <s v="Tim"/>
    <m/>
    <s v="PROCUREMENT"/>
    <s v="LCM"/>
    <s v="SOURCING"/>
    <s v="Mechanical Parts &amp; Assemblies"/>
    <s v="OHC"/>
    <x v="2"/>
    <s v="IL3"/>
    <n v="0.1"/>
    <x v="199"/>
    <s v="India"/>
    <s v="SYSTEUR"/>
    <x v="0"/>
    <s v="saurabh.agrawal_1@philips.com"/>
    <x v="3"/>
    <m/>
  </r>
  <r>
    <n v="36545"/>
    <s v="Saurabh Agarwal"/>
    <s v="SYDNEY 2ND SOURCE TI MCU"/>
    <s v="Tim"/>
    <m/>
    <s v="PROCUREMENT"/>
    <s v="PRODUCTIVITY"/>
    <s v="CONCEPT"/>
    <s v="Key Components &amp; Electronics"/>
    <s v="OHC"/>
    <x v="2"/>
    <s v="IL2"/>
    <n v="0.15"/>
    <x v="199"/>
    <s v="India"/>
    <s v="SYSTEUR"/>
    <x v="0"/>
    <s v="saurabh.agrawal_1@philips.com"/>
    <x v="3"/>
    <m/>
  </r>
  <r>
    <n v="33899"/>
    <s v="Saurabh Agarwal"/>
    <s v="Osaka PCBA dual source for H&amp;T"/>
    <s v="Tim"/>
    <m/>
    <s v="PROCUREMENT"/>
    <s v="PRODUCTIVITY"/>
    <s v="SOURCING"/>
    <s v="Key Components &amp; Electronics"/>
    <s v="OHC"/>
    <x v="2"/>
    <s v="IL3"/>
    <n v="0.3"/>
    <x v="199"/>
    <s v="India"/>
    <s v="SYSTEUR"/>
    <x v="0"/>
    <s v="saurabh.agrawal_1@philips.com"/>
    <x v="3"/>
    <m/>
  </r>
  <r>
    <n v="34148"/>
    <s v="Saurabh Agarwal"/>
    <s v="Klockner to IP Films supplier change (CR113027) for Nebraska line in Ontario"/>
    <s v="Tim"/>
    <m/>
    <s v="PROCUREMENT"/>
    <s v="PRODUCTIVITY"/>
    <s v="CONCEPT"/>
    <s v="Mechanical Parts &amp; Assemblies"/>
    <s v="OHC"/>
    <x v="2"/>
    <s v="IL3"/>
    <n v="0.2"/>
    <x v="200"/>
    <s v="India"/>
    <s v="SYSTEUR"/>
    <x v="0"/>
    <s v="Udit.Joshi@philips.com"/>
    <x v="3"/>
    <m/>
  </r>
  <r>
    <s v="CR058919"/>
    <s v="Saurabh Agarwal"/>
    <s v="Cost savings initiative for current D shaped Pin charger."/>
    <s v="Tim"/>
    <m/>
    <s v="PROCUREMENT"/>
    <s v="LCM"/>
    <s v="SOURCING"/>
    <s v="Key Components &amp; Electronics"/>
    <s v="OHC"/>
    <x v="2"/>
    <s v="IL3"/>
    <n v="0.25"/>
    <x v="201"/>
    <s v="India"/>
    <s v="SYSTEUR"/>
    <x v="0"/>
    <s v="Udit.Joshi@philips.com"/>
    <x v="3"/>
    <m/>
  </r>
  <r>
    <n v="33179"/>
    <s v="Saurabh Agarwal"/>
    <s v="DC Round Triton 2nd Source (add an alternate source to PIE). Aohai, Suntrong, and Tenpao contenders. Initial rollout target Cairo I."/>
    <s v="Tim"/>
    <m/>
    <s v="PROCUREMENT"/>
    <s v="PRODUCTIVITY"/>
    <s v="CONCEPT"/>
    <s v="Key Components &amp; Electronics"/>
    <s v="OHC"/>
    <x v="2"/>
    <s v="IL3"/>
    <n v="0.5"/>
    <x v="202"/>
    <s v="India"/>
    <s v="SYSTEUR"/>
    <x v="0"/>
    <s v="Udit.Joshi@philips.com"/>
    <x v="3"/>
    <m/>
  </r>
  <r>
    <s v="CR116508"/>
    <s v="Saurabh Agarwal"/>
    <s v="Cairo non-charging &amp; Charging travel case for the Cairo 1 &amp; 2 propositions"/>
    <s v="Tim"/>
    <m/>
    <s v="PROCUREMENT"/>
    <s v="LCM"/>
    <s v="SOURCING"/>
    <s v="Mechanical Parts &amp; Assemblies"/>
    <s v="OHC"/>
    <x v="2"/>
    <s v="IL3"/>
    <n v="0.5"/>
    <x v="202"/>
    <s v="India"/>
    <s v="SYSTEUR"/>
    <x v="0"/>
    <s v="Udit.Joshi@philips.com"/>
    <x v="3"/>
    <m/>
  </r>
  <r>
    <n v="33538"/>
    <s v="Saurabh Agarwal"/>
    <s v="Nebraska at Flex in EU"/>
    <s v="Tim"/>
    <m/>
    <s v="PROCUREMENT"/>
    <s v="PRODUCTIVITY"/>
    <s v="CONCEPT"/>
    <s v="Personal Health"/>
    <s v="OHC"/>
    <x v="2"/>
    <s v="IL3"/>
    <n v="0.2"/>
    <x v="200"/>
    <s v="India"/>
    <s v="SYSTEUR"/>
    <x v="0"/>
    <s v="Udit.Joshi@philips.com"/>
    <x v="3"/>
    <m/>
  </r>
  <r>
    <n v="36151"/>
    <s v="Saurabh Agarwal"/>
    <s v="PIE to use new China supplier for glass charger cup ARC -&gt; Xinmin, direct purchase"/>
    <s v="Tim"/>
    <m/>
    <s v="PROCUREMENT"/>
    <s v="PRODUCTIVITY"/>
    <s v="SOURCING"/>
    <s v="Key Components &amp; Electronics"/>
    <s v="OHC"/>
    <x v="2"/>
    <s v="IL1"/>
    <n v="0.25"/>
    <x v="201"/>
    <s v="India"/>
    <s v="SYSTEUR"/>
    <x v="0"/>
    <s v="Udit.Joshi@philips.com"/>
    <x v="3"/>
    <m/>
  </r>
  <r>
    <n v="35182"/>
    <s v="Saurabh Agarwal"/>
    <s v="Triton DT PZH in-sourcing"/>
    <s v="Tim"/>
    <m/>
    <s v="PROCUREMENT"/>
    <s v="PRODUCTIVITY"/>
    <s v="SOURCING"/>
    <s v="Mechanical Parts &amp; Assemblies"/>
    <s v="OHC"/>
    <x v="2"/>
    <s v="IL3"/>
    <n v="0.2"/>
    <x v="199"/>
    <s v="India"/>
    <s v="SYSTEUR"/>
    <x v="0"/>
    <s v="saurabh.agrawal_1@philips.com"/>
    <x v="3"/>
    <m/>
  </r>
  <r>
    <s v="CR155689"/>
    <s v="Saurabh Agarwal"/>
    <s v="Ballcup Resin change"/>
    <s v="Tim"/>
    <m/>
    <s v="PROCUREMENT"/>
    <s v="AOS"/>
    <s v="SOURCING"/>
    <s v="Mechanical Parts &amp; Assemblies"/>
    <s v="OHC"/>
    <x v="2"/>
    <s v="IL3"/>
    <n v="0.1"/>
    <x v="203"/>
    <s v="India"/>
    <s v="SYSTEUR"/>
    <x v="0"/>
    <s v="Udit.Joshi@philips.com"/>
    <x v="3"/>
    <m/>
  </r>
  <r>
    <s v="CR152153"/>
    <s v="Saurabh Agarwal"/>
    <s v="UNIP-procedure tools"/>
    <s v="Tim"/>
    <m/>
    <s v="PROCUREMENT"/>
    <s v="PRODUCTIVITY"/>
    <s v="SOURCING"/>
    <s v="Mechanical Parts &amp; Assemblies"/>
    <s v="OHC"/>
    <x v="2"/>
    <s v="IL1"/>
    <n v="0.3"/>
    <x v="203"/>
    <s v="India"/>
    <s v="SYSTEUR"/>
    <x v="0"/>
    <s v="Udit.Joshi@philips.com"/>
    <x v="3"/>
    <m/>
  </r>
  <r>
    <s v="CR0111420"/>
    <s v="Charles Moses"/>
    <s v="NIC Tooling Replacement: EPIQ Front 453561600131"/>
    <s v="Nishant"/>
    <m/>
    <s v="N/A"/>
    <s v="AOS"/>
    <s v="SOURCING"/>
    <s v="Mechanical Parts &amp; Assemblies"/>
    <s v="US"/>
    <x v="0"/>
    <s v="IL3"/>
    <n v="0.2"/>
    <x v="204"/>
    <s v="India"/>
    <s v="SYSTEUR"/>
    <x v="0"/>
    <s v="VidishaK.Nagrare@philips.com"/>
    <x v="2"/>
    <m/>
  </r>
  <r>
    <s v="CR0112139"/>
    <s v="Charles Moses"/>
    <s v="Barco Sparq Monitor spec improvement for soft key brightness"/>
    <s v="Nishant"/>
    <m/>
    <s v="N/A"/>
    <s v="LCM"/>
    <s v="SOURCING"/>
    <s v="Mechanical Parts &amp; Assemblies"/>
    <s v="US"/>
    <x v="0"/>
    <s v="IL3"/>
    <n v="0.2"/>
    <x v="204"/>
    <s v="India"/>
    <s v="SYSTEUR"/>
    <x v="0"/>
    <s v="VidishaK.Nagrare@philips.com"/>
    <x v="2"/>
    <m/>
  </r>
  <r>
    <s v="CR0111419"/>
    <s v="Charles Moses"/>
    <s v="NIC Tooling Replacement: Affinity Superstructure 453561879462"/>
    <s v="Nishant"/>
    <m/>
    <s v="N/A"/>
    <s v="AOS"/>
    <s v="SOURCING"/>
    <s v="Mechanical Parts &amp; Assemblies"/>
    <s v="US"/>
    <x v="0"/>
    <s v="IL3"/>
    <n v="0.2"/>
    <x v="204"/>
    <s v="India"/>
    <s v="SYSTEUR"/>
    <x v="0"/>
    <s v="VidishaK.Nagrare@philips.com"/>
    <x v="2"/>
    <m/>
  </r>
  <r>
    <s v="CR0111603"/>
    <s v="Charles Moses"/>
    <s v="Ergotron Tooling Replacement 453561916196, Articulating arm"/>
    <s v="Nishant"/>
    <m/>
    <s v="N/A"/>
    <s v="LCM"/>
    <s v="SOURCING"/>
    <s v="Mechanical Parts &amp; Assemblies"/>
    <s v="US"/>
    <x v="0"/>
    <s v="IL3"/>
    <n v="0.2"/>
    <x v="204"/>
    <s v="India"/>
    <s v="SYSTEUR"/>
    <x v="0"/>
    <s v="VidishaK.Nagrare@philips.com"/>
    <x v="2"/>
    <m/>
  </r>
  <r>
    <s v="CR0111796"/>
    <s v="Charles Moses"/>
    <s v="Add the alternate Fan Box assembly into EPIQ Chassis"/>
    <s v="Nishant"/>
    <m/>
    <s v="N/A"/>
    <s v="LCM"/>
    <s v="SOURCING"/>
    <s v="Mechanical Parts &amp; Assemblies"/>
    <s v="US"/>
    <x v="0"/>
    <s v="IL3"/>
    <n v="0.2"/>
    <x v="204"/>
    <s v="India"/>
    <s v="SYSTEUR"/>
    <x v="0"/>
    <s v="VidishaK.Nagrare@philips.com"/>
    <x v="2"/>
    <m/>
  </r>
  <r>
    <s v="CR0107346CR0107347"/>
    <s v="Charles Moses"/>
    <s v="EPIQ Display Change_Cost reductionEPIQ PCBA Change_Cost reduction"/>
    <s v="Nishant"/>
    <m/>
    <s v="N/A"/>
    <s v="LCM"/>
    <s v="SOURCING"/>
    <s v="Key Components &amp; Electronics"/>
    <s v="US"/>
    <x v="0"/>
    <s v="IL3"/>
    <n v="0.25"/>
    <x v="205"/>
    <s v="India"/>
    <s v="SYSTEUR"/>
    <x v="0"/>
    <s v="VidishaK.Nagrare@philips.com"/>
    <x v="2"/>
    <m/>
  </r>
  <r>
    <s v="PD40096"/>
    <s v="Charles Moses"/>
    <s v="BOM does not match AI for screws"/>
    <s v="Nishant"/>
    <m/>
    <s v="N/A"/>
    <s v="LCM"/>
    <s v="SOURCING"/>
    <s v="Mechanical Parts &amp; Assemblies"/>
    <s v="US"/>
    <x v="0"/>
    <s v="IL3"/>
    <n v="0.25"/>
    <x v="205"/>
    <s v="India"/>
    <s v="SYSTEUR"/>
    <x v="0"/>
    <s v="VidishaK.Nagrare@philips.com"/>
    <x v="2"/>
    <m/>
  </r>
  <r>
    <s v="PD34374"/>
    <s v="Charles Moses"/>
    <s v="CX50 - Change Physio connector label from BF to CF"/>
    <s v="Nishant"/>
    <m/>
    <s v="N/A"/>
    <s v="CONQ"/>
    <s v="CONQ"/>
    <s v="Key Components &amp; Electronics"/>
    <s v="US"/>
    <x v="0"/>
    <s v="IL3"/>
    <n v="0.25"/>
    <x v="206"/>
    <s v="India"/>
    <s v="SYSTEUR"/>
    <x v="0"/>
    <s v="VidishaK.Nagrare@philips.com"/>
    <x v="2"/>
    <m/>
  </r>
  <r>
    <s v="CR0111023"/>
    <s v="Charles Moses"/>
    <s v="NIC EPIQ cart China Localization"/>
    <s v="Nishant"/>
    <m/>
    <s v="N/A"/>
    <s v="LCM"/>
    <s v="SOURCING"/>
    <s v="Mechanical Parts &amp; Assemblies"/>
    <s v="US"/>
    <x v="0"/>
    <s v="IL3"/>
    <n v="0.25"/>
    <x v="205"/>
    <s v="India"/>
    <s v="SYSTEUR"/>
    <x v="0"/>
    <s v="VidishaK.Nagrare@philips.com"/>
    <x v="2"/>
    <m/>
  </r>
  <r>
    <s v="PD33429"/>
    <s v="Charles Moses"/>
    <s v="Max. Safe Working Load symbol&lt;br&gt;Blue Man Reading Symbol"/>
    <s v="Nishant"/>
    <m/>
    <s v="N/A"/>
    <s v="LCM"/>
    <s v="SOURCING"/>
    <s v="Mechanical Parts &amp; Assemblies"/>
    <s v="US"/>
    <x v="0"/>
    <s v="IL3"/>
    <n v="0.25"/>
    <x v="206"/>
    <s v="India"/>
    <s v="SYSTEUR"/>
    <x v="0"/>
    <s v="VidishaK.Nagrare@philips.com"/>
    <x v="2"/>
    <m/>
  </r>
  <r>
    <s v="CR0109285"/>
    <s v="Charles Moses"/>
    <s v="Resource Power supply - APPM &amp; VPPM from Artesyn"/>
    <s v="Nishant"/>
    <m/>
    <s v="N/A"/>
    <s v="LCM"/>
    <s v="SOURCING"/>
    <s v="Key Components &amp; Electronics"/>
    <s v="US"/>
    <x v="0"/>
    <s v="IL3"/>
    <n v="0.25"/>
    <x v="206"/>
    <s v="India"/>
    <s v="SYSTEUR"/>
    <x v="0"/>
    <s v="VidishaK.Nagrare@philips.com"/>
    <x v="2"/>
    <m/>
  </r>
  <r>
    <s v="PD40097"/>
    <s v="Charles Moses"/>
    <s v="Percunav screw discrepancy BOM vs AI"/>
    <s v="Nishant"/>
    <m/>
    <s v="N/A"/>
    <s v="LCM"/>
    <s v="SOURCING"/>
    <s v="Mechanical Parts &amp; Assemblies"/>
    <s v="US"/>
    <x v="0"/>
    <s v="IL3"/>
    <n v="0.25"/>
    <x v="205"/>
    <s v="India"/>
    <s v="SYSTEUR"/>
    <x v="0"/>
    <s v="VidishaK.Nagrare@philips.com"/>
    <x v="2"/>
    <m/>
  </r>
  <r>
    <s v="CR0111411"/>
    <s v="Charles Moses"/>
    <s v="Bemis to Kaysun- Multiple PN- EPIQ/Affiniti- Transfer of tools &amp; manufacturing"/>
    <s v="Nishant"/>
    <m/>
    <s v="N/A"/>
    <s v="AOS"/>
    <s v="SOURCING"/>
    <s v="Mechanical Parts &amp; Assemblies"/>
    <s v="US"/>
    <x v="0"/>
    <s v="IL3"/>
    <n v="0.25"/>
    <x v="206"/>
    <s v="India"/>
    <s v="SYSTEUR"/>
    <x v="0"/>
    <s v="VidishaK.Nagrare@philips.com"/>
    <x v="2"/>
    <m/>
  </r>
  <r>
    <s v="CR0110889"/>
    <s v="Charles Moses"/>
    <s v="EOL- PN#453561716643, Cable Assy, MB to Bkhd, 4-Port USB"/>
    <s v="Nishant"/>
    <m/>
    <s v="N/A"/>
    <s v="AOS"/>
    <s v="SOURCING"/>
    <s v="Mechanical Parts &amp; Assemblies"/>
    <s v="US"/>
    <x v="0"/>
    <s v="IL3"/>
    <n v="1"/>
    <x v="207"/>
    <s v="India"/>
    <s v="SYSTEUR"/>
    <x v="0"/>
    <s v="VidishaK.Nagrare@philips.com"/>
    <x v="2"/>
    <m/>
  </r>
  <r>
    <s v="CR0106886"/>
    <s v="Charles Moses"/>
    <s v="McFarlane - Patient/ Endocavity Tracker Molex cable jacket material change"/>
    <s v="Nishant"/>
    <m/>
    <s v="N/A"/>
    <s v="LCM"/>
    <s v="SOURCING"/>
    <s v="Mechanical Parts &amp; Assemblies"/>
    <s v="US"/>
    <x v="0"/>
    <s v="IL3"/>
    <n v="0.25"/>
    <x v="208"/>
    <s v="India"/>
    <s v="SYSTEUR"/>
    <x v="0"/>
    <s v="VidishaK.Nagrare@philips.com"/>
    <x v="2"/>
    <m/>
  </r>
  <r>
    <s v="CR0111435"/>
    <s v="Charles Moses"/>
    <s v="Southco CP Arm solenoid wire harness change"/>
    <s v="Nishant"/>
    <m/>
    <s v="N/A"/>
    <s v="LCM"/>
    <s v="SOURCING"/>
    <s v="Mechanical Parts &amp; Assemblies"/>
    <s v="US"/>
    <x v="0"/>
    <s v="IL3"/>
    <n v="0.25"/>
    <x v="208"/>
    <s v="India"/>
    <s v="SYSTEUR"/>
    <x v="0"/>
    <s v="VidishaK.Nagrare@philips.com"/>
    <x v="2"/>
    <m/>
  </r>
  <r>
    <s v="CR0110517"/>
    <s v="Charles Moses"/>
    <s v="Qualify USB-C to USB-C cable for Apple devices"/>
    <s v="Nishant"/>
    <m/>
    <s v="N/A"/>
    <s v="LCM"/>
    <s v="SOURCING"/>
    <s v="Mechanical Parts &amp; Assemblies"/>
    <s v="US"/>
    <x v="0"/>
    <s v="IL3"/>
    <n v="0.25"/>
    <x v="208"/>
    <s v="India"/>
    <s v="SYSTEUR"/>
    <x v="0"/>
    <s v="VidishaK.Nagrare@philips.com"/>
    <x v="2"/>
    <m/>
  </r>
  <r>
    <s v="CR0111800"/>
    <s v="Charles Moses"/>
    <s v="453561474671 Factory Change"/>
    <s v="Nishant"/>
    <m/>
    <s v="N/A"/>
    <s v="NPI"/>
    <s v="SOURCING"/>
    <s v="Mechanical Parts &amp; Assemblies"/>
    <s v="US"/>
    <x v="0"/>
    <s v="IL3"/>
    <n v="0.25"/>
    <x v="208"/>
    <s v="India"/>
    <s v="SYSTEUR"/>
    <x v="0"/>
    <s v="VidishaK.Nagrare@philips.com"/>
    <x v="2"/>
    <m/>
  </r>
  <r>
    <s v="CR0108334"/>
    <s v="Charles Moses"/>
    <s v="TTM PCB Fab Via Filling Material Change - Multiple System Fabs"/>
    <s v="Nishant"/>
    <m/>
    <s v="N/A"/>
    <s v="LCM"/>
    <s v="SOURCING"/>
    <s v="Key Components &amp; Electronics"/>
    <s v="US"/>
    <x v="0"/>
    <s v="IL3"/>
    <n v="0.25"/>
    <x v="209"/>
    <s v="India"/>
    <s v="SYSTEUR"/>
    <x v="0"/>
    <s v="VidishaK.Nagrare@philips.com"/>
    <x v="2"/>
    <m/>
  </r>
  <r>
    <s v="CR0110658"/>
    <s v="Charles Moses"/>
    <s v="SCN- SCN-Epiq- Alternative Diode - AOS"/>
    <s v="Nishant"/>
    <m/>
    <s v="N/A"/>
    <s v="AOS"/>
    <s v="SOURCING"/>
    <s v="Key Components &amp; Electronics"/>
    <s v="US"/>
    <x v="0"/>
    <s v="IL3"/>
    <n v="0.25"/>
    <x v="209"/>
    <s v="India"/>
    <s v="SYSTEUR"/>
    <x v="0"/>
    <s v="VidishaK.Nagrare@philips.com"/>
    <x v="2"/>
    <m/>
  </r>
  <r>
    <s v="CR0110375"/>
    <s v="Charles Moses"/>
    <s v="Design changes for HACB"/>
    <s v="Nishant"/>
    <m/>
    <s v="N/A"/>
    <s v="LCM"/>
    <s v="SOURCING"/>
    <s v="Key Components &amp; Electronics"/>
    <s v="US"/>
    <x v="0"/>
    <s v="IL3"/>
    <n v="0.25"/>
    <x v="209"/>
    <s v="India"/>
    <s v="SYSTEUR"/>
    <x v="0"/>
    <s v="VidishaK.Nagrare@philips.com"/>
    <x v="2"/>
    <m/>
  </r>
  <r>
    <s v="CR0109997"/>
    <s v="Charles Moses"/>
    <s v="AOS Micron MT8KTF51264HZ-1G9P1 ACB DDR3 SODIMM"/>
    <s v="Nishant"/>
    <m/>
    <s v="N/A"/>
    <s v="AOS"/>
    <s v="SOURCING"/>
    <s v="Key Components &amp; Electronics"/>
    <s v="US"/>
    <x v="0"/>
    <s v="IL3"/>
    <n v="0.25"/>
    <x v="210"/>
    <s v="India"/>
    <s v="SYSTEUR"/>
    <x v="0"/>
    <s v="VidishaK.Nagrare@philips.com"/>
    <x v="2"/>
    <m/>
  </r>
  <r>
    <s v="CR0102545"/>
    <s v="Charles Moses"/>
    <s v="EOL Micron MT41K512M16HA-125:A on Harmony ACB board"/>
    <s v="Nishant"/>
    <m/>
    <s v="N/A"/>
    <s v="AOS"/>
    <s v="SOURCING"/>
    <s v="Key Components &amp; Electronics"/>
    <s v="US"/>
    <x v="0"/>
    <s v="IL3"/>
    <n v="0.25"/>
    <x v="209"/>
    <s v="India"/>
    <s v="SYSTEUR"/>
    <x v="0"/>
    <s v="VidishaK.Nagrare@philips.com"/>
    <x v="2"/>
    <m/>
  </r>
  <r>
    <s v="CR0110388"/>
    <s v="Charles Moses"/>
    <s v="Lumify: EOL Micron MT41K256M16TW-107:P"/>
    <s v="Nishant"/>
    <m/>
    <s v="N/A"/>
    <s v="AOS"/>
    <s v="SOURCING"/>
    <s v="Key Components &amp; Electronics"/>
    <s v="US"/>
    <x v="0"/>
    <s v="IL3"/>
    <n v="0.25"/>
    <x v="210"/>
    <s v="India"/>
    <s v="SYSTEUR"/>
    <x v="0"/>
    <s v="VidishaK.Nagrare@philips.com"/>
    <x v="2"/>
    <m/>
  </r>
  <r>
    <s v="CR0111125"/>
    <s v="Charles Moses"/>
    <s v="Localization for EPIQ/AFFINITI battery for China L4L production(453561904973)"/>
    <s v="Nishant"/>
    <m/>
    <s v="N/A"/>
    <s v="LCM"/>
    <s v="SOURCING"/>
    <s v="Key Components &amp; Electronics"/>
    <s v="US"/>
    <x v="0"/>
    <s v="IL3"/>
    <n v="0.25"/>
    <x v="210"/>
    <s v="India"/>
    <s v="SYSTEUR"/>
    <x v="0"/>
    <s v="VidishaK.Nagrare@philips.com"/>
    <x v="2"/>
    <m/>
  </r>
  <r>
    <s v="CR0110934"/>
    <s v="Charles Moses"/>
    <s v="Rafi Horizontal Control Panel LLFRU"/>
    <s v="Nishant"/>
    <m/>
    <s v="N/A"/>
    <s v="LCM"/>
    <s v="SOURCING"/>
    <s v="Key Components &amp; Electronics"/>
    <s v="US"/>
    <x v="0"/>
    <s v="IL3"/>
    <n v="0.25"/>
    <x v="210"/>
    <s v="India"/>
    <s v="SYSTEUR"/>
    <x v="0"/>
    <s v="VidishaK.Nagrare@philips.com"/>
    <x v="2"/>
    <m/>
  </r>
  <r>
    <s v="CR0111336"/>
    <s v="Charles Moses"/>
    <s v="Adding alternates to AVL to mitigate price increase from Vishay"/>
    <s v="Nishant"/>
    <m/>
    <s v="N/A"/>
    <s v="LCM"/>
    <s v="SOURCING"/>
    <s v="Key Components &amp; Electronics"/>
    <s v="US"/>
    <x v="0"/>
    <s v="IL5"/>
    <n v="0.25"/>
    <x v="211"/>
    <s v="India"/>
    <s v="SYSTEUR"/>
    <x v="0"/>
    <s v="VidishaK.Nagrare@philips.com"/>
    <x v="2"/>
    <m/>
  </r>
  <r>
    <s v="CR0105321"/>
    <s v="Charles Moses"/>
    <s v="EOL TEXAS INSTRUMENTS 74ALVTH32374ZKER"/>
    <s v="Nishant"/>
    <m/>
    <s v="N/A"/>
    <s v="AOS"/>
    <s v="SOURCING"/>
    <s v="Key Components &amp; Electronics"/>
    <s v="US"/>
    <x v="0"/>
    <s v="IL3"/>
    <n v="0.25"/>
    <x v="211"/>
    <s v="India"/>
    <s v="SYSTEUR"/>
    <x v="0"/>
    <s v="VidishaK.Nagrare@philips.com"/>
    <x v="2"/>
    <m/>
  </r>
  <r>
    <s v="CR0111907"/>
    <s v="Charles Moses"/>
    <s v="PCBA refresh EOL: 453561489581 FET,P/N CH,300V,PHC2300,SO-8"/>
    <s v="Nishant"/>
    <m/>
    <s v="N/A"/>
    <s v="LCM"/>
    <s v="SOURCING"/>
    <s v="Key Components &amp; Electronics"/>
    <s v="US"/>
    <x v="0"/>
    <s v="IL3"/>
    <n v="0.25"/>
    <x v="211"/>
    <s v="India"/>
    <s v="SYSTEUR"/>
    <x v="0"/>
    <s v="VidishaK.Nagrare@philips.com"/>
    <x v="2"/>
    <m/>
  </r>
  <r>
    <s v="CR0109642"/>
    <s v="Charles Moses"/>
    <s v="Sparq Power Module: Short-circuit Response Failure"/>
    <s v="Nishant"/>
    <m/>
    <s v="N/A"/>
    <s v="LCM"/>
    <s v="SOURCING"/>
    <s v="Key Components &amp; Electronics"/>
    <s v="US"/>
    <x v="0"/>
    <s v="IL3"/>
    <n v="0.25"/>
    <x v="211"/>
    <s v="India"/>
    <s v="SYSTEUR"/>
    <x v="0"/>
    <s v="VidishaK.Nagrare@philips.com"/>
    <x v="2"/>
    <m/>
  </r>
  <r>
    <s v="CR0110335"/>
    <s v="Charles Moses"/>
    <s v="Release a Transducer Select Board Field Replaceable Unit for Affiniti"/>
    <s v="Nishant"/>
    <m/>
    <s v="N/A"/>
    <s v="LCM"/>
    <s v="SOURCING"/>
    <s v="Mechanical Parts &amp; Assemblies"/>
    <s v="US"/>
    <x v="0"/>
    <s v="IL5"/>
    <n v="0.25"/>
    <x v="212"/>
    <s v="India"/>
    <s v="SYSTEUR"/>
    <x v="0"/>
    <s v="VidishaK.Nagrare@philips.com"/>
    <x v="2"/>
    <m/>
  </r>
  <r>
    <s v="CR0109948"/>
    <s v="Charles Moses"/>
    <s v="SPARQ PCBA change - EOL components"/>
    <s v="Nishant"/>
    <m/>
    <s v="N/A"/>
    <s v="LCM"/>
    <s v="SOURCING"/>
    <s v="Key Components &amp; Electronics"/>
    <s v="US"/>
    <x v="0"/>
    <s v="IL3"/>
    <n v="0.25"/>
    <x v="212"/>
    <s v="India"/>
    <s v="SYSTEUR"/>
    <x v="0"/>
    <s v="VidishaK.Nagrare@philips.com"/>
    <x v="2"/>
    <m/>
  </r>
  <r>
    <s v="CR0110130"/>
    <s v="Charles Moses"/>
    <s v="EOL Murata ECASD91B107M012K00"/>
    <s v="Nishant"/>
    <m/>
    <s v="N/A"/>
    <s v="AOS"/>
    <s v="SOURCING"/>
    <s v="Key Components &amp; Electronics"/>
    <s v="US"/>
    <x v="0"/>
    <s v="IL3"/>
    <n v="0.25"/>
    <x v="212"/>
    <s v="India"/>
    <s v="SYSTEUR"/>
    <x v="0"/>
    <s v="VidishaK.Nagrare@philips.com"/>
    <x v="2"/>
    <m/>
  </r>
  <r>
    <s v="CR0111703"/>
    <s v="Charles Moses"/>
    <s v="AOS 453561327241 MMSD701T1G"/>
    <s v="Nishant"/>
    <m/>
    <s v="N/A"/>
    <s v="AOS"/>
    <s v="SOURCING"/>
    <s v="Key Components &amp; Electronics"/>
    <s v="US"/>
    <x v="0"/>
    <s v="IL3"/>
    <n v="0.25"/>
    <x v="212"/>
    <s v="India"/>
    <s v="SYSTEUR"/>
    <x v="0"/>
    <s v="VidishaK.Nagrare@philips.com"/>
    <x v="2"/>
    <m/>
  </r>
  <r>
    <s v="CR0109901"/>
    <s v="Charles Moses"/>
    <s v="NIC - EPIQ - 453561963821.A &amp; 453562012591.C - Ebox rivet change"/>
    <s v="Nishant"/>
    <m/>
    <s v="N/A"/>
    <s v="LCM"/>
    <s v="SOURCING"/>
    <s v="Mechanical Parts &amp; Assemblies"/>
    <s v="US"/>
    <x v="0"/>
    <s v="IL5"/>
    <n v="0.25"/>
    <x v="213"/>
    <s v="India"/>
    <s v="SYSTEUR"/>
    <x v="0"/>
    <s v="VidishaK.Nagrare@philips.com"/>
    <x v="2"/>
    <m/>
  </r>
  <r>
    <s v="CR0111035"/>
    <s v="Charles Moses"/>
    <s v="Need to have SVIO qualified for use on CVXi platform"/>
    <s v="Nishant"/>
    <m/>
    <s v="N/A"/>
    <s v="CONQ"/>
    <s v="CONQ"/>
    <s v="Key Components &amp; Electronics"/>
    <s v="US"/>
    <x v="0"/>
    <s v="IL3"/>
    <n v="0.25"/>
    <x v="213"/>
    <s v="India"/>
    <s v="SYSTEUR"/>
    <x v="0"/>
    <s v="VidishaK.Nagrare@philips.com"/>
    <x v="2"/>
    <m/>
  </r>
  <r>
    <s v="CR0106155"/>
    <s v="Charles Moses"/>
    <s v="VM GH Control Panel Module Spec needs to be updated to IEC 60601-1-2 4"/>
    <s v="Nishant"/>
    <m/>
    <s v="N/A"/>
    <s v="AOS"/>
    <s v="SOURCING"/>
    <s v="Key Components &amp; Electronics"/>
    <s v="US"/>
    <x v="0"/>
    <s v="IL3"/>
    <n v="0.25"/>
    <x v="213"/>
    <s v="India"/>
    <s v="SYSTEUR"/>
    <x v="0"/>
    <s v="VidishaK.Nagrare@philips.com"/>
    <x v="2"/>
    <m/>
  </r>
  <r>
    <s v="CR0111428"/>
    <s v="Charles Moses"/>
    <s v="Altek - 453561642793 - EPIQ - Update Drawing to Control Warp"/>
    <s v="Nishant"/>
    <m/>
    <s v="N/A"/>
    <s v="LCM"/>
    <s v="SOURCING"/>
    <s v="Mechanical Parts &amp; Assemblies"/>
    <s v="US"/>
    <x v="0"/>
    <s v="IL3"/>
    <n v="0.25"/>
    <x v="213"/>
    <s v="India"/>
    <s v="SYSTEUR"/>
    <x v="0"/>
    <s v="VidishaK.Nagrare@philips.com"/>
    <x v="2"/>
    <m/>
  </r>
  <r>
    <n v="33507"/>
    <s v="Vijayanand Purushothaman"/>
    <s v="Arctronics De-risking to SFO for Head coils family"/>
    <s v="Dan"/>
    <m/>
    <s v="PROCUREMENT"/>
    <s v="LCM"/>
    <s v="SOURCING"/>
    <s v="Key Components &amp; Electronics"/>
    <s v="MR"/>
    <x v="0"/>
    <s v="IL0"/>
    <n v="0.1"/>
    <x v="214"/>
    <s v="India"/>
    <s v="SYSTEUR"/>
    <x v="0"/>
    <s v="philip.jenkins@philips.com"/>
    <x v="0"/>
    <m/>
  </r>
  <r>
    <s v="CT/AMI-LCM1"/>
    <s v="Vijayanand Purushothaman"/>
    <s v="PCBA redesign project (FPGA obso)-CT"/>
    <s v="Dan"/>
    <m/>
    <s v="N/A"/>
    <s v="LCM"/>
    <s v="CONCEPT"/>
    <s v="Key Components &amp; Electronics"/>
    <s v="CT/AMI"/>
    <x v="0"/>
    <s v="IL0"/>
    <n v="0.05"/>
    <x v="214"/>
    <s v="India"/>
    <s v="SYSTEUR"/>
    <x v="0"/>
    <s v="philip.jenkins@philips.com"/>
    <x v="0"/>
    <m/>
  </r>
  <r>
    <s v="MR00253597"/>
    <s v="Vijayanand Purushothaman"/>
    <s v="HFO Coils EOL - LTB Stockout"/>
    <s v="Dan"/>
    <m/>
    <s v="N/A"/>
    <s v="LCM"/>
    <s v="SOURCING"/>
    <s v="Key Components &amp; Electronics"/>
    <s v="MR"/>
    <x v="0"/>
    <s v="IL3"/>
    <n v="0.1"/>
    <x v="214"/>
    <s v="India"/>
    <s v="SYSTEUR"/>
    <x v="0"/>
    <s v="philip.jenkins@philips.com"/>
    <x v="0"/>
    <m/>
  </r>
  <r>
    <n v="33506"/>
    <s v="Vijayanand Purushothaman"/>
    <s v="Arctronics De-risking to SFO for Small Extremity coils family"/>
    <s v="Dan"/>
    <m/>
    <s v="PROCUREMENT"/>
    <s v="LCM"/>
    <s v="SOURCING"/>
    <s v="Key Components &amp; Electronics"/>
    <s v="MR"/>
    <x v="0"/>
    <s v="IL0"/>
    <n v="0.1"/>
    <x v="214"/>
    <s v="India"/>
    <s v="SYSTEUR"/>
    <x v="0"/>
    <s v="philip.jenkins@philips.com"/>
    <x v="0"/>
    <m/>
  </r>
  <r>
    <s v="CT/AMI-LCM2"/>
    <s v="Vijayanand Purushothaman"/>
    <s v="PCBA redesign project (FPGA obso)-AMI"/>
    <s v="Dan"/>
    <m/>
    <s v="N/A"/>
    <s v="LCM"/>
    <s v="CONCEPT"/>
    <s v="Key Components &amp; Electronics"/>
    <s v="CT/AMI"/>
    <x v="0"/>
    <s v="IL0"/>
    <n v="0.05"/>
    <x v="214"/>
    <s v="India"/>
    <s v="SYSTEUR"/>
    <x v="0"/>
    <s v="philip.jenkins@philips.com"/>
    <x v="0"/>
    <m/>
  </r>
  <r>
    <s v="MR00249173"/>
    <s v="Vijayanand Purushothaman"/>
    <s v="SCR Data Modul 2159.0034 Due to the fact that one main component of the POS Systems is end of life"/>
    <s v="Dan"/>
    <m/>
    <s v="N/A"/>
    <s v="LCM"/>
    <s v="SOURCING"/>
    <s v="Key Components &amp; Electronics"/>
    <s v="MR"/>
    <x v="0"/>
    <s v="IL0"/>
    <n v="0.1"/>
    <x v="214"/>
    <s v="India"/>
    <s v="SYSTEUR"/>
    <x v="0"/>
    <s v="philip.jenkins@philips.com"/>
    <x v="0"/>
    <m/>
  </r>
  <r>
    <s v="L&amp;A"/>
    <s v="N/A"/>
    <s v="MISC. ENTRY TO BALANCE WITH RESOURCE DATABASE"/>
    <s v="All"/>
    <m/>
    <s v="L&amp;A"/>
    <s v="L&amp;A"/>
    <s v="L&amp;A"/>
    <s v="L&amp;A"/>
    <s v="L&amp;A"/>
    <x v="4"/>
    <s v="L&amp;A"/>
    <n v="0.5"/>
    <x v="214"/>
    <s v="India"/>
    <s v="SYSTEUR"/>
    <x v="0"/>
    <s v="philip.jenkins@philips.com"/>
    <x v="0"/>
    <m/>
  </r>
  <r>
    <s v="PH1234"/>
    <s v="Shelgaonkar, Yogesh"/>
    <s v="MG Windchill"/>
    <s v="Dan"/>
    <s v="Kalghatgi, Krishnaraj"/>
    <s v="N/A"/>
    <s v="LCM"/>
    <s v="SOURCING"/>
    <s v="Personal Health"/>
    <s v="GB"/>
    <x v="2"/>
    <s v="IL3"/>
    <n v="1"/>
    <x v="215"/>
    <s v="India"/>
    <s v="Catalyst"/>
    <x v="0"/>
    <s v="Krishnaraj Kalghatgi"/>
    <x v="1"/>
    <m/>
  </r>
  <r>
    <s v="MR00304222"/>
    <s v="Kar, Abhinandan"/>
    <s v="BOM Vitality (LCE Pune): Investigate and Implement Fully RoHS same footprint alternatives for AIBo (Batch 3)"/>
    <s v="Dan"/>
    <s v="Kar, Abhinandan"/>
    <s v="N/A"/>
    <s v="LCM"/>
    <s v="SOURCING"/>
    <s v="Key Components &amp; Electronics"/>
    <s v="MR"/>
    <x v="0"/>
    <s v="IL0"/>
    <n v="0.1"/>
    <x v="216"/>
    <s v="India"/>
    <s v="Catalyst"/>
    <x v="0"/>
    <s v="Abhinandan Kar"/>
    <x v="1"/>
    <m/>
  </r>
  <r>
    <s v="MR00304220"/>
    <s v="Kar, Abhinandan"/>
    <s v="BOM Vitality (LCE Pune): Investigate and Implement Fully RoHS same footprint alternatives for AIBo (Batch 2)"/>
    <s v="Dan"/>
    <s v="Kar, Abhinandan"/>
    <s v="N/A"/>
    <s v="LCM"/>
    <s v="SOURCING"/>
    <s v="Key Components &amp; Electronics"/>
    <s v="MR"/>
    <x v="0"/>
    <s v="IL0"/>
    <n v="0.1"/>
    <x v="216"/>
    <s v="India"/>
    <s v="Catalyst"/>
    <x v="0"/>
    <s v="Abhinandan Kar"/>
    <x v="1"/>
    <m/>
  </r>
  <r>
    <s v="MR00304219"/>
    <s v="Kar, Abhinandan"/>
    <s v="BOM Vitality (LCE Pune): Investigate and Implement Fully RoHS same footprint alternatives for AIBo (Batch 1)"/>
    <s v="Dan"/>
    <s v="Kar, Abhinandan"/>
    <s v="N/A"/>
    <s v="LCM"/>
    <s v="SOURCING"/>
    <s v="Key Components &amp; Electronics"/>
    <s v="MR"/>
    <x v="0"/>
    <s v="IL0"/>
    <n v="0.1"/>
    <x v="216"/>
    <s v="India"/>
    <s v="Catalyst"/>
    <x v="0"/>
    <s v="Abhinandan Kar"/>
    <x v="1"/>
    <m/>
  </r>
  <r>
    <s v="MR00304217"/>
    <s v="Kar, Abhinandan"/>
    <s v="BOM Vitality (LCE Pune): Investigate and Implement Fully RoHS same footprint alternatives for AM3 (Batch 2)"/>
    <s v="Dan"/>
    <s v="Kar, Abhinandan"/>
    <s v="N/A"/>
    <s v="LCM"/>
    <s v="SOURCING"/>
    <s v="Key Components &amp; Electronics"/>
    <s v="MR"/>
    <x v="0"/>
    <s v="IL0"/>
    <n v="0.2"/>
    <x v="216"/>
    <s v="India"/>
    <s v="Catalyst"/>
    <x v="0"/>
    <s v="Abhinandan Kar"/>
    <x v="1"/>
    <m/>
  </r>
  <r>
    <s v="MR00304209"/>
    <s v="Kar, Abhinandan"/>
    <s v="BOM Vitality (LCE Pune): Investigate and Implement Fully RoHS same footprint alternatives for AM3 (Batch 1)"/>
    <s v="Dan"/>
    <s v="Kar, Abhinandan"/>
    <s v="N/A"/>
    <s v="LCM"/>
    <s v="SOURCING"/>
    <s v="Key Components &amp; Electronics"/>
    <s v="MR"/>
    <x v="0"/>
    <s v="IL0"/>
    <n v="0.1"/>
    <x v="216"/>
    <s v="India"/>
    <s v="Catalyst"/>
    <x v="0"/>
    <s v="Abhinandan Kar"/>
    <x v="1"/>
    <m/>
  </r>
  <r>
    <s v="MR00293083"/>
    <s v="Kar, Abhinandan"/>
    <s v="BOM Vitality (DASHW): Investigate and Implement alternatives for listed single source electronic components in PCBAs-Batch 3"/>
    <s v="Dan"/>
    <s v="Kar, Abhinandan"/>
    <s v="N/A"/>
    <s v="LCM"/>
    <s v="SOURCING"/>
    <s v="Key Components &amp; Electronics"/>
    <s v="MR"/>
    <x v="0"/>
    <s v="IL0"/>
    <n v="0.1"/>
    <x v="216"/>
    <s v="India"/>
    <s v="Catalyst"/>
    <x v="0"/>
    <s v="Abhinandan Kar"/>
    <x v="1"/>
    <m/>
  </r>
  <r>
    <s v="MR00284310"/>
    <s v="Pydisetti, Kiran Kumar"/>
    <s v="AVL Update Request"/>
    <s v="Dan"/>
    <s v="Ponkshe, Mihir"/>
    <s v="N/A"/>
    <s v="LCM"/>
    <s v="Others"/>
    <s v="All"/>
    <s v="MR"/>
    <x v="0"/>
    <s v="IL0"/>
    <n v="0.2"/>
    <x v="217"/>
    <s v="India"/>
    <s v="Catalyst"/>
    <x v="0"/>
    <s v="Bhushan Barve"/>
    <x v="1"/>
    <m/>
  </r>
  <r>
    <s v="MR00284309"/>
    <s v="Pydisetti, Kiran Kumar"/>
    <s v="The current AVL for this part specifies an incorrect manufacture’s part number.  The standard working voltage is 150 VDC for this capacitance, the 200 VDC that is being specified is not available from this manufacturer._x000a_Would like to add Passive Plus 0505P2R0BP151 to ARC Tronics AVL due to preferred pricing and delivery."/>
    <s v="Dan"/>
    <s v="Ponkshe, Mihir"/>
    <s v="N/A"/>
    <s v="LCM"/>
    <s v="Others"/>
    <s v="All"/>
    <s v="MR"/>
    <x v="0"/>
    <s v="IL0"/>
    <n v="0.2"/>
    <x v="217"/>
    <s v="India"/>
    <s v="Catalyst"/>
    <x v="0"/>
    <s v="Bhushan Barve"/>
    <x v="1"/>
    <m/>
  </r>
  <r>
    <s v="MR00283155"/>
    <s v="Pydisetti, Kiran Kumar"/>
    <s v="AVL Update Request"/>
    <s v="Dan"/>
    <s v="Ponkshe, Mihir"/>
    <s v="N/A"/>
    <s v="LCM"/>
    <s v="Others"/>
    <s v="All"/>
    <s v="MR"/>
    <x v="0"/>
    <s v="IL0"/>
    <n v="0.2"/>
    <x v="217"/>
    <s v="India"/>
    <s v="Catalyst"/>
    <x v="0"/>
    <s v="Bhushan Barve"/>
    <x v="1"/>
    <m/>
  </r>
  <r>
    <s v="MR00283153"/>
    <s v="Pydisetti, Kiran Kumar"/>
    <s v="The current AVL for this part specifies an incorrect manufacture&amp;#39;s part number.  The standard working voltage is 150 VDC for this capacitance, the 200 VDC that is being specified is not available from this manufacturer._x000a_Passive Plus 0505P120GP151X was added to ARC Tronics AVL per Invivo Engineering (Oscar Real) on 03-Mar-2010 but never corrected in Philips (Invivo) AVL.  Purchased and stocked since 09-Apr-2010 with on-hand stock currently available and open purchase orders to be received.  Preferred supplier due to pricing and delivery."/>
    <s v="Dan"/>
    <s v="Ponkshe, Mihir"/>
    <s v="N/A"/>
    <s v="LCM"/>
    <s v="Others"/>
    <s v="All"/>
    <s v="MR"/>
    <x v="0"/>
    <s v="IL0"/>
    <n v="0.2"/>
    <x v="217"/>
    <s v="India"/>
    <s v="Catalyst"/>
    <x v="0"/>
    <s v="Bhushan Barve"/>
    <x v="1"/>
    <m/>
  </r>
  <r>
    <s v="MR00278973"/>
    <s v="Kar, Abhinandan"/>
    <s v="Wireless BTU and charger need to comply with China standard GB31241-2022"/>
    <s v="Dan"/>
    <s v="Kar, Abhinandan"/>
    <s v="N/A"/>
    <s v="LCM"/>
    <s v="Others"/>
    <s v="Key Components &amp; Electronics"/>
    <s v="MR"/>
    <x v="0"/>
    <s v="IL0"/>
    <n v="0.1"/>
    <x v="216"/>
    <s v="India"/>
    <s v="Catalyst"/>
    <x v="0"/>
    <s v="Abhinandan Kar"/>
    <x v="1"/>
    <m/>
  </r>
  <r>
    <s v="MR00270595"/>
    <s v="Siddarth"/>
    <s v="Machine plastic phase 3"/>
    <s v="Dan"/>
    <s v="M R, Kiran"/>
    <s v="N/A"/>
    <s v="PRODUCTIVITY"/>
    <s v="Others"/>
    <s v="Mechanical Parts &amp; Assemblies"/>
    <s v="MR"/>
    <x v="0"/>
    <s v="IL3"/>
    <n v="0.2"/>
    <x v="218"/>
    <s v="India"/>
    <s v="Catalyst"/>
    <x v="0"/>
    <s v="Kiran MR"/>
    <x v="1"/>
    <m/>
  </r>
  <r>
    <s v="MR00265805"/>
    <s v="Siddarth"/>
    <s v="ER Precision, 14 plastic parts localization"/>
    <s v="Dan"/>
    <s v="M R, Kiran"/>
    <s v="N/A"/>
    <s v="PRODUCTIVITY"/>
    <s v="Others"/>
    <s v="Mechanical Parts &amp; Assemblies"/>
    <s v="MR"/>
    <x v="0"/>
    <s v="IL3"/>
    <n v="0.4"/>
    <x v="218"/>
    <s v="India"/>
    <s v="Catalyst"/>
    <x v="0"/>
    <s v="Kiran MR"/>
    <x v="1"/>
    <m/>
  </r>
  <r>
    <s v="MR00264744"/>
    <s v="Vijayanand Purushothaman"/>
    <s v="Diode Obsolescence(Vishay MPN BAS70-02V-GS08 is obsolete)"/>
    <s v="Dan"/>
    <s v="Kar, Abhinandan"/>
    <s v="N/A"/>
    <s v="AOS"/>
    <s v="SOURCING"/>
    <s v="Key Components &amp; Electronics"/>
    <s v="MR"/>
    <x v="0"/>
    <s v="IL2"/>
    <n v="0.05"/>
    <x v="216"/>
    <s v="India"/>
    <s v="Catalyst"/>
    <x v="0"/>
    <s v="Abhinandan Kar"/>
    <x v="1"/>
    <m/>
  </r>
  <r>
    <s v="MR00257287"/>
    <s v="Siddarth"/>
    <s v="Make 12NC 459800716261, Connector sets for LCC FRU"/>
    <s v="Dan"/>
    <s v="Dede, Kalyani"/>
    <s v="N/A"/>
    <s v="LCM"/>
    <s v="Others"/>
    <s v="Mechanical Part &amp; Assemblies"/>
    <s v="MR"/>
    <x v="0"/>
    <s v="IL2"/>
    <n v="0.2"/>
    <x v="219"/>
    <s v="India"/>
    <s v="Catalyst"/>
    <x v="0"/>
    <s v="Kalyani Dede"/>
    <x v="1"/>
    <m/>
  </r>
  <r>
    <s v="MR00256370"/>
    <s v="Siddarth"/>
    <s v="Taiwan Ingenia Elition X, Ingenia S deliveries should use new hardcopy technica datasheet"/>
    <s v="Dan"/>
    <s v="Dede, Kalyani"/>
    <s v="N/A"/>
    <s v="LCM"/>
    <s v="Others"/>
    <s v="All"/>
    <s v="MR"/>
    <x v="0"/>
    <s v="IL2"/>
    <n v="0.1"/>
    <x v="220"/>
    <s v="India"/>
    <s v="Catalyst"/>
    <x v="0"/>
    <s v="Kalyani Dede"/>
    <x v="1"/>
    <m/>
  </r>
  <r>
    <s v="MR BEST DFS Support"/>
    <s v="Siddarth"/>
    <s v="MR BEST DFS Support"/>
    <s v="Dan"/>
    <s v="Dede, Kalyani"/>
    <s v="N/A"/>
    <s v="LCM"/>
    <s v="Others"/>
    <s v="Mechanical Part &amp; Assemblies"/>
    <s v="MR"/>
    <x v="0"/>
    <s v="IL3"/>
    <n v="0.2"/>
    <x v="219"/>
    <s v="India"/>
    <s v="Catalyst"/>
    <x v="0"/>
    <s v="Kalyani Dede"/>
    <x v="1"/>
    <m/>
  </r>
  <r>
    <s v="Madhav China L4L"/>
    <s v="Varma, Amaravathi Madhusudhan"/>
    <s v="Madhav China L4L NPI"/>
    <s v="Dan"/>
    <s v="PN, Dhanaraj (Dan)"/>
    <s v="N/A"/>
    <s v="LCM"/>
    <s v="Others"/>
    <s v="System"/>
    <s v="IGT-MoS"/>
    <x v="3"/>
    <s v="IL1"/>
    <n v="0.1"/>
    <x v="221"/>
    <s v="India"/>
    <s v="Catalyst"/>
    <x v="0"/>
    <s v="Neelam Kaustubh Pathak"/>
    <x v="1"/>
    <m/>
  </r>
  <r>
    <s v="Madhav China L4L"/>
    <s v="Varma, Amaravathi Madhusudhan"/>
    <s v="Madhav China L4L NPI"/>
    <s v="Dan"/>
    <s v="Bhandari, Priyanka"/>
    <s v="N/A"/>
    <s v="LCM"/>
    <s v="Others"/>
    <s v="System"/>
    <s v="IGT-MoS"/>
    <x v="3"/>
    <s v="IL1"/>
    <n v="0.5"/>
    <x v="222"/>
    <s v="India"/>
    <s v="Catalyst"/>
    <x v="0"/>
    <s v="Priyanka Bhandari"/>
    <x v="1"/>
    <m/>
  </r>
  <r>
    <s v="IPL_Systems Engineering Work"/>
    <s v="Shrivastava, Adarsh"/>
    <s v="MLD Project for IPL product. Systems Engineering work"/>
    <s v="Dan"/>
    <s v="Shetty, Siddarth Vishwanath"/>
    <s v="N/A"/>
    <s v="LCM"/>
    <s v="Others"/>
    <s v="System"/>
    <s v="GB"/>
    <x v="2"/>
    <s v="IL3"/>
    <n v="0.5"/>
    <x v="102"/>
    <s v="India"/>
    <s v="Catalyst"/>
    <x v="0"/>
    <s v="Siddarth Shetty"/>
    <x v="1"/>
    <m/>
  </r>
  <r>
    <s v="GXRCQ00099553"/>
    <s v="Ramamurthy, Karthik"/>
    <s v="Combi base plate resourcing from HCC to LCC"/>
    <s v="Dan"/>
    <s v="Srinivas, M.V.D"/>
    <s v="PROCUREMENT"/>
    <s v="PRODUCTIVITY"/>
    <s v="SOURCING"/>
    <s v="Mechanical Parts &amp; Assemblies"/>
    <s v="DXR"/>
    <x v="0"/>
    <s v="IL3"/>
    <n v="0.25"/>
    <x v="223"/>
    <s v="India"/>
    <s v="Catalyst"/>
    <x v="0"/>
    <s v="M.V.D Srinivas"/>
    <x v="1"/>
    <m/>
  </r>
  <r>
    <s v="GXRCQ00098992"/>
    <s v="M R, Kiran"/>
    <s v="Packaging modification for CSM/CSM3 to accommodate drag chain for Suzhou factory"/>
    <s v="Dan"/>
    <s v="M R, Kiran"/>
    <s v="N/A"/>
    <s v="LCM"/>
    <s v="Others"/>
    <s v="Mechanical Part &amp; Assemblies"/>
    <s v="DXR"/>
    <x v="0"/>
    <s v="IL1"/>
    <n v="0.2"/>
    <x v="224"/>
    <s v="India"/>
    <s v="Catalyst"/>
    <x v="0"/>
    <s v="Ansha Simpi"/>
    <x v="1"/>
    <m/>
  </r>
  <r>
    <s v="GXRCQ00092498"/>
    <s v="Vijayanand Purushothaman"/>
    <s v="ASPEMN O2C - Dangerous Goods structure of BOM for lithium batteries"/>
    <s v="Dan"/>
    <s v="Kulkarni, Pravin"/>
    <s v="N/A"/>
    <s v="LCM"/>
    <s v="SOURCING"/>
    <s v="Mechanical Parts &amp; Assemblies"/>
    <s v="DXR"/>
    <x v="0"/>
    <s v="IL3"/>
    <n v="0.2"/>
    <x v="225"/>
    <s v="India"/>
    <s v="Catalyst"/>
    <x v="0"/>
    <s v="Pravin Kulkarni"/>
    <x v="1"/>
    <m/>
  </r>
  <r>
    <s v="D001433689"/>
    <s v="Vijayanand Purushothaman"/>
    <s v="AIS LTB request for Buffer IC"/>
    <s v="Dan"/>
    <s v="Bhandari, Priyanka"/>
    <s v="N/A"/>
    <s v="AOS"/>
    <s v="Others"/>
    <s v="Key Components &amp; Electronics"/>
    <s v="IGT-MoS"/>
    <x v="3"/>
    <s v="IL3"/>
    <n v="0.1"/>
    <x v="226"/>
    <s v="India"/>
    <s v="Catalyst"/>
    <x v="0"/>
    <s v="Priyanka Bhandari"/>
    <x v="1"/>
    <m/>
  </r>
  <r>
    <s v="D001341745"/>
    <s v="Vijayanand Purushothaman"/>
    <s v="Roosen Suplier Name Chnage"/>
    <s v="Dan"/>
    <s v="Bhandari, Priyanka"/>
    <s v="N/A"/>
    <s v="PRODUCTIVITY"/>
    <s v="Others"/>
    <s v="All"/>
    <s v="IGT-MoS"/>
    <x v="3"/>
    <s v="IL3"/>
    <n v="0.1"/>
    <x v="226"/>
    <s v="India"/>
    <s v="Catalyst"/>
    <x v="0"/>
    <s v="Priyanka Bhandari"/>
    <x v="1"/>
    <m/>
  </r>
  <r>
    <s v="CR183413"/>
    <s v="Dharmadhikari, Makarand Pandharinath"/>
    <s v="453567538741 - Cover MTG Screw (Table cover Mounting screws)"/>
    <s v="Dan"/>
    <s v="Dharmadhikari, Makarand Pandharinath"/>
    <s v="N/A"/>
    <s v="LCM"/>
    <s v="SOURCING"/>
    <s v="Mechanical Part &amp; Assemblies"/>
    <s v="CT/AMI"/>
    <x v="0"/>
    <s v="IL2"/>
    <n v="0.45"/>
    <x v="227"/>
    <s v="India"/>
    <s v="Catalyst"/>
    <x v="0"/>
    <s v="Makarand Pandharinath Dharmadhikari"/>
    <x v="1"/>
    <m/>
  </r>
  <r>
    <s v="CR183396"/>
    <s v="Dharmadhikari, Makarand Pandharinath"/>
    <s v="12 NC #459800483091_KIT BV TANGENTIAL INSPECT"/>
    <s v="Dan"/>
    <s v="Dharmadhikari, Makarand Pandharinath"/>
    <s v="N/A"/>
    <s v="PRODUCTIVITY"/>
    <s v="SOURCING"/>
    <s v="Mechanical Part &amp; Assemblies"/>
    <s v="CT/AMI"/>
    <x v="0"/>
    <s v="IL2"/>
    <n v="0.45"/>
    <x v="227"/>
    <s v="India"/>
    <s v="Catalyst"/>
    <x v="0"/>
    <s v="Makarand Pandharinath Dharmadhikari"/>
    <x v="1"/>
    <m/>
  </r>
  <r>
    <s v="CR181655"/>
    <s v="Dharmadhikari, Makarand Pandharinath"/>
    <s v="459800014811, MECH, FLOATING SIDE RAD COVS"/>
    <s v="Dan"/>
    <s v="Dharmadhikari, Makarand Pandharinath"/>
    <s v="N/A"/>
    <s v="PRODUCTIVITY"/>
    <s v="SOURCING"/>
    <s v="Mechanical Part &amp; Assemblies"/>
    <s v="CT/AMI"/>
    <x v="0"/>
    <s v="IL3"/>
    <n v="1"/>
    <x v="228"/>
    <s v="India"/>
    <s v="Catalyst"/>
    <x v="0"/>
    <s v="Makarand Pandharinath Dharmadhikari"/>
    <x v="1"/>
    <m/>
  </r>
  <r>
    <s v="CR179117"/>
    <s v="Siddarth"/>
    <s v="M-shield Service V &amp; V Testing"/>
    <s v="Dan"/>
    <s v="Shetty, Siddarth Vishwanath"/>
    <s v="N/A"/>
    <s v="LCM"/>
    <s v="Others"/>
    <s v="Testing"/>
    <s v="CT/AMI"/>
    <x v="0"/>
    <s v="IL3"/>
    <n v="0.3"/>
    <x v="229"/>
    <s v="India"/>
    <s v="Catalyst"/>
    <x v="0"/>
    <s v="Siddarth Shetty"/>
    <x v="1"/>
    <m/>
  </r>
  <r>
    <s v="CR175740"/>
    <s v="Dharmadhikari, Makarand Pandharinath"/>
    <s v="ST-P_SRM_Spacer Bolt_Drawing Change"/>
    <s v="Dan"/>
    <s v="Dharmadhikari, Makarand Pandharinath"/>
    <s v="N/A"/>
    <s v="LCM"/>
    <s v="Others"/>
    <s v="Mechanical Part &amp; Assemblies"/>
    <s v="IC"/>
    <x v="0"/>
    <s v="IL2"/>
    <n v="0.1"/>
    <x v="230"/>
    <s v="India"/>
    <s v="Catalyst"/>
    <x v="0"/>
    <s v="Makarand Pandharinath Dharmadhikari"/>
    <x v="1"/>
    <m/>
  </r>
  <r>
    <s v="CR167904"/>
    <s v="Agrawal, Saurabh"/>
    <s v="Walmart Galway"/>
    <s v="Dan"/>
    <s v="Srinivas, M.V.D"/>
    <s v="N/A"/>
    <s v="LCM"/>
    <s v="Others"/>
    <s v="Personal Health"/>
    <s v="OHC"/>
    <x v="2"/>
    <s v="IL1"/>
    <n v="1"/>
    <x v="231"/>
    <s v="India"/>
    <s v="Catalyst"/>
    <x v="0"/>
    <s v="M.V.D Srinivas"/>
    <x v="1"/>
    <m/>
  </r>
  <r>
    <s v="CR167052"/>
    <s v="Kumar, Niranjan"/>
    <s v="Improvement on 4512-105-13253 De-Aerating tool "/>
    <s v="Dan"/>
    <s v="Dharmadhikari, Makarand Pandharinath"/>
    <s v="N/A"/>
    <s v="LCM"/>
    <s v="CONCEPT"/>
    <s v="System"/>
    <s v="IC"/>
    <x v="0"/>
    <s v="IL3"/>
    <n v="0.2"/>
    <x v="232"/>
    <s v="India"/>
    <s v="Catalyst"/>
    <x v="0"/>
    <s v="Siddarth Shetty"/>
    <x v="1"/>
    <m/>
  </r>
  <r>
    <s v="CR161336"/>
    <s v="Saha, Manish Ram"/>
    <s v="Tag Injection Circuit 3 (TIC3)  for BrightView XCT"/>
    <s v="Dan"/>
    <s v="Bhandari, Priyanka"/>
    <s v="N/A"/>
    <s v="LCM"/>
    <s v="Others"/>
    <s v="Testing"/>
    <s v="CT/AMI"/>
    <x v="0"/>
    <s v="IL3"/>
    <n v="0.4"/>
    <x v="233"/>
    <s v="India"/>
    <s v="Catalyst"/>
    <x v="0"/>
    <s v="Priyanka Bhandari"/>
    <x v="1"/>
    <m/>
  </r>
  <r>
    <s v="CR160626"/>
    <s v="Siddarth"/>
    <s v="PH3 Controller - Gemini - V&amp;V Testing"/>
    <s v="Dan"/>
    <s v="Shetty, Siddarth Vishwanath"/>
    <s v="N/A"/>
    <s v="AOS"/>
    <s v="Others"/>
    <s v="Testing"/>
    <s v="CT/AMI"/>
    <x v="0"/>
    <s v="IL3"/>
    <n v="0.7"/>
    <x v="229"/>
    <s v="India"/>
    <s v="Catalyst"/>
    <x v="0"/>
    <s v="Siddarth Shetty"/>
    <x v="1"/>
    <m/>
  </r>
  <r>
    <s v="CR150580"/>
    <s v="Saha, Manish Ram"/>
    <s v="PCBA Power Sequence Board"/>
    <s v="Dan"/>
    <s v="Bhandari, Priyanka"/>
    <s v="N/A"/>
    <s v="LCM"/>
    <s v="Others"/>
    <s v="Testing"/>
    <s v="CT/AMI"/>
    <x v="0"/>
    <s v="IL3"/>
    <n v="0.2"/>
    <x v="233"/>
    <s v="India"/>
    <s v="Catalyst"/>
    <x v="0"/>
    <s v="Priyanka Bhandari"/>
    <x v="1"/>
    <m/>
  </r>
  <r>
    <s v="CR124860"/>
    <s v="PN, Dhanaraj (Dan)"/>
    <s v="CP2 Software patch installation"/>
    <s v="Dan"/>
    <s v="Bhandari, Priyanka"/>
    <s v="N/A"/>
    <s v="AOS"/>
    <s v="Others"/>
    <s v="Testing"/>
    <s v="CT/AMI"/>
    <x v="0"/>
    <s v="IL5"/>
    <n v="0.4"/>
    <x v="233"/>
    <s v="India"/>
    <s v="Catalyst"/>
    <x v="0"/>
    <s v="Priyanka Bhandari"/>
    <x v="1"/>
    <m/>
  </r>
  <r>
    <s v="CR108893"/>
    <s v="Naik, Tushar"/>
    <s v="Release of new ST Micro LSM6DSOW (IMU) on Shanghai Handles"/>
    <s v="Dan"/>
    <s v="Naik, Tushar"/>
    <s v="N/A"/>
    <s v="PRODUCTIVITY"/>
    <s v="Others"/>
    <s v="Mechanical Parts &amp; Assemblies"/>
    <s v="OHC"/>
    <x v="2"/>
    <s v="IL3"/>
    <n v="0.4"/>
    <x v="234"/>
    <s v="India"/>
    <s v="Catalyst"/>
    <x v="0"/>
    <s v="Samatha Reddy "/>
    <x v="3"/>
    <m/>
  </r>
  <r>
    <s v="CR097545  "/>
    <s v="Kumar, Niranjan"/>
    <s v="SRM cap soldered solder change"/>
    <s v="Phil"/>
    <s v="Dharmadhikari, Makarand Pandharinath"/>
    <s v="N/A"/>
    <s v="CONQ"/>
    <s v="CONQ"/>
    <s v="Mechanical Part &amp; Assemblies"/>
    <s v="IC"/>
    <x v="0"/>
    <s v="IL3"/>
    <n v="0.2"/>
    <x v="232"/>
    <s v="India"/>
    <s v="Catalyst"/>
    <x v="0"/>
    <s v="Siddarth Shetty"/>
    <x v="1"/>
    <m/>
  </r>
  <r>
    <s v="CR0111917"/>
    <s v="Charles Moses"/>
    <s v="CAP,150uF,20%,10V,10mOHM,ALPOLY,7343_x000a_"/>
    <s v="Nishant"/>
    <s v="Kalghatgi, Krishnaraj"/>
    <s v="N/A"/>
    <s v="AOS"/>
    <s v="SOURCING"/>
    <s v="Key Components &amp; Electronics"/>
    <s v="US"/>
    <x v="0"/>
    <s v="IL2"/>
    <n v="0.25"/>
    <x v="235"/>
    <s v="India"/>
    <s v="Catalyst"/>
    <x v="0"/>
    <s v="Krishnaraj Kalghatgi"/>
    <x v="1"/>
    <m/>
  </r>
  <r>
    <s v="CR0111906"/>
    <s v="Charles Moses"/>
    <s v="CONN,RCPT,SATA,1X7,RA,SMD_x000a_"/>
    <s v="Nishant"/>
    <s v="Kalghatgi, Krishnaraj"/>
    <s v="N/A"/>
    <s v="AOS"/>
    <s v="SOURCING"/>
    <s v="Key Components &amp; Electronics"/>
    <s v="US"/>
    <x v="0"/>
    <s v="IL2"/>
    <n v="0.25"/>
    <x v="235"/>
    <s v="India"/>
    <s v="Catalyst"/>
    <x v="0"/>
    <s v="Krishnaraj Kalghatgi"/>
    <x v="1"/>
    <m/>
  </r>
  <r>
    <s v="CN574879"/>
    <s v="Dharmadhikari, Makarand Pandharinath"/>
    <s v="PASY, SYRINGE HOLDER SUPPORT, AZ (12NC: 453560256831)"/>
    <s v="Dan"/>
    <s v="Dharmadhikari, Makarand Pandharinath"/>
    <s v="N/A"/>
    <s v="PRODUCTIVITY"/>
    <s v="SOURCING"/>
    <s v="Mechanical Part &amp; Assemblies"/>
    <s v="CT/AMI"/>
    <x v="0"/>
    <s v="IL4"/>
    <n v="0.1"/>
    <x v="227"/>
    <s v="India"/>
    <s v="Catalyst"/>
    <x v="0"/>
    <s v="Makarand Pandharinath Dharmadhikari"/>
    <x v="1"/>
    <m/>
  </r>
  <r>
    <s v="CGR-904"/>
    <s v="Parab, Gourav Krishna"/>
    <s v="PATIENT TABLE DUAL SOURCING"/>
    <s v="Dan"/>
    <s v="Parab, Gourav Krishna"/>
    <s v="N/A"/>
    <s v="PRODUCTIVITY"/>
    <s v="SOURCING"/>
    <s v="Mechanical Parts &amp; Assemblies"/>
    <s v="MR"/>
    <x v="0"/>
    <s v="IL1"/>
    <n v="0.8"/>
    <x v="236"/>
    <s v="India"/>
    <s v="Catalyst"/>
    <x v="0"/>
    <s v="Gourav Krishna Parab"/>
    <x v="1"/>
    <m/>
  </r>
  <r>
    <s v="`Conti_PRD_US_Library"/>
    <s v="Sidharthan, Jidhish"/>
    <s v="US Project Library for cost saving and alternate source supplie/Second source supplier"/>
    <s v="Nishant"/>
    <s v="Kumar, Niranjan"/>
    <s v="PROCUREMENT"/>
    <s v="PRODUCTIVITY"/>
    <s v="SOURCING"/>
    <s v="Key Components &amp; Electronics"/>
    <s v="US"/>
    <x v="0"/>
    <s v="IL3"/>
    <n v="0.5"/>
    <x v="237"/>
    <s v="India"/>
    <s v="Catalyst"/>
    <x v="0"/>
    <s v="Niranjan Kumar"/>
    <x v="1"/>
    <m/>
  </r>
  <r>
    <n v="132059"/>
    <s v="Kulasekhar (KK)"/>
    <s v="Direct Sourcing "/>
    <s v="Dan"/>
    <s v="Purushothaman, Vijayanand"/>
    <s v="PROCUREMENT"/>
    <s v="PRODUCTIVITY"/>
    <s v="SOURCING"/>
    <s v="Key Components &amp; Electronics"/>
    <s v="IGT-S"/>
    <x v="3"/>
    <s v="IL0"/>
    <n v="0.1"/>
    <x v="238"/>
    <s v="India"/>
    <s v="Catalyst"/>
    <x v="0"/>
    <s v="Vijayanand"/>
    <x v="1"/>
    <m/>
  </r>
  <r>
    <n v="127734"/>
    <s v="Viraj Bhagwat"/>
    <s v="HPM Sustainment RICT"/>
    <s v="Dan"/>
    <s v="Dharmadhikari, Makarand Pandharinath"/>
    <s v="N/A"/>
    <s v="LCM"/>
    <s v="Others"/>
    <s v="Mechanical Part &amp; Assemblies"/>
    <s v="HPM"/>
    <x v="1"/>
    <s v="IL3"/>
    <n v="0.8"/>
    <x v="239"/>
    <s v="India"/>
    <s v="Catalyst"/>
    <x v="0"/>
    <s v="Makarand Pandharinath Dharmadhikari"/>
    <x v="1"/>
    <m/>
  </r>
  <r>
    <n v="127734"/>
    <s v="Viraj Bhagwat"/>
    <s v="HPM Sustainment RICT"/>
    <s v="Dan"/>
    <s v="Dharmadhikari, Makarand Pandharinath"/>
    <s v="N/A"/>
    <s v="LCM"/>
    <s v="Others"/>
    <s v="Mechanical Part &amp; Assemblies"/>
    <s v="HPM"/>
    <x v="1"/>
    <s v="IL3"/>
    <n v="0.5"/>
    <x v="240"/>
    <s v="India"/>
    <s v="Catalyst"/>
    <x v="0"/>
    <s v="Makarand Pandharinath Dharmadhikari"/>
    <x v="1"/>
    <m/>
  </r>
  <r>
    <n v="44826"/>
    <s v="Kulasekhar (KK)"/>
    <s v="Cardiograph Repair Transition - Reduce total repair cost by repairing Spare Parts"/>
    <s v="Nishant"/>
    <s v="Purushothaman, Vijayanand"/>
    <s v="TCO"/>
    <s v="PRODUCTIVITY"/>
    <s v="CONCEPT"/>
    <s v="Key Components &amp; Electronics"/>
    <s v="HPM"/>
    <x v="1"/>
    <s v="IL0"/>
    <n v="0.3"/>
    <x v="241"/>
    <s v="India"/>
    <s v="Catalyst"/>
    <x v="0"/>
    <s v="Vijayanand"/>
    <x v="1"/>
    <m/>
  </r>
  <r>
    <n v="36317"/>
    <s v="Vijayanand Purushothaman"/>
    <s v="Transfer non-BD Exerion parts to LCC"/>
    <s v="Dan"/>
    <s v="Patil, Rajaram"/>
    <s v="PROCUREMENT"/>
    <s v="PRODUCTIVITY"/>
    <s v="CONCEPT"/>
    <s v="Mechanical Parts &amp; Assemblies"/>
    <s v="IGT-S"/>
    <x v="3"/>
    <s v="IL0"/>
    <n v="0.25"/>
    <x v="242"/>
    <s v="India"/>
    <s v="Catalyst"/>
    <x v="0"/>
    <s v="Rajaram Patil"/>
    <x v="1"/>
    <m/>
  </r>
  <r>
    <n v="36317"/>
    <s v="Vijayanand Purushothaman"/>
    <s v="Transfer non-BD Exerion parts to LCC"/>
    <s v="Dan"/>
    <s v="Purushothaman, Vijayanand"/>
    <s v="PROCUREMENT"/>
    <s v="PRODUCTIVITY"/>
    <s v="CONCEPT"/>
    <s v="Mechanical Parts &amp; Assemblies"/>
    <s v="IGT-S"/>
    <x v="3"/>
    <s v="IL0"/>
    <n v="0.1"/>
    <x v="243"/>
    <s v="India"/>
    <s v="Catalyst"/>
    <x v="0"/>
    <s v="Vijayanand"/>
    <x v="1"/>
    <m/>
  </r>
  <r>
    <n v="35806"/>
    <s v="Saravana"/>
    <s v="Blue Dragon-Metal Parts"/>
    <s v="Dan"/>
    <s v="Dharmadhikari, Makarand Pandharinath"/>
    <s v="PROCUREMENT"/>
    <s v="PRODUCTIVITY"/>
    <s v="SOURCING"/>
    <s v="Mechanical Parts &amp; Assemblies"/>
    <s v="IGT-S"/>
    <x v="3"/>
    <s v="IL0"/>
    <n v="0.1"/>
    <x v="244"/>
    <s v="India"/>
    <s v="Catalyst"/>
    <x v="0"/>
    <s v="Rajaram Patil"/>
    <x v="1"/>
    <m/>
  </r>
  <r>
    <n v="32334"/>
    <s v="Agrawal, Saurabh"/>
    <s v="Qualify Alternate Resin for Osaka Housing to Asia Source (Terlux MABS 2802 to Toray/Ecozen/Styroluti..."/>
    <s v="Tim"/>
    <s v="Srinivas, M.V.D"/>
    <s v="PROCUREMENT"/>
    <s v="PRODUCTIVITY"/>
    <s v="CONCEPT"/>
    <s v="Mechanical Parts &amp; Assemblies"/>
    <s v="OHC"/>
    <x v="2"/>
    <s v="IL1"/>
    <n v="0.2"/>
    <x v="245"/>
    <s v="India"/>
    <s v="Catalyst"/>
    <x v="0"/>
    <s v="M.V.D Srinivas"/>
    <x v="1"/>
    <m/>
  </r>
  <r>
    <n v="28260"/>
    <s v="Viraj Bhagwat"/>
    <s v="NiBP Cuff Supplier Consolidation"/>
    <s v="Nishant"/>
    <s v="Purushothaman, Vijayanand"/>
    <s v="PROCUREMENT"/>
    <s v="PRODUCTIVITY"/>
    <s v="SOURCING"/>
    <s v="Mechanical Parts &amp; Assemblies"/>
    <s v="HPM"/>
    <x v="1"/>
    <s v="IL2"/>
    <n v="0.1"/>
    <x v="246"/>
    <s v="India"/>
    <s v="Catalyst"/>
    <x v="0"/>
    <s v="Vijayanand"/>
    <x v="1"/>
    <m/>
  </r>
  <r>
    <s v="LCM9"/>
    <s v="Siddarth"/>
    <s v="MR LCE STET PLM Administration"/>
    <s v="Dan"/>
    <s v="Dede, Kalyani"/>
    <s v="N/A"/>
    <s v="LCM"/>
    <s v="Others"/>
    <s v="All"/>
    <s v="MR"/>
    <x v="0"/>
    <s v="IL4"/>
    <n v="0.35"/>
    <x v="219"/>
    <s v="India"/>
    <s v="Catalyst"/>
    <x v="0"/>
    <s v="Kalyani Dede"/>
    <x v="1"/>
    <m/>
  </r>
  <r>
    <s v="PR60901_2"/>
    <s v="Sidharthan, Jidhish"/>
    <s v="FCT Development for Zoom Lamp PCBAs"/>
    <s v="Nishant"/>
    <s v="Kalghatgi, Krishnaraj"/>
    <s v="TCO"/>
    <s v="TEST ENG"/>
    <s v="CONCEPT"/>
    <s v="Key Components &amp; Electronics"/>
    <s v="OHC"/>
    <x v="2"/>
    <s v="IL3"/>
    <n v="0.1"/>
    <x v="247"/>
    <s v="India"/>
    <s v="Catalyst"/>
    <x v="0"/>
    <s v="Krishnaraj Kalghatgi"/>
    <x v="1"/>
    <m/>
  </r>
  <r>
    <s v="LCM8"/>
    <s v="Vijayanand Purushothaman"/>
    <s v="Proactive Obso (Redesign in Plan &amp; Future)"/>
    <s v="Dan"/>
    <s v="Bhandari, Priyanka"/>
    <s v="N/A"/>
    <s v="AOS"/>
    <s v="SOURCING"/>
    <s v="All"/>
    <s v="IGT-MoS"/>
    <x v="3"/>
    <s v="IL3"/>
    <n v="0.4"/>
    <x v="248"/>
    <s v="India"/>
    <s v="Catalyst"/>
    <x v="0"/>
    <s v="Priyanka Bhandari"/>
    <x v="1"/>
    <m/>
  </r>
  <r>
    <s v="SRC-Feasibility1"/>
    <s v="Kulasekhar (KK)"/>
    <s v="SRC-direct sourcing"/>
    <s v="Dan"/>
    <s v="Purushothaman, Vijayanand"/>
    <s v="PROCUREMENT"/>
    <s v="PRODUCTIVITY"/>
    <s v="CONCEPT"/>
    <s v="Key Components &amp; Electronics"/>
    <s v="SRC"/>
    <x v="1"/>
    <s v="IL0"/>
    <n v="0.4"/>
    <x v="249"/>
    <s v="India"/>
    <s v="Catalyst"/>
    <x v="0"/>
    <s v="Vijayanand"/>
    <x v="1"/>
    <m/>
  </r>
  <r>
    <s v="SRC-Feasibility4"/>
    <s v="Kulasekhar (KK)"/>
    <s v="Packaging Redesign for SRC - Plexus"/>
    <s v="Dan"/>
    <s v="Purushothaman, Vijayanand"/>
    <s v="PROCUREMENT"/>
    <s v="PRODUCTIVITY"/>
    <s v="CONCEPT"/>
    <s v="Mechanical Parts &amp; Assemblies"/>
    <s v="SRC"/>
    <x v="1"/>
    <s v="IL0"/>
    <n v="0.1"/>
    <x v="250"/>
    <s v="India"/>
    <s v="Catalyst"/>
    <x v="0"/>
    <s v="Vijayanand"/>
    <x v="1"/>
    <m/>
  </r>
  <r>
    <n v="32190"/>
    <s v="Siddarth"/>
    <s v="Addressing Multiple EOL issues in Preamp Boards"/>
    <s v="Dan"/>
    <s v="Barve, Bhushan"/>
    <s v="N/A"/>
    <s v="AOS"/>
    <s v="SOURCING"/>
    <s v="Key Components &amp; Electronics"/>
    <s v="MR"/>
    <x v="0"/>
    <s v="IL3"/>
    <n v="1"/>
    <x v="251"/>
    <s v="India"/>
    <s v="Catalyst"/>
    <x v="0"/>
    <s v="Bhushan Barve"/>
    <x v="1"/>
    <m/>
  </r>
  <r>
    <n v="32190"/>
    <s v="Siddarth"/>
    <s v="Addressing Multiple EOL issues in Preamp Boards"/>
    <s v="Dan"/>
    <s v="Barve, Bhushan"/>
    <s v="N/A"/>
    <s v="AOS"/>
    <s v="SOURCING"/>
    <s v="Key Components &amp; Electronics"/>
    <s v="MR"/>
    <x v="0"/>
    <s v="IL3"/>
    <n v="1"/>
    <x v="252"/>
    <s v="India"/>
    <s v="Catalyst"/>
    <x v="0"/>
    <s v="Bhushan Barve"/>
    <x v="1"/>
    <m/>
  </r>
  <r>
    <s v="ART-India"/>
    <s v="Saravana"/>
    <s v="VD PPG Motions "/>
    <s v="Dan"/>
    <s v="Patil, Rajaram"/>
    <s v="N/A"/>
    <s v="LCM"/>
    <s v="Others"/>
    <s v="All"/>
    <s v="IGT-S"/>
    <x v="3"/>
    <s v="IL0"/>
    <n v="1"/>
    <x v="253"/>
    <s v="India"/>
    <s v="Catalyst"/>
    <x v="0"/>
    <s v="Rajaram Patil"/>
    <x v="1"/>
    <m/>
  </r>
  <r>
    <s v="MR00248241"/>
    <s v="Matt Morse"/>
    <s v="Re-Design PLS UIM PCBA to Mitigate Obsolete Components and enable Supply Continuity through Product EOS"/>
    <s v="Dan"/>
    <s v="Sharma, Manish"/>
    <s v="N/A"/>
    <s v="AOS"/>
    <s v="CONCEPT"/>
    <s v="Key Components &amp; Electronics"/>
    <s v="IGT-D"/>
    <x v="3"/>
    <s v="IL3"/>
    <n v="0.7"/>
    <x v="254"/>
    <s v="India"/>
    <s v="Catalyst"/>
    <x v="0"/>
    <s v="Manish Sharma"/>
    <x v="1"/>
    <m/>
  </r>
  <r>
    <s v="MR00248241"/>
    <s v="Matt Morse"/>
    <s v="Re-Design PLS UIM PCBA to Mitigate Obsolete Components and enable Supply Continuity through Product EOS"/>
    <s v="Dan"/>
    <s v="Kumar, Niranjan"/>
    <s v="N/A"/>
    <s v="AOS"/>
    <s v="CONCEPT"/>
    <s v="Key Components &amp; Electronics"/>
    <s v="IGT-D"/>
    <x v="3"/>
    <s v="IL3"/>
    <n v="0.5"/>
    <x v="255"/>
    <s v="India"/>
    <s v="Catalyst"/>
    <x v="0"/>
    <s v="Niranjan Kumar"/>
    <x v="1"/>
    <m/>
  </r>
  <r>
    <s v="STET_IGTD000_107"/>
    <s v="Matt Morse"/>
    <s v="Master Project Intrasight HLA Risk Mitigation : Includes  PCBA Risk Mitigation and HLA  Cost Productivity"/>
    <s v="Dan"/>
    <s v="Sharma, Manish"/>
    <s v="N/A"/>
    <s v="AOS"/>
    <s v="CONCEPT"/>
    <s v="Key Components &amp; Electronics"/>
    <s v="IGT-D"/>
    <x v="3"/>
    <s v="IL0"/>
    <n v="0.2"/>
    <x v="256"/>
    <s v="India"/>
    <s v="Catalyst"/>
    <x v="0"/>
    <s v="Manish Sharma"/>
    <x v="1"/>
    <m/>
  </r>
  <r>
    <s v="PACKAGING_ENG_1"/>
    <s v="Charles Moses"/>
    <s v="LCM_U/S_Packaging"/>
    <s v="Nishant"/>
    <s v="Parab, Gourav Krishna"/>
    <s v="N/A"/>
    <s v="LCM"/>
    <s v="Others"/>
    <s v="Mechanical Part &amp; Assemblies"/>
    <s v="US"/>
    <x v="0"/>
    <s v="IL3"/>
    <n v="0.6"/>
    <x v="257"/>
    <s v="India"/>
    <s v="Catalyst"/>
    <x v="0"/>
    <s v="Gourav Krishna Parab"/>
    <x v="1"/>
    <m/>
  </r>
  <r>
    <s v="PACKAGING_ENG_1"/>
    <s v="Charles Moses"/>
    <s v="LCM_U/S_Packaging"/>
    <s v="Nishant"/>
    <s v="M R, Kiran"/>
    <s v="N/A"/>
    <s v="LCM"/>
    <s v="Others"/>
    <s v="Mechanical Part &amp; Assemblies"/>
    <s v="US"/>
    <x v="0"/>
    <s v="IL3"/>
    <n v="0.5"/>
    <x v="258"/>
    <s v="India"/>
    <s v="Catalyst"/>
    <x v="0"/>
    <s v="Kiran MR"/>
    <x v="1"/>
    <m/>
  </r>
  <r>
    <s v="PDTEAM100"/>
    <s v="Jenkins, Philip"/>
    <s v="Jabil Exit"/>
    <s v="Phil"/>
    <s v="Sharma, Manish"/>
    <s v="PROCUREMENT"/>
    <s v="PRODUCTIVITY"/>
    <s v="SOURCING"/>
    <s v="All"/>
    <s v="MR"/>
    <x v="0"/>
    <s v="IL1"/>
    <n v="0.5"/>
    <x v="259"/>
    <s v="India"/>
    <s v="Catalyst"/>
    <x v="0"/>
    <s v="Manish Sharma"/>
    <x v="1"/>
    <m/>
  </r>
  <r>
    <s v="LCM7"/>
    <s v="Kumar, Niranjan"/>
    <s v="IGT DXR Generators - RoHS excemptions - identify and release alternative materials"/>
    <s v="Dan"/>
    <s v="Dharmadhikari, Makarand Pandharinath"/>
    <s v="N/A"/>
    <s v="LCM"/>
    <s v="Others"/>
    <s v="Key Components &amp; Electronics"/>
    <s v="IC"/>
    <x v="0"/>
    <s v="IL2"/>
    <n v="0.2"/>
    <x v="232"/>
    <s v="India"/>
    <s v="Catalyst"/>
    <x v="0"/>
    <s v="Siddarth Shetty"/>
    <x v="1"/>
    <m/>
  </r>
  <r>
    <s v="D001105629"/>
    <s v="Bhandari, Priyanka"/>
    <s v="Obsolescence of RAFI signal Lamp holder E10 (1.60.502.098/0000)"/>
    <s v="Dan"/>
    <s v="Bhandari, Priyanka"/>
    <s v="N/A"/>
    <s v="AOS"/>
    <s v="Others"/>
    <s v="Key Components &amp; Electronics"/>
    <s v="IGT-MoS"/>
    <x v="3"/>
    <s v="IL2"/>
    <n v="0.1"/>
    <x v="260"/>
    <s v="India"/>
    <s v="Catalyst"/>
    <x v="0"/>
    <s v="Priyanka Bhandari"/>
    <x v="1"/>
    <m/>
  </r>
  <r>
    <s v="ART-India"/>
    <s v="Saravana"/>
    <s v="Change Management activities."/>
    <s v="Dan"/>
    <s v="M R, Kiran"/>
    <s v="N/A"/>
    <s v="LCM"/>
    <s v="Others"/>
    <s v="Mechanical Part &amp; Assemblies"/>
    <s v="IGT-S"/>
    <x v="3"/>
    <s v="IL3"/>
    <n v="1"/>
    <x v="261"/>
    <s v="India"/>
    <s v="Catalyst"/>
    <x v="0"/>
    <s v="Ansha Simpi"/>
    <x v="1"/>
    <m/>
  </r>
  <r>
    <s v="ART-India"/>
    <s v="Saravana"/>
    <s v="Change Management activities."/>
    <s v="Dan"/>
    <s v="Kar, Abhinandan"/>
    <s v="N/A"/>
    <s v="LCM"/>
    <s v="Others"/>
    <s v="Mechanical Part &amp; Assemblies"/>
    <s v="IGT-S"/>
    <x v="3"/>
    <s v="IL3"/>
    <n v="1"/>
    <x v="262"/>
    <s v="India"/>
    <s v="Catalyst"/>
    <x v="0"/>
    <s v="Abhinandan Kar"/>
    <x v="1"/>
    <m/>
  </r>
  <r>
    <s v="P129711"/>
    <s v="Parab, Gourav Krishna"/>
    <s v="Host UPS "/>
    <s v="Dan"/>
    <s v="Barve, Bhushan"/>
    <s v="N/A"/>
    <s v="LCM"/>
    <s v="SOURCING"/>
    <s v="Mechanical Part &amp; Assemblies"/>
    <s v="MR"/>
    <x v="0"/>
    <s v="IL0"/>
    <n v="1"/>
    <x v="263"/>
    <s v="India"/>
    <s v="Catalyst"/>
    <x v="0"/>
    <s v="Abhinandan Kar"/>
    <x v="1"/>
    <m/>
  </r>
  <r>
    <s v="P0000127572"/>
    <s v="Chopade, Manoj"/>
    <s v="Paper Roll holder (MLD) "/>
    <s v="Dan"/>
    <s v="Parab, Gourav Krishna"/>
    <s v="N/A"/>
    <s v="NPI"/>
    <s v="CONCEPT"/>
    <s v="Mechanical Parts &amp; Assemblies"/>
    <s v="MR"/>
    <x v="0"/>
    <s v="IL0"/>
    <n v="1"/>
    <x v="264"/>
    <s v="India"/>
    <s v="Catalyst"/>
    <x v="0"/>
    <s v="Gourav Krishna Parab"/>
    <x v="1"/>
    <m/>
  </r>
  <r>
    <s v="PACKAGING_ENG_1"/>
    <s v="Charles Moses"/>
    <s v="Protego L4L Packaging"/>
    <s v="Nishant"/>
    <s v="Parab, Gourav Krishna"/>
    <s v="N/A"/>
    <s v="NPI"/>
    <s v="CONCEPT"/>
    <s v="Mechanical Parts &amp; Assemblies"/>
    <s v="US"/>
    <x v="0"/>
    <s v="IL3"/>
    <n v="0.2"/>
    <x v="257"/>
    <s v="India"/>
    <s v="Catalyst"/>
    <x v="0"/>
    <s v="Gourav Krishna Parab"/>
    <x v="1"/>
    <m/>
  </r>
  <r>
    <n v="35923"/>
    <s v="Gavhane, Sheela"/>
    <s v="Transfer of MR Coils 22 Foam Parts from HCC to LCC. Proto qualification of Molded parts.V&amp;V and Prodcution release of Molded parts"/>
    <s v="Dan"/>
    <s v="M R, Kiran"/>
    <s v="N/A"/>
    <s v="LCM"/>
    <s v="SOURCING"/>
    <s v="All"/>
    <s v="MR"/>
    <x v="0"/>
    <s v="IL3"/>
    <n v="0.5"/>
    <x v="265"/>
    <s v="India"/>
    <s v="Catalyst"/>
    <x v="0"/>
    <s v="Kiran MR"/>
    <x v="1"/>
    <m/>
  </r>
  <r>
    <s v="LCMGBSupport"/>
    <s v="Bosman, Martijn"/>
    <s v="Shaving LcM"/>
    <s v="Dan"/>
    <s v="Kalghatgi, Krishnaraj"/>
    <s v="N/A"/>
    <s v="LCM"/>
    <s v="Others"/>
    <s v="Personal Health"/>
    <s v="GB"/>
    <x v="2"/>
    <s v="IL2"/>
    <n v="1"/>
    <x v="266"/>
    <s v="India"/>
    <s v="Catalyst"/>
    <x v="0"/>
    <s v="Krishnaraj Kalghatgi"/>
    <x v="1"/>
    <m/>
  </r>
  <r>
    <s v="LCMGBSupport"/>
    <s v="Bosman, Martijn"/>
    <s v="Shaving LcM"/>
    <s v="Dan"/>
    <s v="Kalghatgi, Krishnaraj"/>
    <s v="N/A"/>
    <s v="LCM"/>
    <s v="Others"/>
    <s v="Personal Health"/>
    <s v="GB"/>
    <x v="2"/>
    <s v="IL2"/>
    <n v="1"/>
    <x v="267"/>
    <s v="India"/>
    <s v="Catalyst"/>
    <x v="0"/>
    <s v="Krishnaraj Kalghatgi"/>
    <x v="1"/>
    <m/>
  </r>
  <r>
    <s v="LCMGBSupport"/>
    <s v="Bosman, Martijn"/>
    <s v="Shaving LcM"/>
    <s v="Dan"/>
    <s v="Kalghatgi, Krishnaraj"/>
    <s v="N/A"/>
    <s v="LCM"/>
    <s v="Others"/>
    <s v="Personal Health"/>
    <s v="GB"/>
    <x v="2"/>
    <s v="IL2"/>
    <n v="0.8"/>
    <x v="268"/>
    <s v="India"/>
    <s v="Catalyst"/>
    <x v="0"/>
    <s v="Krishnaraj Kalghatgi"/>
    <x v="1"/>
    <m/>
  </r>
  <r>
    <s v="LCMGBSupport"/>
    <s v="Bosman, Martijn"/>
    <s v="Shaving LcM"/>
    <s v="Dan"/>
    <s v="Kalghatgi, Krishnaraj"/>
    <s v="N/A"/>
    <s v="LCM"/>
    <s v="Others"/>
    <s v="Personal Health"/>
    <s v="GB"/>
    <x v="2"/>
    <s v="IL2"/>
    <n v="0.5"/>
    <x v="269"/>
    <s v="India"/>
    <s v="Catalyst"/>
    <x v="0"/>
    <s v="Krishnaraj Kalghatgi"/>
    <x v="1"/>
    <m/>
  </r>
  <r>
    <n v="33507"/>
    <s v="Siddarth"/>
    <s v="Arctronics De-risking to SFO for Head coils family"/>
    <s v="Phil"/>
    <s v="Barve, Bhushan"/>
    <s v="PROCUREMENT"/>
    <s v="PRODUCTIVITY"/>
    <s v="SOURCING"/>
    <s v="Key Components &amp; Electronics"/>
    <s v="MR"/>
    <x v="0"/>
    <s v="IL3"/>
    <n v="1"/>
    <x v="270"/>
    <s v="India"/>
    <s v="Catalyst"/>
    <x v="0"/>
    <s v="Bhushan Barve"/>
    <x v="1"/>
    <m/>
  </r>
  <r>
    <n v="33510"/>
    <s v="Siddarth"/>
    <s v="Arctronics De-risking to SFO for Breast coils family"/>
    <s v="Phil"/>
    <s v="Barve, Bhushan"/>
    <s v="PROCUREMENT"/>
    <s v="PRODUCTIVITY"/>
    <s v="SOURCING"/>
    <s v="Key Components &amp; Electronics"/>
    <s v="MR"/>
    <x v="0"/>
    <s v="IL3"/>
    <n v="0.1"/>
    <x v="271"/>
    <s v="India"/>
    <s v="Catalyst"/>
    <x v="0"/>
    <s v="Bhushan Barve"/>
    <x v="1"/>
    <m/>
  </r>
  <r>
    <n v="28506"/>
    <s v="Vijayanand Purushothaman"/>
    <s v="STET : Mid Atlantic supply chain risk mitigation (T-1 &amp; T-2)"/>
    <s v="Dan"/>
    <s v="Barve, Bhushan"/>
    <s v="PROCUREMENT"/>
    <s v="PRODUCTIVITY"/>
    <s v="SOURCING"/>
    <s v="Key Components &amp; Electronics"/>
    <s v="MR"/>
    <x v="0"/>
    <s v="IL3"/>
    <n v="0.2"/>
    <x v="272"/>
    <s v="India"/>
    <s v="Catalyst"/>
    <x v="0"/>
    <s v="Bhushan Barve"/>
    <x v="1"/>
    <m/>
  </r>
  <r>
    <s v="ART-India"/>
    <s v="Vijayanand Purushothaman"/>
    <s v="LCM Support for India"/>
    <s v="Dan"/>
    <s v="Kulkarni, Pravin"/>
    <s v="N/A"/>
    <s v="LCM"/>
    <s v="SOURCING"/>
    <s v="Mechanical Parts &amp; Assemblies"/>
    <s v="IGT-S"/>
    <x v="3"/>
    <s v="IL3"/>
    <n v="1"/>
    <x v="273"/>
    <s v="India"/>
    <s v="Catalyst"/>
    <x v="0"/>
    <s v="Bhavesh Devendra Shaha"/>
    <x v="1"/>
    <m/>
  </r>
  <r>
    <s v="ART-India"/>
    <s v="Vijayanand Purushothaman"/>
    <s v="LCM Support for India"/>
    <s v="Dan"/>
    <s v="Kulkarni, Pravin"/>
    <s v="N/A"/>
    <s v="LCM"/>
    <s v="SOURCING"/>
    <s v="Mechanical Parts &amp; Assemblies"/>
    <s v="IGT-S"/>
    <x v="3"/>
    <s v="IL3"/>
    <n v="1"/>
    <x v="274"/>
    <s v="India"/>
    <s v="Catalyst"/>
    <x v="0"/>
    <s v="Bhavesh Devendra Shaha"/>
    <x v="1"/>
    <m/>
  </r>
  <r>
    <s v="ART-India"/>
    <s v="Vijayanand Purushothaman"/>
    <s v="LCM Support for India"/>
    <s v="Dan"/>
    <s v="Kulkarni, Pravin"/>
    <s v="N/A"/>
    <s v="LCM"/>
    <s v="SOURCING"/>
    <s v="Mechanical Parts &amp; Assemblies"/>
    <s v="IGT-S"/>
    <x v="3"/>
    <s v="IL3"/>
    <n v="1"/>
    <x v="275"/>
    <s v="India"/>
    <s v="Catalyst"/>
    <x v="0"/>
    <s v="Bhavesh Devendra Shaha"/>
    <x v="1"/>
    <m/>
  </r>
  <r>
    <s v="MR00253568"/>
    <s v="Vijayanand Purushothaman"/>
    <s v="Refer Annexure - 01"/>
    <s v="Dan"/>
    <s v="Barve, Bhushan"/>
    <s v="N/A"/>
    <s v="LCM"/>
    <s v="SOURCING"/>
    <s v="Mechanical Parts &amp; Assemblies"/>
    <s v="MR"/>
    <x v="0"/>
    <s v="IL3"/>
    <n v="0.2"/>
    <x v="276"/>
    <s v="India"/>
    <s v="Catalyst"/>
    <x v="0"/>
    <s v="Bhushan Barve"/>
    <x v="1"/>
    <m/>
  </r>
  <r>
    <n v="33507"/>
    <s v="Siddarth"/>
    <s v="Arctronics De-risking to SFO for Head coils family"/>
    <s v="Phil"/>
    <s v="Barve, Bhushan"/>
    <s v="PROCUREMENT"/>
    <s v="PRODUCTIVITY"/>
    <s v="SOURCING"/>
    <s v="Key Components &amp; Electronics"/>
    <s v="MR"/>
    <x v="0"/>
    <s v="IL3"/>
    <n v="0.4"/>
    <x v="277"/>
    <s v="India"/>
    <s v="Catalyst"/>
    <x v="0"/>
    <s v="Bhushan Barve"/>
    <x v="1"/>
    <m/>
  </r>
  <r>
    <n v="33506"/>
    <s v="Siddarth"/>
    <s v="Arctronics De-risking to SFO for Small Extremity coils family"/>
    <s v="Phil"/>
    <s v="Barve, Bhushan"/>
    <s v="PROCUREMENT"/>
    <s v="PRODUCTIVITY"/>
    <s v="SOURCING"/>
    <s v="Key Components &amp; Electronics"/>
    <s v="MR"/>
    <x v="0"/>
    <s v="IL3"/>
    <n v="0.3"/>
    <x v="277"/>
    <s v="India"/>
    <s v="Catalyst"/>
    <x v="0"/>
    <s v="Bhushan Barve"/>
    <x v="1"/>
    <m/>
  </r>
  <r>
    <n v="34241"/>
    <s v="Pushkar Kulkarni"/>
    <s v="FD30*30 Cover &amp; Interface"/>
    <s v="Dan"/>
    <s v="Ponkshe, Mihir"/>
    <s v="PROCUREMENT"/>
    <s v="PRODUCTIVITY"/>
    <s v="SOURCING"/>
    <s v="Mechanical Parts &amp; Assemblies"/>
    <s v="IGT-MoS"/>
    <x v="3"/>
    <s v="IL3"/>
    <n v="0.5"/>
    <x v="278"/>
    <s v="India"/>
    <s v="Catalyst"/>
    <x v="0"/>
    <s v="Mihir Ponkshe"/>
    <x v="1"/>
    <m/>
  </r>
  <r>
    <n v="33205"/>
    <s v="Pushkar Kulkarni"/>
    <s v="EPV C arc Localization with Raychem"/>
    <s v="Dan"/>
    <s v="Ponkshe, Mihir"/>
    <s v="PROCUREMENT"/>
    <s v="PRODUCTIVITY"/>
    <s v="SOURCING"/>
    <s v="Mechanical Parts &amp; Assemblies"/>
    <s v="IGT-MoS"/>
    <x v="3"/>
    <s v="IL3"/>
    <n v="0.2"/>
    <x v="279"/>
    <s v="India"/>
    <s v="Catalyst"/>
    <x v="0"/>
    <s v="Mihir Ponkshe"/>
    <x v="1"/>
    <m/>
  </r>
  <r>
    <n v="33205"/>
    <s v="Pushkar Kulkarni"/>
    <s v="EPV C arc Localization with Raychem"/>
    <s v="Dan"/>
    <s v="Ponkshe, Mihir"/>
    <s v="PROCUREMENT"/>
    <s v="PRODUCTIVITY"/>
    <s v="SOURCING"/>
    <s v="Mechanical Parts &amp; Assemblies"/>
    <s v="IGT-MoS"/>
    <x v="3"/>
    <s v="IL3"/>
    <n v="0.2"/>
    <x v="280"/>
    <s v="India"/>
    <s v="Catalyst"/>
    <x v="0"/>
    <s v="Mihir Ponkshe"/>
    <x v="1"/>
    <m/>
  </r>
  <r>
    <n v="31299"/>
    <s v="Fabian Bartel"/>
    <s v="STET : Shift to Sea freight with controlled"/>
    <s v="Dan"/>
    <s v="Parab, Gourav Krishna"/>
    <s v="PROCUREMENT"/>
    <s v="PRODUCTIVITY"/>
    <s v="NON_12NC"/>
    <s v="Mechanical Parts &amp; Assemblies"/>
    <s v="MR"/>
    <x v="0"/>
    <s v="IL2"/>
    <n v="1"/>
    <x v="281"/>
    <s v="India"/>
    <s v="Catalyst"/>
    <x v="0"/>
    <s v="Gourav Krishna Parab"/>
    <x v="1"/>
    <m/>
  </r>
  <r>
    <n v="35670"/>
    <s v="Vijayanand Purushothaman"/>
    <s v="I- Mark Molding Derisking"/>
    <s v="Dan"/>
    <s v="Parab, Gourav Krishna"/>
    <s v="PROCUREMENT"/>
    <s v="PRODUCTIVITY"/>
    <s v="SOURCING"/>
    <s v="Mechanical Parts &amp; Assemblies"/>
    <s v="MR"/>
    <x v="0"/>
    <s v="IL0"/>
    <n v="0.2"/>
    <x v="236"/>
    <s v="India"/>
    <s v="Catalyst"/>
    <x v="0"/>
    <s v="Gourav Krishna Parab"/>
    <x v="1"/>
    <m/>
  </r>
  <r>
    <s v="LCM8"/>
    <s v="Vijayanand Purushothaman"/>
    <s v="IGT Mos AoS/ SICR/OCR mgmt"/>
    <s v="Dan"/>
    <s v="Ponkshe, Mihir"/>
    <s v="N/A"/>
    <s v="LCM"/>
    <s v="SOURCING"/>
    <s v="Mechanical Parts &amp; Assemblies"/>
    <s v="IGT-MoS"/>
    <x v="3"/>
    <s v="IL1"/>
    <n v="0.8"/>
    <x v="282"/>
    <s v="India"/>
    <s v="Catalyst"/>
    <x v="0"/>
    <s v="Mihir Ponkshe"/>
    <x v="1"/>
    <m/>
  </r>
  <r>
    <s v="MR00250117"/>
    <s v="Vijayanand Purushothaman"/>
    <s v="Not possible to mount the WBTU antennes because holes in ringframe are not present with upgradekit BTU to WBTU"/>
    <s v="Dan"/>
    <s v="Dede, Kalyani"/>
    <s v="N/A"/>
    <s v="LCM"/>
    <s v="SOURCING"/>
    <s v="Key Components &amp; Electronics"/>
    <s v="MR"/>
    <x v="0"/>
    <s v="IL5"/>
    <n v="0.1"/>
    <x v="283"/>
    <s v="India"/>
    <s v="Catalyst"/>
    <x v="0"/>
    <s v=" Kalyani Dede"/>
    <x v="1"/>
    <m/>
  </r>
  <r>
    <s v="LCM8"/>
    <s v="Vijayanand Purushothaman"/>
    <s v="IGT Mos AoS/ SICR/OCR mgmt"/>
    <s v="Dan"/>
    <s v="Ponkshe, Mihir"/>
    <s v="N/A"/>
    <s v="LCM"/>
    <s v="SOURCING"/>
    <s v="Mechanical Parts &amp; Assemblies"/>
    <s v="IGT-MoS"/>
    <x v="3"/>
    <s v="IL1"/>
    <n v="0.5"/>
    <x v="284"/>
    <s v="India"/>
    <s v="Catalyst"/>
    <x v="0"/>
    <s v="Mihir Ponkshe"/>
    <x v="1"/>
    <m/>
  </r>
  <r>
    <s v="STET_IGTD000_93"/>
    <s v="Matt Morse"/>
    <s v="BOMCheck Migration and RSL Review - Volcano and Spectranetics Products"/>
    <s v="Dan"/>
    <s v="Kulkarni, Pushkar"/>
    <s v="PROCUREMENT"/>
    <s v="PRODUCTIVITY"/>
    <s v="NON_12NC"/>
    <s v="Mechanical Parts &amp; Assemblies"/>
    <s v="IGT-D"/>
    <x v="3"/>
    <s v="IL5"/>
    <n v="0.1"/>
    <x v="285"/>
    <s v="India"/>
    <s v="Catalyst"/>
    <x v="0"/>
    <s v="Pushkar Kulkarni"/>
    <x v="1"/>
    <m/>
  </r>
  <r>
    <s v="LCM8"/>
    <s v="Vijayanand Purushothaman"/>
    <s v="IGT Mos AoS/ SICR/OCR mgmt"/>
    <s v="Dan"/>
    <s v="Ponkshe, Mihir"/>
    <s v="N/A"/>
    <s v="LCM"/>
    <s v="SOURCING"/>
    <s v="Mechanical Parts &amp; Assemblies"/>
    <s v="IGT-MoS"/>
    <x v="3"/>
    <s v="IL1"/>
    <n v="0.2"/>
    <x v="286"/>
    <s v="India"/>
    <s v="Catalyst"/>
    <x v="0"/>
    <s v="Mihir Ponkshe"/>
    <x v="1"/>
    <m/>
  </r>
  <r>
    <s v="STET_IGTD000_92"/>
    <s v="Matt Morse"/>
    <s v="COS Laser Atherectomy Slide Manufacturing"/>
    <s v="Dan"/>
    <s v="Kulkarni, Pushkar"/>
    <s v="PROCUREMENT"/>
    <s v="PRODUCTIVITY"/>
    <s v="SOURCING"/>
    <s v="Mechanical Parts &amp; Assemblies"/>
    <s v="IGT-D"/>
    <x v="3"/>
    <s v="IL3"/>
    <n v="0.5"/>
    <x v="285"/>
    <s v="India"/>
    <s v="Catalyst"/>
    <x v="0"/>
    <s v="Pushkar Kulkarni"/>
    <x v="1"/>
    <m/>
  </r>
  <r>
    <n v="30394"/>
    <s v="Sushruth"/>
    <s v="Abox supplier optimizing and material standardization"/>
    <s v="Tim"/>
    <s v="Naik, Tushar"/>
    <s v="PROCUREMENT"/>
    <s v="PRODUCTIVITY"/>
    <s v="TCO"/>
    <s v="Mechanical Parts &amp; Assemblies"/>
    <s v="GB"/>
    <x v="2"/>
    <s v="IL5"/>
    <n v="1"/>
    <x v="287"/>
    <s v="India"/>
    <s v="Catalyst"/>
    <x v="0"/>
    <s v="Tushar Naik"/>
    <x v="1"/>
    <m/>
  </r>
  <r>
    <n v="23974"/>
    <s v="Vijayanand Purushothaman"/>
    <s v="Bucky / VS / CSM control grip FRU Localization (Legacy and production)"/>
    <s v="Dan"/>
    <s v="Reddy, Muppidi Samatha"/>
    <s v="PROCUREMENT"/>
    <s v="PRODUCTIVITY"/>
    <s v="CONCEPT"/>
    <s v="Mechanical Parts &amp; Assemblies"/>
    <s v="DXR"/>
    <x v="0"/>
    <s v="IL3"/>
    <n v="0.5"/>
    <x v="288"/>
    <s v="India"/>
    <s v="Catalyst"/>
    <x v="0"/>
    <s v="Vijayanand"/>
    <x v="1"/>
    <m/>
  </r>
  <r>
    <s v="SMRS25"/>
    <s v="Vijayanand Purushothaman"/>
    <s v="STET:Project Vayu - Cluster 3 (Legacy FRUs)"/>
    <s v="Dan"/>
    <s v="Reddy, Muppidi Samatha"/>
    <s v="N/A"/>
    <s v="AOS"/>
    <s v="SOURCING"/>
    <s v="Mechanical Parts &amp; Assemblies"/>
    <s v="DXR"/>
    <x v="0"/>
    <s v="IL3"/>
    <n v="0.5"/>
    <x v="288"/>
    <s v="India"/>
    <s v="Catalyst"/>
    <x v="0"/>
    <s v="Vijayanand"/>
    <x v="1"/>
    <m/>
  </r>
  <r>
    <n v="20234"/>
    <s v="Pushkar Kulkarni"/>
    <s v="STET: Outsourcing - MVS Assembly"/>
    <s v="Dan"/>
    <s v="Purushothaman, Vijayanand"/>
    <s v="PROCUREMENT"/>
    <s v="PRODUCTIVITY"/>
    <s v="CONCEPT"/>
    <s v="Mechanical Parts &amp; Assemblies"/>
    <s v="IGT-MoS"/>
    <x v="3"/>
    <s v="IL3"/>
    <n v="0.2"/>
    <x v="238"/>
    <s v="India"/>
    <s v="Catalyst"/>
    <x v="0"/>
    <s v="Vijayanand"/>
    <x v="1"/>
    <m/>
  </r>
  <r>
    <n v="27669"/>
    <s v="Pushkar Kulkarni"/>
    <s v="STET : Zenition UI Panel localisation to Keetronics"/>
    <s v="Dan"/>
    <s v="Purushothaman, Vijayanand"/>
    <s v="PROCUREMENT"/>
    <s v="PRODUCTIVITY"/>
    <s v="SOURCING"/>
    <s v="Medical ODM Markets"/>
    <s v="IGT-MoS"/>
    <x v="3"/>
    <s v="IL3"/>
    <n v="0.25"/>
    <x v="238"/>
    <s v="India"/>
    <s v="Catalyst"/>
    <x v="0"/>
    <s v="Vijayanand"/>
    <x v="1"/>
    <m/>
  </r>
  <r>
    <n v="32855"/>
    <s v="Vijayanand Purushothaman"/>
    <s v="STET IGT-MOS CS- Diagnostic tool for MVS Cable scrap reduction"/>
    <s v="Dan"/>
    <s v="Purushothaman, Vijayanand"/>
    <s v="PROCUREMENT"/>
    <s v="PRODUCTIVITY"/>
    <s v="CONCEPT"/>
    <s v="Key Components &amp; Electronics"/>
    <s v="IGT-MoS"/>
    <x v="3"/>
    <s v="IL2"/>
    <n v="0.1"/>
    <x v="238"/>
    <s v="India"/>
    <s v="Catalyst"/>
    <x v="0"/>
    <s v="Vijayanand"/>
    <x v="1"/>
    <m/>
  </r>
  <r>
    <n v="33953"/>
    <s v="Pushkar Kulkarni"/>
    <s v="Vectra packaging redesigning"/>
    <s v="Dan"/>
    <s v="Purushothaman, Vijayanand"/>
    <s v="PROCUREMENT"/>
    <s v="PRODUCTIVITY"/>
    <s v="CONCEPT"/>
    <s v="Mechanical Parts &amp; Assemblies"/>
    <s v="IGT-MoS"/>
    <x v="3"/>
    <s v="IL3"/>
    <n v="0.1"/>
    <x v="289"/>
    <s v="India"/>
    <s v="Catalyst"/>
    <x v="0"/>
    <s v="Vijayanand"/>
    <x v="1"/>
    <m/>
  </r>
  <r>
    <n v="27664"/>
    <s v="Pushkar Kulkarni"/>
    <s v="STET : Localisation of Machined parts &amp; Sub-assemblies from Roosen to Roots"/>
    <s v="Dan"/>
    <s v="Purushothaman, Vijayanand"/>
    <s v="PROCUREMENT"/>
    <s v="PRODUCTIVITY"/>
    <s v="SOURCING"/>
    <s v="Mechanical Parts &amp; Assemblies"/>
    <s v="IGT-MoS"/>
    <x v="3"/>
    <s v="IL3"/>
    <n v="0.1"/>
    <x v="289"/>
    <s v="India"/>
    <s v="Catalyst"/>
    <x v="0"/>
    <s v="Vijayanand"/>
    <x v="1"/>
    <m/>
  </r>
  <r>
    <n v="27667"/>
    <s v="Pushkar Kulkarni"/>
    <s v="STET : Localisation of Machined parts &amp; Sub-assemblies from Rols to Roots"/>
    <s v="Dan"/>
    <s v="Purushothaman, Vijayanand"/>
    <s v="PROCUREMENT"/>
    <s v="PRODUCTIVITY"/>
    <s v="SOURCING"/>
    <s v="Mechanical Parts &amp; Assemblies"/>
    <s v="IGT-MoS"/>
    <x v="3"/>
    <s v="IL3"/>
    <n v="0.15"/>
    <x v="289"/>
    <s v="India"/>
    <s v="Catalyst"/>
    <x v="0"/>
    <s v="Vijayanand"/>
    <x v="1"/>
    <m/>
  </r>
  <r>
    <n v="34241"/>
    <s v="Pushkar Kulkarni"/>
    <s v="FD30*30 Cover &amp; Interface"/>
    <s v="Dan"/>
    <s v="Purushothaman, Vijayanand"/>
    <s v="PROCUREMENT"/>
    <s v="PRODUCTIVITY"/>
    <s v="SOURCING"/>
    <s v="Mechanical Parts &amp; Assemblies"/>
    <s v="IGT-MoS"/>
    <x v="3"/>
    <s v="IL3"/>
    <n v="0.15"/>
    <x v="289"/>
    <s v="India"/>
    <s v="Catalyst"/>
    <x v="0"/>
    <s v="Vijayanand"/>
    <x v="1"/>
    <m/>
  </r>
  <r>
    <n v="33205"/>
    <s v="Pushkar Kulkarni"/>
    <s v="EPV C arc Localization with Raychem"/>
    <s v="Dan"/>
    <s v="Purushothaman, Vijayanand"/>
    <s v="PROCUREMENT"/>
    <s v="PRODUCTIVITY"/>
    <s v="SOURCING"/>
    <s v="Mechanical Parts &amp; Assemblies"/>
    <s v="IGT-MoS"/>
    <x v="3"/>
    <s v="IL3"/>
    <n v="0.3"/>
    <x v="289"/>
    <s v="India"/>
    <s v="Catalyst"/>
    <x v="0"/>
    <s v="Vijayanand"/>
    <x v="1"/>
    <m/>
  </r>
  <r>
    <n v="34013"/>
    <s v="Kulasekhar (KK)"/>
    <s v="Repair 2.0 Internal repair IGT to supplier Tech Data - motors"/>
    <s v="Dan"/>
    <s v="Purushothaman, Vijayanand"/>
    <s v="PROCUREMENT"/>
    <s v="PRODUCTIVITY"/>
    <s v="SOURCING"/>
    <s v="Mechanical Parts &amp; Assemblies"/>
    <s v="IGT-S"/>
    <x v="3"/>
    <s v="IL3"/>
    <n v="0.3"/>
    <x v="241"/>
    <s v="India"/>
    <s v="Catalyst"/>
    <x v="0"/>
    <s v="Vijayanand"/>
    <x v="1"/>
    <m/>
  </r>
  <r>
    <n v="34012"/>
    <s v="Saravana"/>
    <s v="Repair 2.0 Internal repair IGT to supplier Tech Data - collimators"/>
    <s v="Dan"/>
    <s v="Purushothaman, Vijayanand"/>
    <s v="PROCUREMENT"/>
    <s v="PRODUCTIVITY"/>
    <s v="SOURCING"/>
    <s v="Key Components &amp; Electronics"/>
    <s v="IGT-S"/>
    <x v="3"/>
    <s v="IL0"/>
    <n v="0.1"/>
    <x v="241"/>
    <s v="India"/>
    <s v="Catalyst"/>
    <x v="0"/>
    <s v="Vijayanand"/>
    <x v="1"/>
    <m/>
  </r>
  <r>
    <n v="36529"/>
    <s v="Kulasekhar (KK)"/>
    <s v="Move Repair of 45980002241/2/3 PHI-DVI-16416 Matrix to Techdata"/>
    <s v="Dan"/>
    <s v="Purushothaman, Vijayanand"/>
    <s v="PROCUREMENT"/>
    <s v="PRODUCTIVITY"/>
    <s v="CONCEPT"/>
    <s v="Mechanical Parts &amp; Assemblies"/>
    <s v="IGT-S"/>
    <x v="3"/>
    <s v="IL1"/>
    <n v="0.3"/>
    <x v="249"/>
    <s v="India"/>
    <s v="Catalyst"/>
    <x v="0"/>
    <s v="Vijayanand"/>
    <x v="1"/>
    <m/>
  </r>
  <r>
    <s v="COMP_ENG4"/>
    <s v="Vijayanand Purushothaman"/>
    <s v="PCBA Component Life Cycle Analysis"/>
    <s v="Dan"/>
    <s v="Mummigatti, Ravi Prabhakar"/>
    <s v="N/A"/>
    <s v="LCM"/>
    <s v="CONCEPT"/>
    <s v="Key Components &amp; Electronics"/>
    <s v="IGT-MoS"/>
    <x v="3"/>
    <s v="IL3"/>
    <n v="0.1"/>
    <x v="290"/>
    <s v="India"/>
    <s v="Catalyst"/>
    <x v="0"/>
    <s v="Ravi Prabhakar Mummigatti"/>
    <x v="1"/>
    <m/>
  </r>
  <r>
    <s v="COMP_ENG3"/>
    <s v="Vijayanand Purushothaman"/>
    <s v="PCBA Component Life Cycle Analysis"/>
    <s v="Dan"/>
    <s v="Mummigatti, Ravi Prabhakar"/>
    <s v="N/A"/>
    <s v="LCM"/>
    <s v="CONCEPT"/>
    <s v="Key Components &amp; Electronics"/>
    <s v="IGT-S"/>
    <x v="3"/>
    <s v="IL3"/>
    <n v="0.1"/>
    <x v="290"/>
    <s v="India"/>
    <s v="Catalyst"/>
    <x v="0"/>
    <s v="Ravi Prabhakar Mummigatti"/>
    <x v="1"/>
    <m/>
  </r>
  <r>
    <s v="COMP_ENG1"/>
    <s v="Vijayanand Purushothaman"/>
    <s v="PCBA Component Life Cycle Analysis"/>
    <s v="Dan"/>
    <s v="Mummigatti, Ravi Prabhakar"/>
    <s v="N/A"/>
    <s v="LCM"/>
    <s v="CONCEPT"/>
    <s v="Key Components &amp; Electronics"/>
    <s v="MR"/>
    <x v="0"/>
    <s v="IL3"/>
    <n v="0.2"/>
    <x v="290"/>
    <s v="India"/>
    <s v="Catalyst"/>
    <x v="0"/>
    <s v="Ravi Prabhakar Mummigatti"/>
    <x v="1"/>
    <m/>
  </r>
  <r>
    <s v="COMP_ENG10"/>
    <s v="Vijayanand Purushothaman"/>
    <s v="PCBA Component Life Cycle Analysis"/>
    <s v="Dan"/>
    <s v="Mummigatti, Ravi Prabhakar"/>
    <s v="N/A"/>
    <s v="LCM"/>
    <s v="CONCEPT"/>
    <s v="Key Components &amp; Electronics"/>
    <s v="DXR"/>
    <x v="0"/>
    <s v="IL3"/>
    <n v="0.1"/>
    <x v="290"/>
    <s v="India"/>
    <s v="Catalyst"/>
    <x v="0"/>
    <s v="Ravi Prabhakar Mummigatti"/>
    <x v="1"/>
    <m/>
  </r>
  <r>
    <s v="COMP_ENG2"/>
    <s v="Vijayanand Purushothaman"/>
    <s v="PCBA Component Life Cycle Analysis"/>
    <s v="Dan"/>
    <s v="Mummigatti, Ravi Prabhakar"/>
    <s v="N/A"/>
    <s v="LCM"/>
    <s v="CONCEPT"/>
    <s v="Key Components &amp; Electronics"/>
    <s v="CT/AMI"/>
    <x v="0"/>
    <s v="IL3"/>
    <n v="0.2"/>
    <x v="290"/>
    <s v="India"/>
    <s v="Catalyst"/>
    <x v="0"/>
    <s v="Ravi Prabhakar Mummigatti"/>
    <x v="1"/>
    <m/>
  </r>
  <r>
    <s v="COMP_ENG5"/>
    <s v="Vijayanand Purushothaman"/>
    <s v="PCBA Component Life Cycle Analysis"/>
    <s v="Dan"/>
    <s v="Mummigatti, Ravi Prabhakar"/>
    <s v="N/A"/>
    <s v="LCM"/>
    <s v="CONCEPT"/>
    <s v="Key Components &amp; Electronics"/>
    <s v="US"/>
    <x v="0"/>
    <s v="IL3"/>
    <n v="0.2"/>
    <x v="290"/>
    <s v="India"/>
    <s v="Catalyst"/>
    <x v="0"/>
    <s v="Ravi Prabhakar Mummigatti"/>
    <x v="1"/>
    <m/>
  </r>
  <r>
    <s v="COMP_ENG8"/>
    <s v="Vijayanand Purushothaman"/>
    <s v="PCBA Component Life Cycle Analysis"/>
    <s v="Dan"/>
    <s v="Mummigatti, Ravi Prabhakar"/>
    <s v="N/A"/>
    <s v="LCM"/>
    <s v="CONCEPT"/>
    <s v="Key Components &amp; Electronics"/>
    <s v="OHC"/>
    <x v="2"/>
    <s v="IL3"/>
    <n v="0.05"/>
    <x v="290"/>
    <s v="India"/>
    <s v="Catalyst"/>
    <x v="0"/>
    <s v="Ravi Prabhakar Mummigatti"/>
    <x v="1"/>
    <m/>
  </r>
  <r>
    <s v="COMP_ENG6"/>
    <s v="Vijayanand Purushothaman"/>
    <s v="PCBA Component Life Cycle Analysis"/>
    <s v="Dan"/>
    <s v="Mummigatti, Ravi Prabhakar"/>
    <s v="N/A"/>
    <s v="LCM"/>
    <s v="CONCEPT"/>
    <s v="Key Components &amp; Electronics"/>
    <s v="HPM"/>
    <x v="1"/>
    <s v="IL3"/>
    <n v="0.05"/>
    <x v="290"/>
    <s v="India"/>
    <s v="Catalyst"/>
    <x v="0"/>
    <s v="Ravi Prabhakar Mummigatti"/>
    <x v="1"/>
    <m/>
  </r>
  <r>
    <s v="COMP_ENG1"/>
    <s v="Vijayanand Purushothaman"/>
    <s v="PCBA Component Life Cycle Analysis"/>
    <s v="Dan"/>
    <s v="Mummigatti, Ravi Prabhakar"/>
    <s v="N/A"/>
    <s v="LCM"/>
    <s v="CONCEPT"/>
    <s v="Key Components &amp; Electronics"/>
    <s v="MR"/>
    <x v="0"/>
    <s v="IL3"/>
    <n v="0.1"/>
    <x v="291"/>
    <s v="India"/>
    <s v="Catalyst"/>
    <x v="0"/>
    <s v="Ravi Prabhakar Mummigatti"/>
    <x v="1"/>
    <m/>
  </r>
  <r>
    <s v="COMP_ENG2"/>
    <s v="Vijayanand Purushothaman"/>
    <s v="PCBA Component Life Cycle Analysis"/>
    <s v="Dan"/>
    <s v="Mummigatti, Ravi Prabhakar"/>
    <s v="N/A"/>
    <s v="LCM"/>
    <s v="CONCEPT"/>
    <s v="Key Components &amp; Electronics"/>
    <s v="CT/AMI"/>
    <x v="0"/>
    <s v="IL3"/>
    <n v="0.2"/>
    <x v="291"/>
    <s v="India"/>
    <s v="Catalyst"/>
    <x v="0"/>
    <s v="Ravi Prabhakar Mummigatti"/>
    <x v="1"/>
    <m/>
  </r>
  <r>
    <s v="COMP_ENG5"/>
    <s v="Vijayanand Purushothaman"/>
    <s v="PCBA Component Life Cycle Analysis"/>
    <s v="Dan"/>
    <s v="Mummigatti, Ravi Prabhakar"/>
    <s v="N/A"/>
    <s v="LCM"/>
    <s v="CONCEPT"/>
    <s v="Key Components &amp; Electronics"/>
    <s v="US"/>
    <x v="0"/>
    <s v="IL3"/>
    <n v="0.2"/>
    <x v="291"/>
    <s v="India"/>
    <s v="Catalyst"/>
    <x v="0"/>
    <s v="Ravi Prabhakar Mummigatti"/>
    <x v="1"/>
    <m/>
  </r>
  <r>
    <s v="COMP_ENG6"/>
    <s v="Vijayanand Purushothaman"/>
    <s v="PCBA Component Life Cycle Analysis"/>
    <s v="Dan"/>
    <s v="Mummigatti, Ravi Prabhakar"/>
    <s v="N/A"/>
    <s v="LCM"/>
    <s v="CONCEPT"/>
    <s v="Key Components &amp; Electronics"/>
    <s v="HPM"/>
    <x v="1"/>
    <s v="IL3"/>
    <n v="0.1"/>
    <x v="291"/>
    <s v="India"/>
    <s v="Catalyst"/>
    <x v="0"/>
    <s v="Ravi Prabhakar Mummigatti"/>
    <x v="1"/>
    <m/>
  </r>
  <r>
    <s v="COMP_ENG3"/>
    <s v="Vijayanand Purushothaman"/>
    <s v="PCBA Component Life Cycle Analysis"/>
    <s v="Dan"/>
    <s v="Mummigatti, Ravi Prabhakar"/>
    <s v="N/A"/>
    <s v="LCM"/>
    <s v="CONCEPT"/>
    <s v="Key Components &amp; Electronics"/>
    <s v="IGT-S"/>
    <x v="3"/>
    <s v="IL3"/>
    <n v="0.1"/>
    <x v="291"/>
    <s v="India"/>
    <s v="Catalyst"/>
    <x v="0"/>
    <s v="Ravi Prabhakar Mummigatti"/>
    <x v="1"/>
    <m/>
  </r>
  <r>
    <s v="COMP_ENG4"/>
    <s v="Vijayanand Purushothaman"/>
    <s v="PCBA Component Life Cycle Analysis"/>
    <s v="Dan"/>
    <s v="Mummigatti, Ravi Prabhakar"/>
    <s v="N/A"/>
    <s v="LCM"/>
    <s v="CONCEPT"/>
    <s v="Key Components &amp; Electronics"/>
    <s v="IGT-MoS"/>
    <x v="3"/>
    <s v="IL3"/>
    <n v="0.1"/>
    <x v="291"/>
    <s v="India"/>
    <s v="Catalyst"/>
    <x v="0"/>
    <s v="Ravi Prabhakar Mummigatti"/>
    <x v="1"/>
    <m/>
  </r>
  <r>
    <s v="COMP_ENG10"/>
    <s v="Vijayanand Purushothaman"/>
    <s v="PCBA Component Life Cycle Analysis"/>
    <s v="Dan"/>
    <s v="Mummigatti, Ravi Prabhakar"/>
    <s v="N/A"/>
    <s v="LCM"/>
    <s v="CONCEPT"/>
    <s v="Key Components &amp; Electronics"/>
    <s v="DXR"/>
    <x v="0"/>
    <s v="IL3"/>
    <n v="0.1"/>
    <x v="291"/>
    <s v="India"/>
    <s v="Catalyst"/>
    <x v="0"/>
    <s v="Ravi Prabhakar Mummigatti"/>
    <x v="1"/>
    <m/>
  </r>
  <r>
    <s v="COMP_ENG7"/>
    <s v="Vijayanand Purushothaman"/>
    <s v="PCBA Component Life Cycle Analysis"/>
    <s v="Dan"/>
    <s v="Mummigatti, Ravi Prabhakar"/>
    <s v="N/A"/>
    <s v="LCM"/>
    <s v="CONCEPT"/>
    <s v="Key Components &amp; Electronics"/>
    <s v="SRC"/>
    <x v="1"/>
    <s v="IL3"/>
    <n v="0.1"/>
    <x v="291"/>
    <s v="India"/>
    <s v="Catalyst"/>
    <x v="0"/>
    <s v="Ravi Prabhakar Mummigatti"/>
    <x v="1"/>
    <m/>
  </r>
  <r>
    <n v="30576"/>
    <s v="Vijayanand Purushothaman"/>
    <s v="Stitching ruler LCC (Didi/C50/C90)"/>
    <s v="Dan"/>
    <s v="Purushothaman, Vijayanand"/>
    <s v="PROCUREMENT"/>
    <s v="PRODUCTIVITY"/>
    <s v="SOURCING"/>
    <s v="Mechanical Parts &amp; Assemblies"/>
    <s v="DXR"/>
    <x v="0"/>
    <s v="IL2"/>
    <n v="0.15"/>
    <x v="292"/>
    <s v="India"/>
    <s v="Catalyst"/>
    <x v="0"/>
    <s v="Vijayanand"/>
    <x v="1"/>
    <m/>
  </r>
  <r>
    <n v="32930"/>
    <s v="Vijayanand Purushothaman"/>
    <s v="Combi base plate resourcing"/>
    <s v="Dan"/>
    <s v="Purushothaman, Vijayanand"/>
    <s v="PROCUREMENT"/>
    <s v="PRODUCTIVITY"/>
    <s v="SOURCING"/>
    <s v="Mechanical Parts &amp; Assemblies"/>
    <s v="DXR"/>
    <x v="0"/>
    <s v="IL2"/>
    <n v="0.15"/>
    <x v="292"/>
    <s v="India"/>
    <s v="Catalyst"/>
    <x v="0"/>
    <s v="Vijayanand"/>
    <x v="1"/>
    <m/>
  </r>
  <r>
    <s v="CT/AMI-LCM2"/>
    <s v="Vijayanand Purushothaman"/>
    <s v="PCBA redesign project (FPGA obso)-AMI"/>
    <s v="Dan"/>
    <s v="Purushothaman, Vijayanand"/>
    <s v="N/A"/>
    <s v="LCM"/>
    <s v="CONCEPT"/>
    <s v="Key Components &amp; Electronics"/>
    <s v="CT/AMI"/>
    <x v="0"/>
    <s v="IL0"/>
    <n v="0.4"/>
    <x v="292"/>
    <s v="India"/>
    <s v="Catalyst"/>
    <x v="0"/>
    <s v="Vijayanand"/>
    <x v="1"/>
    <m/>
  </r>
  <r>
    <s v="COMP_ENG4"/>
    <s v="Vijayanand Purushothaman"/>
    <s v="PCBA Component Life Cycle Analysis"/>
    <s v="Dan"/>
    <s v="Purushothaman, Vijayanand"/>
    <s v="N/A"/>
    <s v="LCM"/>
    <s v="CONCEPT"/>
    <s v="Key Components &amp; Electronics"/>
    <s v="IGT-MoS"/>
    <x v="3"/>
    <s v="IL3"/>
    <n v="0.05"/>
    <x v="293"/>
    <s v="India"/>
    <s v="Catalyst"/>
    <x v="0"/>
    <s v="Vijayanand"/>
    <x v="1"/>
    <m/>
  </r>
  <r>
    <s v="GXRCQ00088966"/>
    <s v="Vijayanand Purushothaman"/>
    <s v="CAN Card Redesign (GXRCQ00086171, GXRCQ00089165,GXRCQ00090886)"/>
    <s v="Dan"/>
    <s v="Purushothaman, Vijayanand"/>
    <s v="N/A"/>
    <s v="LCM"/>
    <s v="CONCEPT"/>
    <s v="Key Components &amp; Electronics"/>
    <s v="DXR"/>
    <x v="0"/>
    <s v="IL3"/>
    <n v="0.15"/>
    <x v="293"/>
    <s v="India"/>
    <s v="Catalyst"/>
    <x v="0"/>
    <s v="Vijayanand"/>
    <x v="1"/>
    <m/>
  </r>
  <r>
    <s v="GXRCQ00080695"/>
    <s v="Vijayanand Purushothaman"/>
    <s v="Aurora Card Redesign"/>
    <s v="Dan"/>
    <s v="Purushothaman, Vijayanand"/>
    <s v="N/A"/>
    <s v="LCM"/>
    <s v="CONCEPT"/>
    <s v="Key Components &amp; Electronics"/>
    <s v="DXR"/>
    <x v="0"/>
    <s v="IL3"/>
    <n v="0.15"/>
    <x v="293"/>
    <s v="India"/>
    <s v="Catalyst"/>
    <x v="0"/>
    <s v="Vijayanand"/>
    <x v="1"/>
    <m/>
  </r>
  <r>
    <s v="GXRCQ00082538"/>
    <s v="Vijayanand Purushothaman"/>
    <s v="SCOPO Controller Redesign"/>
    <s v="Dan"/>
    <s v="Purushothaman, Vijayanand"/>
    <s v="N/A"/>
    <s v="LCM"/>
    <s v="CONCEPT"/>
    <s v="Key Components &amp; Electronics"/>
    <s v="DXR"/>
    <x v="0"/>
    <s v="IL3"/>
    <n v="0.1"/>
    <x v="293"/>
    <s v="India"/>
    <s v="Catalyst"/>
    <x v="0"/>
    <s v="Vijayanand"/>
    <x v="1"/>
    <m/>
  </r>
  <r>
    <s v="GXRCQ00080868"/>
    <s v="Vijayanand Purushothaman"/>
    <s v="SCOPO UI Redesign"/>
    <s v="Dan"/>
    <s v="Purushothaman, Vijayanand"/>
    <s v="N/A"/>
    <s v="LCM"/>
    <s v="CONCEPT"/>
    <s v="Key Components &amp; Electronics"/>
    <s v="DXR"/>
    <x v="0"/>
    <s v="IL3"/>
    <n v="0.05"/>
    <x v="293"/>
    <s v="India"/>
    <s v="Catalyst"/>
    <x v="0"/>
    <s v="Vijayanand"/>
    <x v="1"/>
    <m/>
  </r>
  <r>
    <n v="36385"/>
    <s v="Vijayanand Purushothaman"/>
    <s v="Jabil Exit"/>
    <s v="Dan"/>
    <s v="Purushothaman, Vijayanand"/>
    <s v="PROCUREMENT"/>
    <s v="AOS"/>
    <s v="SOURCING"/>
    <s v="Key Components &amp; Electronics"/>
    <s v="IGT-S"/>
    <x v="3"/>
    <s v="IL3"/>
    <n v="0.1"/>
    <x v="293"/>
    <s v="India"/>
    <s v="Catalyst"/>
    <x v="0"/>
    <s v="Vijayanand"/>
    <x v="1"/>
    <m/>
  </r>
  <r>
    <n v="36383"/>
    <s v="Vijayanand Purushothaman"/>
    <s v="Jabil Exit"/>
    <s v="Dan"/>
    <s v="Purushothaman, Vijayanand"/>
    <s v="PROCUREMENT"/>
    <s v="PRODUCTIVITY"/>
    <s v="SOURCING"/>
    <s v="Key Components &amp; Electronics"/>
    <s v="IGT-MoS"/>
    <x v="3"/>
    <s v="IL2"/>
    <n v="0.1"/>
    <x v="293"/>
    <s v="India"/>
    <s v="Catalyst"/>
    <x v="0"/>
    <s v="Vijayanand"/>
    <x v="1"/>
    <m/>
  </r>
  <r>
    <s v="COMP_ENG5"/>
    <s v="Vijayanand Purushothaman"/>
    <s v="PCBA Component Life Cycle Analysis"/>
    <s v="Dan"/>
    <s v="Purushothaman, Vijayanand"/>
    <s v="N/A"/>
    <s v="LCM"/>
    <s v="CONCEPT"/>
    <s v="Key Components &amp; Electronics"/>
    <s v="US"/>
    <x v="0"/>
    <s v="IL3"/>
    <n v="0.05"/>
    <x v="293"/>
    <s v="India"/>
    <s v="Catalyst"/>
    <x v="0"/>
    <s v="Vijayanand"/>
    <x v="1"/>
    <m/>
  </r>
  <r>
    <s v="COMP_ENG7"/>
    <s v="Vijayanand Purushothaman"/>
    <s v="PCBA Component Life Cycle Analysis"/>
    <s v="Dan"/>
    <s v="Purushothaman, Vijayanand"/>
    <s v="N/A"/>
    <s v="LCM"/>
    <s v="CONCEPT"/>
    <s v="Key Components &amp; Electronics"/>
    <s v="SRC"/>
    <x v="1"/>
    <s v="IL3"/>
    <n v="0.05"/>
    <x v="293"/>
    <s v="India"/>
    <s v="Catalyst"/>
    <x v="0"/>
    <s v="Vijayanand"/>
    <x v="1"/>
    <m/>
  </r>
  <r>
    <s v="GXRCQ00083948"/>
    <s v="Vijayanand Purushothaman"/>
    <s v="Selection of new EMS supplier for DXR: MDU INTERFACE BOARD VLl"/>
    <s v="Dan"/>
    <s v="Purushothaman, Vijayanand"/>
    <s v="N/A"/>
    <s v="LCM"/>
    <s v="SOURCING"/>
    <s v="Key Components &amp; Electronics"/>
    <s v="DXR"/>
    <x v="0"/>
    <s v="IL3"/>
    <n v="0.1"/>
    <x v="246"/>
    <s v="India"/>
    <s v="Catalyst"/>
    <x v="0"/>
    <s v="Vijayanand"/>
    <x v="1"/>
    <m/>
  </r>
  <r>
    <s v="GXRCQ00083954"/>
    <s v="Vijayanand Purushothaman"/>
    <s v="Selection of new EMS supplier for DXR: Platine 5 Field Position Modul"/>
    <s v="Dan"/>
    <s v="Purushothaman, Vijayanand"/>
    <s v="N/A"/>
    <s v="LCM"/>
    <s v="SOURCING"/>
    <s v="Key Components &amp; Electronics"/>
    <s v="DXR"/>
    <x v="0"/>
    <s v="IL3"/>
    <n v="0.3"/>
    <x v="246"/>
    <s v="India"/>
    <s v="Catalyst"/>
    <x v="0"/>
    <s v="Vijayanand"/>
    <x v="1"/>
    <m/>
  </r>
  <r>
    <s v="GXRCQ00083955"/>
    <s v="Vijayanand Purushothaman"/>
    <s v="Selection of new EMS supplier for DXR: UI Connector Board VAG"/>
    <s v="Dan"/>
    <s v="Purushothaman, Vijayanand"/>
    <s v="N/A"/>
    <s v="LCM"/>
    <s v="SOURCING"/>
    <s v="Key Components &amp; Electronics"/>
    <s v="DXR"/>
    <x v="0"/>
    <s v="IL5"/>
    <n v="0.1"/>
    <x v="246"/>
    <s v="India"/>
    <s v="Catalyst"/>
    <x v="0"/>
    <s v="Vijayanand"/>
    <x v="1"/>
    <m/>
  </r>
  <r>
    <n v="30893"/>
    <s v="Vijayanand Purushothaman"/>
    <s v="SGCU Module Transfer with PCBA"/>
    <s v="Dan"/>
    <s v="Purushothaman, Vijayanand"/>
    <s v="PROCUREMENT"/>
    <s v="PRODUCTIVITY"/>
    <s v="TCO"/>
    <s v="Key Components &amp; Electronics"/>
    <s v="DXR"/>
    <x v="0"/>
    <s v="IL3"/>
    <n v="0.1"/>
    <x v="246"/>
    <s v="India"/>
    <s v="Catalyst"/>
    <x v="0"/>
    <s v="Vijayanand"/>
    <x v="1"/>
    <m/>
  </r>
  <r>
    <s v="STET_IGTD000_43"/>
    <s v="Matt Morse"/>
    <s v="Non 0.9 OTW Leak Test"/>
    <s v="Dan"/>
    <s v="Morse, Matt"/>
    <s v="TCO"/>
    <s v="LCM"/>
    <s v="CONCEPT"/>
    <s v="Mechanical Parts &amp; Assemblies"/>
    <s v="IGT-D"/>
    <x v="3"/>
    <s v="IL3"/>
    <n v="0.2"/>
    <x v="294"/>
    <s v="India"/>
    <s v="Catalyst"/>
    <x v="0"/>
    <s v="Matt Morse"/>
    <x v="1"/>
    <m/>
  </r>
  <r>
    <s v="ART-China"/>
    <s v="Vijayanand Purushothaman"/>
    <s v="LCM Support for China"/>
    <s v="Dan"/>
    <s v="Kulkarni, Pravin"/>
    <s v="N/A"/>
    <s v="LCM"/>
    <s v="SOURCING"/>
    <s v="Mechanical Parts &amp; Assemblies"/>
    <s v="IGT-S"/>
    <x v="3"/>
    <s v="IL3"/>
    <n v="1"/>
    <x v="295"/>
    <s v="India"/>
    <s v="Catalyst"/>
    <x v="0"/>
    <s v="Bhavesh Devendra Shaha"/>
    <x v="1"/>
    <m/>
  </r>
  <r>
    <s v="ART-India"/>
    <s v="Vijayanand Purushothaman"/>
    <s v="LCM Support for India"/>
    <s v="Dan"/>
    <s v="Kulkarni, Pravin"/>
    <s v="N/A"/>
    <s v="LCM"/>
    <s v="SOURCING"/>
    <s v="Mechanical Parts &amp; Assemblies"/>
    <s v="IGT-S"/>
    <x v="3"/>
    <s v="IL3"/>
    <n v="0.8"/>
    <x v="296"/>
    <s v="India"/>
    <s v="Catalyst"/>
    <x v="0"/>
    <s v="Bhavesh Devendra Shaha"/>
    <x v="1"/>
    <m/>
  </r>
  <r>
    <s v="CT/AMI-LCM2"/>
    <s v="Vijayanand Purushothaman"/>
    <s v="PCBA redesign project (FPGA obso)-AMI"/>
    <s v="Dan"/>
    <s v="Kulkarni, Pravin"/>
    <s v="N/A"/>
    <s v="LCM"/>
    <s v="CONCEPT"/>
    <s v="Key Components &amp; Electronics"/>
    <s v="CT/AMI"/>
    <x v="0"/>
    <s v="IL0"/>
    <n v="1"/>
    <x v="297"/>
    <s v="India"/>
    <s v="Catalyst"/>
    <x v="0"/>
    <s v="Bhavesh Devendra Shaha"/>
    <x v="1"/>
    <m/>
  </r>
  <r>
    <n v="34013"/>
    <s v="Kulasekhar (KK)"/>
    <s v="Repair 2.0 Internal repair IGT to supplier Tech Data - motors"/>
    <s v="Dan"/>
    <s v="Kulkarni, Pravin"/>
    <s v="PROCUREMENT"/>
    <s v="PRODUCTIVITY"/>
    <s v="SOURCING"/>
    <s v="Mechanical Parts &amp; Assemblies"/>
    <s v="IGT-S"/>
    <x v="3"/>
    <s v="IL3"/>
    <n v="0.34"/>
    <x v="298"/>
    <s v="India"/>
    <s v="Catalyst"/>
    <x v="0"/>
    <s v="Bhavesh Devendra Shaha"/>
    <x v="1"/>
    <m/>
  </r>
  <r>
    <s v="MR00252901"/>
    <s v="Vijayanand Purushothaman"/>
    <s v="READY TO GROW (R2G): Pre assembly cage nuts and brackets"/>
    <s v="Dan"/>
    <s v="Parab, Gourav Krishna"/>
    <s v="N/A"/>
    <s v="LCM"/>
    <s v="SOURCING"/>
    <s v="Mechanical Parts &amp; Assemblies"/>
    <s v="MR"/>
    <x v="0"/>
    <s v="IL3"/>
    <n v="1"/>
    <x v="299"/>
    <s v="India"/>
    <s v="Catalyst"/>
    <x v="0"/>
    <s v="Gourav Krishna Parab"/>
    <x v="1"/>
    <m/>
  </r>
  <r>
    <s v="IGT-S Funnel Bulding Activities"/>
    <s v="Vijayanand Purushothaman"/>
    <s v="IGT-S Funnel Bulding Activities - IL0 to IL 2."/>
    <s v="Dan"/>
    <s v="Kulkarni, Pravin"/>
    <s v="N/A"/>
    <s v="LCM"/>
    <s v="SOURCING"/>
    <s v="Mechanical Parts &amp; Assemblies"/>
    <s v="IGT-S"/>
    <x v="3"/>
    <s v="IL0"/>
    <n v="0.33"/>
    <x v="298"/>
    <s v="India"/>
    <s v="Catalyst"/>
    <x v="0"/>
    <s v="Bhavesh Devendra Shaha"/>
    <x v="1"/>
    <m/>
  </r>
  <r>
    <s v="ART-BEST"/>
    <s v="Vijayanand Purushothaman"/>
    <s v="LCM Support for Best"/>
    <s v="Dan"/>
    <s v="Kulkarni, Pravin"/>
    <s v="N/A"/>
    <s v="LCM"/>
    <s v="SOURCING"/>
    <s v="Mechanical Parts &amp; Assemblies"/>
    <s v="IGT-S"/>
    <x v="3"/>
    <s v="IL3"/>
    <n v="1"/>
    <x v="300"/>
    <s v="India"/>
    <s v="Catalyst"/>
    <x v="0"/>
    <s v="Bhavesh Devendra Shaha"/>
    <x v="1"/>
    <m/>
  </r>
  <r>
    <s v="CONQ_2021_53"/>
    <s v="Saravana"/>
    <s v="Shift all preventive maintenance visit by one month:Current PM Schedule on months: 6, 12, 18, 24…Proposed PM Schedule on month: 7, 13, 19, 25(Change 2 to 1 visit in warranty year)"/>
    <s v="Dan"/>
    <s v="Purushothaman, Vijayanand"/>
    <s v="TCO"/>
    <s v="CONQ"/>
    <s v="TCO"/>
    <s v="Mechanical Parts &amp; Assemblies"/>
    <s v="IGT-S"/>
    <x v="3"/>
    <s v="IL1"/>
    <n v="0.1"/>
    <x v="301"/>
    <s v="India"/>
    <s v="Catalyst"/>
    <x v="0"/>
    <s v="Vijayanand"/>
    <x v="1"/>
    <m/>
  </r>
  <r>
    <s v="CONQ_2020_021"/>
    <s v="Saravana"/>
    <s v="PM Efficiency: Remove PM table out of IFU, will enable Improving PM in IB. eg Allura FD calibration improvement"/>
    <s v="Dan"/>
    <s v="Purushothaman, Vijayanand"/>
    <s v="TCO"/>
    <s v="CONQ"/>
    <s v="TCO"/>
    <s v="Mechanical Parts &amp; Assemblies"/>
    <s v="IGT-S"/>
    <x v="3"/>
    <s v="IL3"/>
    <n v="0.1"/>
    <x v="301"/>
    <s v="India"/>
    <s v="Catalyst"/>
    <x v="0"/>
    <s v="Vijayanand"/>
    <x v="1"/>
    <m/>
  </r>
  <r>
    <n v="34320"/>
    <s v="Saravana"/>
    <s v="Documentation Cabinet"/>
    <s v="Dan"/>
    <s v="Purushothaman, Vijayanand"/>
    <s v="PROCUREMENT"/>
    <s v="PRODUCTIVITY"/>
    <s v="CONCEPT"/>
    <s v="Mechanical Parts &amp; Assemblies"/>
    <s v="IGT-S"/>
    <x v="3"/>
    <s v="IL1"/>
    <n v="0.15"/>
    <x v="301"/>
    <s v="India"/>
    <s v="Catalyst"/>
    <x v="0"/>
    <s v="Vijayanand"/>
    <x v="1"/>
    <m/>
  </r>
  <r>
    <s v="PR122"/>
    <s v="Saravana"/>
    <s v="FCO labour variation improvement via keymarkets alignment, dm, kaizens, learn best pratices, improve Norm setting"/>
    <s v="Dan"/>
    <s v="Purushothaman, Vijayanand"/>
    <s v="TCO"/>
    <s v="CONQ"/>
    <s v="TCO"/>
    <s v="Medical ODM Markets"/>
    <s v="IGT-S"/>
    <x v="3"/>
    <s v="IL3"/>
    <n v="0.1"/>
    <x v="301"/>
    <s v="India"/>
    <s v="Catalyst"/>
    <x v="0"/>
    <s v="Vijayanand"/>
    <x v="1"/>
    <m/>
  </r>
  <r>
    <s v="LCM7"/>
    <s v="Niranjan Kumar"/>
    <s v="Hamburg LCM"/>
    <s v="Dan"/>
    <s v="Purushothaman, Vijayanand"/>
    <s v="N/A"/>
    <s v="LCM"/>
    <s v="SOURCING"/>
    <s v="Mechanical Parts &amp; Assemblies"/>
    <s v="CT/AMI"/>
    <x v="0"/>
    <s v="IL3"/>
    <n v="0.25"/>
    <x v="301"/>
    <s v="India"/>
    <s v="Catalyst"/>
    <x v="0"/>
    <s v="Vijayanand"/>
    <x v="1"/>
    <m/>
  </r>
  <r>
    <s v="L&amp;A"/>
    <s v="N/A"/>
    <s v="MISC. ENTRY TO BALANCE WITH RESOURCE DATABASE"/>
    <s v="All"/>
    <s v="Kumar, Niranjan"/>
    <s v="L&amp;A"/>
    <s v="L&amp;A"/>
    <s v="L&amp;A"/>
    <s v="L&amp;A"/>
    <s v="L&amp;A"/>
    <x v="4"/>
    <s v="L&amp;A"/>
    <n v="0.5"/>
    <x v="302"/>
    <s v="India"/>
    <s v="Catalyst"/>
    <x v="0"/>
    <s v="Niranjan Kumar"/>
    <x v="1"/>
    <m/>
  </r>
  <r>
    <n v="30893"/>
    <s v="Vijayanand Purushothaman"/>
    <s v="SGCU Module Transfer with PCBA"/>
    <s v="Dan"/>
    <s v="Kulkarni, Pravin"/>
    <s v="PROCUREMENT"/>
    <s v="PRODUCTIVITY"/>
    <s v="TCO"/>
    <s v="Key Components &amp; Electronics"/>
    <s v="DXR"/>
    <x v="0"/>
    <s v="IL3"/>
    <n v="0.3"/>
    <x v="303"/>
    <s v="India"/>
    <s v="Catalyst"/>
    <x v="0"/>
    <s v="Pravin Kulkarni"/>
    <x v="1"/>
    <m/>
  </r>
  <r>
    <n v="27157"/>
    <s v="Anil CS"/>
    <s v="STET:Project Vayu - Cluster 2 (VM) + Cables @ Bizlink"/>
    <s v="Phil"/>
    <s v="Srinivas, M.V.D"/>
    <s v="PROCUREMENT"/>
    <s v="LCM"/>
    <s v="CONCEPT"/>
    <s v="Mechanical Parts &amp; Assemblies"/>
    <s v="DXR"/>
    <x v="0"/>
    <s v="IL3"/>
    <n v="0.75"/>
    <x v="223"/>
    <s v="India"/>
    <s v="Catalyst"/>
    <x v="0"/>
    <s v="M.V.D Srinivas"/>
    <x v="1"/>
    <m/>
  </r>
  <r>
    <s v="GXRCQ00085125"/>
    <s v="Vijayanand Purushothaman"/>
    <s v="Selection of new EMS supplier for DXR 4512-131-29521 Stand Geometrie Controller SC100"/>
    <s v="Dan"/>
    <s v="Kulkarni, Pravin"/>
    <s v="N/A"/>
    <s v="LCM"/>
    <s v="SOURCING"/>
    <s v="Key Components &amp; Electronics"/>
    <s v="DXR"/>
    <x v="0"/>
    <s v="IL3"/>
    <n v="0.1"/>
    <x v="303"/>
    <s v="India"/>
    <s v="Catalyst"/>
    <x v="0"/>
    <s v="Pravin Kulkarni"/>
    <x v="1"/>
    <m/>
  </r>
  <r>
    <s v="CT/AMI-LCM1"/>
    <s v="Vijayanand Purushothaman"/>
    <s v="PCBA redesign project (FPGA obso)-CT"/>
    <s v="Dan"/>
    <s v="Shetty, Siddarth Vishwanath"/>
    <s v="N/A"/>
    <s v="LCM"/>
    <s v="CONCEPT"/>
    <s v="Key Components &amp; Electronics"/>
    <s v="CT/AMI"/>
    <x v="0"/>
    <s v="IL0"/>
    <n v="1"/>
    <x v="304"/>
    <s v="India"/>
    <s v="Catalyst"/>
    <x v="0"/>
    <s v="Siddarth Shetty"/>
    <x v="1"/>
    <m/>
  </r>
  <r>
    <s v="GXRCQ00083821"/>
    <s v="Vijayanand Purushothaman"/>
    <s v="Mechanical tolerance mismatch between SkyPlate detector and Inalfa Bucky unit"/>
    <s v="Dan"/>
    <s v="Srinivas, M.V.D"/>
    <s v="N/A"/>
    <s v="LCM"/>
    <s v="SOURCING"/>
    <s v="Mechanical Parts &amp; Assemblies"/>
    <s v="DXR"/>
    <x v="0"/>
    <s v="IL3"/>
    <n v="0.5"/>
    <x v="305"/>
    <s v="India"/>
    <s v="Catalyst"/>
    <x v="0"/>
    <s v="M.V.D Srinivas"/>
    <x v="1"/>
    <m/>
  </r>
  <r>
    <s v="LCM7"/>
    <s v="Niranjan Kumar"/>
    <s v="Hamburg LCM"/>
    <s v="Dan"/>
    <s v="Dharmadhikari, Makarand Pandharinath"/>
    <s v="N/A"/>
    <s v="LCM"/>
    <s v="SOURCING"/>
    <s v="Mechanical Parts &amp; Assemblies"/>
    <s v="CT/AMI"/>
    <x v="0"/>
    <s v="IL3"/>
    <n v="0.4"/>
    <x v="232"/>
    <s v="India"/>
    <s v="Catalyst"/>
    <x v="0"/>
    <s v="Siddarth Shetty"/>
    <x v="1"/>
    <m/>
  </r>
  <r>
    <s v="LCM7"/>
    <s v="Niranjan Kumar"/>
    <s v="Hamburg LCM"/>
    <s v="Dan"/>
    <s v="Shetty, Siddarth Vishwanath"/>
    <s v="N/A"/>
    <s v="LCM"/>
    <s v="SOURCING"/>
    <s v="Mechanical Parts &amp; Assemblies"/>
    <s v="CT/AMI"/>
    <x v="0"/>
    <s v="IL3"/>
    <n v="1"/>
    <x v="306"/>
    <s v="India"/>
    <s v="Catalyst"/>
    <x v="0"/>
    <s v="Siddarth Shetty"/>
    <x v="1"/>
    <m/>
  </r>
  <r>
    <s v="GXRCQ00085123"/>
    <s v="Vijayanand Purushothaman"/>
    <s v="Selection of new EMS supplier for DXR 4512-130-64105 BACKPANEL SC GEOM. CONTR. UNIT"/>
    <s v="Dan"/>
    <s v="Kulkarni, Pravin"/>
    <s v="N/A"/>
    <s v="LCM"/>
    <s v="SOURCING"/>
    <s v="Key Components &amp; Electronics"/>
    <s v="DXR"/>
    <x v="0"/>
    <s v="IL3"/>
    <n v="0.2"/>
    <x v="303"/>
    <s v="India"/>
    <s v="Catalyst"/>
    <x v="0"/>
    <s v="Pravin Kulkarni"/>
    <x v="1"/>
    <m/>
  </r>
  <r>
    <s v="GXRCQ00085121"/>
    <s v="Vijayanand Purushothaman"/>
    <s v="Selection of new EMS supplier for DXR 4512-130-65958 LPL THYRISTOR Schnittstelle SC110/210"/>
    <s v="Dan"/>
    <s v="Kulkarni, Pravin"/>
    <s v="N/A"/>
    <s v="LCM"/>
    <s v="SOURCING"/>
    <s v="Key Components &amp; Electronics"/>
    <s v="DXR"/>
    <x v="0"/>
    <s v="IL3"/>
    <n v="0.2"/>
    <x v="303"/>
    <s v="India"/>
    <s v="Catalyst"/>
    <x v="0"/>
    <s v="Pravin Kulkarni"/>
    <x v="1"/>
    <m/>
  </r>
  <r>
    <s v="GXRCQ00085120"/>
    <s v="Vijayanand Purushothaman"/>
    <s v="Selection of new EMS supplier for DXR 4512-130-64105 PCB RELAY INTERFACE"/>
    <s v="Dan"/>
    <s v="Kulkarni, Pravin"/>
    <s v="N/A"/>
    <s v="LCM"/>
    <s v="SOURCING"/>
    <s v="Key Components &amp; Electronics"/>
    <s v="DXR"/>
    <x v="0"/>
    <s v="IL3"/>
    <n v="0.2"/>
    <x v="303"/>
    <s v="India"/>
    <s v="Catalyst"/>
    <x v="0"/>
    <s v="Pravin Kulkarni"/>
    <x v="1"/>
    <m/>
  </r>
  <r>
    <s v="GXRCQ00091649"/>
    <s v="Vijayanand Purushothaman"/>
    <s v="information on identification for BU is missing"/>
    <s v="Dan"/>
    <s v="Srinivas, M.V.D"/>
    <s v="N/A"/>
    <s v="LCM"/>
    <s v="SOURCING"/>
    <s v="Mechanical Parts &amp; Assemblies"/>
    <s v="DXR"/>
    <x v="0"/>
    <s v="IL3"/>
    <n v="0.5"/>
    <x v="305"/>
    <s v="India"/>
    <s v="Catalyst"/>
    <x v="0"/>
    <s v="M.V.D Srinivas"/>
    <x v="1"/>
    <m/>
  </r>
  <r>
    <s v="GXRCQ00083954"/>
    <s v="Vijayanand Purushothaman"/>
    <s v="Selection of new EMS supplier for DXR: Platine 5 Field Position Modul"/>
    <s v="Dan"/>
    <s v="Kulkarni, Pravin"/>
    <s v="N/A"/>
    <s v="LCM"/>
    <s v="SOURCING"/>
    <s v="Key Components &amp; Electronics"/>
    <s v="DXR"/>
    <x v="0"/>
    <s v="IL3"/>
    <n v="0.5"/>
    <x v="307"/>
    <s v="India"/>
    <s v="Catalyst"/>
    <x v="0"/>
    <s v="Pravin Kulkarni"/>
    <x v="1"/>
    <m/>
  </r>
  <r>
    <s v="LCM10"/>
    <s v="Vijayanand Purushothaman"/>
    <s v="Support for sustaining producivity CQ's in DxR"/>
    <s v="Dan"/>
    <s v="Shetty, Siddarth Vishwanath"/>
    <s v="N/A"/>
    <s v="LCM"/>
    <s v="SOURCING"/>
    <s v="Mechanical Parts &amp; Assemblies"/>
    <s v="DXR"/>
    <x v="0"/>
    <s v="IL3"/>
    <n v="1"/>
    <x v="308"/>
    <s v="India"/>
    <s v="Catalyst"/>
    <x v="0"/>
    <s v="Siddarth Shetty"/>
    <x v="1"/>
    <m/>
  </r>
  <r>
    <s v="GXRCQ00083948"/>
    <s v="Vijayanand Purushothaman"/>
    <s v="Selection of new EMS supplier for DXR: MDU INTERFACE BOARD VLl"/>
    <s v="Dan"/>
    <s v="Kulkarni, Pravin"/>
    <s v="N/A"/>
    <s v="LCM"/>
    <s v="SOURCING"/>
    <s v="Key Components &amp; Electronics"/>
    <s v="DXR"/>
    <x v="0"/>
    <s v="IL3"/>
    <n v="0.5"/>
    <x v="307"/>
    <s v="India"/>
    <s v="Catalyst"/>
    <x v="0"/>
    <s v="Pravin Kulkarni"/>
    <x v="1"/>
    <m/>
  </r>
  <r>
    <s v="GXRCQ00088217"/>
    <s v="Vijayanand Purushothaman"/>
    <s v="Customer feedback: Microswitch connector modified at factory causing short. Resulted in wall stand and safety circuit failure"/>
    <s v="Dan"/>
    <s v="Kulkarni, Pravin"/>
    <s v="N/A"/>
    <s v="LCM"/>
    <s v="SOURCING"/>
    <s v="Key Components &amp; Electronics"/>
    <s v="DXR"/>
    <x v="0"/>
    <s v="IL3"/>
    <n v="0.3"/>
    <x v="309"/>
    <s v="India"/>
    <s v="Catalyst"/>
    <x v="0"/>
    <s v="Pravin Kulkarni"/>
    <x v="1"/>
    <m/>
  </r>
  <r>
    <s v="GXRCQ00087619"/>
    <s v="Vijayanand Purushothaman"/>
    <s v="Inverter Charging board call rates very high in wDR 2.2"/>
    <s v="Dan"/>
    <s v="Kulkarni, Pravin"/>
    <s v="N/A"/>
    <s v="LCM"/>
    <s v="SOURCING"/>
    <s v="Key Components &amp; Electronics"/>
    <s v="DXR"/>
    <x v="0"/>
    <s v="IL5"/>
    <n v="0.2"/>
    <x v="309"/>
    <s v="India"/>
    <s v="Catalyst"/>
    <x v="0"/>
    <s v="Pravin Kulkarni"/>
    <x v="1"/>
    <m/>
  </r>
  <r>
    <s v="LCM10"/>
    <s v="Vijayanand Purushothaman"/>
    <s v="Support for sustaining producivity CQ's in DxR"/>
    <s v="Dan"/>
    <s v="Shetty, Siddarth Vishwanath"/>
    <s v="N/A"/>
    <s v="LCM"/>
    <s v="SOURCING"/>
    <s v="Mechanical Parts &amp; Assemblies"/>
    <s v="DXR"/>
    <x v="0"/>
    <s v="IL3"/>
    <n v="1"/>
    <x v="310"/>
    <s v="India"/>
    <s v="Catalyst"/>
    <x v="0"/>
    <s v="Siddarth Shetty"/>
    <x v="1"/>
    <m/>
  </r>
  <r>
    <s v="GXRCQ00091873"/>
    <s v="Vijayanand Purushothaman"/>
    <s v="989001084201 Rad. Protect. the apron is still needed as a spare part"/>
    <s v="Dan"/>
    <s v="M R, Kiran"/>
    <s v="N/A"/>
    <s v="LCM"/>
    <s v="SOURCING"/>
    <s v="Mechanical Parts &amp; Assemblies"/>
    <s v="DXR"/>
    <x v="0"/>
    <s v="IL3"/>
    <n v="1"/>
    <x v="311"/>
    <s v="India"/>
    <s v="Catalyst"/>
    <x v="0"/>
    <s v="Ansha Simpi"/>
    <x v="1"/>
    <m/>
  </r>
  <r>
    <s v="GXRCQ00084408"/>
    <s v="Vijayanand Purushothaman"/>
    <s v="Service validation for feasibility test"/>
    <s v="Dan"/>
    <s v="Kulkarni, Pravin"/>
    <s v="N/A"/>
    <s v="LCM"/>
    <s v="SOURCING"/>
    <s v="Mechanical Parts &amp; Assemblies"/>
    <s v="DXR"/>
    <x v="0"/>
    <s v="IL3"/>
    <n v="0.4"/>
    <x v="312"/>
    <s v="India"/>
    <s v="Catalyst"/>
    <x v="0"/>
    <s v="Pravin Kulkarni"/>
    <x v="1"/>
    <m/>
  </r>
  <r>
    <s v="GXRCQ00091649"/>
    <s v="Vijayanand Purushothaman"/>
    <s v="information on identification for BU is missing"/>
    <s v="Dan"/>
    <s v="Kulkarni, Pravin"/>
    <s v="N/A"/>
    <s v="LCM"/>
    <s v="SOURCING"/>
    <s v="Mechanical Parts &amp; Assemblies"/>
    <s v="DXR"/>
    <x v="0"/>
    <s v="IL3"/>
    <n v="0.1"/>
    <x v="312"/>
    <s v="India"/>
    <s v="Catalyst"/>
    <x v="0"/>
    <s v="Pravin Kulkarni"/>
    <x v="1"/>
    <m/>
  </r>
  <r>
    <s v="GXRCQ00091979"/>
    <s v="Vijayanand Purushothaman"/>
    <s v="SMCM manual update required for mShield fixation with screws"/>
    <s v="Dan"/>
    <s v="Kulkarni, Pravin"/>
    <s v="N/A"/>
    <s v="LCM"/>
    <s v="SOURCING"/>
    <s v="Mechanical Parts &amp; Assemblies"/>
    <s v="DXR"/>
    <x v="0"/>
    <s v="IL3"/>
    <n v="0.1"/>
    <x v="312"/>
    <s v="India"/>
    <s v="Catalyst"/>
    <x v="0"/>
    <s v="Pravin Kulkarni"/>
    <x v="1"/>
    <m/>
  </r>
  <r>
    <s v="GXRCQ00095140"/>
    <s v="Vijayanand Purushothaman"/>
    <s v="Inserting the stretch-grip in the Wall Bucky top easily damaged the Bucky surface"/>
    <s v="Dan"/>
    <s v="Kulkarni, Pravin"/>
    <s v="N/A"/>
    <s v="LCM"/>
    <s v="SOURCING"/>
    <s v="Mechanical Parts &amp; Assemblies"/>
    <s v="DXR"/>
    <x v="0"/>
    <s v="IL3"/>
    <n v="0.4"/>
    <x v="312"/>
    <s v="India"/>
    <s v="Catalyst"/>
    <x v="0"/>
    <s v="Pravin Kulkarni"/>
    <x v="1"/>
    <m/>
  </r>
  <r>
    <s v="GXRCQ00094724"/>
    <s v="Vijayanand Purushothaman"/>
    <s v="Update 712031 CBOM for latest OSHPD compliant parts as per OSP-0681"/>
    <s v="Dan"/>
    <s v="Kulkarni, Pravin"/>
    <s v="N/A"/>
    <s v="LCM"/>
    <s v="SOURCING"/>
    <s v="Mechanical Parts &amp; Assemblies"/>
    <s v="DXR"/>
    <x v="0"/>
    <s v="IL3"/>
    <n v="0.2"/>
    <x v="313"/>
    <s v="India"/>
    <s v="Catalyst"/>
    <x v="0"/>
    <s v="Pravin Kulkarni"/>
    <x v="1"/>
    <m/>
  </r>
  <r>
    <s v="GXRCQ00095412"/>
    <s v="Vijayanand Purushothaman"/>
    <s v="FCO- The Seismic Failsafe Sets 4512-134-57051 stored in the DXR stock were found incomplete"/>
    <s v="Dan"/>
    <s v="Kulkarni, Pravin"/>
    <s v="N/A"/>
    <s v="LCM"/>
    <s v="SOURCING"/>
    <s v="Medical ODM Markets"/>
    <s v="DXR"/>
    <x v="0"/>
    <s v="IL3"/>
    <n v="0.4"/>
    <x v="313"/>
    <s v="India"/>
    <s v="Catalyst"/>
    <x v="0"/>
    <s v="Pravin Kulkarni"/>
    <x v="1"/>
    <m/>
  </r>
  <r>
    <s v="GXRCQ00095413"/>
    <s v="Vijayanand Purushothaman"/>
    <s v="FCO- The Seismic Failsafe Sets 4512-134-57051 stored in the DXR stock were found incomplete"/>
    <s v="Dan"/>
    <s v="Kulkarni, Pravin"/>
    <s v="N/A"/>
    <s v="LCM"/>
    <s v="SOURCING"/>
    <s v="Medical ODM Markets"/>
    <s v="DXR"/>
    <x v="0"/>
    <s v="IL3"/>
    <n v="0.4"/>
    <x v="313"/>
    <s v="India"/>
    <s v="Catalyst"/>
    <x v="0"/>
    <s v="Pravin Kulkarni"/>
    <x v="1"/>
    <m/>
  </r>
  <r>
    <n v="5382"/>
    <s v="Anil CS"/>
    <s v="STET:Project Vayu - Cluster 1 (CSM telescopic carriage)"/>
    <s v="Phil"/>
    <s v="Kulkarni, Pravin"/>
    <s v="PROCUREMENT"/>
    <s v="LCM"/>
    <s v="CONCEPT"/>
    <s v="Mechanical Parts &amp; Assemblies"/>
    <s v="DXR"/>
    <x v="0"/>
    <s v="IL3"/>
    <n v="1"/>
    <x v="314"/>
    <s v="India"/>
    <s v="Catalyst"/>
    <x v="0"/>
    <s v="Pravin Kulkarni"/>
    <x v="1"/>
    <m/>
  </r>
  <r>
    <s v="GXRCQ00088577"/>
    <s v="Vijayanand Purushothaman"/>
    <s v="Vayu Configuration Management"/>
    <s v="Dan"/>
    <s v="M R, Kiran"/>
    <s v="N/A"/>
    <s v="LCM"/>
    <s v="SOURCING"/>
    <s v="Mechanical Parts &amp; Assemblies"/>
    <s v="DXR"/>
    <x v="0"/>
    <s v="IL3"/>
    <n v="1"/>
    <x v="315"/>
    <s v="India"/>
    <s v="Catalyst"/>
    <x v="0"/>
    <s v="Ansha Simpi"/>
    <x v="1"/>
    <m/>
  </r>
  <r>
    <n v="31290"/>
    <s v="Chris McDaniel"/>
    <s v="COHO Risk Mitigation Plan PCB bare board change from TTM to SCC Asia - Kimball Electronics - Supported by STET"/>
    <s v="Nishant"/>
    <s v="Kalghatgi, Krishnaraj"/>
    <s v="PROCUREMENT"/>
    <s v="PRODUCTIVITY"/>
    <s v="SOURCING"/>
    <s v="Key Components &amp; Electronics"/>
    <s v="EC"/>
    <x v="1"/>
    <s v="IL2"/>
    <n v="0.25"/>
    <x v="235"/>
    <s v="India"/>
    <s v="Catalyst"/>
    <x v="0"/>
    <s v="Krishnaraj Kalghatgi"/>
    <x v="1"/>
    <m/>
  </r>
  <r>
    <s v="D001208366"/>
    <s v="Vijayanand Purushothaman"/>
    <s v="PMDR Obsolescence"/>
    <s v="Dan"/>
    <s v="Purushothaman, Vijayanand"/>
    <s v="PROCUREMENT"/>
    <s v="AOS"/>
    <s v="CONCEPT"/>
    <s v="Key Components &amp; Electronics"/>
    <s v="IGT-S"/>
    <x v="3"/>
    <s v="IL3"/>
    <n v="0.25"/>
    <x v="243"/>
    <s v="India"/>
    <s v="Catalyst"/>
    <x v="0"/>
    <s v="Vijayanand"/>
    <x v="1"/>
    <m/>
  </r>
  <r>
    <s v="L&amp;A"/>
    <s v="N/A"/>
    <s v="MISC. ENTRY TO BALANCE WITH RESOURCE DATABASE"/>
    <s v="All"/>
    <s v="M R, Kiran"/>
    <s v="L&amp;A"/>
    <s v="L&amp;A"/>
    <s v="L&amp;A"/>
    <s v="L&amp;A"/>
    <s v="L&amp;A"/>
    <x v="4"/>
    <s v="L&amp;A"/>
    <n v="1"/>
    <x v="316"/>
    <s v="India"/>
    <s v="Catalyst"/>
    <x v="0"/>
    <s v="Rajat Rodke"/>
    <x v="2"/>
    <m/>
  </r>
  <r>
    <s v="MR00251902"/>
    <s v="Vijayanand Purushothaman"/>
    <s v="Not possible to mount the WBTU antennas. New Bracket design needed for rear ringframe Achieva"/>
    <s v="Dan"/>
    <s v="Dede, Kalyani"/>
    <s v="N/A"/>
    <s v="LCM"/>
    <s v="SOURCING"/>
    <s v="Key Components &amp; Electronics"/>
    <s v="MR"/>
    <x v="0"/>
    <s v="IL5"/>
    <n v="0.1"/>
    <x v="283"/>
    <s v="India"/>
    <s v="Catalyst"/>
    <x v="0"/>
    <s v=" Kalyani Dede"/>
    <x v="1"/>
    <m/>
  </r>
  <r>
    <s v="MR00263401"/>
    <s v="Vijayanand Purushothaman"/>
    <s v="SICR20221209006B-VDL Wientjes-C-22-49-5358 Material for QLT Pen (4522 130 86113) is no longer available"/>
    <s v="Dan"/>
    <s v="Dede, Kalyani"/>
    <s v="N/A"/>
    <s v="LCM"/>
    <s v="SOURCING"/>
    <s v="Mechanical Parts &amp; Assemblies"/>
    <s v="MR"/>
    <x v="0"/>
    <s v="IL3"/>
    <n v="0.25"/>
    <x v="317"/>
    <s v="India"/>
    <s v="Catalyst"/>
    <x v="0"/>
    <s v="Kalyani Dede"/>
    <x v="1"/>
    <m/>
  </r>
  <r>
    <s v="Project Beauford"/>
    <s v="Vijayanand Purushothaman"/>
    <s v="Project Beauford - Reliabity testing and simulation."/>
    <s v="Dan"/>
    <s v="M R, Kiran"/>
    <s v="PROCUREMENT"/>
    <s v="NPI"/>
    <s v="TCO"/>
    <s v="Mechanical Parts &amp; Assemblies"/>
    <s v="MR"/>
    <x v="0"/>
    <s v="IL3"/>
    <n v="0.5"/>
    <x v="318"/>
    <s v="India"/>
    <s v="Catalyst"/>
    <x v="0"/>
    <s v="Kiran MR"/>
    <x v="1"/>
    <m/>
  </r>
  <r>
    <s v="Project Beauford"/>
    <s v="Vijayanand Purushothaman"/>
    <s v="Project Beauford - Reliabity testing and simulation."/>
    <s v="Dan"/>
    <s v="M R, Kiran"/>
    <s v="PROCUREMENT"/>
    <s v="NPI"/>
    <s v="TCO"/>
    <s v="Mechanical Parts &amp; Assemblies"/>
    <s v="MR"/>
    <x v="0"/>
    <s v="IL3"/>
    <n v="0.5"/>
    <x v="319"/>
    <s v="India"/>
    <s v="Catalyst"/>
    <x v="0"/>
    <s v="Kiran MR"/>
    <x v="1"/>
    <m/>
  </r>
  <r>
    <s v="L&amp;A"/>
    <s v="N/A"/>
    <s v="MISC. ENTRY TO BALANCE WITH RESOURCE DATABASE"/>
    <s v="All"/>
    <s v="Purushothaman, Vijayanand"/>
    <s v="L&amp;A"/>
    <s v="L&amp;A"/>
    <s v="L&amp;A"/>
    <s v="L&amp;A"/>
    <s v="L&amp;A"/>
    <x v="4"/>
    <s v="L&amp;A"/>
    <n v="0.1"/>
    <x v="293"/>
    <s v="India"/>
    <s v="Catalyst"/>
    <x v="0"/>
    <s v="Vijayanand"/>
    <x v="1"/>
    <m/>
  </r>
  <r>
    <s v="L&amp;A"/>
    <s v="N/A"/>
    <s v="MISC. ENTRY TO BALANCE WITH RESOURCE DATABASE"/>
    <s v="All"/>
    <s v="PN, Dhanaraj (Dan)"/>
    <s v="L&amp;A"/>
    <s v="L&amp;A"/>
    <s v="L&amp;A"/>
    <s v="L&amp;A"/>
    <s v="L&amp;A"/>
    <x v="4"/>
    <s v="L&amp;A"/>
    <n v="1"/>
    <x v="320"/>
    <s v="India"/>
    <s v="Catalyst"/>
    <x v="0"/>
    <s v="Dhanaraj PN"/>
    <x v="1"/>
    <m/>
  </r>
  <r>
    <s v="L&amp;A"/>
    <s v="N/A"/>
    <s v="MISC. ENTRY TO BALANCE WITH RESOURCE DATABASE"/>
    <s v="All"/>
    <s v="Reddy, Muppidi Samatha"/>
    <s v="L&amp;A"/>
    <s v="L&amp;A"/>
    <s v="L&amp;A"/>
    <s v="L&amp;A"/>
    <s v="L&amp;A"/>
    <x v="4"/>
    <s v="L&amp;A"/>
    <n v="0.7"/>
    <x v="321"/>
    <s v="India"/>
    <s v="Catalyst"/>
    <x v="0"/>
    <s v="Vijayanand"/>
    <x v="1"/>
    <m/>
  </r>
  <r>
    <s v="SRC Feasibility2"/>
    <s v="Kulasekhar (KK)"/>
    <s v="Sieve Cannister SRC Component Repairable EVERFLO"/>
    <s v="Dan"/>
    <s v="Dharmadhikari, Makarand Pandharinath"/>
    <s v="TCO"/>
    <s v="PRODUCTIVITY"/>
    <s v="CONCEPT"/>
    <s v="Mechanical Parts &amp; Assemblies"/>
    <s v="SRC"/>
    <x v="1"/>
    <s v="IL0"/>
    <n v="0.05"/>
    <x v="322"/>
    <s v="India"/>
    <s v="Catalyst"/>
    <x v="0"/>
    <s v="Kiran MR"/>
    <x v="1"/>
    <m/>
  </r>
  <r>
    <n v="37004"/>
    <s v="Kulasekhar (KK)"/>
    <s v="REPAIR SRC Compressor replacement reduction (Plexus)"/>
    <s v="Dan"/>
    <s v="Dharmadhikari, Makarand Pandharinath"/>
    <s v="TCO"/>
    <s v="PRODUCTIVITY"/>
    <s v="TCO"/>
    <s v="Medical ODM Markets"/>
    <s v="SRC"/>
    <x v="1"/>
    <s v="IL1"/>
    <n v="0.3"/>
    <x v="322"/>
    <s v="India"/>
    <s v="Catalyst"/>
    <x v="0"/>
    <s v="Kiran MR"/>
    <x v="1"/>
    <m/>
  </r>
  <r>
    <s v="SRC Feasibility2"/>
    <s v="Kulasekhar (KK)"/>
    <s v="Sieve Cannister SRC Component Repairable EVERFLO"/>
    <s v="Dan"/>
    <s v="Dharmadhikari, Makarand Pandharinath"/>
    <s v="TCO"/>
    <s v="PRODUCTIVITY"/>
    <s v="CONCEPT"/>
    <s v="Mechanical Parts &amp; Assemblies"/>
    <s v="SRC"/>
    <x v="1"/>
    <s v="IL0"/>
    <n v="0.4"/>
    <x v="323"/>
    <s v="India"/>
    <s v="Catalyst"/>
    <x v="0"/>
    <s v="Makarand Pandharinath Dharmadhikari"/>
    <x v="1"/>
    <m/>
  </r>
  <r>
    <s v="MR00260437"/>
    <s v="Vijayanand Purushothaman"/>
    <s v="FRU Flex caddy mattrass damaged in packaging"/>
    <s v="Dan"/>
    <s v="Dede, Kalyani"/>
    <s v="N/A"/>
    <s v="LCM"/>
    <s v="SOURCING"/>
    <s v="Mechanical Parts &amp; Assemblies"/>
    <s v="MR"/>
    <x v="0"/>
    <s v="IL3"/>
    <n v="0.1"/>
    <x v="283"/>
    <s v="India"/>
    <s v="Catalyst"/>
    <x v="0"/>
    <s v=" Kalyani Dede"/>
    <x v="1"/>
    <m/>
  </r>
  <r>
    <s v="MR00259692"/>
    <s v="Vijayanand Purushothaman"/>
    <s v="Patient Support: protection plate does not properly on slab bracket - clone to track Concession"/>
    <s v="Dan"/>
    <s v="Dede, Kalyani"/>
    <s v="N/A"/>
    <s v="LCM"/>
    <s v="SOURCING"/>
    <s v="Mechanical Parts &amp; Assemblies"/>
    <s v="MR"/>
    <x v="0"/>
    <s v="IL3"/>
    <n v="0.1"/>
    <x v="283"/>
    <s v="India"/>
    <s v="Catalyst"/>
    <x v="0"/>
    <s v=" Kalyani Dede"/>
    <x v="1"/>
    <m/>
  </r>
  <r>
    <s v="MR00251678"/>
    <s v="Vijayanand Purushothaman"/>
    <s v="Patient Support: protection plate does not properly on slab bracket"/>
    <s v="Dan"/>
    <s v="Dede, Kalyani"/>
    <s v="N/A"/>
    <s v="LCM"/>
    <s v="SOURCING"/>
    <s v="Mechanical Parts &amp; Assemblies"/>
    <s v="MR"/>
    <x v="0"/>
    <s v="IL3"/>
    <n v="0.1"/>
    <x v="283"/>
    <s v="India"/>
    <s v="Catalyst"/>
    <x v="0"/>
    <s v=" Kalyani Dede"/>
    <x v="1"/>
    <m/>
  </r>
  <r>
    <s v="MR00257517"/>
    <s v="Vijayanand Purushothaman"/>
    <s v="SICR20220901011B-RAFI-LTB need for UIM MO part Top Housing"/>
    <s v="Dan"/>
    <s v="Dede, Kalyani"/>
    <s v="N/A"/>
    <s v="LCM"/>
    <s v="SOURCING"/>
    <s v="Mechanical Parts &amp; Assemblies"/>
    <s v="MR"/>
    <x v="0"/>
    <s v="IL3"/>
    <n v="0.1"/>
    <x v="283"/>
    <s v="India"/>
    <s v="Catalyst"/>
    <x v="0"/>
    <s v=" Kalyani Dede"/>
    <x v="1"/>
    <m/>
  </r>
  <r>
    <n v="26738"/>
    <s v="Vijayanand Purushothaman"/>
    <s v="Harmonized Coloumn via UFS(Nuwa) project (NPI)"/>
    <s v="Dan"/>
    <s v="M R, Kiran"/>
    <s v="PROCUREMENT"/>
    <s v="PRODUCTIVITY"/>
    <s v="CONCEPT"/>
    <s v="Mechanical Parts &amp; Assemblies"/>
    <s v="DXR"/>
    <x v="0"/>
    <s v="IL3"/>
    <n v="1"/>
    <x v="324"/>
    <s v="India"/>
    <s v="Catalyst"/>
    <x v="0"/>
    <s v="Ansha Simpi"/>
    <x v="1"/>
    <m/>
  </r>
  <r>
    <s v="L&amp;A"/>
    <s v="N/A"/>
    <s v="MISC. ENTRY TO BALANCE WITH RESOURCE DATABASE"/>
    <s v="All"/>
    <s v="M R, Kiran"/>
    <s v="L&amp;A"/>
    <s v="L&amp;A"/>
    <s v="L&amp;A"/>
    <s v="L&amp;A"/>
    <s v="L&amp;A"/>
    <x v="4"/>
    <s v="L&amp;A"/>
    <n v="1"/>
    <x v="325"/>
    <s v="India"/>
    <s v="Catalyst"/>
    <x v="0"/>
    <s v="Kiran MR"/>
    <x v="1"/>
    <m/>
  </r>
  <r>
    <s v="MR00254787"/>
    <s v="Vijayanand Purushothaman"/>
    <s v="Air ship packaging - Center fork lift pocket labelling misleading, damage could result"/>
    <s v="Dan"/>
    <s v="Dede, Kalyani"/>
    <s v="N/A"/>
    <s v="LCM"/>
    <s v="SOURCING"/>
    <s v="Mechanical Parts &amp; Assemblies"/>
    <s v="MR"/>
    <x v="0"/>
    <s v="IL3"/>
    <n v="0.1"/>
    <x v="326"/>
    <s v="India"/>
    <s v="Catalyst"/>
    <x v="0"/>
    <s v="Kalyani Dede"/>
    <x v="1"/>
    <m/>
  </r>
  <r>
    <s v="MR00253132"/>
    <s v="Vijayanand Purushothaman"/>
    <s v="Missing 1.2m drop test evidence for battery packaging"/>
    <s v="Dan"/>
    <s v="Dede, Kalyani"/>
    <s v="N/A"/>
    <s v="LCM"/>
    <s v="SOURCING"/>
    <s v="Mechanical Parts &amp; Assemblies"/>
    <s v="MR"/>
    <x v="0"/>
    <s v="IL3"/>
    <n v="0.1"/>
    <x v="326"/>
    <s v="India"/>
    <s v="Catalyst"/>
    <x v="0"/>
    <s v="Kalyani Dede"/>
    <x v="1"/>
    <m/>
  </r>
  <r>
    <s v="MR00253103"/>
    <s v="Vijayanand Purushothaman"/>
    <s v="SCR Rhenus Contract Logistics pack item 4598-016-93941 Phantom set completely in carton and check if item has less than 40%"/>
    <s v="Dan"/>
    <s v="Dede, Kalyani"/>
    <s v="N/A"/>
    <s v="LCM"/>
    <s v="SOURCING"/>
    <s v="Mechanical Parts &amp; Assemblies"/>
    <s v="MR"/>
    <x v="0"/>
    <s v="IL3"/>
    <n v="0.1"/>
    <x v="326"/>
    <s v="India"/>
    <s v="Catalyst"/>
    <x v="0"/>
    <s v="Kalyani Dede"/>
    <x v="1"/>
    <m/>
  </r>
  <r>
    <s v="MR00262168"/>
    <s v="Vijayanand Purushothaman"/>
    <s v="SICR20221117006B-VDL Wientjes-SCR C-22-39-5314 Shelf-life Phantom liquid"/>
    <s v="Dan"/>
    <s v="Dede, Kalyani"/>
    <s v="N/A"/>
    <s v="LCM"/>
    <s v="SOURCING"/>
    <s v="Mechanical Parts &amp; Assemblies"/>
    <s v="MR"/>
    <x v="0"/>
    <s v="IL3"/>
    <n v="0.1"/>
    <x v="327"/>
    <s v="India"/>
    <s v="Catalyst"/>
    <x v="0"/>
    <s v="Kalyani Dede"/>
    <x v="1"/>
    <m/>
  </r>
  <r>
    <s v="MR00261516"/>
    <s v="Vijayanand Purushothaman"/>
    <s v="Disinfection of parts after cleaning in Blue room but not clean inside product"/>
    <s v="Dan"/>
    <s v="Dede, Kalyani"/>
    <s v="N/A"/>
    <s v="LCM"/>
    <s v="SOURCING"/>
    <s v="Mechanical Parts &amp; Assemblies"/>
    <s v="MR"/>
    <x v="0"/>
    <s v="IL3"/>
    <n v="0.1"/>
    <x v="327"/>
    <s v="India"/>
    <s v="Catalyst"/>
    <x v="0"/>
    <s v="Kalyani Dede"/>
    <x v="1"/>
    <m/>
  </r>
  <r>
    <s v="MR00253576"/>
    <s v="Vijayanand Purushothaman"/>
    <s v="Stop&amp;Go Portal is not locked because the sliding cover gets stuck."/>
    <s v="Dan"/>
    <s v="Dede, Kalyani"/>
    <s v="N/A"/>
    <s v="LCM"/>
    <s v="SOURCING"/>
    <s v="Mechanical Parts &amp; Assemblies"/>
    <s v="MR"/>
    <x v="0"/>
    <s v="IL3"/>
    <n v="0.2"/>
    <x v="327"/>
    <s v="India"/>
    <s v="Catalyst"/>
    <x v="0"/>
    <s v="Kalyani Dede"/>
    <x v="1"/>
    <m/>
  </r>
  <r>
    <s v="MR00262386"/>
    <s v="Vijayanand Purushothaman"/>
    <s v="Emergency telephone number not mandatory for UN Liba for UN 3480/UN3481/UN3090/UN3091 - Labels needs to be updated"/>
    <s v="Dan"/>
    <s v="Dede, Kalyani"/>
    <s v="N/A"/>
    <s v="LCM"/>
    <s v="SOURCING"/>
    <s v="Mechanical Parts &amp; Assemblies"/>
    <s v="MR"/>
    <x v="0"/>
    <s v="IL3"/>
    <n v="0.1"/>
    <x v="220"/>
    <s v="India"/>
    <s v="Catalyst"/>
    <x v="0"/>
    <s v="Kalyani Dede"/>
    <x v="1"/>
    <m/>
  </r>
  <r>
    <s v="MR00247435"/>
    <s v="Vijayanand Purushothaman"/>
    <s v="Add &quot;do not stock&quot; label"/>
    <s v="Dan"/>
    <s v="Dede, Kalyani"/>
    <s v="N/A"/>
    <s v="LCM"/>
    <s v="SOURCING"/>
    <s v="Mechanical Parts &amp; Assemblies"/>
    <s v="MR"/>
    <x v="0"/>
    <s v="IL3"/>
    <n v="0.1"/>
    <x v="220"/>
    <s v="India"/>
    <s v="Catalyst"/>
    <x v="0"/>
    <s v="Kalyani Dede"/>
    <x v="1"/>
    <m/>
  </r>
  <r>
    <s v="D001198781"/>
    <s v="Vijayanand Purushothaman"/>
    <s v="Material Obsolescence- Volex De Mexico"/>
    <s v="Dan"/>
    <s v="M R, Kiran"/>
    <s v="N/A"/>
    <s v="LCM"/>
    <s v="SOURCING"/>
    <s v="Mechanical Parts &amp; Assemblies"/>
    <s v="MR"/>
    <x v="0"/>
    <s v="IL0"/>
    <n v="0.05"/>
    <x v="218"/>
    <s v="India"/>
    <s v="Catalyst"/>
    <x v="0"/>
    <s v="Kiran MR"/>
    <x v="1"/>
    <m/>
  </r>
  <r>
    <s v="MR00253597"/>
    <s v="Vijayanand Purushothaman"/>
    <s v="HFO Coils EOL - LTB Stockout"/>
    <s v="Dan"/>
    <s v="Dede, Kalyani"/>
    <s v="N/A"/>
    <s v="LCM"/>
    <s v="SOURCING"/>
    <s v="Key Components &amp; Electronics"/>
    <s v="MR"/>
    <x v="0"/>
    <s v="IL3"/>
    <n v="0.3"/>
    <x v="328"/>
    <s v="India"/>
    <s v="Catalyst"/>
    <x v="0"/>
    <s v="Kalyani Dede"/>
    <x v="1"/>
    <m/>
  </r>
  <r>
    <n v="25076"/>
    <s v="Viraj Bhagwat"/>
    <s v="Apollo Mainboard Redesign (453564673051)"/>
    <s v="Nishant"/>
    <s v="Dharmadhikari, Makarand Pandharinath"/>
    <s v="PROCUREMENT"/>
    <s v="PRODUCTIVITY"/>
    <s v="CONCEPT"/>
    <s v="Key Components &amp; Electronics"/>
    <s v="HPM"/>
    <x v="1"/>
    <s v="IL4"/>
    <n v="0.2"/>
    <x v="239"/>
    <s v="India"/>
    <s v="Catalyst"/>
    <x v="0"/>
    <s v="Makarand Pandharinath Dharmadhikari"/>
    <x v="1"/>
    <m/>
  </r>
  <r>
    <s v="SMRS6"/>
    <s v="Vijayanand Purushothaman"/>
    <s v="Seaway plastics parts localization"/>
    <s v="Dan"/>
    <s v="M R, Kiran"/>
    <s v="PROCUREMENT"/>
    <s v="PRODUCTIVITY"/>
    <s v="SOURCING"/>
    <s v="Mechanical Parts &amp; Assemblies"/>
    <s v="MR"/>
    <x v="0"/>
    <s v="IL0"/>
    <n v="0.5"/>
    <x v="329"/>
    <s v="India"/>
    <s v="Catalyst"/>
    <x v="0"/>
    <s v="Kiran MR"/>
    <x v="1"/>
    <m/>
  </r>
  <r>
    <s v="SMRS25"/>
    <s v="Vijayanand Purushothaman"/>
    <s v="STET:Project Vayu - Cluster 3 (Legacy FRUs)"/>
    <s v="Dan"/>
    <s v="Srinivas, M.V.D"/>
    <s v="N/A"/>
    <s v="AOS"/>
    <s v="SOURCING"/>
    <s v="Mechanical Parts &amp; Assemblies"/>
    <s v="DXR"/>
    <x v="0"/>
    <s v="IL3"/>
    <n v="0.5"/>
    <x v="330"/>
    <s v="India"/>
    <s v="Catalyst"/>
    <x v="0"/>
    <s v="M.V.D Srinivas"/>
    <x v="1"/>
    <m/>
  </r>
  <r>
    <n v="30383"/>
    <s v="Vijayanand Purushothaman"/>
    <s v="Hardware localization from GNV supplier base to india supplier base"/>
    <s v="Dan"/>
    <s v="M R, Kiran"/>
    <s v="PROCUREMENT"/>
    <s v="PRODUCTIVITY"/>
    <s v="SOURCING"/>
    <s v="Mechanical Parts &amp; Assemblies"/>
    <s v="MR"/>
    <x v="0"/>
    <s v="IL3"/>
    <n v="0.5"/>
    <x v="331"/>
    <s v="India"/>
    <s v="Catalyst"/>
    <x v="0"/>
    <s v="Kiran MR"/>
    <x v="1"/>
    <m/>
  </r>
  <r>
    <s v="L&amp;A"/>
    <s v="N/A"/>
    <s v="MISC. ENTRY TO BALANCE WITH RESOURCE DATABASE"/>
    <s v="All"/>
    <s v="Pathak, Neelam Kaustubh"/>
    <s v="L&amp;A"/>
    <s v="L&amp;A"/>
    <s v="L&amp;A"/>
    <s v="L&amp;A"/>
    <s v="L&amp;A"/>
    <x v="4"/>
    <s v="L&amp;A"/>
    <n v="1"/>
    <x v="332"/>
    <s v="India"/>
    <s v="Catalyst"/>
    <x v="0"/>
    <s v="Neelam Kaustubh Pathak"/>
    <x v="1"/>
    <m/>
  </r>
  <r>
    <s v="L&amp;A"/>
    <s v="N/A"/>
    <s v="MISC. ENTRY TO BALANCE WITH RESOURCE DATABASE"/>
    <s v="All"/>
    <s v="Pathak, Neelam Kaustubh"/>
    <s v="L&amp;A"/>
    <s v="L&amp;A"/>
    <s v="L&amp;A"/>
    <s v="L&amp;A"/>
    <s v="L&amp;A"/>
    <x v="4"/>
    <s v="L&amp;A"/>
    <n v="1"/>
    <x v="333"/>
    <s v="India"/>
    <s v="Catalyst"/>
    <x v="0"/>
    <s v="Neelam Kaustubh Pathak"/>
    <x v="1"/>
    <m/>
  </r>
  <r>
    <s v="L&amp;A"/>
    <s v="N/A"/>
    <s v="MISC. ENTRY TO BALANCE WITH RESOURCE DATABASE"/>
    <s v="All"/>
    <s v="Pathak, Neelam Kaustubh"/>
    <s v="L&amp;A"/>
    <s v="L&amp;A"/>
    <s v="L&amp;A"/>
    <s v="L&amp;A"/>
    <s v="L&amp;A"/>
    <x v="4"/>
    <s v="L&amp;A"/>
    <n v="1"/>
    <x v="334"/>
    <s v="India"/>
    <s v="Catalyst"/>
    <x v="0"/>
    <s v="Neelam Kaustubh Pathak"/>
    <x v="1"/>
    <m/>
  </r>
  <r>
    <n v="32257"/>
    <s v="Vijayanand Purushothaman"/>
    <s v="NYX Albany parts transfer"/>
    <s v="Dan"/>
    <s v="M R, Kiran"/>
    <s v="PROCUREMENT"/>
    <s v="PRODUCTIVITY"/>
    <s v="SOURCING"/>
    <s v="Mechanical Parts &amp; Assemblies"/>
    <s v="MR"/>
    <x v="0"/>
    <s v="IL3"/>
    <n v="0.5"/>
    <x v="265"/>
    <s v="India"/>
    <s v="Catalyst"/>
    <x v="0"/>
    <s v="Kiran MR"/>
    <x v="1"/>
    <m/>
  </r>
  <r>
    <n v="27669"/>
    <s v="Pushkar Kulkarni"/>
    <s v="STET : Zenition UI Panel localisation to Keetronics"/>
    <s v="Dan"/>
    <s v="Bhandari, Priyanka"/>
    <s v="PROCUREMENT"/>
    <s v="PRODUCTIVITY"/>
    <s v="SOURCING"/>
    <s v="Medical ODM Markets"/>
    <s v="IGT-MoS"/>
    <x v="3"/>
    <s v="IL3"/>
    <n v="0.8"/>
    <x v="335"/>
    <s v="India"/>
    <s v="Catalyst"/>
    <x v="0"/>
    <s v="Priyanka Bhandari"/>
    <x v="1"/>
    <m/>
  </r>
  <r>
    <s v="CT/AMI-LCM1"/>
    <s v="Vijayanand Purushothaman"/>
    <s v="PCBA redesign project (FPGA obso)-CT"/>
    <s v="Dan"/>
    <s v="Kumar, Niranjan"/>
    <s v="N/A"/>
    <s v="LCM"/>
    <s v="CONCEPT"/>
    <s v="Key Components &amp; Electronics"/>
    <s v="CT/AMI"/>
    <x v="0"/>
    <s v="IL0"/>
    <n v="0.5"/>
    <x v="336"/>
    <s v="India"/>
    <s v="Catalyst"/>
    <x v="0"/>
    <s v="Niranjan Kumar"/>
    <x v="1"/>
    <m/>
  </r>
  <r>
    <s v="CT/AMI-LCM2"/>
    <s v="Vijayanand Purushothaman"/>
    <s v="PCBA redesign project (FPGA obso)-AMI"/>
    <s v="Dan"/>
    <s v="Kumar, Niranjan"/>
    <s v="N/A"/>
    <s v="LCM"/>
    <s v="CONCEPT"/>
    <s v="Key Components &amp; Electronics"/>
    <s v="CT/AMI"/>
    <x v="0"/>
    <s v="IL0"/>
    <n v="0.5"/>
    <x v="336"/>
    <s v="India"/>
    <s v="Catalyst"/>
    <x v="0"/>
    <s v="Niranjan Kumar"/>
    <x v="1"/>
    <m/>
  </r>
  <r>
    <s v="D000971289"/>
    <s v="Vijayanand Purushothaman"/>
    <s v="Change resin material from Lexan 950A 8M8D063 to Lexan 950 8M8D063Availability/shortage of Lexan 950A 8M8D063"/>
    <s v="Dan"/>
    <s v="M R, Kiran"/>
    <s v="N/A"/>
    <s v="LCM"/>
    <s v="SOURCING"/>
    <s v="Mechanical Parts &amp; Assemblies"/>
    <s v="MR"/>
    <x v="0"/>
    <s v="IL5"/>
    <n v="0.3"/>
    <x v="337"/>
    <s v="India"/>
    <s v="Catalyst"/>
    <x v="0"/>
    <s v="Kiran MR"/>
    <x v="1"/>
    <m/>
  </r>
  <r>
    <s v="L&amp;A"/>
    <s v="N/A"/>
    <s v="MISC. ENTRY TO BALANCE WITH RESOURCE DATABASE"/>
    <s v="All"/>
    <s v="Kumar, Niranjan"/>
    <s v="L&amp;A"/>
    <s v="L&amp;A"/>
    <s v="L&amp;A"/>
    <s v="L&amp;A"/>
    <s v="L&amp;A"/>
    <x v="4"/>
    <s v="L&amp;A"/>
    <n v="1"/>
    <x v="338"/>
    <s v="India"/>
    <s v="Catalyst"/>
    <x v="0"/>
    <s v="Niranjan Kumar"/>
    <x v="1"/>
    <m/>
  </r>
  <r>
    <s v="D001102280"/>
    <s v="Vijayanand Purushothaman"/>
    <s v="Change of resin current resin is being discontinued. The current resin is Celcon M25. Celcon M25 is the resin the POM (Polyoxymethylene and Polyacetal) is made of. Celcon M25 is no longer available. There are several plastics available, TECAFORM AH natura"/>
    <s v="Dan"/>
    <s v="M R, Kiran"/>
    <s v="N/A"/>
    <s v="LCM"/>
    <s v="SOURCING"/>
    <s v="Mechanical Parts &amp; Assemblies"/>
    <s v="MR"/>
    <x v="0"/>
    <s v="IL0"/>
    <n v="0.5"/>
    <x v="339"/>
    <s v="India"/>
    <s v="Catalyst"/>
    <x v="0"/>
    <s v="Kiran MR"/>
    <x v="1"/>
    <m/>
  </r>
  <r>
    <s v="MR00253552"/>
    <s v="Vijayanand Purushothaman"/>
    <s v="Material change from Lexan 920A WH6D031"/>
    <s v="Dan"/>
    <s v="M R, Kiran"/>
    <s v="N/A"/>
    <s v="LCM"/>
    <s v="SOURCING"/>
    <s v="Mechanical Parts &amp; Assemblies"/>
    <s v="MR"/>
    <x v="0"/>
    <s v="IL5"/>
    <n v="0.3"/>
    <x v="258"/>
    <s v="India"/>
    <s v="Catalyst"/>
    <x v="0"/>
    <s v="Kiran MR"/>
    <x v="1"/>
    <m/>
  </r>
  <r>
    <s v="L&amp;A"/>
    <s v="N/A"/>
    <s v="MISC. ENTRY TO BALANCE WITH RESOURCE DATABASE"/>
    <s v="All"/>
    <s v="Kumar, Niranjan"/>
    <s v="L&amp;A"/>
    <s v="L&amp;A"/>
    <s v="L&amp;A"/>
    <s v="L&amp;A"/>
    <s v="L&amp;A"/>
    <x v="4"/>
    <s v="L&amp;A"/>
    <n v="1"/>
    <x v="340"/>
    <s v="India"/>
    <s v="Catalyst"/>
    <x v="0"/>
    <s v="Niranjan Kumar"/>
    <x v="1"/>
    <m/>
  </r>
  <r>
    <s v="CT/AMI-LCM2"/>
    <s v="Vijayanand Purushothaman"/>
    <s v="PCBA redesign project (FPGA obso)-AMI"/>
    <s v="Dan"/>
    <s v="Rokde, Rajat"/>
    <s v="N/A"/>
    <s v="LCM"/>
    <s v="CONCEPT"/>
    <s v="Key Components &amp; Electronics"/>
    <s v="CT/AMI"/>
    <x v="0"/>
    <s v="IL0"/>
    <n v="1"/>
    <x v="341"/>
    <s v="India"/>
    <s v="Catalyst"/>
    <x v="0"/>
    <s v="Manish Ram Saha"/>
    <x v="1"/>
    <m/>
  </r>
  <r>
    <n v="27653"/>
    <s v="Pushkar Kulkarni"/>
    <s v="STET : Localisation - Cables purcahsed from Leoni &amp; Volex to be re-source including core cable (MoS"/>
    <s v="Dan"/>
    <s v="Sharma, Manish"/>
    <s v="PROCUREMENT"/>
    <s v="PRODUCTIVITY"/>
    <s v="SOURCING"/>
    <s v="Key Components &amp; Electronics"/>
    <s v="IGT-MoS"/>
    <x v="3"/>
    <s v="IL2"/>
    <n v="0.4"/>
    <x v="256"/>
    <s v="India"/>
    <s v="Catalyst"/>
    <x v="0"/>
    <s v="Manish Sharma"/>
    <x v="1"/>
    <m/>
  </r>
  <r>
    <s v="L&amp;A"/>
    <s v="N/A"/>
    <s v="MISC. ENTRY TO BALANCE WITH RESOURCE DATABASE"/>
    <s v="All"/>
    <s v="M R, Kiran"/>
    <s v="L&amp;A"/>
    <s v="L&amp;A"/>
    <s v="L&amp;A"/>
    <s v="L&amp;A"/>
    <s v="L&amp;A"/>
    <x v="4"/>
    <s v="L&amp;A"/>
    <n v="1"/>
    <x v="342"/>
    <s v="India"/>
    <s v="Catalyst"/>
    <x v="0"/>
    <s v="Kiran MR"/>
    <x v="1"/>
    <m/>
  </r>
  <r>
    <s v="L&amp;A"/>
    <s v="N/A"/>
    <s v="MISC. ENTRY TO BALANCE WITH RESOURCE DATABASE"/>
    <s v="All"/>
    <s v="M R, Kiran"/>
    <s v="L&amp;A"/>
    <s v="L&amp;A"/>
    <s v="L&amp;A"/>
    <s v="L&amp;A"/>
    <s v="L&amp;A"/>
    <x v="4"/>
    <s v="L&amp;A"/>
    <n v="1"/>
    <x v="343"/>
    <s v="India"/>
    <s v="Catalyst"/>
    <x v="0"/>
    <s v="Kiran MR"/>
    <x v="1"/>
    <m/>
  </r>
  <r>
    <s v="L&amp;A"/>
    <s v="N/A"/>
    <s v="MISC. ENTRY TO BALANCE WITH RESOURCE DATABASE"/>
    <s v="All"/>
    <s v="M R, Kiran"/>
    <s v="L&amp;A"/>
    <s v="L&amp;A"/>
    <s v="L&amp;A"/>
    <s v="L&amp;A"/>
    <s v="L&amp;A"/>
    <x v="4"/>
    <s v="L&amp;A"/>
    <n v="1"/>
    <x v="344"/>
    <s v="India"/>
    <s v="Catalyst"/>
    <x v="0"/>
    <s v="Kiran MR"/>
    <x v="1"/>
    <m/>
  </r>
  <r>
    <s v="L&amp;A"/>
    <s v="N/A"/>
    <s v="MISC. ENTRY TO BALANCE WITH RESOURCE DATABASE"/>
    <s v="All"/>
    <s v="PN, Dhanaraj (Dan)"/>
    <s v="L&amp;A"/>
    <s v="L&amp;A"/>
    <s v="L&amp;A"/>
    <s v="L&amp;A"/>
    <s v="L&amp;A"/>
    <x v="4"/>
    <s v="L&amp;A"/>
    <n v="1"/>
    <x v="345"/>
    <s v="India"/>
    <s v="Catalyst"/>
    <x v="0"/>
    <s v="Ajay Kumar Singh Tomar"/>
    <x v="1"/>
    <m/>
  </r>
  <r>
    <s v="CT/AMI-LCM1"/>
    <s v="Vijayanand Purushothaman"/>
    <s v="PCBA redesign project (FPGA obso)-CT"/>
    <s v="Dan"/>
    <s v="Saha, Manish Ram"/>
    <s v="N/A"/>
    <s v="LCM"/>
    <s v="CONCEPT"/>
    <s v="Key Components &amp; Electronics"/>
    <s v="CT/AMI"/>
    <x v="0"/>
    <s v="IL0"/>
    <n v="1"/>
    <x v="346"/>
    <s v="India"/>
    <s v="Catalyst"/>
    <x v="0"/>
    <s v="Manish Ram Saha"/>
    <x v="1"/>
    <m/>
  </r>
  <r>
    <s v="CT/AMI-LCM2"/>
    <s v="Vijayanand Purushothaman"/>
    <s v="PCBA redesign project (FPGA obso)-AMI"/>
    <s v="Dan"/>
    <s v="Saha, Manish Ram"/>
    <s v="N/A"/>
    <s v="LCM"/>
    <s v="CONCEPT"/>
    <s v="Key Components &amp; Electronics"/>
    <s v="CT/AMI"/>
    <x v="0"/>
    <s v="IL0"/>
    <n v="1"/>
    <x v="347"/>
    <s v="India"/>
    <s v="Catalyst"/>
    <x v="0"/>
    <s v="Manish Ram Saha"/>
    <x v="1"/>
    <m/>
  </r>
  <r>
    <s v="CT/AMI-LCM2"/>
    <s v="Vijayanand Purushothaman"/>
    <s v="PCBA redesign project (FPGA obso)-AMI"/>
    <s v="Dan"/>
    <s v="Saha, Manish Ram"/>
    <s v="N/A"/>
    <s v="LCM"/>
    <s v="CONCEPT"/>
    <s v="Key Components &amp; Electronics"/>
    <s v="CT/AMI"/>
    <x v="0"/>
    <s v="IL0"/>
    <n v="0.5"/>
    <x v="348"/>
    <s v="India"/>
    <s v="Catalyst"/>
    <x v="0"/>
    <s v="Manish Ram Saha"/>
    <x v="1"/>
    <m/>
  </r>
  <r>
    <s v="CT/AMI-LCM2"/>
    <s v="Vijayanand Purushothaman"/>
    <s v="PCBA redesign project (FPGA obso)-AMI"/>
    <s v="Dan"/>
    <s v="Saha, Manish Ram"/>
    <s v="N/A"/>
    <s v="LCM"/>
    <s v="CONCEPT"/>
    <s v="Key Components &amp; Electronics"/>
    <s v="CT/AMI"/>
    <x v="0"/>
    <s v="IL0"/>
    <n v="1"/>
    <x v="349"/>
    <s v="India"/>
    <s v="Catalyst"/>
    <x v="0"/>
    <s v="Manish Ram Saha"/>
    <x v="1"/>
    <m/>
  </r>
  <r>
    <s v="D001180487"/>
    <s v="Vijayanand Purushothaman"/>
    <s v="Lexan 925 8T5D085 Resin obsolete"/>
    <s v="Dan"/>
    <s v="M R, Kiran"/>
    <s v="N/A"/>
    <s v="LCM"/>
    <s v="SOURCING"/>
    <s v="Mechanical Parts &amp; Assemblies"/>
    <s v="MR"/>
    <x v="0"/>
    <s v="IL3"/>
    <n v="0.4"/>
    <x v="339"/>
    <s v="India"/>
    <s v="Catalyst"/>
    <x v="0"/>
    <s v="Kiran MR"/>
    <x v="1"/>
    <m/>
  </r>
  <r>
    <s v="SMRS6"/>
    <s v="Vijayanand Purushothaman"/>
    <s v="Seaway plastics parts localization"/>
    <s v="Dan"/>
    <s v="M R, Kiran"/>
    <s v="PROCUREMENT"/>
    <s v="PRODUCTIVITY"/>
    <s v="SOURCING"/>
    <s v="Mechanical Parts &amp; Assemblies"/>
    <s v="MR"/>
    <x v="0"/>
    <s v="IL0"/>
    <n v="0.1"/>
    <x v="339"/>
    <s v="India"/>
    <s v="Catalyst"/>
    <x v="0"/>
    <s v="Kiran MR"/>
    <x v="1"/>
    <m/>
  </r>
  <r>
    <s v="LCM7"/>
    <s v="Niranjan Kumar"/>
    <s v="Hamburg LCM"/>
    <s v="Dan"/>
    <s v="Sharma, Manish"/>
    <s v="N/A"/>
    <s v="LCM"/>
    <s v="SOURCING"/>
    <s v="Mechanical Parts &amp; Assemblies"/>
    <s v="CT/AMI"/>
    <x v="0"/>
    <s v="IL3"/>
    <n v="0.7"/>
    <x v="350"/>
    <s v="India"/>
    <s v="Catalyst"/>
    <x v="0"/>
    <s v="Manish Sharma"/>
    <x v="1"/>
    <m/>
  </r>
  <r>
    <s v="COMP_ENG6"/>
    <s v="Vijayanand Purushothaman"/>
    <s v="PCBA Component Life Cycle Analysis"/>
    <s v="Dan"/>
    <s v="Sharma, Manish"/>
    <s v="N/A"/>
    <s v="LCM"/>
    <s v="CONCEPT"/>
    <s v="Key Components &amp; Electronics"/>
    <s v="HPM"/>
    <x v="1"/>
    <s v="IL3"/>
    <n v="0.3"/>
    <x v="351"/>
    <s v="India"/>
    <s v="Catalyst"/>
    <x v="0"/>
    <s v="Manish Sharma"/>
    <x v="1"/>
    <m/>
  </r>
  <r>
    <s v="D001267689"/>
    <s v="Vijayanand Purushothaman"/>
    <s v="We need GHS icons on the labels of the Marcol Blend and Spectrasyn 4, asap. 12NC list below."/>
    <s v="Dan"/>
    <s v="M R, Kiran"/>
    <s v="N/A"/>
    <s v="LCM"/>
    <s v="SOURCING"/>
    <s v="Mechanical Parts &amp; Assemblies"/>
    <s v="MR"/>
    <x v="0"/>
    <s v="IL0"/>
    <n v="0.1"/>
    <x v="337"/>
    <s v="India"/>
    <s v="Catalyst"/>
    <x v="0"/>
    <s v="Kiran MR"/>
    <x v="1"/>
    <m/>
  </r>
  <r>
    <s v="CT/AMI-LCM2"/>
    <s v="Vijayanand Purushothaman"/>
    <s v="PCBA redesign project (FPGA obso)-AMI"/>
    <s v="Dan"/>
    <s v="Sharma, Manish"/>
    <s v="N/A"/>
    <s v="LCM"/>
    <s v="CONCEPT"/>
    <s v="Key Components &amp; Electronics"/>
    <s v="CT/AMI"/>
    <x v="0"/>
    <s v="IL0"/>
    <n v="0.6"/>
    <x v="352"/>
    <s v="India"/>
    <s v="Catalyst"/>
    <x v="0"/>
    <s v="Manish Sharma"/>
    <x v="1"/>
    <m/>
  </r>
  <r>
    <n v="32855"/>
    <s v="Vijayanand Purushothaman"/>
    <s v="STET IGT-MOS CS- Diagnostic tool for MVS Cable scrap reduction"/>
    <s v="Dan"/>
    <s v="Bhandari, Priyanka"/>
    <s v="PROCUREMENT"/>
    <s v="PRODUCTIVITY"/>
    <s v="CONCEPT"/>
    <s v="Key Components &amp; Electronics"/>
    <s v="IGT-MoS"/>
    <x v="3"/>
    <s v="IL2"/>
    <n v="0.8"/>
    <x v="226"/>
    <s v="India"/>
    <s v="Catalyst"/>
    <x v="0"/>
    <s v="Priyanka Bhandari"/>
    <x v="1"/>
    <m/>
  </r>
  <r>
    <s v="D001267654"/>
    <s v="Vijayanand Purushothaman"/>
    <s v="Supplier will obsolete PN 4535-301-33131, and they proposed 775-1P (NC 453530133141)"/>
    <s v="Dan"/>
    <s v="M R, Kiran"/>
    <s v="N/A"/>
    <s v="LCM"/>
    <s v="SOURCING"/>
    <s v="Mechanical Parts &amp; Assemblies"/>
    <s v="MR"/>
    <x v="0"/>
    <s v="IL0"/>
    <n v="0.05"/>
    <x v="218"/>
    <s v="India"/>
    <s v="Catalyst"/>
    <x v="0"/>
    <s v="Kiran MR"/>
    <x v="1"/>
    <m/>
  </r>
  <r>
    <s v="D001288783"/>
    <s v="Vijayanand Purushothaman"/>
    <s v="The following raw materials PN: 108422, 108624 and 108423 are obsolete by the manufacturer"/>
    <s v="Dan"/>
    <s v="M R, Kiran"/>
    <s v="N/A"/>
    <s v="LCM"/>
    <s v="SOURCING"/>
    <s v="Mechanical Parts &amp; Assemblies"/>
    <s v="MR"/>
    <x v="0"/>
    <s v="IL0"/>
    <n v="0.1"/>
    <x v="258"/>
    <s v="India"/>
    <s v="Catalyst"/>
    <x v="0"/>
    <s v="Kiran MR"/>
    <x v="1"/>
    <m/>
  </r>
  <r>
    <s v="D001150811"/>
    <s v="Vijayanand Purushothaman"/>
    <s v="Change screen location to standardize with two other coil foam"/>
    <s v="Dan"/>
    <s v="M R, Kiran"/>
    <s v="N/A"/>
    <s v="LCM"/>
    <s v="SOURCING"/>
    <s v="Mechanical Parts &amp; Assemblies"/>
    <s v="MR"/>
    <x v="0"/>
    <s v="IL3"/>
    <n v="0.1"/>
    <x v="258"/>
    <s v="India"/>
    <s v="Catalyst"/>
    <x v="0"/>
    <s v="Kiran MR"/>
    <x v="1"/>
    <m/>
  </r>
  <r>
    <s v="MR00256295"/>
    <s v="Vijayanand Purushothaman"/>
    <s v="452215000111 Wrench 17 is not available anymore"/>
    <s v="Dan"/>
    <s v="Kar, Abhinandan"/>
    <s v="N/A"/>
    <s v="LCM"/>
    <s v="SOURCING"/>
    <s v="Mechanical Parts &amp; Assemblies"/>
    <s v="MR"/>
    <x v="0"/>
    <s v="IL3"/>
    <n v="1"/>
    <x v="353"/>
    <s v="India"/>
    <s v="Catalyst"/>
    <x v="0"/>
    <s v="Abhinandan Kar"/>
    <x v="1"/>
    <m/>
  </r>
  <r>
    <s v="MR00253776"/>
    <s v="Vijayanand Purushothaman"/>
    <s v="12 Nc in DMR named are not the 12 NC that are used"/>
    <s v="Dan"/>
    <s v="Kar, Abhinandan"/>
    <s v="N/A"/>
    <s v="LCM"/>
    <s v="SOURCING"/>
    <s v="Mechanical Parts &amp; Assemblies"/>
    <s v="MR"/>
    <x v="0"/>
    <s v="IL3"/>
    <n v="1"/>
    <x v="354"/>
    <s v="India"/>
    <s v="Catalyst"/>
    <x v="0"/>
    <s v="Abhinandan Kar"/>
    <x v="1"/>
    <m/>
  </r>
  <r>
    <s v="EC_SUST"/>
    <s v="Charles Moses"/>
    <s v="EC Sustaining Projects"/>
    <s v="Nishant"/>
    <s v="Saha, Manish Ram"/>
    <s v="N/A"/>
    <s v="LCM"/>
    <s v="SOURCING"/>
    <s v="Mechanical Parts &amp; Assemblies"/>
    <s v="EC"/>
    <x v="1"/>
    <s v="IL3"/>
    <n v="1"/>
    <x v="355"/>
    <s v="India"/>
    <s v="Catalyst"/>
    <x v="0"/>
    <s v="Manish Ram Saha"/>
    <x v="1"/>
    <m/>
  </r>
  <r>
    <s v="CR160387"/>
    <s v="Vijayanand Purushothaman"/>
    <s v="CR160387 - Oscillator Obsolescence in USB-BOB PCBA"/>
    <s v="Dan"/>
    <s v="Bhandari, Priyanka"/>
    <s v="N/A"/>
    <s v="LCM"/>
    <s v="SOURCING"/>
    <s v="Key Components &amp; Electronics"/>
    <s v="IGT-MoS"/>
    <x v="3"/>
    <s v="IL3"/>
    <n v="0.1"/>
    <x v="248"/>
    <s v="India"/>
    <s v="Catalyst"/>
    <x v="0"/>
    <s v="Priyanka Bhandari"/>
    <x v="1"/>
    <m/>
  </r>
  <r>
    <s v="STET_IGTD000_65"/>
    <s v="Vijayanand Purushothaman"/>
    <s v="2nd Source IntraSight Power Supplies"/>
    <s v="Dan"/>
    <s v="Sharma, Manish"/>
    <s v="PROCUREMENT"/>
    <s v="PRODUCTIVITY"/>
    <s v="SOURCING"/>
    <s v="Key Components &amp; Electronics"/>
    <s v="IGT-D"/>
    <x v="3"/>
    <s v="IL1"/>
    <n v="0.1"/>
    <x v="254"/>
    <s v="India"/>
    <s v="Catalyst"/>
    <x v="0"/>
    <s v="Manish Sharma"/>
    <x v="1"/>
    <m/>
  </r>
  <r>
    <s v="MR00257274"/>
    <s v="Vijayanand Purushothaman"/>
    <s v="Implement VIP for 459800969781 SYN. BODY COIL 1.5T ODU WITH SLEEVE and related DMR corrections for SHCG coils"/>
    <s v="Dan"/>
    <s v="Kar, Abhinandan"/>
    <s v="N/A"/>
    <s v="LCM"/>
    <s v="SOURCING"/>
    <s v="Mechanical Parts &amp; Assemblies"/>
    <s v="MR"/>
    <x v="0"/>
    <s v="IL3"/>
    <n v="1"/>
    <x v="356"/>
    <s v="India"/>
    <s v="Catalyst"/>
    <x v="0"/>
    <s v="Abhinandan Kar"/>
    <x v="1"/>
    <m/>
  </r>
  <r>
    <s v="CT/AMI-LCM2"/>
    <s v="Vijayanand Purushothaman"/>
    <s v="PCBA redesign project (FPGA obso)-AMI"/>
    <s v="Dan"/>
    <s v="Bhandari, Priyanka"/>
    <s v="N/A"/>
    <s v="LCM"/>
    <s v="CONCEPT"/>
    <s v="Key Components &amp; Electronics"/>
    <s v="CT/AMI"/>
    <x v="0"/>
    <s v="IL0"/>
    <n v="1"/>
    <x v="357"/>
    <s v="India"/>
    <s v="Catalyst"/>
    <x v="0"/>
    <s v="Priyanka Bhandari"/>
    <x v="1"/>
    <m/>
  </r>
  <r>
    <s v="MR00253609"/>
    <s v="Vijayanand Purushothaman"/>
    <s v="Balun plating Supplier change"/>
    <s v="Dan"/>
    <s v="Kar, Abhinandan"/>
    <s v="N/A"/>
    <s v="LCM"/>
    <s v="SOURCING"/>
    <s v="Mechanical Parts &amp; Assemblies"/>
    <s v="MR"/>
    <x v="0"/>
    <s v="IL2"/>
    <n v="0.05"/>
    <x v="216"/>
    <s v="India"/>
    <s v="Catalyst"/>
    <x v="0"/>
    <s v="Abhinandan Kar"/>
    <x v="1"/>
    <m/>
  </r>
  <r>
    <n v="26317"/>
    <s v="Fred Cai"/>
    <s v="BD-Introduce local source in China for C-arc &amp;Sleeve (unit price reduction) (PCI-2020-008a)"/>
    <s v="Phil"/>
    <s v="M R, Kiran"/>
    <s v="PROCUREMENT"/>
    <s v="PRODUCTIVITY"/>
    <s v="SOURCING"/>
    <s v="Mechanical Parts &amp; Assemblies"/>
    <s v="IGT-S"/>
    <x v="3"/>
    <s v="IL3"/>
    <n v="0.9"/>
    <x v="358"/>
    <s v="India"/>
    <s v="Catalyst"/>
    <x v="0"/>
    <s v="Kiran MR"/>
    <x v="1"/>
    <m/>
  </r>
  <r>
    <s v="L&amp;A"/>
    <s v="N/A"/>
    <s v="MISC. ENTRY TO BALANCE WITH RESOURCE DATABASE"/>
    <s v="All"/>
    <s v="Kumar, Niranjan"/>
    <s v="L&amp;A"/>
    <s v="L&amp;A"/>
    <s v="L&amp;A"/>
    <s v="L&amp;A"/>
    <s v="L&amp;A"/>
    <x v="4"/>
    <s v="L&amp;A"/>
    <n v="1"/>
    <x v="359"/>
    <s v="India"/>
    <s v="Catalyst"/>
    <x v="0"/>
    <s v="Niranjan Kumar"/>
    <x v="1"/>
    <m/>
  </r>
  <r>
    <s v="L&amp;A"/>
    <s v="N/A"/>
    <s v="MISC. ENTRY TO BALANCE WITH RESOURCE DATABASE"/>
    <s v="All"/>
    <s v="Kumar, Niranjan"/>
    <s v="L&amp;A"/>
    <s v="L&amp;A"/>
    <s v="L&amp;A"/>
    <s v="L&amp;A"/>
    <s v="L&amp;A"/>
    <x v="4"/>
    <s v="L&amp;A"/>
    <n v="1"/>
    <x v="360"/>
    <s v="India"/>
    <s v="Catalyst"/>
    <x v="0"/>
    <s v="Niranjan Kumar"/>
    <x v="1"/>
    <m/>
  </r>
  <r>
    <s v="L&amp;A"/>
    <s v="N/A"/>
    <s v="MISC. ENTRY TO BALANCE WITH RESOURCE DATABASE"/>
    <s v="All"/>
    <s v="Kumar, Niranjan"/>
    <s v="L&amp;A"/>
    <s v="L&amp;A"/>
    <s v="L&amp;A"/>
    <s v="L&amp;A"/>
    <s v="L&amp;A"/>
    <x v="4"/>
    <s v="L&amp;A"/>
    <n v="1"/>
    <x v="361"/>
    <s v="India"/>
    <s v="Catalyst"/>
    <x v="0"/>
    <s v="Niranjan Kumar"/>
    <x v="1"/>
    <m/>
  </r>
  <r>
    <s v="L&amp;A"/>
    <s v="N/A"/>
    <s v="MISC. ENTRY TO BALANCE WITH RESOURCE DATABASE"/>
    <s v="All"/>
    <s v="Kumar, Niranjan"/>
    <s v="L&amp;A"/>
    <s v="L&amp;A"/>
    <s v="L&amp;A"/>
    <s v="L&amp;A"/>
    <s v="L&amp;A"/>
    <x v="4"/>
    <s v="L&amp;A"/>
    <n v="1"/>
    <x v="362"/>
    <s v="India"/>
    <s v="Catalyst"/>
    <x v="0"/>
    <s v="Niranjan Kumar"/>
    <x v="1"/>
    <m/>
  </r>
  <r>
    <s v="HPMLCM002"/>
    <s v="Viraj Bhagwat"/>
    <s v="Component engg. Requests"/>
    <s v="Nishant"/>
    <s v="Saha, Manish Ram"/>
    <s v="N/A"/>
    <s v="LCM"/>
    <s v="SOURCING"/>
    <s v="Mechanical Parts &amp; Assemblies"/>
    <s v="HPM"/>
    <x v="1"/>
    <s v="IL3"/>
    <n v="0.5"/>
    <x v="363"/>
    <s v="India"/>
    <s v="Catalyst"/>
    <x v="0"/>
    <s v="Manish Ram Saha"/>
    <x v="1"/>
    <m/>
  </r>
  <r>
    <s v="CT/AMI-LCM2"/>
    <s v="Vijayanand Purushothaman"/>
    <s v="PCBA redesign project (FPGA obso)-AMI"/>
    <s v="Dan"/>
    <s v="Saha, Manish Ram"/>
    <s v="N/A"/>
    <s v="LCM"/>
    <s v="CONCEPT"/>
    <s v="Key Components &amp; Electronics"/>
    <s v="CT/AMI"/>
    <x v="0"/>
    <s v="IL0"/>
    <n v="0.5"/>
    <x v="363"/>
    <s v="India"/>
    <s v="Catalyst"/>
    <x v="0"/>
    <s v="Manish Ram Saha"/>
    <x v="1"/>
    <m/>
  </r>
  <r>
    <s v="CT/AMI-LCM2"/>
    <s v="Vijayanand Purushothaman"/>
    <s v="PCBA redesign project (FPGA obso)-AMI"/>
    <s v="Dan"/>
    <s v="Saha, Manish Ram"/>
    <s v="N/A"/>
    <s v="LCM"/>
    <s v="CONCEPT"/>
    <s v="Key Components &amp; Electronics"/>
    <s v="CT/AMI"/>
    <x v="0"/>
    <s v="IL0"/>
    <n v="1"/>
    <x v="364"/>
    <s v="India"/>
    <s v="Catalyst"/>
    <x v="0"/>
    <s v="Manish Ram Saha"/>
    <x v="1"/>
    <m/>
  </r>
  <r>
    <s v="CT/AMI-LCM2"/>
    <s v="Vijayanand Purushothaman"/>
    <s v="PCBA redesign project (FPGA obso)-AMI"/>
    <s v="Dan"/>
    <s v="Rokde, Rajat"/>
    <s v="N/A"/>
    <s v="LCM"/>
    <s v="CONCEPT"/>
    <s v="Key Components &amp; Electronics"/>
    <s v="CT/AMI"/>
    <x v="0"/>
    <s v="IL0"/>
    <n v="1"/>
    <x v="365"/>
    <s v="India"/>
    <s v="Catalyst"/>
    <x v="0"/>
    <s v="Rajat Rokde"/>
    <x v="1"/>
    <m/>
  </r>
  <r>
    <s v="L&amp;A"/>
    <s v="N/A"/>
    <s v="MISC. ENTRY TO BALANCE WITH RESOURCE DATABASE"/>
    <s v="All"/>
    <s v="PN, Dhanaraj (Dan)"/>
    <s v="L&amp;A"/>
    <s v="L&amp;A"/>
    <s v="L&amp;A"/>
    <s v="L&amp;A"/>
    <s v="L&amp;A"/>
    <x v="4"/>
    <s v="L&amp;A"/>
    <n v="1"/>
    <x v="366"/>
    <s v="Netherlands"/>
    <s v="Catalyst"/>
    <x v="0"/>
    <s v="Dhanaraj PN"/>
    <x v="1"/>
    <m/>
  </r>
  <r>
    <s v="L&amp;A"/>
    <s v="N/A"/>
    <s v="MISC. ENTRY TO BALANCE WITH RESOURCE DATABASE"/>
    <s v="All"/>
    <s v="PN, Dhanaraj (Dan)"/>
    <s v="L&amp;A"/>
    <s v="L&amp;A"/>
    <s v="L&amp;A"/>
    <s v="L&amp;A"/>
    <s v="L&amp;A"/>
    <x v="4"/>
    <s v="L&amp;A"/>
    <n v="1"/>
    <x v="367"/>
    <s v="USA"/>
    <s v="Catalyst"/>
    <x v="0"/>
    <s v="Dhanaraj PN"/>
    <x v="1"/>
    <m/>
  </r>
  <r>
    <s v="L&amp;A"/>
    <s v="N/A"/>
    <s v="MISC. ENTRY TO BALANCE WITH RESOURCE DATABASE"/>
    <s v="All"/>
    <s v="PN, Dhanaraj (Dan)"/>
    <s v="L&amp;A"/>
    <s v="L&amp;A"/>
    <s v="L&amp;A"/>
    <s v="L&amp;A"/>
    <s v="L&amp;A"/>
    <x v="4"/>
    <s v="L&amp;A"/>
    <n v="1"/>
    <x v="368"/>
    <s v="India"/>
    <s v="Catalyst"/>
    <x v="0"/>
    <s v="Dhanaraj PN"/>
    <x v="1"/>
    <m/>
  </r>
  <r>
    <s v="ART-India"/>
    <s v="Vijayanand Purushothaman"/>
    <s v="LCM Support for India"/>
    <s v="Dan"/>
    <s v="Patil, Rajaram"/>
    <s v="N/A"/>
    <s v="LCM"/>
    <s v="SOURCING"/>
    <s v="Mechanical Parts &amp; Assemblies"/>
    <s v="IGT-S"/>
    <x v="3"/>
    <s v="IL3"/>
    <n v="1"/>
    <x v="369"/>
    <s v="India"/>
    <s v="Catalyst"/>
    <x v="0"/>
    <s v="Ansha Simpi"/>
    <x v="1"/>
    <m/>
  </r>
  <r>
    <s v="CR0111148"/>
    <s v="Charles Moses"/>
    <s v="Blaze Supplier Packaging Review"/>
    <s v="Nishant"/>
    <s v="Parab, Gourav Krishna"/>
    <s v="N/A"/>
    <s v="LCM"/>
    <s v="SOURCING"/>
    <s v="Mechanical Parts &amp; Assemblies"/>
    <s v="US"/>
    <x v="0"/>
    <s v="IL3"/>
    <n v="0.1"/>
    <x v="257"/>
    <s v="India"/>
    <s v="Catalyst"/>
    <x v="0"/>
    <s v="Gourav Krishna Parab"/>
    <x v="1"/>
    <m/>
  </r>
  <r>
    <s v="L&amp;A"/>
    <s v="N/A"/>
    <s v="MISC. ENTRY TO BALANCE WITH RESOURCE DATABASE"/>
    <s v="All"/>
    <s v="Dabra, Vanish"/>
    <s v="L&amp;A"/>
    <s v="L&amp;A"/>
    <s v="L&amp;A"/>
    <s v="L&amp;A"/>
    <s v="L&amp;A"/>
    <x v="4"/>
    <s v="L&amp;A"/>
    <n v="1"/>
    <x v="370"/>
    <s v="India"/>
    <s v="Catalyst"/>
    <x v="0"/>
    <s v="Vanish Dabra"/>
    <x v="4"/>
    <m/>
  </r>
  <r>
    <s v="CR111824"/>
    <s v="Vijayanand Purushothaman"/>
    <s v="Yellow Label Cleanup"/>
    <s v="Dan"/>
    <s v="Dharmadhikari, Makarand Pandharinath"/>
    <s v="N/A"/>
    <s v="LCM"/>
    <s v="SOURCING"/>
    <s v="Mechanical Parts &amp; Assemblies"/>
    <s v="CT/AMI"/>
    <x v="0"/>
    <s v="IL1"/>
    <n v="0.1"/>
    <x v="230"/>
    <s v="India"/>
    <s v="Catalyst"/>
    <x v="0"/>
    <s v="Makarand Pandharinath Dharmadhikari"/>
    <x v="1"/>
    <m/>
  </r>
  <r>
    <s v="CR165989"/>
    <s v="Vijayanand Purushothaman"/>
    <s v="Generator and components_ELASTOSIL E43 TRAN 01"/>
    <s v="Dan"/>
    <s v="Dharmadhikari, Makarand Pandharinath"/>
    <s v="N/A"/>
    <s v="LCM"/>
    <s v="SOURCING"/>
    <s v="Mechanical Parts &amp; Assemblies"/>
    <s v="CT/AMI"/>
    <x v="0"/>
    <s v="IL1"/>
    <n v="0.2"/>
    <x v="371"/>
    <s v="India"/>
    <s v="Catalyst"/>
    <x v="0"/>
    <s v="Makarand Pandharinath Dharmadhikari"/>
    <x v="1"/>
    <m/>
  </r>
  <r>
    <s v="CR092334"/>
    <s v="Vijayanand Purushothaman"/>
    <s v="ST-P_XS100_CT_XRG_PHIL00081179-Power Terminal"/>
    <s v="Dan"/>
    <s v="Dharmadhikari, Makarand Pandharinath"/>
    <s v="N/A"/>
    <s v="LCM"/>
    <s v="SOURCING"/>
    <s v="Mechanical Parts &amp; Assemblies"/>
    <s v="CT/AMI"/>
    <x v="0"/>
    <s v="IL1"/>
    <n v="0.25"/>
    <x v="371"/>
    <s v="India"/>
    <s v="Catalyst"/>
    <x v="0"/>
    <s v="Makarand Pandharinath Dharmadhikari"/>
    <x v="1"/>
    <m/>
  </r>
  <r>
    <s v="COMP_ENG4"/>
    <s v="Vijayanand Purushothaman"/>
    <s v="PCBA Component Life Cycle Analysis"/>
    <s v="Dan"/>
    <s v="Bhandari, Priyanka"/>
    <s v="N/A"/>
    <s v="LCM"/>
    <s v="CONCEPT"/>
    <s v="Key Components &amp; Electronics"/>
    <s v="IGT-MoS"/>
    <x v="3"/>
    <s v="IL3"/>
    <n v="0.3"/>
    <x v="248"/>
    <s v="India"/>
    <s v="Catalyst"/>
    <x v="0"/>
    <s v="Priyanka Bhandari"/>
    <x v="1"/>
    <m/>
  </r>
  <r>
    <s v="COMP_ENG4"/>
    <s v="Vijayanand Purushothaman"/>
    <s v="PCBA Component Life Cycle Analysis"/>
    <s v="Dan"/>
    <s v="Rokde, Rajat"/>
    <s v="N/A"/>
    <s v="LCM"/>
    <s v="CONCEPT"/>
    <s v="Key Components &amp; Electronics"/>
    <s v="IGT-MoS"/>
    <x v="3"/>
    <s v="IL3"/>
    <n v="0.5"/>
    <x v="372"/>
    <s v="India"/>
    <s v="Catalyst"/>
    <x v="0"/>
    <s v="Priyanka Bhandari"/>
    <x v="1"/>
    <m/>
  </r>
  <r>
    <s v="GXRCQ00083998"/>
    <s v="Vijayanand Purushothaman"/>
    <s v="Inserting the stretch-grip in the Wall Bucky top easily damaged the Bucky surface"/>
    <s v="Dan"/>
    <s v="M R, Kiran"/>
    <s v="N/A"/>
    <s v="LCM"/>
    <s v="SOURCING"/>
    <s v="Mechanical Parts &amp; Assemblies"/>
    <s v="DXR"/>
    <x v="0"/>
    <s v="IL3"/>
    <n v="0.3"/>
    <x v="373"/>
    <s v="India"/>
    <s v="Catalyst"/>
    <x v="0"/>
    <s v="Ansha Simpi"/>
    <x v="1"/>
    <m/>
  </r>
  <r>
    <s v="GXRCQ00072934"/>
    <s v="Vijayanand Purushothaman"/>
    <s v="VSx grid flap hook does not close reliably"/>
    <s v="Dan"/>
    <s v="M R, Kiran"/>
    <s v="N/A"/>
    <s v="LCM"/>
    <s v="SOURCING"/>
    <s v="Mechanical Parts &amp; Assemblies"/>
    <s v="DXR"/>
    <x v="0"/>
    <s v="IL3"/>
    <n v="0.3"/>
    <x v="373"/>
    <s v="India"/>
    <s v="Catalyst"/>
    <x v="0"/>
    <s v="Ansha Simpi"/>
    <x v="1"/>
    <m/>
  </r>
  <r>
    <s v="GXRCQ00075007"/>
    <s v="Vijayanand Purushothaman"/>
    <s v="Enhancement request for better design grid park flap assembly wallstand"/>
    <s v="Dan"/>
    <s v="M R, Kiran"/>
    <s v="N/A"/>
    <s v="LCM"/>
    <s v="SOURCING"/>
    <s v="Mechanical Parts &amp; Assemblies"/>
    <s v="DXR"/>
    <x v="0"/>
    <s v="IL3"/>
    <n v="0.3"/>
    <x v="373"/>
    <s v="India"/>
    <s v="Catalyst"/>
    <x v="0"/>
    <s v="Ansha Simpi"/>
    <x v="1"/>
    <m/>
  </r>
  <r>
    <n v="30383"/>
    <s v="Vijayanand Purushothaman"/>
    <s v="Hardware localization from GNV supplier base to india supplier base"/>
    <s v="Dan"/>
    <s v="M R, Kiran"/>
    <s v="PROCUREMENT"/>
    <s v="PRODUCTIVITY"/>
    <s v="SOURCING"/>
    <s v="Mechanical Parts &amp; Assemblies"/>
    <s v="MR"/>
    <x v="0"/>
    <s v="IL3"/>
    <n v="0.3"/>
    <x v="329"/>
    <s v="India"/>
    <s v="Catalyst"/>
    <x v="0"/>
    <s v="Kiran MR"/>
    <x v="1"/>
    <m/>
  </r>
  <r>
    <n v="32257"/>
    <s v="Vijayanand Purushothaman"/>
    <s v="NYX Albany parts transfer"/>
    <s v="Dan"/>
    <s v="M R, Kiran"/>
    <s v="PROCUREMENT"/>
    <s v="PRODUCTIVITY"/>
    <s v="SOURCING"/>
    <s v="Mechanical Parts &amp; Assemblies"/>
    <s v="MR"/>
    <x v="0"/>
    <s v="IL3"/>
    <n v="0.2"/>
    <x v="329"/>
    <s v="India"/>
    <s v="Catalyst"/>
    <x v="0"/>
    <s v="Kiran MR"/>
    <x v="1"/>
    <m/>
  </r>
  <r>
    <s v="CR170919"/>
    <s v="Vijayanand Purushothaman"/>
    <s v="PCAP Project ( Barco Monitor Obso Mitigation)"/>
    <s v="Dan"/>
    <s v="Ponkshe, Mihir"/>
    <s v="PROCUREMENT"/>
    <s v="AOS"/>
    <s v="CONCEPT"/>
    <s v="Key Components &amp; Electronics"/>
    <s v="IGT-MoS"/>
    <x v="3"/>
    <s v="IL3"/>
    <n v="0.6"/>
    <x v="286"/>
    <s v="India"/>
    <s v="Catalyst"/>
    <x v="0"/>
    <s v="Mihir Ponkshe"/>
    <x v="1"/>
    <m/>
  </r>
  <r>
    <s v="CR170919"/>
    <s v="Vijayanand Purushothaman"/>
    <s v="PCAP Project ( Barco Monitor Obso Mitigation)"/>
    <s v="Dan"/>
    <s v="Bhandari, Priyanka"/>
    <s v="PROCUREMENT"/>
    <s v="AOS"/>
    <s v="CONCEPT"/>
    <s v="Key Components &amp; Electronics"/>
    <s v="IGT-MoS"/>
    <x v="3"/>
    <s v="IL3"/>
    <n v="1"/>
    <x v="374"/>
    <s v="India"/>
    <s v="Catalyst"/>
    <x v="0"/>
    <s v="Priyanka Bhandari"/>
    <x v="1"/>
    <m/>
  </r>
  <r>
    <s v="L&amp;A"/>
    <s v="N/A"/>
    <s v="MISC. ENTRY TO BALANCE WITH RESOURCE DATABASE"/>
    <s v="All"/>
    <s v="M R, Kiran"/>
    <s v="L&amp;A"/>
    <s v="L&amp;A"/>
    <s v="L&amp;A"/>
    <s v="L&amp;A"/>
    <s v="L&amp;A"/>
    <x v="4"/>
    <s v="L&amp;A"/>
    <n v="1"/>
    <x v="375"/>
    <s v="India"/>
    <s v="Catalyst"/>
    <x v="0"/>
    <s v="Kiran MR"/>
    <x v="1"/>
    <m/>
  </r>
  <r>
    <n v="35284"/>
    <s v="Matt Morse"/>
    <s v="Omniwire Dual Sourcing Distal Core"/>
    <s v="Dan"/>
    <s v="Kulkarni, Pushkar"/>
    <s v="PROCUREMENT"/>
    <s v="PRODUCTIVITY"/>
    <s v="SOURCING"/>
    <s v="Mechanical Parts &amp; Assemblies"/>
    <s v="IGT-D"/>
    <x v="3"/>
    <s v="IL1"/>
    <n v="0.4"/>
    <x v="376"/>
    <s v="India"/>
    <s v="Catalyst"/>
    <x v="0"/>
    <s v="Pushkar Kulkarni"/>
    <x v="1"/>
    <m/>
  </r>
  <r>
    <s v="GXRCQ00096651"/>
    <s v="Vijayanand Purushothaman"/>
    <s v="Supplier transfer from HH to supplier - Villa sistemi"/>
    <s v="Dan"/>
    <s v="M R, Kiran"/>
    <s v="N/A"/>
    <s v="LCM"/>
    <s v="SOURCING"/>
    <s v="Mechanical Parts &amp; Assemblies"/>
    <s v="DXR"/>
    <x v="0"/>
    <s v="IL3"/>
    <n v="0.1"/>
    <x v="377"/>
    <s v="India"/>
    <s v="Catalyst"/>
    <x v="0"/>
    <s v="Ansha Simpi"/>
    <x v="1"/>
    <m/>
  </r>
  <r>
    <s v="D001102280"/>
    <s v="Vijayanand Purushothaman"/>
    <s v="Change of resin current resin is being discontinued. The current resin is Celcon M25. Celcon M25 is the resin the POM (Polyoxymethylene and Polyacetal) is made of. Celcon M25 is no longer available. There are several plastics available, TECAFORM AH natura"/>
    <s v="Dan"/>
    <s v="M R, Kiran"/>
    <s v="N/A"/>
    <s v="LCM"/>
    <s v="SOURCING"/>
    <s v="Mechanical Parts &amp; Assemblies"/>
    <s v="MR"/>
    <x v="0"/>
    <s v="IL0"/>
    <n v="0.3"/>
    <x v="337"/>
    <s v="India"/>
    <s v="Catalyst"/>
    <x v="0"/>
    <s v="Kiran MR"/>
    <x v="1"/>
    <m/>
  </r>
  <r>
    <s v="GXRCQ00096628"/>
    <s v="Vijayanand Purushothaman"/>
    <s v="22/0078- Military grade steel cable - Sedecal Change Notice"/>
    <s v="Dan"/>
    <s v="M R, Kiran"/>
    <s v="N/A"/>
    <s v="LCM"/>
    <s v="SOURCING"/>
    <s v="Mechanical Parts &amp; Assemblies"/>
    <s v="DXR"/>
    <x v="0"/>
    <s v="IL5"/>
    <n v="1"/>
    <x v="378"/>
    <s v="India"/>
    <s v="Catalyst"/>
    <x v="0"/>
    <s v="Ansha Simpi"/>
    <x v="1"/>
    <m/>
  </r>
  <r>
    <n v="20234"/>
    <s v="Pushkar Kulkarni"/>
    <s v="STET: Outsourcing - MVS Assembly"/>
    <s v="Dan"/>
    <s v="Ponkshe, Mihir"/>
    <s v="PROCUREMENT"/>
    <s v="PRODUCTIVITY"/>
    <s v="CONCEPT"/>
    <s v="Mechanical Parts &amp; Assemblies"/>
    <s v="IGT-MoS"/>
    <x v="3"/>
    <s v="IL3"/>
    <n v="0.5"/>
    <x v="284"/>
    <s v="India"/>
    <s v="Catalyst"/>
    <x v="0"/>
    <s v="Mihir Ponkshe"/>
    <x v="1"/>
    <m/>
  </r>
  <r>
    <n v="34241"/>
    <s v="Pushkar Kulkarni"/>
    <s v="FD30*30 Cover &amp; Interface"/>
    <s v="Dan"/>
    <s v="Ponkshe, Mihir"/>
    <s v="PROCUREMENT"/>
    <s v="PRODUCTIVITY"/>
    <s v="SOURCING"/>
    <s v="Mechanical Parts &amp; Assemblies"/>
    <s v="IGT-MoS"/>
    <x v="3"/>
    <s v="IL3"/>
    <n v="0.5"/>
    <x v="280"/>
    <s v="India"/>
    <s v="Catalyst"/>
    <x v="0"/>
    <s v="Mihir Ponkshe"/>
    <x v="1"/>
    <m/>
  </r>
  <r>
    <s v="GXRCQ00097321"/>
    <s v="Vijayanand Purushothaman"/>
    <s v="To update packaging dimensions for CSM sub-assembly in PRD document of C90 (712034,35)"/>
    <s v="Dan"/>
    <s v="M R, Kiran"/>
    <s v="N/A"/>
    <s v="LCM"/>
    <s v="SOURCING"/>
    <s v="Mechanical Parts &amp; Assemblies"/>
    <s v="DXR"/>
    <x v="0"/>
    <s v="IL3"/>
    <n v="0.1"/>
    <x v="224"/>
    <s v="India"/>
    <s v="Catalyst"/>
    <x v="0"/>
    <s v="Ansha Simpi"/>
    <x v="1"/>
    <m/>
  </r>
  <r>
    <s v="GXRCQ00098085"/>
    <s v="Vijayanand Purushothaman"/>
    <s v="Spareüart CSM CSIII Bar for corrugated house in top of tube mount support"/>
    <s v="Dan"/>
    <s v="M R, Kiran"/>
    <s v="N/A"/>
    <s v="LCM"/>
    <s v="SOURCING"/>
    <s v="Mechanical Parts &amp; Assemblies"/>
    <s v="DXR"/>
    <x v="0"/>
    <s v="IL3"/>
    <n v="0.2"/>
    <x v="224"/>
    <s v="India"/>
    <s v="Catalyst"/>
    <x v="0"/>
    <s v="Ansha Simpi"/>
    <x v="1"/>
    <m/>
  </r>
  <r>
    <s v="GXRCQ00098058"/>
    <s v="Vijayanand Purushothaman"/>
    <s v="Details of X1 and X2 connector reference is not correct as per PCBA assembly for CSM3"/>
    <s v="Dan"/>
    <s v="M R, Kiran"/>
    <s v="N/A"/>
    <s v="LCM"/>
    <s v="SOURCING"/>
    <s v="Mechanical Parts &amp; Assemblies"/>
    <s v="DXR"/>
    <x v="0"/>
    <s v="IL3"/>
    <n v="0.1"/>
    <x v="224"/>
    <s v="India"/>
    <s v="Catalyst"/>
    <x v="0"/>
    <s v="Ansha Simpi"/>
    <x v="1"/>
    <m/>
  </r>
  <r>
    <s v="GXRCQ00097983"/>
    <s v="Vijayanand Purushothaman"/>
    <s v="SICR|Grayhilll Electronic Co. Ltd|SICR20230221002B"/>
    <s v="Dan"/>
    <s v="M R, Kiran"/>
    <s v="N/A"/>
    <s v="LCM"/>
    <s v="SOURCING"/>
    <s v="Mechanical Parts &amp; Assemblies"/>
    <s v="DXR"/>
    <x v="0"/>
    <s v="IL3"/>
    <n v="0.1"/>
    <x v="224"/>
    <s v="India"/>
    <s v="Catalyst"/>
    <x v="0"/>
    <s v="Ansha Simpi"/>
    <x v="1"/>
    <m/>
  </r>
  <r>
    <s v="STET_IGTD000_106"/>
    <s v="Matt Morse"/>
    <s v="Disposable Wick Fixture"/>
    <s v="Dan"/>
    <s v="Naik, Tushar"/>
    <s v="PROCUREMENT"/>
    <s v="PRODUCTIVITY"/>
    <s v="SOURCING"/>
    <s v="Mechanical Parts &amp; Assemblies"/>
    <s v="IGT-D"/>
    <x v="3"/>
    <s v="IL0"/>
    <n v="0.1"/>
    <x v="285"/>
    <s v="India"/>
    <s v="Catalyst"/>
    <x v="0"/>
    <s v="Pushkar Kulkarni"/>
    <x v="1"/>
    <m/>
  </r>
  <r>
    <s v="STET_IGTD000_47"/>
    <s v="Matt Morse"/>
    <s v="Pikes Peak - Windchill BOM Updates in Support of MES Migration"/>
    <s v="Dan"/>
    <s v="Kulkarni, Pushkar"/>
    <s v="PROCUREMENT"/>
    <s v="PRODUCTIVITY"/>
    <s v="NON_12NC"/>
    <s v="Mechanical Parts &amp; Assemblies"/>
    <s v="IGT-D"/>
    <x v="3"/>
    <s v="IL2"/>
    <n v="0.1"/>
    <x v="285"/>
    <s v="India"/>
    <s v="Catalyst"/>
    <x v="0"/>
    <s v="Pushkar Kulkarni"/>
    <x v="1"/>
    <m/>
  </r>
  <r>
    <s v="MR00252582"/>
    <s v="Vijayanand Purushothaman"/>
    <s v="DACC Bracket for cables"/>
    <s v="Dan"/>
    <s v="Dede, Kalyani"/>
    <s v="N/A"/>
    <s v="LCM"/>
    <s v="SOURCING"/>
    <s v="Mechanical Parts &amp; Assemblies"/>
    <s v="MR"/>
    <x v="0"/>
    <s v="IL0"/>
    <n v="0.1"/>
    <x v="219"/>
    <s v="India"/>
    <s v="Catalyst"/>
    <x v="0"/>
    <s v="Kalyani Dede"/>
    <x v="1"/>
    <m/>
  </r>
  <r>
    <n v="30314"/>
    <s v="Kulasekhar (KK)"/>
    <s v="Consumable to Repair: Control modules"/>
    <s v="Dan"/>
    <s v="Kulkarni, Pushkar"/>
    <s v="PROCUREMENT"/>
    <s v="PRODUCTIVITY"/>
    <s v="CONCEPT"/>
    <s v="Medical ODM Markets"/>
    <s v="IGT-S"/>
    <x v="3"/>
    <s v="IL1"/>
    <n v="0.18"/>
    <x v="379"/>
    <s v="India"/>
    <s v="Catalyst"/>
    <x v="0"/>
    <s v="Pushkar Kulkarni"/>
    <x v="1"/>
    <m/>
  </r>
  <r>
    <s v="SMRS35"/>
    <s v="Saravana"/>
    <s v="IGTS CONQ - BU Sustaining"/>
    <s v="Dan"/>
    <s v="Kulkarni, Pushkar"/>
    <s v="PROCUREMENT"/>
    <s v="PRODUCTIVITY"/>
    <s v="TCO"/>
    <s v="Mechanical Parts &amp; Assemblies"/>
    <s v="IGT-S"/>
    <x v="3"/>
    <s v="IL3"/>
    <n v="0.17"/>
    <x v="379"/>
    <s v="India"/>
    <s v="Catalyst"/>
    <x v="0"/>
    <s v="Pushkar Kulkarni"/>
    <x v="1"/>
    <m/>
  </r>
  <r>
    <n v="35284"/>
    <s v="Matt Morse"/>
    <s v="Omniwire Dual Sourcing Distal Core"/>
    <s v="Dan"/>
    <s v="Naik, Tushar"/>
    <s v="PROCUREMENT"/>
    <s v="PRODUCTIVITY"/>
    <s v="SOURCING"/>
    <s v="Mechanical Parts &amp; Assemblies"/>
    <s v="IGT-D"/>
    <x v="3"/>
    <s v="IL1"/>
    <n v="0.2"/>
    <x v="380"/>
    <s v="India"/>
    <s v="Catalyst"/>
    <x v="0"/>
    <s v="Tushar Naik"/>
    <x v="1"/>
    <m/>
  </r>
  <r>
    <s v="LCM8"/>
    <s v="Vijayanand Purushothaman"/>
    <s v="IGT Mos AoS/ SICR/OCR mgmt"/>
    <s v="Dan"/>
    <s v="Ponkshe, Mihir"/>
    <s v="N/A"/>
    <s v="LCM"/>
    <s v="SOURCING"/>
    <s v="Mechanical Parts &amp; Assemblies"/>
    <s v="IGT-MoS"/>
    <x v="3"/>
    <s v="IL1"/>
    <n v="1"/>
    <x v="381"/>
    <s v="India"/>
    <s v="Catalyst"/>
    <x v="0"/>
    <s v="Mihir Ponkshe"/>
    <x v="1"/>
    <m/>
  </r>
  <r>
    <s v="LCM8"/>
    <s v="Vijayanand Purushothaman"/>
    <s v="IGT Mos AoS/ SICR/OCR mgmt"/>
    <s v="Dan"/>
    <s v="Ponkshe, Mihir"/>
    <s v="N/A"/>
    <s v="LCM"/>
    <s v="SOURCING"/>
    <s v="Mechanical Parts &amp; Assemblies"/>
    <s v="IGT-MoS"/>
    <x v="3"/>
    <s v="IL1"/>
    <n v="1"/>
    <x v="382"/>
    <s v="India"/>
    <s v="Catalyst"/>
    <x v="0"/>
    <s v="Mihir Ponkshe"/>
    <x v="1"/>
    <m/>
  </r>
  <r>
    <s v="LCM8"/>
    <s v="Vijayanand Purushothaman"/>
    <s v="IGT Mos AoS/ SICR/OCR mgmt"/>
    <s v="Dan"/>
    <s v="Ponkshe, Mihir"/>
    <s v="N/A"/>
    <s v="LCM"/>
    <s v="SOURCING"/>
    <s v="Mechanical Parts &amp; Assemblies"/>
    <s v="IGT-MoS"/>
    <x v="3"/>
    <s v="IL1"/>
    <n v="0.2"/>
    <x v="282"/>
    <s v="India"/>
    <s v="Catalyst"/>
    <x v="0"/>
    <s v="Mihir Ponkshe"/>
    <x v="1"/>
    <m/>
  </r>
  <r>
    <s v="LCM8"/>
    <s v="Vijayanand Purushothaman"/>
    <s v="IGT Mos AoS/ SICR/OCR mgmt"/>
    <s v="Dan"/>
    <s v="Ponkshe, Mihir"/>
    <s v="N/A"/>
    <s v="LCM"/>
    <s v="SOURCING"/>
    <s v="Mechanical Parts &amp; Assemblies"/>
    <s v="IGT-MoS"/>
    <x v="3"/>
    <s v="IL1"/>
    <n v="0.5"/>
    <x v="278"/>
    <s v="India"/>
    <s v="Catalyst"/>
    <x v="0"/>
    <s v="Mihir Ponkshe"/>
    <x v="1"/>
    <m/>
  </r>
  <r>
    <s v="IGT-S Funnel Bulding Activities"/>
    <s v="Vijayanand Purushothaman"/>
    <s v="IGT-S Funnel Bulding Activities - IL0 to IL 2."/>
    <s v="Dan"/>
    <s v="Kulkarni, Pushkar"/>
    <s v="N/A"/>
    <s v="LCM"/>
    <s v="SOURCING"/>
    <s v="Mechanical Parts &amp; Assemblies"/>
    <s v="IGT-S"/>
    <x v="3"/>
    <s v="IL0"/>
    <n v="0.6"/>
    <x v="379"/>
    <s v="India"/>
    <s v="Catalyst"/>
    <x v="0"/>
    <s v="Pushkar Kulkarni"/>
    <x v="1"/>
    <m/>
  </r>
  <r>
    <s v="STET_IGTD000_86 (34072)"/>
    <s v="Matt Morse"/>
    <s v="PLS Alternate Cable Supplier"/>
    <s v="Dan"/>
    <s v="Kulkarni, Pushkar"/>
    <s v="PROCUREMENT"/>
    <s v="PRODUCTIVITY"/>
    <s v="SOURCING"/>
    <s v="Mechanical Parts &amp; Assemblies"/>
    <s v="IGT-D"/>
    <x v="3"/>
    <s v="IL1"/>
    <n v="0.1"/>
    <x v="285"/>
    <s v="India"/>
    <s v="Catalyst"/>
    <x v="0"/>
    <s v="Pushkar Kulkarni"/>
    <x v="1"/>
    <m/>
  </r>
  <r>
    <n v="32418"/>
    <s v="Vijayanand Purushothaman"/>
    <s v="Localization of IFU &amp; Labels (Wave 4 onwards"/>
    <s v="Dan"/>
    <s v="Kulkarni, Pushkar"/>
    <s v="PROCUREMENT"/>
    <s v="PRODUCTIVITY"/>
    <s v="SOURCING"/>
    <s v="Mechanical Parts &amp; Assemblies"/>
    <s v="MR"/>
    <x v="0"/>
    <s v="IL5"/>
    <n v="0.1"/>
    <x v="376"/>
    <s v="India"/>
    <s v="Catalyst"/>
    <x v="0"/>
    <s v="Pushkar Kulkarni"/>
    <x v="1"/>
    <m/>
  </r>
  <r>
    <s v="SMRSIGTD2"/>
    <s v="Matt Morse"/>
    <s v="PIM SA - replace complete mechanical design and serviceability (FRUs)"/>
    <s v="Dan"/>
    <s v="Kulkarni, Pushkar"/>
    <s v="PROCUREMENT"/>
    <s v="PRODUCTIVITY"/>
    <s v="SOURCING"/>
    <s v="Mechanical Parts &amp; Assemblies"/>
    <s v="IGT-D"/>
    <x v="3"/>
    <s v="IL0"/>
    <n v="0.05"/>
    <x v="376"/>
    <s v="India"/>
    <s v="Catalyst"/>
    <x v="0"/>
    <s v="Pushkar Kulkarni"/>
    <x v="1"/>
    <m/>
  </r>
  <r>
    <s v="SMRSIGTD1"/>
    <s v="Matt Morse"/>
    <s v="PIM R Monorail redesign for rack and pinion mechanism"/>
    <s v="Dan"/>
    <s v="Kulkarni, Pushkar"/>
    <s v="PROCUREMENT"/>
    <s v="PRODUCTIVITY"/>
    <s v="SOURCING"/>
    <s v="Mechanical Parts &amp; Assemblies"/>
    <s v="IGT-D"/>
    <x v="3"/>
    <s v="IL0"/>
    <n v="0.15"/>
    <x v="376"/>
    <s v="India"/>
    <s v="Catalyst"/>
    <x v="0"/>
    <s v="Pushkar Kulkarni"/>
    <x v="1"/>
    <m/>
  </r>
  <r>
    <n v="12936"/>
    <s v="Matt Morse"/>
    <s v="PV.035 Micromolded Distal Tip"/>
    <s v="Dan"/>
    <s v="Kulkarni, Pushkar"/>
    <s v="PROCUREMENT"/>
    <s v="PRODUCTIVITY"/>
    <s v="SOURCING"/>
    <s v="Mechanical Parts &amp; Assemblies"/>
    <s v="IGT-D"/>
    <x v="3"/>
    <s v="IL1"/>
    <n v="0.1"/>
    <x v="376"/>
    <s v="India"/>
    <s v="Catalyst"/>
    <x v="0"/>
    <s v="Pushkar Kulkarni"/>
    <x v="1"/>
    <m/>
  </r>
  <r>
    <s v="STET_IGTD000_86 (34072)"/>
    <s v="Matt Morse"/>
    <s v="PLS Alternate Cable Supplier"/>
    <s v="Dan"/>
    <s v="Kulkarni, Pushkar"/>
    <s v="PROCUREMENT"/>
    <s v="PRODUCTIVITY"/>
    <s v="SOURCING"/>
    <s v="Mechanical Parts &amp; Assemblies"/>
    <s v="IGT-D"/>
    <x v="3"/>
    <s v="IL1"/>
    <n v="0.2"/>
    <x v="383"/>
    <s v="India"/>
    <s v="Catalyst"/>
    <x v="0"/>
    <s v="Pushkar Kulkarni"/>
    <x v="1"/>
    <m/>
  </r>
  <r>
    <s v="STET_IGTD000_65"/>
    <s v="Vijayanand Purushothaman"/>
    <s v="2nd Source IntraSight Power Supplies"/>
    <s v="Dan"/>
    <s v="Kulkarni, Pushkar"/>
    <s v="PROCUREMENT"/>
    <s v="PRODUCTIVITY"/>
    <s v="SOURCING"/>
    <s v="Key Components &amp; Electronics"/>
    <s v="IGT-D"/>
    <x v="3"/>
    <s v="IL1"/>
    <n v="0.8"/>
    <x v="383"/>
    <s v="India"/>
    <s v="Catalyst"/>
    <x v="0"/>
    <s v="Pushkar Kulkarni"/>
    <x v="1"/>
    <m/>
  </r>
  <r>
    <s v="CONQ_2021_53"/>
    <s v="Saravana"/>
    <s v="Shift all preventive maintenance visit by one month:Current PM Schedule on months: 6, 12, 18, 24…Proposed PM Schedule on month: 7, 13, 19, 25(Change 2 to 1 visit in warranty year)"/>
    <s v="Dan"/>
    <s v="Kulkarni, Pushkar"/>
    <s v="TCO"/>
    <s v="CONQ"/>
    <s v="TCO"/>
    <s v="Mechanical Parts &amp; Assemblies"/>
    <s v="IGT-S"/>
    <x v="3"/>
    <s v="IL1"/>
    <n v="0.1"/>
    <x v="384"/>
    <s v="India"/>
    <s v="Catalyst"/>
    <x v="0"/>
    <s v="Pushkar Kulkarni"/>
    <x v="1"/>
    <m/>
  </r>
  <r>
    <s v="L&amp;A"/>
    <s v="N/A"/>
    <s v="MISC. ENTRY TO BALANCE WITH RESOURCE DATABASE"/>
    <s v="All"/>
    <s v="Kulkarni, Pushkar"/>
    <s v="L&amp;A"/>
    <s v="L&amp;A"/>
    <s v="L&amp;A"/>
    <s v="L&amp;A"/>
    <s v="L&amp;A"/>
    <x v="4"/>
    <s v="L&amp;A"/>
    <n v="0.1"/>
    <x v="384"/>
    <s v="India"/>
    <s v="Catalyst"/>
    <x v="0"/>
    <s v="Pushkar Kulkarni"/>
    <x v="1"/>
    <m/>
  </r>
  <r>
    <n v="28816"/>
    <s v="Vijayanand Purushothaman"/>
    <s v="Dragon Den - Repair &amp; Reuse ( Circual Ecconomy - PCI-2020-074)"/>
    <s v="Dan"/>
    <s v="Kulkarni, Pushkar"/>
    <s v="PROCUREMENT"/>
    <s v="PRODUCTIVITY"/>
    <s v="CONCEPT"/>
    <s v="Mechanical Parts &amp; Assemblies"/>
    <s v="IGT-S"/>
    <x v="3"/>
    <s v="IL1"/>
    <n v="0.1"/>
    <x v="384"/>
    <s v="India"/>
    <s v="Catalyst"/>
    <x v="0"/>
    <s v="Pushkar Kulkarni"/>
    <x v="1"/>
    <m/>
  </r>
  <r>
    <s v="IGT-S Funnel Bulding Activities"/>
    <s v="Vijayanand Purushothaman"/>
    <s v="IGT-S Funnel Bulding Activities - IL0 to IL 2."/>
    <s v="Dan"/>
    <s v="Kulkarni, Pushkar"/>
    <s v="N/A"/>
    <s v="LCM"/>
    <s v="SOURCING"/>
    <s v="Mechanical Parts &amp; Assemblies"/>
    <s v="IGT-S"/>
    <x v="3"/>
    <s v="IL0"/>
    <n v="0.2"/>
    <x v="384"/>
    <s v="India"/>
    <s v="Catalyst"/>
    <x v="0"/>
    <s v="Pushkar Kulkarni"/>
    <x v="1"/>
    <m/>
  </r>
  <r>
    <s v="MR00265543"/>
    <s v="Vijayanand Purushothaman"/>
    <s v="SICR20230206006B-INNO-SCR233_244_Injection molding for 233-3213 Sliding Cover slider"/>
    <s v="Dan"/>
    <s v="Dede, Kalyani"/>
    <s v="N/A"/>
    <s v="LCM"/>
    <s v="SOURCING"/>
    <s v="Mechanical Parts &amp; Assemblies"/>
    <s v="MR"/>
    <x v="0"/>
    <s v="IL3"/>
    <n v="0.3"/>
    <x v="327"/>
    <s v="India"/>
    <s v="Catalyst"/>
    <x v="0"/>
    <s v="Kalyani Dede"/>
    <x v="1"/>
    <m/>
  </r>
  <r>
    <s v="MR00261630"/>
    <s v="Vijayanand Purushothaman"/>
    <s v="Cable routing in ERUI-T not ideal leading to possible cable damage"/>
    <s v="Dan"/>
    <s v="Dede, Kalyani"/>
    <s v="N/A"/>
    <s v="LCM"/>
    <s v="SOURCING"/>
    <s v="Mechanical Parts &amp; Assemblies"/>
    <s v="MR"/>
    <x v="0"/>
    <s v="IL3"/>
    <n v="0.2"/>
    <x v="328"/>
    <s v="India"/>
    <s v="Catalyst"/>
    <x v="0"/>
    <s v="Kalyani Dede"/>
    <x v="1"/>
    <m/>
  </r>
  <r>
    <s v="MR00264986"/>
    <s v="Vijayanand Purushothaman"/>
    <s v="Mismatch in Drawing and Cad Part for BCC ASSY L 1.5T and BCC ASSY 3T"/>
    <s v="Dan"/>
    <s v="Dede, Kalyani"/>
    <s v="N/A"/>
    <s v="LCM"/>
    <s v="SOURCING"/>
    <s v="Mechanical Parts &amp; Assemblies"/>
    <s v="MR"/>
    <x v="0"/>
    <s v="IL3"/>
    <n v="0.05"/>
    <x v="328"/>
    <s v="India"/>
    <s v="Catalyst"/>
    <x v="0"/>
    <s v="Kalyani Dede"/>
    <x v="1"/>
    <m/>
  </r>
  <r>
    <s v="MR00266723"/>
    <s v="Vijayanand Purushothaman"/>
    <s v="Remove PACKAGING POSTERIOR COIL from BOM PC and create FRU POSTERIOR COIL 1.5T and 3.0T"/>
    <s v="Dan"/>
    <s v="Dede, Kalyani"/>
    <s v="N/A"/>
    <s v="LCM"/>
    <s v="SOURCING"/>
    <s v="Mechanical Parts &amp; Assemblies"/>
    <s v="MR"/>
    <x v="0"/>
    <s v="IL3"/>
    <n v="0.1"/>
    <x v="219"/>
    <s v="India"/>
    <s v="Catalyst"/>
    <x v="0"/>
    <s v="Kalyani Dede"/>
    <x v="1"/>
    <m/>
  </r>
  <r>
    <s v="MR00265673"/>
    <s v="Vijayanand Purushothaman"/>
    <s v="DACC: DACC leaning backwards during assembling and testing"/>
    <s v="Dan"/>
    <s v="Dede, Kalyani"/>
    <s v="N/A"/>
    <s v="LCM"/>
    <s v="SOURCING"/>
    <s v="Mechanical Parts &amp; Assemblies"/>
    <s v="MR"/>
    <x v="0"/>
    <s v="IL3"/>
    <n v="0.05"/>
    <x v="219"/>
    <s v="India"/>
    <s v="Catalyst"/>
    <x v="0"/>
    <s v="Kalyani Dede"/>
    <x v="1"/>
    <m/>
  </r>
  <r>
    <s v="MR00266504"/>
    <s v="Vijayanand Purushothaman"/>
    <s v="update Argentina localized system &amp; packing labels for Ingenia Elition S/X 782106/782107, Ingenia Ambition S/X 782108/782109"/>
    <s v="Dan"/>
    <s v="Dede, Kalyani"/>
    <s v="N/A"/>
    <s v="LCM"/>
    <s v="SOURCING"/>
    <s v="Mechanical Parts &amp; Assemblies"/>
    <s v="MR"/>
    <x v="0"/>
    <s v="IL3"/>
    <n v="7.5999999999999998E-2"/>
    <x v="385"/>
    <s v="India"/>
    <s v="Catalyst"/>
    <x v="0"/>
    <s v="Kalyani Dede"/>
    <x v="1"/>
    <m/>
  </r>
  <r>
    <s v="MR00265539"/>
    <s v="Vijayanand Purushothaman"/>
    <s v="SICR20230201014B-VDL Wientjes-SCR C-23-05-5452 layout change Phantom set M3"/>
    <s v="Dan"/>
    <s v="Dede, Kalyani"/>
    <s v="N/A"/>
    <s v="LCM"/>
    <s v="SOURCING"/>
    <s v="Mechanical Parts &amp; Assemblies"/>
    <s v="MR"/>
    <x v="0"/>
    <s v="IL3"/>
    <n v="0.1"/>
    <x v="326"/>
    <s v="India"/>
    <s v="Catalyst"/>
    <x v="0"/>
    <s v="Kalyani Dede"/>
    <x v="1"/>
    <m/>
  </r>
  <r>
    <s v="MR00265836"/>
    <s v="Vijayanand Purushothaman"/>
    <s v="The packaging crates are not designed correctly and causes cosmetic damage during shipment"/>
    <s v="Dan"/>
    <s v="Dede, Kalyani"/>
    <s v="N/A"/>
    <s v="LCM"/>
    <s v="SOURCING"/>
    <s v="Mechanical Parts &amp; Assemblies"/>
    <s v="MR"/>
    <x v="0"/>
    <s v="IL3"/>
    <n v="0.1"/>
    <x v="326"/>
    <s v="India"/>
    <s v="Catalyst"/>
    <x v="0"/>
    <s v="Kalyani Dede"/>
    <x v="1"/>
    <m/>
  </r>
  <r>
    <s v="PR37"/>
    <s v="Saravana"/>
    <s v="UI improvements"/>
    <s v="Dan"/>
    <s v="Sharma, Manish"/>
    <s v="TCO"/>
    <s v="CONQ"/>
    <s v="TCO"/>
    <s v="Mechanical Parts &amp; Assemblies"/>
    <s v="IGT-S"/>
    <x v="3"/>
    <s v="IL0"/>
    <n v="0.2"/>
    <x v="254"/>
    <s v="India"/>
    <s v="Catalyst"/>
    <x v="0"/>
    <s v="Manish Sharma"/>
    <x v="1"/>
    <m/>
  </r>
  <r>
    <n v="27648"/>
    <s v="Saravana"/>
    <s v="Blue Dragon - 2nd Tier Sourcing of Castings for Franken"/>
    <s v="Dan"/>
    <s v="Patil, Rajaram"/>
    <s v="PROCUREMENT"/>
    <s v="PRODUCTIVITY"/>
    <s v="SOURCING"/>
    <s v="Mechanical Parts &amp; Assemblies"/>
    <s v="IGT-S"/>
    <x v="3"/>
    <s v="IL0"/>
    <n v="0.1"/>
    <x v="386"/>
    <s v="India"/>
    <s v="Catalyst"/>
    <x v="0"/>
    <s v="Rajaram Patil"/>
    <x v="1"/>
    <m/>
  </r>
  <r>
    <s v="ART-China"/>
    <s v="Vijayanand Purushothaman"/>
    <s v="LCM Support for China"/>
    <s v="Dan"/>
    <s v="Patil, Rajaram"/>
    <s v="N/A"/>
    <s v="LCM"/>
    <s v="SOURCING"/>
    <s v="Mechanical Parts &amp; Assemblies"/>
    <s v="IGT-S"/>
    <x v="3"/>
    <s v="IL3"/>
    <n v="0.9"/>
    <x v="386"/>
    <s v="India"/>
    <s v="Catalyst"/>
    <x v="0"/>
    <s v="Rajaram Patil"/>
    <x v="1"/>
    <m/>
  </r>
  <r>
    <s v="MR00265189"/>
    <s v="Vijayanand Purushothaman"/>
    <s v="SICR20230123021A&amp;B-MARECO-BODY L-Coil Request to change tolerances"/>
    <s v="Dan"/>
    <s v="Dede, Kalyani"/>
    <s v="N/A"/>
    <s v="LCM"/>
    <s v="SOURCING"/>
    <s v="Mechanical Parts &amp; Assemblies"/>
    <s v="MR"/>
    <x v="0"/>
    <s v="IL3"/>
    <n v="0.1"/>
    <x v="283"/>
    <s v="India"/>
    <s v="Catalyst"/>
    <x v="0"/>
    <s v=" Kalyani Dede"/>
    <x v="1"/>
    <m/>
  </r>
  <r>
    <s v="MR00265858"/>
    <s v="Vijayanand Purushothaman"/>
    <s v="Flex Track Trolley NMPA -additional Label"/>
    <s v="Dan"/>
    <s v="Dede, Kalyani"/>
    <s v="N/A"/>
    <s v="LCM"/>
    <s v="SOURCING"/>
    <s v="Mechanical Parts &amp; Assemblies"/>
    <s v="MR"/>
    <x v="0"/>
    <s v="IL3"/>
    <n v="7.5999999999999998E-2"/>
    <x v="385"/>
    <s v="India"/>
    <s v="Catalyst"/>
    <x v="0"/>
    <s v="Kalyani Dede"/>
    <x v="1"/>
    <m/>
  </r>
  <r>
    <s v="MR00265197"/>
    <s v="Vijayanand Purushothaman"/>
    <s v="MARECO-BODY L-Coil Request to change tolerances"/>
    <s v="Dan"/>
    <s v="Dede, Kalyani"/>
    <s v="N/A"/>
    <s v="LCM"/>
    <s v="SOURCING"/>
    <s v="Mechanical Parts &amp; Assemblies"/>
    <s v="MR"/>
    <x v="0"/>
    <s v="IL3"/>
    <n v="0.1"/>
    <x v="283"/>
    <s v="India"/>
    <s v="Catalyst"/>
    <x v="0"/>
    <s v=" Kalyani Dede"/>
    <x v="1"/>
    <m/>
  </r>
  <r>
    <s v="MR00253704"/>
    <s v="Vijayanand Purushothaman"/>
    <s v="Make the 'flexrack guiding assy' a FRU"/>
    <s v="Dan"/>
    <s v="Dede, Kalyani"/>
    <s v="N/A"/>
    <s v="LCM"/>
    <s v="SOURCING"/>
    <s v="Mechanical Parts &amp; Assemblies"/>
    <s v="MR"/>
    <x v="0"/>
    <s v="IL3"/>
    <n v="0.2"/>
    <x v="283"/>
    <s v="India"/>
    <s v="Catalyst"/>
    <x v="0"/>
    <s v=" Kalyani Dede"/>
    <x v="1"/>
    <m/>
  </r>
  <r>
    <n v="32253"/>
    <s v="Matt Morse"/>
    <s v="Mobile (M3) China Market"/>
    <s v="Phil"/>
    <s v="PN, Dhanaraj (Dan)"/>
    <s v="PROCUREMENT"/>
    <s v="PRODUCTIVITY"/>
    <s v="SOURCING"/>
    <s v="Medical ODM Markets"/>
    <s v="IGT-D"/>
    <x v="3"/>
    <s v="IL3"/>
    <n v="0.2"/>
    <x v="221"/>
    <s v="India"/>
    <s v="Catalyst"/>
    <x v="0"/>
    <s v="Neelam Kaustubh Pathak"/>
    <x v="1"/>
    <m/>
  </r>
  <r>
    <n v="32252"/>
    <s v="Matt Morse"/>
    <s v="Intrasight Integrated China Market"/>
    <s v="Phil"/>
    <s v="PN, Dhanaraj (Dan)"/>
    <s v="PROCUREMENT"/>
    <s v="PRODUCTIVITY"/>
    <s v="SOURCING"/>
    <s v="Medical ODM Markets"/>
    <s v="IGT-D"/>
    <x v="3"/>
    <s v="IL3"/>
    <n v="0.1"/>
    <x v="221"/>
    <s v="India"/>
    <s v="Catalyst"/>
    <x v="0"/>
    <s v="Neelam Kaustubh Pathak"/>
    <x v="1"/>
    <m/>
  </r>
  <r>
    <s v="MR00257613"/>
    <s v="Vijayanand Purushothaman"/>
    <s v="Update Master Data (Risk Category / End Item)"/>
    <s v="Dan"/>
    <s v="Dede, Kalyani"/>
    <s v="N/A"/>
    <s v="LCM"/>
    <s v="SOURCING"/>
    <s v="Mechanical Parts &amp; Assemblies"/>
    <s v="MR"/>
    <x v="0"/>
    <s v="IL3"/>
    <n v="0.25"/>
    <x v="317"/>
    <s v="India"/>
    <s v="Catalyst"/>
    <x v="0"/>
    <s v="Kalyani Dede"/>
    <x v="1"/>
    <m/>
  </r>
  <r>
    <s v="MR00261474"/>
    <s v="Vijayanand Purushothaman"/>
    <s v="Handgrip connectors PatSup: no cosmetic specifications in DMR."/>
    <s v="Dan"/>
    <s v="Dede, Kalyani"/>
    <s v="N/A"/>
    <s v="LCM"/>
    <s v="SOURCING"/>
    <s v="Mechanical Parts &amp; Assemblies"/>
    <s v="MR"/>
    <x v="0"/>
    <s v="IL3"/>
    <n v="0.25"/>
    <x v="317"/>
    <s v="India"/>
    <s v="Catalyst"/>
    <x v="0"/>
    <s v="Kalyani Dede"/>
    <x v="1"/>
    <m/>
  </r>
  <r>
    <s v="MR00250522"/>
    <s v="Vijayanand Purushothaman"/>
    <s v="Fiber connection TFINT - TCI not reliable"/>
    <s v="Dan"/>
    <s v="Dede, Kalyani"/>
    <s v="N/A"/>
    <s v="LCM"/>
    <s v="SOURCING"/>
    <s v="Mechanical Parts &amp; Assemblies"/>
    <s v="MR"/>
    <x v="0"/>
    <s v="IL3"/>
    <n v="0.25"/>
    <x v="317"/>
    <s v="India"/>
    <s v="Catalyst"/>
    <x v="0"/>
    <s v="Kalyani Dede"/>
    <x v="1"/>
    <m/>
  </r>
  <r>
    <n v="23170"/>
    <s v="Matt Morse"/>
    <s v="PV.035 RO Coil Material Change"/>
    <s v="Dan"/>
    <s v="Patil, Rajaram"/>
    <s v="PROCUREMENT"/>
    <s v="PRODUCTIVITY"/>
    <s v="CONCEPT"/>
    <s v="Mechanical Parts &amp; Assemblies"/>
    <s v="IGT-D"/>
    <x v="3"/>
    <s v="IL1"/>
    <n v="0.25"/>
    <x v="387"/>
    <s v="India"/>
    <s v="Catalyst"/>
    <x v="0"/>
    <s v="Tushar Naik"/>
    <x v="1"/>
    <m/>
  </r>
  <r>
    <s v="ART-China"/>
    <s v="Vijayanand Purushothaman"/>
    <s v="LCM Support for China"/>
    <s v="Dan"/>
    <s v="Patil, Rajaram"/>
    <s v="N/A"/>
    <s v="LCM"/>
    <s v="SOURCING"/>
    <s v="Mechanical Parts &amp; Assemblies"/>
    <s v="IGT-S"/>
    <x v="3"/>
    <s v="IL3"/>
    <n v="1"/>
    <x v="388"/>
    <s v="India"/>
    <s v="Catalyst"/>
    <x v="0"/>
    <s v="Rajaram Patil"/>
    <x v="1"/>
    <m/>
  </r>
  <r>
    <s v="MR00266323"/>
    <s v="Vijayanand Purushothaman"/>
    <s v="update hardcopy Chinese technical datasheet for Ingenia Ambition X, Ingenia Ambition S for Taiwan"/>
    <s v="Dan"/>
    <s v="Dede, Kalyani"/>
    <s v="N/A"/>
    <s v="LCM"/>
    <s v="SOURCING"/>
    <s v="Mechanical Parts &amp; Assemblies"/>
    <s v="MR"/>
    <x v="0"/>
    <s v="IL3"/>
    <n v="0.2"/>
    <x v="220"/>
    <s v="India"/>
    <s v="Catalyst"/>
    <x v="0"/>
    <s v="Kalyani Dede"/>
    <x v="1"/>
    <m/>
  </r>
  <r>
    <s v="ART-BEST"/>
    <s v="Vijayanand Purushothaman"/>
    <s v="LCM Support for Best"/>
    <s v="Dan"/>
    <s v="Patil, Rajaram"/>
    <s v="N/A"/>
    <s v="LCM"/>
    <s v="SOURCING"/>
    <s v="Mechanical Parts &amp; Assemblies"/>
    <s v="IGT-S"/>
    <x v="3"/>
    <s v="IL3"/>
    <n v="0.7"/>
    <x v="389"/>
    <s v="India"/>
    <s v="Catalyst"/>
    <x v="0"/>
    <s v="Rajaram Patil"/>
    <x v="1"/>
    <m/>
  </r>
  <r>
    <n v="31328"/>
    <s v="Saurabh Agarwal"/>
    <s v="Molding DFX - Change of resin material for Sydney Housing - Styrolution (PA-ABS NM11) to LG Korea (PA-ABS 5006AH) Dental White - Batam"/>
    <s v="Tim"/>
    <s v="Naik, Tushar"/>
    <s v="PROCUREMENT"/>
    <s v="AOS"/>
    <s v="CONCEPT"/>
    <s v="Mechanical Parts &amp; Assemblies"/>
    <s v="OHC"/>
    <x v="2"/>
    <s v="IL3"/>
    <n v="0.3"/>
    <x v="234"/>
    <s v="India"/>
    <s v="Catalyst"/>
    <x v="0"/>
    <s v="Samatha Reddy "/>
    <x v="3"/>
    <m/>
  </r>
  <r>
    <n v="32418"/>
    <s v="Vijayanand Purushothaman"/>
    <s v="Localization of IFU &amp; Labels (Wave 4 onwards"/>
    <s v="Dan"/>
    <s v="M R, Kiran"/>
    <s v="PROCUREMENT"/>
    <s v="PRODUCTIVITY"/>
    <s v="SOURCING"/>
    <s v="Mechanical Parts &amp; Assemblies"/>
    <s v="MR"/>
    <x v="0"/>
    <s v="IL5"/>
    <n v="0.3"/>
    <x v="337"/>
    <s v="India"/>
    <s v="Catalyst"/>
    <x v="0"/>
    <s v="Kiran MR"/>
    <x v="1"/>
    <m/>
  </r>
  <r>
    <s v="ART-China"/>
    <s v="Vijayanand Purushothaman"/>
    <s v="LCM Support for China"/>
    <s v="Dan"/>
    <s v="Patil, Rajaram"/>
    <s v="N/A"/>
    <s v="LCM"/>
    <s v="SOURCING"/>
    <s v="Mechanical Parts &amp; Assemblies"/>
    <s v="IGT-S"/>
    <x v="3"/>
    <s v="IL3"/>
    <n v="1"/>
    <x v="390"/>
    <s v="India"/>
    <s v="Catalyst"/>
    <x v="1"/>
    <s v="Rajaram Patil"/>
    <x v="1"/>
    <m/>
  </r>
  <r>
    <n v="33506"/>
    <s v="Siddarth"/>
    <s v="Arctronics De-risking to SFO for Small Extremity coils family"/>
    <s v="Phil"/>
    <s v="Barve, Bhushan"/>
    <s v="PROCUREMENT"/>
    <s v="PRODUCTIVITY"/>
    <s v="SOURCING"/>
    <s v="Key Components &amp; Electronics"/>
    <s v="MR"/>
    <x v="0"/>
    <s v="IL3"/>
    <n v="0.9"/>
    <x v="271"/>
    <s v="India"/>
    <s v="Catalyst"/>
    <x v="0"/>
    <s v="Bhushan Barve"/>
    <x v="1"/>
    <m/>
  </r>
  <r>
    <n v="33510"/>
    <s v="Siddarth"/>
    <s v="Arctronics De-risking to SFO for Breast coils family"/>
    <s v="Phil"/>
    <s v="Kulkarni, Pravin"/>
    <s v="PROCUREMENT"/>
    <s v="PRODUCTIVITY"/>
    <s v="SOURCING"/>
    <s v="Key Components &amp; Electronics"/>
    <s v="MR"/>
    <x v="0"/>
    <s v="IL3"/>
    <n v="1"/>
    <x v="391"/>
    <s v="India"/>
    <s v="Catalyst"/>
    <x v="0"/>
    <s v="Pravin Kulkarni"/>
    <x v="1"/>
    <m/>
  </r>
  <r>
    <n v="33509"/>
    <s v="Siddarth"/>
    <s v="Arctronics De-risking to SFO for Flex coils family"/>
    <s v="Phil"/>
    <s v="Shaha, Bhavesh Devendra"/>
    <s v="PROCUREMENT"/>
    <s v="PRODUCTIVITY"/>
    <s v="SOURCING"/>
    <s v="Key Components &amp; Electronics"/>
    <s v="MR"/>
    <x v="0"/>
    <s v="IL3"/>
    <n v="0.2"/>
    <x v="392"/>
    <s v="India"/>
    <s v="Catalyst"/>
    <x v="0"/>
    <s v="Bhavesh Devendra Shaha"/>
    <x v="1"/>
    <m/>
  </r>
  <r>
    <s v="STET_IGTD000_86 (34072)"/>
    <s v="Matt Morse"/>
    <s v="PLS Alternate Cable Supplier"/>
    <s v="Dan"/>
    <s v="Purushothaman, Vijayanand"/>
    <s v="PROCUREMENT"/>
    <s v="PRODUCTIVITY"/>
    <s v="SOURCING"/>
    <s v="Mechanical Parts &amp; Assemblies"/>
    <s v="IGT-D"/>
    <x v="3"/>
    <s v="IL1"/>
    <n v="0.2"/>
    <x v="393"/>
    <s v="India"/>
    <s v="Catalyst"/>
    <x v="0"/>
    <s v="Vijayanand"/>
    <x v="1"/>
    <m/>
  </r>
  <r>
    <n v="34734"/>
    <s v="Saurabh Agarwal"/>
    <s v="change paint supplier of Shanghai &amp; Osaka from Finia to ACE/Ruihong"/>
    <s v="Tim"/>
    <s v="Kalghatgi, Krishnaraj"/>
    <s v="PROCUREMENT"/>
    <s v="PRODUCTIVITY"/>
    <s v="SOURCING"/>
    <s v="Mechanical Parts &amp; Assemblies"/>
    <s v="OHC"/>
    <x v="2"/>
    <s v="IL2"/>
    <n v="0.5"/>
    <x v="269"/>
    <s v="India"/>
    <s v="Catalyst"/>
    <x v="0"/>
    <s v="Krishnaraj Kalghatgi"/>
    <x v="1"/>
    <m/>
  </r>
  <r>
    <s v="D001208382"/>
    <s v="Vijayanand Purushothaman"/>
    <s v="The MFP-1/ 16-CR-48BX tubing will be used to support the soldering of the P / N pins: 182.950.000.370.000, 182.957.000.370.000, and avoid the detachment of strands. The tubing will be extended in the welded part without reaching the PIN lock."/>
    <s v="Dan"/>
    <s v="Barve, Bhushan"/>
    <s v="N/A"/>
    <s v="LCM"/>
    <s v="SOURCING"/>
    <s v="Mechanical Parts &amp; Assemblies"/>
    <s v="MR"/>
    <x v="0"/>
    <s v="IL5"/>
    <n v="0.3"/>
    <x v="276"/>
    <s v="India"/>
    <s v="Catalyst"/>
    <x v="0"/>
    <s v="Bhushan Barve"/>
    <x v="1"/>
    <m/>
  </r>
  <r>
    <n v="28506"/>
    <s v="Vijayanand Purushothaman"/>
    <s v="STET : Mid Atlantic supply chain risk mitigation (T-1 &amp; T-2)"/>
    <s v="Dan"/>
    <s v="Barve, Bhushan"/>
    <s v="PROCUREMENT"/>
    <s v="PRODUCTIVITY"/>
    <s v="SOURCING"/>
    <s v="Key Components &amp; Electronics"/>
    <s v="MR"/>
    <x v="0"/>
    <s v="IL3"/>
    <n v="0.3"/>
    <x v="272"/>
    <s v="India"/>
    <s v="Catalyst"/>
    <x v="0"/>
    <s v="Bhushan Barve"/>
    <x v="1"/>
    <m/>
  </r>
  <r>
    <s v="CR155355"/>
    <s v="Vijayanand Purushothaman"/>
    <s v="SCR_1537_Tonfunk_TDK lambda Netzteil_4512-101-83771_obsolete"/>
    <s v="Dan"/>
    <s v="Barve, Bhushan"/>
    <s v="N/A"/>
    <s v="LCM"/>
    <s v="SOURCING"/>
    <s v="Key Components &amp; Electronics"/>
    <s v="CT/AMI"/>
    <x v="0"/>
    <s v="IL3"/>
    <n v="0.5"/>
    <x v="394"/>
    <s v="India"/>
    <s v="Catalyst"/>
    <x v="0"/>
    <s v="Bhushan Barve"/>
    <x v="1"/>
    <m/>
  </r>
  <r>
    <s v="CR162715"/>
    <s v="Vijayanand Purushothaman"/>
    <s v="XS CT Insourcing of HVI Supply 4512-101-82995"/>
    <s v="Dan"/>
    <s v="Barve, Bhushan"/>
    <s v="N/A"/>
    <s v="LCM"/>
    <s v="SOURCING"/>
    <s v="Key Components &amp; Electronics"/>
    <s v="CT/AMI"/>
    <x v="0"/>
    <s v="IL3"/>
    <n v="0.5"/>
    <x v="394"/>
    <s v="India"/>
    <s v="Catalyst"/>
    <x v="0"/>
    <s v="Bhushan Barve"/>
    <x v="1"/>
    <m/>
  </r>
  <r>
    <s v="MR00254676"/>
    <s v="Vijayanand Purushothaman"/>
    <s v="Shuttle RoHS COTS record 7 : ATC/ Passive plus series Capacitors with 7a exempti"/>
    <s v="Dan"/>
    <s v="Kar, Abhinandan"/>
    <s v="N/A"/>
    <s v="LCM"/>
    <s v="SOURCING"/>
    <s v="Mechanical Parts &amp; Assemblies"/>
    <s v="MR"/>
    <x v="0"/>
    <s v="IL3"/>
    <n v="1"/>
    <x v="395"/>
    <s v="India"/>
    <s v="Catalyst"/>
    <x v="0"/>
    <s v="Abhinandan Kar"/>
    <x v="1"/>
    <m/>
  </r>
  <r>
    <n v="33508"/>
    <s v="Siddarth"/>
    <s v="Arctronics De-risking to SFO for Wrist coils family"/>
    <s v="Phil"/>
    <s v="Kar, Abhinandan"/>
    <s v="PROCUREMENT"/>
    <s v="PRODUCTIVITY"/>
    <s v="SOURCING"/>
    <s v="Key Components &amp; Electronics"/>
    <s v="MR"/>
    <x v="0"/>
    <s v="IL3"/>
    <n v="1"/>
    <x v="396"/>
    <s v="India"/>
    <s v="Catalyst"/>
    <x v="0"/>
    <s v="Abhinandan Kar"/>
    <x v="1"/>
    <m/>
  </r>
  <r>
    <s v="GXRCQ00092489"/>
    <s v="Vijayanand Purushothaman"/>
    <s v="ASPEMN O2C - Dangerous Goods structure of BOM for lithium batteries"/>
    <s v="Dan"/>
    <s v="Kulkarni, Pravin"/>
    <s v="N/A"/>
    <s v="LCM"/>
    <s v="SOURCING"/>
    <s v="Mechanical Parts &amp; Assemblies"/>
    <s v="DXR"/>
    <x v="0"/>
    <s v="IL3"/>
    <n v="0.2"/>
    <x v="225"/>
    <s v="India"/>
    <s v="Catalyst"/>
    <x v="0"/>
    <s v="Pravin Kulkarni"/>
    <x v="1"/>
    <m/>
  </r>
  <r>
    <s v="GXRCQ00092492"/>
    <s v="Vijayanand Purushothaman"/>
    <s v="ASPEMN O2C - Dangerous Goods structure of BOM for lithium batteries"/>
    <s v="Dan"/>
    <s v="Kulkarni, Pravin"/>
    <s v="N/A"/>
    <s v="LCM"/>
    <s v="SOURCING"/>
    <s v="Mechanical Parts &amp; Assemblies"/>
    <s v="DXR"/>
    <x v="0"/>
    <s v="IL3"/>
    <n v="0.2"/>
    <x v="225"/>
    <s v="India"/>
    <s v="Catalyst"/>
    <x v="0"/>
    <s v="Pravin Kulkarni"/>
    <x v="1"/>
    <m/>
  </r>
  <r>
    <s v="GXRCQ00092496"/>
    <s v="Vijayanand Purushothaman"/>
    <s v="ASPEMN O2C - Dangerous Goods structure of BOM for lithium batteries"/>
    <s v="Dan"/>
    <s v="Kulkarni, Pravin"/>
    <s v="N/A"/>
    <s v="LCM"/>
    <s v="SOURCING"/>
    <s v="Mechanical Parts &amp; Assemblies"/>
    <s v="DXR"/>
    <x v="0"/>
    <s v="IL3"/>
    <n v="0.2"/>
    <x v="225"/>
    <s v="India"/>
    <s v="Catalyst"/>
    <x v="0"/>
    <s v="Pravin Kulkarni"/>
    <x v="1"/>
    <m/>
  </r>
  <r>
    <s v="GXRCQ00092497"/>
    <s v="Vijayanand Purushothaman"/>
    <s v="ASPEMN O2C - Dangerous Goods structure of BOM for lithium batteries"/>
    <s v="Dan"/>
    <s v="Kulkarni, Pravin"/>
    <s v="N/A"/>
    <s v="LCM"/>
    <s v="SOURCING"/>
    <s v="Mechanical Parts &amp; Assemblies"/>
    <s v="DXR"/>
    <x v="0"/>
    <s v="IL3"/>
    <n v="0.2"/>
    <x v="225"/>
    <s v="India"/>
    <s v="Catalyst"/>
    <x v="0"/>
    <s v="Pravin Kulkarni"/>
    <x v="1"/>
    <m/>
  </r>
  <r>
    <s v="COMP_ENG3"/>
    <s v="Vijayanand Purushothaman"/>
    <s v="PCBA Component Life Cycle Analysis"/>
    <s v="Dan"/>
    <s v="Purushothaman, Vijayanand"/>
    <s v="N/A"/>
    <s v="LCM"/>
    <s v="CONCEPT"/>
    <s v="Key Components &amp; Electronics"/>
    <s v="IGT-S"/>
    <x v="3"/>
    <s v="IL3"/>
    <n v="1"/>
    <x v="397"/>
    <s v="India"/>
    <s v="Catalyst"/>
    <x v="0"/>
    <s v="Vijayanand"/>
    <x v="1"/>
    <m/>
  </r>
  <r>
    <s v="LCM8"/>
    <s v="Vijayanand Purushothaman"/>
    <s v="IGT Mos AoS/ SICR/OCR mgmt"/>
    <s v="Dan"/>
    <s v="Purushothaman, Vijayanand"/>
    <s v="N/A"/>
    <s v="LCM"/>
    <s v="SOURCING"/>
    <s v="Mechanical Parts &amp; Assemblies"/>
    <s v="IGT-MoS"/>
    <x v="3"/>
    <s v="IL1"/>
    <n v="1"/>
    <x v="398"/>
    <s v="India"/>
    <s v="Catalyst"/>
    <x v="0"/>
    <s v="Vijayanand"/>
    <x v="1"/>
    <m/>
  </r>
  <r>
    <s v="GXRCQ00098604"/>
    <s v="Vijayanand Purushothaman"/>
    <s v="Label Printing at supplier Brady for the parts supplied by 17 Tier- 1 supplier"/>
    <s v="Dan"/>
    <s v="M R, Kiran"/>
    <s v="N/A"/>
    <s v="LCM"/>
    <s v="SOURCING"/>
    <s v="Mechanical Parts &amp; Assemblies"/>
    <s v="DXR"/>
    <x v="0"/>
    <s v="IL2"/>
    <n v="0.8"/>
    <x v="377"/>
    <s v="India"/>
    <s v="Catalyst"/>
    <x v="0"/>
    <s v="Ansha Simpi"/>
    <x v="1"/>
    <m/>
  </r>
  <r>
    <s v="GXRCQ00098678"/>
    <s v="Vijayanand Purushothaman"/>
    <s v="Label overview document updates for the systems and subsystems impacted in Varicut label transfer project for factory Suzhou"/>
    <s v="Dan"/>
    <s v="M R, Kiran"/>
    <s v="N/A"/>
    <s v="LCM"/>
    <s v="SOURCING"/>
    <s v="Mechanical Parts &amp; Assemblies"/>
    <s v="DXR"/>
    <x v="0"/>
    <s v="IL1"/>
    <n v="0.1"/>
    <x v="377"/>
    <s v="India"/>
    <s v="Catalyst"/>
    <x v="0"/>
    <s v="Ansha Simpi"/>
    <x v="1"/>
    <m/>
  </r>
  <r>
    <s v="GXRCQ00094422"/>
    <s v="Vijayanand Purushothaman"/>
    <s v="SCR Mediagnost Co.Ltd.22-0824 VM Spacer obsolesence"/>
    <s v="Dan"/>
    <s v="M R, Kiran"/>
    <s v="N/A"/>
    <s v="LCM"/>
    <s v="SOURCING"/>
    <s v="Mechanical Parts &amp; Assemblies"/>
    <s v="DXR"/>
    <x v="0"/>
    <s v="IL3"/>
    <n v="0.1"/>
    <x v="373"/>
    <s v="India"/>
    <s v="Catalyst"/>
    <x v="0"/>
    <s v="Ansha Simpi"/>
    <x v="1"/>
    <m/>
  </r>
  <r>
    <n v="35946"/>
    <s v="Vijayanand Purushothaman"/>
    <s v="Wave 4,5, 6 phase 2 packaging transfer"/>
    <s v="Dan"/>
    <s v="M R, Kiran"/>
    <s v="PROCUREMENT"/>
    <s v="PRODUCTIVITY"/>
    <s v="SOURCING"/>
    <s v="Mechanical Parts &amp; Assemblies"/>
    <s v="MR"/>
    <x v="0"/>
    <s v="IL4"/>
    <n v="1"/>
    <x v="399"/>
    <s v="India"/>
    <s v="Catalyst"/>
    <x v="0"/>
    <s v="Kiran MR"/>
    <x v="1"/>
    <m/>
  </r>
  <r>
    <n v="27157"/>
    <s v="Anil CS"/>
    <s v="STET:Project Vayu - Cluster 2 (VM) + Cables @ Bizlink"/>
    <s v="Phil"/>
    <s v="Srinivas, M.V.D"/>
    <s v="PROCUREMENT"/>
    <s v="LCM"/>
    <s v="CONCEPT"/>
    <s v="Mechanical Parts &amp; Assemblies"/>
    <s v="DXR"/>
    <x v="0"/>
    <s v="IL3"/>
    <n v="0.3"/>
    <x v="330"/>
    <s v="India"/>
    <s v="Catalyst"/>
    <x v="0"/>
    <s v="M.V.D Srinivas"/>
    <x v="1"/>
    <m/>
  </r>
  <r>
    <n v="36461"/>
    <s v="Kulasekhar (KK)"/>
    <s v="Repair wired footswitches"/>
    <s v="Dan"/>
    <s v="Purushothaman, Vijayanand"/>
    <s v="PROCUREMENT"/>
    <s v="PRODUCTIVITY"/>
    <s v="CONCEPT"/>
    <s v="Medical ODM Markets"/>
    <s v="IGT-S"/>
    <x v="3"/>
    <s v="IL1"/>
    <n v="0.1"/>
    <x v="238"/>
    <s v="India"/>
    <s v="Catalyst"/>
    <x v="0"/>
    <s v="Vijayanand"/>
    <x v="1"/>
    <m/>
  </r>
  <r>
    <n v="36460"/>
    <s v="Kulasekhar (KK)"/>
    <s v="3DWS-PC move to Techdata ( OoW)"/>
    <s v="Dan"/>
    <s v="Purushothaman, Vijayanand"/>
    <s v="PROCUREMENT"/>
    <s v="PRODUCTIVITY"/>
    <s v="SOURCING"/>
    <s v="Mechanical Parts &amp; Assemblies"/>
    <s v="IGT-S"/>
    <x v="3"/>
    <s v="IL1"/>
    <n v="0.1"/>
    <x v="238"/>
    <s v="India"/>
    <s v="Catalyst"/>
    <x v="0"/>
    <s v="Vijayanand"/>
    <x v="1"/>
    <m/>
  </r>
  <r>
    <s v="GXRCQ00097327"/>
    <s v="Vijayanand Purushothaman"/>
    <s v="Instalaltion improvement for Proxi Diagnost Floor Plate"/>
    <s v="Dan"/>
    <s v="M R, Kiran"/>
    <s v="N/A"/>
    <s v="LCM"/>
    <s v="SOURCING"/>
    <s v="Mechanical Parts &amp; Assemblies"/>
    <s v="DXR"/>
    <x v="0"/>
    <s v="IL3"/>
    <n v="0.1"/>
    <x v="224"/>
    <s v="India"/>
    <s v="Catalyst"/>
    <x v="0"/>
    <s v="Ansha Simpi"/>
    <x v="1"/>
    <m/>
  </r>
  <r>
    <n v="23170"/>
    <s v="Matt Morse"/>
    <s v="PV.035 RO Coil Material Change"/>
    <s v="Dan"/>
    <s v="Naik, Tushar"/>
    <s v="PROCUREMENT"/>
    <s v="PRODUCTIVITY"/>
    <s v="CONCEPT"/>
    <s v="Mechanical Parts &amp; Assemblies"/>
    <s v="IGT-D"/>
    <x v="3"/>
    <s v="IL1"/>
    <n v="0.5"/>
    <x v="380"/>
    <s v="India"/>
    <s v="Catalyst"/>
    <x v="0"/>
    <s v="Tushar Naik"/>
    <x v="1"/>
    <m/>
  </r>
  <r>
    <s v="GXRCQ00080868"/>
    <s v="Vijayanand Purushothaman"/>
    <s v="SCOPO UI Redesign"/>
    <s v="Dan"/>
    <s v="Sharma, Manish"/>
    <s v="N/A"/>
    <s v="LCM"/>
    <s v="CONCEPT"/>
    <s v="Key Components &amp; Electronics"/>
    <s v="DXR"/>
    <x v="0"/>
    <s v="IL3"/>
    <n v="0.4"/>
    <x v="400"/>
    <s v="India"/>
    <s v="Catalyst"/>
    <x v="0"/>
    <s v="Manish Sharma"/>
    <x v="1"/>
    <m/>
  </r>
  <r>
    <n v="30377"/>
    <s v="Vijayanand Purushothaman"/>
    <s v="Plastic machining transfer phase 2"/>
    <s v="Dan"/>
    <s v="M R, Kiran"/>
    <s v="PROCUREMENT"/>
    <s v="PRODUCTIVITY"/>
    <s v="SOURCING"/>
    <s v="Mechanical Parts &amp; Assemblies"/>
    <s v="MR"/>
    <x v="0"/>
    <s v="IL3"/>
    <n v="0.1"/>
    <x v="331"/>
    <s v="India"/>
    <s v="Catalyst"/>
    <x v="0"/>
    <s v="Kiran MR"/>
    <x v="1"/>
    <m/>
  </r>
  <r>
    <n v="33972"/>
    <s v="Vijayanand Purushothaman"/>
    <s v="Plastic machining phase 3"/>
    <s v="Dan"/>
    <s v="M R, Kiran"/>
    <s v="PROCUREMENT"/>
    <s v="PRODUCTIVITY"/>
    <s v="SOURCING"/>
    <s v="Mechanical Parts &amp; Assemblies"/>
    <s v="MR"/>
    <x v="0"/>
    <s v="IL2"/>
    <n v="0.4"/>
    <x v="331"/>
    <s v="India"/>
    <s v="Catalyst"/>
    <x v="0"/>
    <s v="Kiran MR"/>
    <x v="1"/>
    <m/>
  </r>
  <r>
    <n v="36461"/>
    <s v="Kulasekhar (KK)"/>
    <s v="Repair wired footswitches"/>
    <s v="Dan"/>
    <s v="Purushothaman, Vijayanand"/>
    <s v="PROCUREMENT"/>
    <s v="PRODUCTIVITY"/>
    <s v="CONCEPT"/>
    <s v="Medical ODM Markets"/>
    <s v="IGT-S"/>
    <x v="3"/>
    <s v="IL1"/>
    <n v="0.1"/>
    <x v="238"/>
    <s v="India"/>
    <s v="Catalyst"/>
    <x v="0"/>
    <s v="Vijayanand"/>
    <x v="1"/>
    <m/>
  </r>
  <r>
    <s v="ART-China"/>
    <s v="Vijayanand Purushothaman"/>
    <s v="LCM Support for China"/>
    <s v="Dan"/>
    <s v="Patil, Rajaram"/>
    <s v="N/A"/>
    <s v="LCM"/>
    <s v="SOURCING"/>
    <s v="Mechanical Parts &amp; Assemblies"/>
    <s v="IGT-S"/>
    <x v="3"/>
    <s v="IL3"/>
    <n v="1"/>
    <x v="401"/>
    <s v="India"/>
    <s v="Catalyst"/>
    <x v="0"/>
    <s v="Rajaram Patil"/>
    <x v="1"/>
    <m/>
  </r>
  <r>
    <s v="L&amp;A"/>
    <s v="N/A"/>
    <s v="MISC. ENTRY TO BALANCE WITH RESOURCE DATABASE"/>
    <s v="All"/>
    <s v="M R, Kiran"/>
    <s v="L&amp;A"/>
    <s v="L&amp;A"/>
    <s v="L&amp;A"/>
    <s v="L&amp;A"/>
    <s v="L&amp;A"/>
    <x v="4"/>
    <s v="L&amp;A"/>
    <n v="1"/>
    <x v="402"/>
    <s v="India"/>
    <s v="Catalyst"/>
    <x v="0"/>
    <s v="Kiran MR"/>
    <x v="1"/>
    <m/>
  </r>
  <r>
    <n v="35702"/>
    <s v="Pushkar Kulkarni"/>
    <s v="STET : Transfer of C-ARC Geometry from VDL to Raychem"/>
    <s v="Dan"/>
    <s v="Ponkshe, Mihir"/>
    <s v="PROCUREMENT"/>
    <s v="PRODUCTIVITY"/>
    <s v="SOURCING"/>
    <s v="Mechanical Parts &amp; Assemblies"/>
    <s v="IGT-MoS"/>
    <x v="3"/>
    <s v="IL3"/>
    <n v="0.8"/>
    <x v="279"/>
    <s v="India"/>
    <s v="Catalyst"/>
    <x v="0"/>
    <s v="Mihir Ponkshe"/>
    <x v="1"/>
    <m/>
  </r>
  <r>
    <s v="CR052511"/>
    <s v="Saurabh Agarwal"/>
    <s v="CR052511, CR-18-0381-Development, qualification and release to production of automated assembly operations at Philips Ontario for Inertia rings, E0091 PH_OHC_OHC_BTH, A"/>
    <s v="Tim"/>
    <s v="Naik, Tushar"/>
    <s v="N/A"/>
    <s v="LCM"/>
    <s v="SOURCING"/>
    <s v="Mechanical Parts &amp; Assemblies"/>
    <s v="OHC"/>
    <x v="2"/>
    <s v="IL3"/>
    <n v="0.3"/>
    <x v="234"/>
    <s v="India"/>
    <s v="Catalyst"/>
    <x v="0"/>
    <s v="Samatha Reddy "/>
    <x v="3"/>
    <m/>
  </r>
  <r>
    <s v="IGT-S Funnel Bulding Activities"/>
    <s v="Vijayanand Purushothaman"/>
    <s v="IGT-S Funnel Bulding Activities - IL0 to IL 2."/>
    <s v="Dan"/>
    <s v="Patil, Rajaram"/>
    <s v="N/A"/>
    <s v="LCM"/>
    <s v="SOURCING"/>
    <s v="Mechanical Parts &amp; Assemblies"/>
    <s v="IGT-S"/>
    <x v="3"/>
    <s v="IL0"/>
    <n v="0.25"/>
    <x v="242"/>
    <s v="India"/>
    <s v="Catalyst"/>
    <x v="0"/>
    <s v="Rajaram Patil"/>
    <x v="1"/>
    <m/>
  </r>
  <r>
    <s v="CR151831"/>
    <s v="Niranjan Kumar"/>
    <s v="X-Ray Shielding Parts Transfer"/>
    <s v="Dan"/>
    <s v="Rokde, Rajat"/>
    <s v="N/A"/>
    <s v="LCM"/>
    <s v="SOURCING"/>
    <s v="Mechanical Parts &amp; Assemblies"/>
    <s v="CT/AMI"/>
    <x v="0"/>
    <s v="IL2"/>
    <n v="0.3"/>
    <x v="244"/>
    <s v="India"/>
    <s v="Catalyst"/>
    <x v="0"/>
    <s v="Rajaram Patil"/>
    <x v="1"/>
    <m/>
  </r>
  <r>
    <s v="CR138121"/>
    <s v="Niranjan Kumar"/>
    <s v="Supplier Transfer of Shim due to Obsolescence"/>
    <s v="Dan"/>
    <s v="Rokde, Rajat"/>
    <s v="N/A"/>
    <s v="LCM"/>
    <s v="SOURCING"/>
    <s v="Mechanical Parts &amp; Assemblies"/>
    <s v="CT/AMI"/>
    <x v="0"/>
    <s v="IL1"/>
    <n v="0.1"/>
    <x v="244"/>
    <s v="India"/>
    <s v="Catalyst"/>
    <x v="0"/>
    <s v="Rajaram Patil"/>
    <x v="1"/>
    <m/>
  </r>
  <r>
    <s v="CR170230"/>
    <s v="Niranjan Kumar"/>
    <s v="Supplier Transfer of Label for Oilhose"/>
    <s v="Dan"/>
    <s v="Rokde, Rajat"/>
    <s v="N/A"/>
    <s v="AOS"/>
    <s v="SOURCING"/>
    <s v="Mechanical Parts &amp; Assemblies"/>
    <s v="CT/AMI"/>
    <x v="0"/>
    <s v="IL1"/>
    <n v="0.2"/>
    <x v="244"/>
    <s v="India"/>
    <s v="Catalyst"/>
    <x v="0"/>
    <s v="Rajaram Patil"/>
    <x v="1"/>
    <m/>
  </r>
  <r>
    <s v="CR155891"/>
    <s v="Niranjan Kumar"/>
    <s v="ZDFS Assembly BOM Modification"/>
    <s v="Dan"/>
    <s v="Rokde, Rajat"/>
    <s v="N/A"/>
    <s v="LCM"/>
    <s v="SOURCING"/>
    <s v="Mechanical Parts &amp; Assemblies"/>
    <s v="CT/AMI"/>
    <x v="0"/>
    <s v="IL2"/>
    <n v="0.3"/>
    <x v="244"/>
    <s v="India"/>
    <s v="Catalyst"/>
    <x v="0"/>
    <s v="Rajaram Patil"/>
    <x v="1"/>
    <m/>
  </r>
  <r>
    <s v="CR170853"/>
    <s v="Niranjan Kumar"/>
    <s v="Velara GS Supervisor PCBA BOM Transfer"/>
    <s v="Dan"/>
    <s v="Shetty, Siddarth Vishwanath"/>
    <s v="N/A"/>
    <s v="LCM"/>
    <s v="SOURCING"/>
    <s v="Key Components &amp; Electronics"/>
    <s v="CT/AMI"/>
    <x v="0"/>
    <s v="IL1"/>
    <n v="0.4"/>
    <x v="403"/>
    <s v="India"/>
    <s v="Catalyst"/>
    <x v="0"/>
    <s v="Siddarth Shetty"/>
    <x v="1"/>
    <m/>
  </r>
  <r>
    <s v="D001353365"/>
    <s v="Vijayanand Purushothaman"/>
    <s v="Process parameter changes during Thermoforming"/>
    <s v="Dan"/>
    <s v="M R, Kiran"/>
    <s v="N/A"/>
    <s v="LCM"/>
    <s v="SOURCING"/>
    <s v="Mechanical Parts &amp; Assemblies"/>
    <s v="MR"/>
    <x v="0"/>
    <s v="IL5"/>
    <n v="0.1"/>
    <x v="218"/>
    <s v="India"/>
    <s v="Catalyst"/>
    <x v="0"/>
    <s v="Kiran MR"/>
    <x v="1"/>
    <m/>
  </r>
  <r>
    <s v="D001379173"/>
    <s v="Siddarth"/>
    <s v="Request to use Hinge Covers fabricated using the previous DMR278535"/>
    <s v="Dan"/>
    <s v="M R, Kiran"/>
    <s v="N/A"/>
    <s v="LCM"/>
    <s v="SOURCING"/>
    <s v="Mechanical Parts &amp; Assemblies"/>
    <s v="MR"/>
    <x v="0"/>
    <s v="IL3"/>
    <n v="0.05"/>
    <x v="218"/>
    <s v="India"/>
    <s v="Catalyst"/>
    <x v="0"/>
    <s v="Kiran MR"/>
    <x v="1"/>
    <m/>
  </r>
  <r>
    <s v="D001294880"/>
    <s v="Vijayanand Purushothaman"/>
    <s v="Due to Supplier Process constraints in the manufacturing process also to avoid manufacturing issues Part marking details to be etched in the Part for which drawing to be updated."/>
    <s v="Dan"/>
    <s v="M R, Kiran"/>
    <s v="N/A"/>
    <s v="LCM"/>
    <s v="SOURCING"/>
    <s v="Mechanical Parts &amp; Assemblies"/>
    <s v="MR"/>
    <x v="0"/>
    <s v="IL5"/>
    <n v="0.05"/>
    <x v="218"/>
    <s v="India"/>
    <s v="Catalyst"/>
    <x v="0"/>
    <s v="Kiran MR"/>
    <x v="1"/>
    <m/>
  </r>
  <r>
    <s v="MR00253537"/>
    <s v="Siddarth"/>
    <s v="LBS SMPS connector -Issue resolve"/>
    <s v="Dan"/>
    <s v="M R, Kiran"/>
    <s v="N/A"/>
    <s v="LCM"/>
    <s v="SOURCING"/>
    <s v="Mechanical Parts &amp; Assemblies"/>
    <s v="MR"/>
    <x v="0"/>
    <s v="IL3"/>
    <n v="0.1"/>
    <x v="218"/>
    <s v="India"/>
    <s v="Catalyst"/>
    <x v="0"/>
    <s v="Kiran MR"/>
    <x v="1"/>
    <m/>
  </r>
  <r>
    <s v="CARTPDCUS2"/>
    <s v="Charles Moses"/>
    <s v="Carts PDC - Ultrasound Shelby NPI"/>
    <s v="Nishant"/>
    <s v="M R, Kiran"/>
    <s v="N/A"/>
    <s v="CART PDC"/>
    <s v="CONCEPT"/>
    <s v="Mechanical Parts &amp; Assemblies"/>
    <s v="US"/>
    <x v="0"/>
    <s v="IL2"/>
    <n v="1"/>
    <x v="404"/>
    <s v="India"/>
    <s v="Catalyst"/>
    <x v="0"/>
    <s v="Ansha Simpi"/>
    <x v="1"/>
    <m/>
  </r>
  <r>
    <s v="STET_IGTD000_747"/>
    <s v="Matt Morse"/>
    <s v="PIMr Monorail"/>
    <s v="Dan"/>
    <s v="Sharma, Manish"/>
    <s v="PROCUREMENT"/>
    <s v="PRODUCTIVITY"/>
    <s v="SOURCING"/>
    <s v="Mechanical Parts &amp; Assemblies"/>
    <s v="IGT-D"/>
    <x v="3"/>
    <s v="IL0"/>
    <n v="0.2"/>
    <x v="400"/>
    <s v="India"/>
    <s v="Catalyst"/>
    <x v="0"/>
    <s v="Manish Sharma"/>
    <x v="1"/>
    <m/>
  </r>
  <r>
    <s v="GXRCQ00082538"/>
    <s v="Vijayanand Purushothaman"/>
    <s v="SCOPO Controller Redesign"/>
    <s v="Dan"/>
    <s v="Sharma, Manish"/>
    <s v="N/A"/>
    <s v="LCM"/>
    <s v="CONCEPT"/>
    <s v="Key Components &amp; Electronics"/>
    <s v="DXR"/>
    <x v="0"/>
    <s v="IL3"/>
    <n v="0.4"/>
    <x v="400"/>
    <s v="India"/>
    <s v="Catalyst"/>
    <x v="0"/>
    <s v="Manish Sharma"/>
    <x v="1"/>
    <m/>
  </r>
  <r>
    <n v="31705"/>
    <s v="Matt Morse"/>
    <s v="Luer resourcing: resource savings, line down and NCR avoidance soft savings"/>
    <s v="Dan"/>
    <s v="Purushothaman, Vijayanand"/>
    <s v="PROCUREMENT"/>
    <s v="PRODUCTIVITY"/>
    <s v="TCO"/>
    <s v="Mechanical Parts &amp; Assemblies"/>
    <s v="IGT-D"/>
    <x v="3"/>
    <s v="IL2"/>
    <n v="0.1"/>
    <x v="393"/>
    <s v="India"/>
    <s v="Catalyst"/>
    <x v="0"/>
    <s v="Vijayanand"/>
    <x v="1"/>
    <m/>
  </r>
  <r>
    <n v="31705"/>
    <s v="Matt Morse"/>
    <s v="Luer resourcing: resource savings, line down and NCR avoidance soft savings"/>
    <s v="Dan"/>
    <s v="Morse, Matt"/>
    <s v="PROCUREMENT"/>
    <s v="PRODUCTIVITY"/>
    <s v="TCO"/>
    <s v="Mechanical Parts &amp; Assemblies"/>
    <s v="IGT-D"/>
    <x v="3"/>
    <s v="IL2"/>
    <n v="0.25"/>
    <x v="294"/>
    <s v="India"/>
    <s v="Catalyst"/>
    <x v="0"/>
    <s v="Matt Morse"/>
    <x v="1"/>
    <m/>
  </r>
  <r>
    <s v="GXRCQ00080868"/>
    <s v="Vijayanand Purushothaman"/>
    <s v="SCOPO UI Redesign"/>
    <s v="Dan"/>
    <s v="Kumar, Niranjan"/>
    <s v="N/A"/>
    <s v="LCM"/>
    <s v="CONCEPT"/>
    <s v="Key Components &amp; Electronics"/>
    <s v="DXR"/>
    <x v="0"/>
    <s v="IL3"/>
    <n v="1"/>
    <x v="405"/>
    <s v="India"/>
    <s v="Catalyst"/>
    <x v="0"/>
    <s v="Niranjan Kumar"/>
    <x v="1"/>
    <m/>
  </r>
  <r>
    <s v="SRC Feasibility 3"/>
    <s v="Kulasekhar (KK)"/>
    <s v="Everflo Flowmeter, Everflo Rear Cover Plastic Bracket &amp; SimplyGo Mini Front Cover LCD Screen"/>
    <s v="Dan"/>
    <s v="Dharmadhikari, Makarand Pandharinath"/>
    <s v="TCO"/>
    <s v="PRODUCTIVITY"/>
    <s v="CONCEPT"/>
    <s v="Mechanical Parts &amp; Assemblies"/>
    <s v="SRC"/>
    <x v="1"/>
    <s v="IL0"/>
    <n v="0.2"/>
    <x v="323"/>
    <s v="India"/>
    <s v="Catalyst"/>
    <x v="0"/>
    <s v="Makarand Pandharinath Dharmadhikari"/>
    <x v="1"/>
    <m/>
  </r>
  <r>
    <s v="CR170853"/>
    <s v="Niranjan Kumar"/>
    <s v="Velara GS Supervisor PCBA BOM Transfer"/>
    <s v="Dan"/>
    <s v="Sharma, Manish"/>
    <s v="N/A"/>
    <s v="LCM"/>
    <s v="SOURCING"/>
    <s v="Key Components &amp; Electronics"/>
    <s v="CT/AMI"/>
    <x v="0"/>
    <s v="IL1"/>
    <n v="0.3"/>
    <x v="350"/>
    <s v="India"/>
    <s v="Catalyst"/>
    <x v="0"/>
    <s v="Manish Sharma"/>
    <x v="1"/>
    <m/>
  </r>
  <r>
    <s v="GXRCQ00085490"/>
    <s v="Vijayanand Purushothaman"/>
    <s v="Product Discontinuation PD_112_17 Infineon SAB-C167 for Bucky Unit 2 Digital"/>
    <s v="Dan"/>
    <s v="Kulkarni, Pravin"/>
    <s v="N/A"/>
    <s v="LCM"/>
    <s v="SOURCING"/>
    <s v="Key Components &amp; Electronics"/>
    <s v="DXR"/>
    <x v="0"/>
    <s v="IL3"/>
    <n v="0.2"/>
    <x v="406"/>
    <s v="India"/>
    <s v="Catalyst"/>
    <x v="0"/>
    <s v="Pravin Kulkarni"/>
    <x v="1"/>
    <m/>
  </r>
  <r>
    <s v="GXRCQ00098787"/>
    <s v="Vijayanand Purushothaman"/>
    <s v="New spare part introduction for drag chain and add cable ties &amp; Tensioning strap to existing FRU's"/>
    <s v="Dan"/>
    <s v="Srinivas, M.V.D"/>
    <s v="N/A"/>
    <s v="AOS"/>
    <s v="SOURCING"/>
    <s v="Mechanical Parts &amp; Assemblies"/>
    <s v="DXR"/>
    <x v="0"/>
    <s v="IL1"/>
    <n v="0.2"/>
    <x v="330"/>
    <s v="India"/>
    <s v="Catalyst"/>
    <x v="0"/>
    <s v="M.V.D Srinivas"/>
    <x v="1"/>
    <m/>
  </r>
  <r>
    <s v="GXRCQ00095523"/>
    <s v="Vijayanand Purushothaman"/>
    <s v="Reduce length of exposed wires X14 tubemount"/>
    <s v="Dan"/>
    <s v="Kulkarni, Pravin"/>
    <s v="N/A"/>
    <s v="LCM"/>
    <s v="SOURCING"/>
    <s v="Key Components &amp; Electronics"/>
    <s v="DXR"/>
    <x v="0"/>
    <s v="IL3"/>
    <n v="0.5"/>
    <x v="406"/>
    <s v="India"/>
    <s v="Catalyst"/>
    <x v="0"/>
    <s v="Pravin Kulkarni"/>
    <x v="1"/>
    <m/>
  </r>
  <r>
    <s v="GXRCQ00095523"/>
    <s v="Vijayanand Purushothaman"/>
    <s v="Reduce length of exposed wires X14 tubemount"/>
    <s v="Dan"/>
    <s v="Kulkarni, Pravin"/>
    <s v="N/A"/>
    <s v="LCM"/>
    <s v="SOURCING"/>
    <s v="Key Components &amp; Electronics"/>
    <s v="DXR"/>
    <x v="0"/>
    <s v="IL3"/>
    <n v="0.3"/>
    <x v="406"/>
    <s v="India"/>
    <s v="Catalyst"/>
    <x v="0"/>
    <s v="Pravin Kulkarni"/>
    <x v="1"/>
    <m/>
  </r>
  <r>
    <n v="31313"/>
    <s v="Vijayanand Purushothaman"/>
    <s v="TH2 Phase II: LCC prescribed material"/>
    <s v="Dan"/>
    <s v="Kulkarni, Pravin"/>
    <s v="PROCUREMENT"/>
    <s v="PRODUCTIVITY"/>
    <s v="CONCEPT"/>
    <s v="Mechanical Parts &amp; Assemblies"/>
    <s v="DXR"/>
    <x v="0"/>
    <s v="IL2"/>
    <n v="0.5"/>
    <x v="309"/>
    <s v="India"/>
    <s v="Catalyst"/>
    <x v="0"/>
    <s v="Pravin Kulkarni"/>
    <x v="1"/>
    <m/>
  </r>
  <r>
    <s v="LCM8"/>
    <s v="Vijayanand Purushothaman"/>
    <s v="IGT Mos AoS/ SICR/OCR mgmt"/>
    <s v="Dan"/>
    <s v="Ponkshe, Mihir"/>
    <s v="N/A"/>
    <s v="LCM"/>
    <s v="SOURCING"/>
    <s v="Mechanical Parts &amp; Assemblies"/>
    <s v="IGT-MoS"/>
    <x v="3"/>
    <s v="IL1"/>
    <n v="0.3"/>
    <x v="280"/>
    <s v="India"/>
    <s v="Catalyst"/>
    <x v="0"/>
    <s v="Mihir Ponkshe"/>
    <x v="1"/>
    <m/>
  </r>
  <r>
    <s v="STET_IGTD000_107"/>
    <s v="Matt Morse"/>
    <s v="IntraSight HLA Cost Reduction"/>
    <s v="Dan"/>
    <s v="Sharma, Manish"/>
    <s v="PROCUREMENT"/>
    <s v="PRODUCTIVITY"/>
    <s v="SOURCING"/>
    <s v="Mechanical Parts &amp; Assemblies"/>
    <s v="IGT-D"/>
    <x v="3"/>
    <s v="IL0"/>
    <n v="0.4"/>
    <x v="352"/>
    <s v="India"/>
    <s v="Catalyst"/>
    <x v="0"/>
    <s v="Manish Sharma"/>
    <x v="1"/>
    <m/>
  </r>
  <r>
    <s v="L&amp;A"/>
    <s v="N/A"/>
    <s v="MISC. ENTRY TO BALANCE WITH RESOURCE DATABASE"/>
    <s v="All"/>
    <s v="Purushothaman, Vijayanand"/>
    <s v="L&amp;A"/>
    <s v="L&amp;A"/>
    <s v="L&amp;A"/>
    <s v="L&amp;A"/>
    <s v="L&amp;A"/>
    <x v="4"/>
    <s v="L&amp;A"/>
    <n v="0.6"/>
    <x v="250"/>
    <s v="India"/>
    <s v="Catalyst"/>
    <x v="0"/>
    <s v="Vijayanand"/>
    <x v="1"/>
    <m/>
  </r>
  <r>
    <s v="PH_ZETA_CI_2024"/>
    <s v="Sushruth"/>
    <s v="MLD Zeta CI 2024 (Commercial Innovation)"/>
    <s v="Tim"/>
    <s v="Shetty, Siddarth Vishwanath"/>
    <s v="N/A"/>
    <s v="LCM"/>
    <s v="SOURCING"/>
    <s v="Mechanical Parts &amp; Assemblies"/>
    <s v="GB"/>
    <x v="2"/>
    <s v="IL3"/>
    <n v="0.5"/>
    <x v="102"/>
    <s v="India"/>
    <s v="Catalyst"/>
    <x v="0"/>
    <s v="Siddarth Shetty"/>
    <x v="1"/>
    <m/>
  </r>
  <r>
    <s v="CR158904"/>
    <s v="Vijayanand Purushothaman"/>
    <s v="Laser marking of contact sleeves 4512-148-69091"/>
    <s v="Dan"/>
    <s v="Dharmadhikari, Makarand Pandharinath"/>
    <s v="N/A"/>
    <s v="LCM"/>
    <s v="SOURCING"/>
    <s v="Mechanical Parts &amp; Assemblies"/>
    <s v="CT/AMI"/>
    <x v="0"/>
    <s v="IL3"/>
    <n v="0.15"/>
    <x v="371"/>
    <s v="India"/>
    <s v="Catalyst"/>
    <x v="0"/>
    <s v="Makarand Pandharinath Dharmadhikari"/>
    <x v="1"/>
    <m/>
  </r>
  <r>
    <s v="HPMLCM004"/>
    <s v="Viraj Bhagwat"/>
    <s v="PCBA Refresh"/>
    <s v="Nishant"/>
    <s v="Sharma, Manish"/>
    <s v="N/A"/>
    <s v="LCM"/>
    <s v="SOURCING"/>
    <s v="Mechanical Parts &amp; Assemblies"/>
    <s v="HPM"/>
    <x v="1"/>
    <s v="IL3"/>
    <n v="0.7"/>
    <x v="351"/>
    <s v="India"/>
    <s v="Catalyst"/>
    <x v="0"/>
    <s v="Manish Sharma"/>
    <x v="1"/>
    <m/>
  </r>
  <r>
    <s v="PCBA-RISK-MITIGATION"/>
    <s v="Pushkar Kulkarni"/>
    <s v="PCBA remediation for 4 boards"/>
    <s v="Dan"/>
    <s v="Kumar, Niranjan"/>
    <s v="N/A"/>
    <s v="LCM"/>
    <s v="SOURCING"/>
    <s v="Key Components &amp; Electronics"/>
    <s v="IGT-MoS"/>
    <x v="3"/>
    <s v="IL1"/>
    <n v="0.5"/>
    <x v="407"/>
    <s v="India"/>
    <s v="Catalyst"/>
    <x v="0"/>
    <s v="Niranjan Kumar"/>
    <x v="1"/>
    <m/>
  </r>
  <r>
    <s v="EOS extension"/>
    <s v="Pushkar Kulkarni"/>
    <s v="EOS extension for Endura and Veradius"/>
    <s v="Dan"/>
    <s v="Kumar, Niranjan"/>
    <s v="N/A"/>
    <s v="LCM"/>
    <s v="SOURCING"/>
    <s v="Key Components &amp; Electronics"/>
    <s v="IGT-MoS"/>
    <x v="3"/>
    <s v="IL0"/>
    <n v="0.3"/>
    <x v="407"/>
    <s v="India"/>
    <s v="Catalyst"/>
    <x v="0"/>
    <s v="Niranjan Kumar"/>
    <x v="1"/>
    <m/>
  </r>
  <r>
    <s v="SCU-rev3"/>
    <s v="Pushkar Kulkarni"/>
    <s v="SCU harmonization"/>
    <s v="Dan"/>
    <s v="Kumar, Niranjan"/>
    <s v="N/A"/>
    <s v="LCM"/>
    <s v="SOURCING"/>
    <s v="Key Components &amp; Electronics"/>
    <s v="IGT-MoS"/>
    <x v="3"/>
    <s v="IL0"/>
    <n v="0.2"/>
    <x v="407"/>
    <s v="India"/>
    <s v="Catalyst"/>
    <x v="0"/>
    <s v="Niranjan Kumar"/>
    <x v="1"/>
    <m/>
  </r>
  <r>
    <s v="CR168133"/>
    <s v="Niranjan Kumar"/>
    <s v="Saturn Coldplate design simplification"/>
    <s v="Dan"/>
    <s v="Dharmadhikari, Makarand Pandharinath"/>
    <s v="N/A"/>
    <s v="AOS"/>
    <s v="SOURCING"/>
    <s v="Mechanical Parts &amp; Assemblies"/>
    <s v="CT/AMI"/>
    <x v="0"/>
    <s v="IL3"/>
    <n v="0.15"/>
    <x v="371"/>
    <s v="India"/>
    <s v="Catalyst"/>
    <x v="0"/>
    <s v="Makarand Pandharinath Dharmadhikari"/>
    <x v="1"/>
    <m/>
  </r>
  <r>
    <s v="CR161662"/>
    <s v="Niranjan Kumar"/>
    <s v="MRC200_RMW_Can cable_SICR20220817012B"/>
    <s v="Dan"/>
    <s v="Dharmadhikari, Makarand Pandharinath"/>
    <s v="N/A"/>
    <s v="AOS"/>
    <s v="SOURCING"/>
    <s v="Mechanical Parts &amp; Assemblies"/>
    <s v="CT/AMI"/>
    <x v="0"/>
    <s v="IL1"/>
    <n v="0.25"/>
    <x v="371"/>
    <s v="India"/>
    <s v="Catalyst"/>
    <x v="0"/>
    <s v="Makarand Pandharinath Dharmadhikari"/>
    <x v="1"/>
    <m/>
  </r>
  <r>
    <n v="36653"/>
    <s v="Matt Morse"/>
    <s v="Capture Productivity Savings - Refinity molds transfer to Viant"/>
    <s v="Dan"/>
    <s v="Patil, Rajaram"/>
    <s v="PROCUREMENT"/>
    <s v="PRODUCTIVITY"/>
    <s v="SOURCING"/>
    <s v="Mechanical Parts &amp; Assemblies"/>
    <s v="IGT-D"/>
    <x v="3"/>
    <s v="IL2"/>
    <n v="0.75"/>
    <x v="387"/>
    <s v="India"/>
    <s v="Catalyst"/>
    <x v="0"/>
    <s v="Tushar Naik"/>
    <x v="1"/>
    <m/>
  </r>
  <r>
    <s v="D001378215"/>
    <s v="Pushkar Kulkarni"/>
    <s v="Part obsolescence ( DCR- 294 ), Part#: 452209042651 ' is obsolete. . MFR part# SLA-370MT3F MFR : ROHM SEMICONDUCTOR. Alternate proposal not available"/>
    <s v="Dan"/>
    <s v="Bhandari, Priyanka"/>
    <s v="N/A"/>
    <s v="LCM"/>
    <s v="SOURCING"/>
    <s v="Key Components &amp; Electronics"/>
    <s v="IGT-MoS"/>
    <x v="3"/>
    <s v="IL3"/>
    <n v="0.2"/>
    <x v="248"/>
    <s v="India"/>
    <s v="Catalyst"/>
    <x v="0"/>
    <s v="Priyanka Bhandari"/>
    <x v="1"/>
    <m/>
  </r>
  <r>
    <s v="CR141104"/>
    <s v="Niranjan Kumar"/>
    <s v="Apollo Cables - RMW Transfer"/>
    <s v="Dan"/>
    <s v="Shetty, Siddarth Vishwanath"/>
    <s v="N/A"/>
    <s v="AOS"/>
    <s v="SOURCING"/>
    <s v="Key Components &amp; Electronics"/>
    <s v="CT/AMI"/>
    <x v="0"/>
    <s v="IL3"/>
    <n v="0.1"/>
    <x v="403"/>
    <s v="India"/>
    <s v="Catalyst"/>
    <x v="0"/>
    <s v="Siddarth Shetty"/>
    <x v="1"/>
    <m/>
  </r>
  <r>
    <n v="36653"/>
    <s v="Matt Morse"/>
    <s v="Capture Productivity Savings - Refinity molds transfer to Viant"/>
    <s v="Dan"/>
    <s v="Naik, Tushar"/>
    <s v="PROCUREMENT"/>
    <s v="PRODUCTIVITY"/>
    <s v="SOURCING"/>
    <s v="Mechanical Parts &amp; Assemblies"/>
    <s v="IGT-D"/>
    <x v="3"/>
    <s v="IL2"/>
    <n v="0.2"/>
    <x v="408"/>
    <s v="India"/>
    <s v="Catalyst"/>
    <x v="0"/>
    <s v="Tushar Naik"/>
    <x v="1"/>
    <m/>
  </r>
  <r>
    <n v="62086"/>
    <s v="Sushruth"/>
    <s v="Sigma repeat mold capacity extension"/>
    <s v="Tim"/>
    <s v="Naik, Tushar"/>
    <s v="N/A"/>
    <s v="LCM"/>
    <s v="CONCEPT"/>
    <s v="Mechanical Parts &amp; Assemblies"/>
    <s v="GB"/>
    <x v="2"/>
    <s v="IL3"/>
    <n v="1"/>
    <x v="409"/>
    <s v="India"/>
    <s v="Catalyst"/>
    <x v="0"/>
    <s v="Tushar Naik"/>
    <x v="1"/>
    <m/>
  </r>
  <r>
    <s v="CARTPDCUS2"/>
    <s v="Charles Moses"/>
    <s v="Carts PDC - Ultrasound Shelby NPI"/>
    <s v="Nishant"/>
    <s v="Naik, Tushar"/>
    <s v="N/A"/>
    <s v="CART PDC"/>
    <s v="CONCEPT"/>
    <s v="Mechanical Parts &amp; Assemblies"/>
    <s v="US"/>
    <x v="0"/>
    <s v="IL2"/>
    <n v="0.8"/>
    <x v="408"/>
    <s v="India"/>
    <s v="Catalyst"/>
    <x v="0"/>
    <s v="Tushar Naik"/>
    <x v="1"/>
    <m/>
  </r>
  <r>
    <n v="36360"/>
    <s v="Vijayanand Purushothaman"/>
    <s v="Non Blue Dragon-Roosen Exit (Roosen, Exerion, Fastron)"/>
    <s v="Dan"/>
    <s v="Purushothaman, Vijayanand"/>
    <s v="PROCUREMENT"/>
    <s v="PRODUCTIVITY"/>
    <s v="CONCEPT"/>
    <s v="Mechanical Parts &amp; Assemblies"/>
    <s v="IGT-S"/>
    <x v="3"/>
    <s v="IL2"/>
    <n v="0.1"/>
    <x v="243"/>
    <s v="India"/>
    <s v="Catalyst"/>
    <x v="0"/>
    <s v="Vijayanand"/>
    <x v="1"/>
    <m/>
  </r>
  <r>
    <n v="34910"/>
    <s v="Saravana"/>
    <s v="Transfer of IGT clip rail systems (from Optiwa) to a different supplier MDC - LCM ART Osprey"/>
    <s v="Dan"/>
    <s v="Purushothaman, Vijayanand"/>
    <s v="PROCUREMENT"/>
    <s v="PRODUCTIVITY"/>
    <s v="SOURCING"/>
    <s v="Medical ODM Markets"/>
    <s v="IGT-S"/>
    <x v="3"/>
    <s v="IL1"/>
    <n v="0.05"/>
    <x v="243"/>
    <s v="India"/>
    <s v="Catalyst"/>
    <x v="0"/>
    <s v="Vijayanand"/>
    <x v="1"/>
    <m/>
  </r>
  <r>
    <n v="33950"/>
    <s v="Viraj Bhagwat"/>
    <s v="ATL Alar connector manufacturing automation"/>
    <s v="Nishant"/>
    <s v="Purushothaman, Vijayanand"/>
    <s v="PROCUREMENT"/>
    <s v="PRODUCTIVITY"/>
    <s v="SOURCING"/>
    <s v="Key Components &amp; Electronics"/>
    <s v="HPM"/>
    <x v="1"/>
    <s v="IL3"/>
    <n v="0.2"/>
    <x v="246"/>
    <s v="India"/>
    <s v="Catalyst"/>
    <x v="0"/>
    <s v="Vijayanand"/>
    <x v="1"/>
    <m/>
  </r>
  <r>
    <n v="28153"/>
    <s v="Vijayanand Purushothaman"/>
    <s v="Monitor CS for 1 Monitor (Eth) Cost out version"/>
    <s v="Dan"/>
    <s v="Shetty, Siddarth Vishwanath"/>
    <s v="PROCUREMENT"/>
    <s v="PRODUCTIVITY"/>
    <s v="SOURCING"/>
    <s v="Mechanical Parts &amp; Assemblies"/>
    <s v="DXR"/>
    <x v="0"/>
    <s v="IL3"/>
    <n v="0.5"/>
    <x v="410"/>
    <s v="India"/>
    <s v="Catalyst"/>
    <x v="0"/>
    <s v="Siddarth Shetty"/>
    <x v="1"/>
    <m/>
  </r>
  <r>
    <n v="32930"/>
    <s v="Vijayanand Purushothaman"/>
    <s v="Combi base plate resourcing"/>
    <s v="Dan"/>
    <s v="Shetty, Siddarth Vishwanath"/>
    <s v="PROCUREMENT"/>
    <s v="PRODUCTIVITY"/>
    <s v="SOURCING"/>
    <s v="Mechanical Parts &amp; Assemblies"/>
    <s v="DXR"/>
    <x v="0"/>
    <s v="IL2"/>
    <n v="0.5"/>
    <x v="410"/>
    <s v="India"/>
    <s v="Catalyst"/>
    <x v="0"/>
    <s v="Siddarth Shetty"/>
    <x v="1"/>
    <m/>
  </r>
  <r>
    <s v="MR00249616"/>
    <s v="Vijayanand Purushothaman"/>
    <s v="Adapter RI-X3"/>
    <s v="Dan"/>
    <s v="Kar, Abhinandan"/>
    <s v="N/A"/>
    <s v="LCM"/>
    <s v="SOURCING"/>
    <s v="Key Components &amp; Electronics"/>
    <s v="MR"/>
    <x v="0"/>
    <s v="IL2"/>
    <n v="1"/>
    <x v="411"/>
    <s v="India"/>
    <s v="Catalyst"/>
    <x v="0"/>
    <s v="Siddarth Shetty"/>
    <x v="1"/>
    <m/>
  </r>
  <r>
    <n v="36318"/>
    <s v="Vijayanand Purushothaman"/>
    <s v="Non Blue Dragon-Roosen Exit (Roosen, Exerion, Fastron)"/>
    <s v="Dan"/>
    <s v="Patil, Rajaram"/>
    <s v="PROCUREMENT"/>
    <s v="PRODUCTIVITY"/>
    <s v="CONCEPT"/>
    <s v="Mechanical Parts &amp; Assemblies"/>
    <s v="IGT-S"/>
    <x v="3"/>
    <s v="IL2"/>
    <n v="0.25"/>
    <x v="242"/>
    <s v="India"/>
    <s v="Catalyst"/>
    <x v="0"/>
    <s v="Rajaram Patil"/>
    <x v="1"/>
    <m/>
  </r>
  <r>
    <s v="D001178627"/>
    <s v="Vijayanand Purushothaman"/>
    <s v="EOL Molex Receptacle housing &amp; Crimp terminal"/>
    <s v="Dan"/>
    <s v="Bhandari, Priyanka"/>
    <s v="N/A"/>
    <s v="LCM"/>
    <s v="SOURCING"/>
    <s v="Key Components &amp; Electronics"/>
    <s v="IGT-MoS"/>
    <x v="3"/>
    <s v="IL3"/>
    <n v="0.2"/>
    <x v="335"/>
    <s v="India"/>
    <s v="Catalyst"/>
    <x v="0"/>
    <s v="Priyanka Bhandari"/>
    <x v="1"/>
    <m/>
  </r>
  <r>
    <s v="SCU-rev3"/>
    <s v="Pushkar Kulkarni"/>
    <s v="SCU harmonization"/>
    <s v="Dan"/>
    <s v="Sharma, Manish"/>
    <s v="N/A"/>
    <s v="LCM"/>
    <s v="SOURCING"/>
    <s v="Key Components &amp; Electronics"/>
    <s v="IGT-MoS"/>
    <x v="3"/>
    <s v="IL0"/>
    <n v="1"/>
    <x v="412"/>
    <s v="India"/>
    <s v="Catalyst"/>
    <x v="0"/>
    <s v="Manish Sharma"/>
    <x v="1"/>
    <m/>
  </r>
  <r>
    <n v="33506"/>
    <s v="Siddarth"/>
    <s v="Arctronics De-risking to SFO for Small Extremity coils family"/>
    <s v="Phil"/>
    <s v="Shetty, Siddarth Vishwanath"/>
    <s v="PROCUREMENT"/>
    <s v="PRODUCTIVITY"/>
    <s v="SOURCING"/>
    <s v="Key Components &amp; Electronics"/>
    <s v="MR"/>
    <x v="0"/>
    <s v="IL3"/>
    <n v="1"/>
    <x v="413"/>
    <s v="India"/>
    <s v="Catalyst"/>
    <x v="0"/>
    <s v="Siddarth Shetty"/>
    <x v="1"/>
    <m/>
  </r>
  <r>
    <n v="23596"/>
    <s v="Saurabh Agarwal"/>
    <s v="Zoom Lamp -- Shift supplier of PCBA from MSD to Preferred"/>
    <s v="Tim"/>
    <s v="Kalghatgi, Krishnaraj"/>
    <s v="PROCUREMENT"/>
    <s v="PRODUCTIVITY"/>
    <s v="SOURCING"/>
    <s v="Key Components &amp; Electronics"/>
    <s v="OHC"/>
    <x v="2"/>
    <s v="IL3"/>
    <n v="0.5"/>
    <x v="247"/>
    <s v="India"/>
    <s v="Catalyst"/>
    <x v="0"/>
    <s v="Krishnaraj Kalghatgi"/>
    <x v="1"/>
    <m/>
  </r>
  <r>
    <n v="33179"/>
    <s v="Saurabh Agarwal"/>
    <s v="DC Round Triton 2nd Source (add an alternate source to PIE). Aohai, Suntrong, and Tenpao contenders. Initial rollout target Cairo I."/>
    <s v="Tim"/>
    <s v="Kalghatgi, Krishnaraj"/>
    <s v="PROCUREMENT"/>
    <s v="PRODUCTIVITY"/>
    <s v="CONCEPT"/>
    <s v="Key Components &amp; Electronics"/>
    <s v="OHC"/>
    <x v="2"/>
    <s v="IL3"/>
    <n v="0.1"/>
    <x v="247"/>
    <s v="India"/>
    <s v="Catalyst"/>
    <x v="0"/>
    <s v="Krishnaraj Kalghatgi"/>
    <x v="1"/>
    <m/>
  </r>
  <r>
    <s v="CR174438"/>
    <s v="Saurabh Agarwal"/>
    <s v="China WPT Project"/>
    <s v="Tim"/>
    <s v="Kalghatgi, Krishnaraj"/>
    <s v="N/A"/>
    <s v="LCM"/>
    <s v="SOURCING"/>
    <s v="Personal Health"/>
    <s v="OHC"/>
    <x v="2"/>
    <s v="IL2"/>
    <n v="0.3"/>
    <x v="247"/>
    <s v="India"/>
    <s v="Catalyst"/>
    <x v="0"/>
    <s v="Krishnaraj Kalghatgi"/>
    <x v="1"/>
    <m/>
  </r>
  <r>
    <n v="30576"/>
    <s v="Vijayanand Purushothaman"/>
    <s v="Stitching ruler LCC (Didi/C50/C90)"/>
    <s v="Dan"/>
    <s v="Shetty, Siddarth Vishwanath"/>
    <s v="PROCUREMENT"/>
    <s v="PRODUCTIVITY"/>
    <s v="SOURCING"/>
    <s v="Mechanical Parts &amp; Assemblies"/>
    <s v="DXR"/>
    <x v="0"/>
    <s v="IL2"/>
    <n v="0.2"/>
    <x v="414"/>
    <s v="India"/>
    <s v="Catalyst"/>
    <x v="0"/>
    <s v="Siddarth Shetty"/>
    <x v="1"/>
    <m/>
  </r>
  <r>
    <s v="CR174438"/>
    <s v="Saurabh Agarwal"/>
    <s v="China WPT Project"/>
    <s v="Tim"/>
    <s v="Kumar, Niranjan"/>
    <s v="N/A"/>
    <s v="LCM"/>
    <s v="SOURCING"/>
    <s v="Personal Health"/>
    <s v="OHC"/>
    <x v="2"/>
    <s v="IL2"/>
    <n v="1"/>
    <x v="415"/>
    <s v="India"/>
    <s v="Catalyst"/>
    <x v="0"/>
    <s v="Niranjan Kumar"/>
    <x v="1"/>
    <m/>
  </r>
  <r>
    <n v="31328"/>
    <s v="Saurabh Agarwal"/>
    <s v="Molding DFX - Change of resin material for Sydney Housing - Styrolution (PA-ABS NM11) to LG Korea (PA-ABS 5006AH) Dental White - Batam"/>
    <s v="Tim"/>
    <s v="Srinivas, M.V.D"/>
    <s v="PROCUREMENT"/>
    <s v="AOS"/>
    <s v="CONCEPT"/>
    <s v="Mechanical Parts &amp; Assemblies"/>
    <s v="OHC"/>
    <x v="2"/>
    <s v="IL3"/>
    <n v="0.2"/>
    <x v="245"/>
    <s v="India"/>
    <s v="Catalyst"/>
    <x v="0"/>
    <s v="M.V.D Srinivas"/>
    <x v="1"/>
    <m/>
  </r>
  <r>
    <s v="COMP_ENG4"/>
    <s v="Vijayanand Purushothaman"/>
    <s v="PCBA Component Life Cycle Analysis"/>
    <s v="Dan"/>
    <s v="Kalghatgi, Krishnaraj"/>
    <s v="N/A"/>
    <s v="LCM"/>
    <s v="CONCEPT"/>
    <s v="Key Components &amp; Electronics"/>
    <s v="IGT-MoS"/>
    <x v="3"/>
    <s v="IL3"/>
    <n v="1"/>
    <x v="416"/>
    <s v="India"/>
    <s v="Catalyst"/>
    <x v="0"/>
    <s v="Krishnaraj Kalghatgi"/>
    <x v="1"/>
    <m/>
  </r>
  <r>
    <n v="36318"/>
    <s v="Vijayanand Purushothaman"/>
    <s v="Non Blue Dragon-Roosen Exit (Roosen, Exerion, Fastron)"/>
    <s v="Dan"/>
    <s v="Purushothaman, Vijayanand"/>
    <s v="PROCUREMENT"/>
    <s v="PRODUCTIVITY"/>
    <s v="CONCEPT"/>
    <s v="Mechanical Parts &amp; Assemblies"/>
    <s v="IGT-S"/>
    <x v="3"/>
    <s v="IL2"/>
    <n v="0.1"/>
    <x v="243"/>
    <s v="India"/>
    <s v="Catalyst"/>
    <x v="0"/>
    <s v="Vijayanand"/>
    <x v="1"/>
    <m/>
  </r>
  <r>
    <s v="MR00271880"/>
    <s v="Siddarth"/>
    <s v="ECI-Plexus Supplier De-Risking Project"/>
    <s v="Dan"/>
    <s v="Barve, Bhushan"/>
    <s v="PROCUREMENT"/>
    <s v="PRODUCTIVITY"/>
    <s v="SOURCING"/>
    <s v="Key Components &amp; Electronics"/>
    <s v="MR"/>
    <x v="0"/>
    <s v="IL0"/>
    <n v="0.5"/>
    <x v="417"/>
    <s v="India"/>
    <s v="Catalyst"/>
    <x v="0"/>
    <s v="Bhushan Barve"/>
    <x v="1"/>
    <m/>
  </r>
  <r>
    <s v="CT/AMI-LCM3"/>
    <s v="Vijayanand Purushothaman"/>
    <s v="Sanmina Huntsville to Plexus transfer"/>
    <s v="Dan"/>
    <s v="Shetty, Siddarth Vishwanath"/>
    <s v="N/A"/>
    <s v="LCM"/>
    <s v="CONCEPT"/>
    <s v="Key Components &amp; Electronics"/>
    <s v="CT/AMI"/>
    <x v="0"/>
    <s v="IL0"/>
    <n v="0.4"/>
    <x v="418"/>
    <s v="India"/>
    <s v="Catalyst"/>
    <x v="0"/>
    <s v="Siddarth Shetty"/>
    <x v="1"/>
    <m/>
  </r>
  <r>
    <s v="CT/AMI-LCM2"/>
    <s v="Vijayanand Purushothaman"/>
    <s v="PCBA redesign project (FPGA obso)-AMI"/>
    <s v="Dan"/>
    <s v="Shetty, Siddarth Vishwanath"/>
    <s v="N/A"/>
    <s v="LCM"/>
    <s v="CONCEPT"/>
    <s v="Key Components &amp; Electronics"/>
    <s v="CT/AMI"/>
    <x v="0"/>
    <s v="IL0"/>
    <n v="0.1"/>
    <x v="418"/>
    <s v="India"/>
    <s v="Catalyst"/>
    <x v="0"/>
    <s v="Siddarth Shetty"/>
    <x v="1"/>
    <m/>
  </r>
  <r>
    <s v="STET_IGTD000_47"/>
    <s v="Matt Morse"/>
    <s v="Pikes Peak - Windchill BOM Updates in Support of MES Migration"/>
    <s v="Dan"/>
    <s v="Purushothaman, Vijayanand"/>
    <s v="PROCUREMENT"/>
    <s v="PRODUCTIVITY"/>
    <s v="NON_12NC"/>
    <s v="Mechanical Parts &amp; Assemblies"/>
    <s v="IGT-D"/>
    <x v="3"/>
    <s v="IL2"/>
    <n v="0.2"/>
    <x v="419"/>
    <s v="India"/>
    <s v="Catalyst"/>
    <x v="0"/>
    <s v="Rahul Rahulankar"/>
    <x v="1"/>
    <m/>
  </r>
  <r>
    <n v="35064"/>
    <s v="Matt Morse"/>
    <s v="Distributor Consolidation Project: Fastenal"/>
    <s v="Dan"/>
    <s v="Purushothaman, Vijayanand"/>
    <s v="PROCUREMENT"/>
    <s v="PRODUCTIVITY"/>
    <s v="SOURCING"/>
    <s v="Mechanical Parts &amp; Assemblies"/>
    <s v="IGT-D"/>
    <x v="3"/>
    <s v="IL1"/>
    <n v="0.2"/>
    <x v="419"/>
    <s v="India"/>
    <s v="Catalyst"/>
    <x v="0"/>
    <s v="Rahul Rahulankar"/>
    <x v="1"/>
    <m/>
  </r>
  <r>
    <n v="35065"/>
    <s v="Matt Morse"/>
    <s v="Distributor Consolidation Project: RS Hughes"/>
    <s v="Dan"/>
    <s v="Purushothaman, Vijayanand"/>
    <s v="PROCUREMENT"/>
    <s v="PRODUCTIVITY"/>
    <s v="SOURCING"/>
    <s v="Mechanical Parts &amp; Assemblies"/>
    <s v="IGT-D"/>
    <x v="3"/>
    <s v="IL1"/>
    <n v="0.2"/>
    <x v="419"/>
    <s v="India"/>
    <s v="Catalyst"/>
    <x v="0"/>
    <s v="Rahul Rahulankar"/>
    <x v="1"/>
    <m/>
  </r>
  <r>
    <s v="CR0111914"/>
    <s v="Charles Moses"/>
    <s v="FET,N-CH,250V,16A,TO220AB"/>
    <s v="Nishant"/>
    <s v="Kalghatgi, Krishnaraj"/>
    <s v="N/A"/>
    <s v="LCM"/>
    <s v="SOURCING"/>
    <s v="Key Components &amp; Electronics"/>
    <s v="US"/>
    <x v="0"/>
    <s v="IL2"/>
    <n v="0.25"/>
    <x v="235"/>
    <s v="India"/>
    <s v="Catalyst"/>
    <x v="0"/>
    <s v="Krishnaraj Kalghatgi"/>
    <x v="1"/>
    <m/>
  </r>
  <r>
    <s v="PCBA-RISK-MITIGATION"/>
    <s v="Pushkar Kulkarni"/>
    <s v="PCBA remediation for 4 boards"/>
    <s v="Dan"/>
    <s v="Bhandari, Priyanka"/>
    <s v="N/A"/>
    <s v="LCM"/>
    <s v="SOURCING"/>
    <s v="Key Components &amp; Electronics"/>
    <s v="IGT-MoS"/>
    <x v="3"/>
    <s v="IL1"/>
    <n v="0.35"/>
    <x v="260"/>
    <s v="India"/>
    <s v="Catalyst"/>
    <x v="0"/>
    <s v="Priyanka Bhandari"/>
    <x v="1"/>
    <m/>
  </r>
  <r>
    <s v="PX3030 FD Issue"/>
    <s v="Kulkarni, Pushkar"/>
    <s v="FD17 Detector- Defective Pixel"/>
    <s v="Dan"/>
    <s v="Bhandari, Priyanka"/>
    <s v="PROCUREMENT"/>
    <s v="PRODUCTIVITY"/>
    <s v="SOURCING"/>
    <s v="Key Components &amp; Electronics"/>
    <s v="IGT-MoS"/>
    <x v="3"/>
    <s v="IL1"/>
    <n v="0.35"/>
    <x v="260"/>
    <s v="India"/>
    <s v="Catalyst"/>
    <x v="0"/>
    <s v="Priyanka Bhandari"/>
    <x v="1"/>
    <m/>
  </r>
  <r>
    <s v="GXRCQ00096395"/>
    <s v="Vijayanand Purushothaman"/>
    <s v="Instalaltion improvement for Proxi Diagnost Floor Plate"/>
    <s v="Dan"/>
    <s v="M R, Kiran"/>
    <s v="N/A"/>
    <s v="LCM"/>
    <s v="SOURCING"/>
    <s v="Mechanical Parts &amp; Assemblies"/>
    <s v="DXR"/>
    <x v="0"/>
    <s v="IL3"/>
    <n v="0.1"/>
    <x v="224"/>
    <s v="India"/>
    <s v="Catalyst"/>
    <x v="0"/>
    <s v="Ansha Simpi"/>
    <x v="1"/>
    <m/>
  </r>
  <r>
    <s v="GXRCQ00093373"/>
    <s v="Vijayanand Purushothaman"/>
    <s v="Proxi 1.0 plate - supplier change to pack individually floor plates"/>
    <s v="Dan"/>
    <s v="M R, Kiran"/>
    <s v="N/A"/>
    <s v="LCM"/>
    <s v="SOURCING"/>
    <s v="Mechanical Parts &amp; Assemblies"/>
    <s v="DXR"/>
    <x v="0"/>
    <s v="IL3"/>
    <n v="0.1"/>
    <x v="224"/>
    <s v="India"/>
    <s v="Catalyst"/>
    <x v="0"/>
    <s v="Ansha Simpi"/>
    <x v="1"/>
    <m/>
  </r>
  <r>
    <n v="28808"/>
    <s v="Saravana"/>
    <s v="STET : De-risking Mediagnost (V3 parts) (PCI-2020-066)"/>
    <s v="Dan"/>
    <s v="Purushothaman, Vijayanand"/>
    <s v="PROCUREMENT"/>
    <s v="AOS"/>
    <s v="SOURCING"/>
    <s v="Mechanical Parts &amp; Assemblies"/>
    <s v="IGT-S"/>
    <x v="3"/>
    <s v="IL3"/>
    <n v="0.05"/>
    <x v="243"/>
    <s v="India"/>
    <s v="Catalyst"/>
    <x v="0"/>
    <s v="Vijayanand"/>
    <x v="1"/>
    <m/>
  </r>
  <r>
    <n v="28809"/>
    <s v="Saravana"/>
    <s v="STET : De-risking Mediagnost (V3 parts) (PCI-2020-066)"/>
    <s v="Dan"/>
    <s v="Purushothaman, Vijayanand"/>
    <s v="PROCUREMENT"/>
    <s v="AOS"/>
    <s v="SOURCING"/>
    <s v="Mechanical Parts &amp; Assemblies"/>
    <s v="IGT-S"/>
    <x v="3"/>
    <s v="IL3"/>
    <n v="0.05"/>
    <x v="243"/>
    <s v="India"/>
    <s v="Catalyst"/>
    <x v="0"/>
    <s v="Vijayanand"/>
    <x v="1"/>
    <m/>
  </r>
  <r>
    <n v="28510"/>
    <s v="Saravana"/>
    <s v="Low level FRU's radiation shield"/>
    <s v="Dan"/>
    <s v="Purushothaman, Vijayanand"/>
    <s v="PROCUREMENT"/>
    <s v="PRODUCTIVITY"/>
    <s v="CONCEPT"/>
    <s v="Medical ODM Markets"/>
    <s v="IGT-S"/>
    <x v="3"/>
    <s v="IL3"/>
    <n v="0.05"/>
    <x v="243"/>
    <s v="India"/>
    <s v="Catalyst"/>
    <x v="0"/>
    <s v="Vijayanand"/>
    <x v="1"/>
    <m/>
  </r>
  <r>
    <n v="36653"/>
    <s v="Matt Morse"/>
    <s v="Capture Productivity Savings - Refinity molds transfer to Viant"/>
    <s v="Dan"/>
    <s v="Naik, Tushar"/>
    <s v="PROCUREMENT"/>
    <s v="PRODUCTIVITY"/>
    <s v="SOURCING"/>
    <s v="Mechanical Parts &amp; Assemblies"/>
    <s v="IGT-D"/>
    <x v="3"/>
    <s v="IL2"/>
    <n v="0.3"/>
    <x v="380"/>
    <s v="India"/>
    <s v="Catalyst"/>
    <x v="0"/>
    <s v="Tushar Naik"/>
    <x v="1"/>
    <m/>
  </r>
  <r>
    <n v="29589"/>
    <s v="Sushruth"/>
    <s v="Alternative sourcing of power adapter for Emerald"/>
    <s v="Tim"/>
    <s v="Kalghatgi, Krishnaraj"/>
    <s v="PROCUREMENT"/>
    <s v="PRODUCTIVITY"/>
    <s v="SOURCING"/>
    <s v="Key Components &amp; Electronics"/>
    <s v="GB"/>
    <x v="2"/>
    <s v="IL3"/>
    <n v="0.2"/>
    <x v="268"/>
    <s v="India"/>
    <s v="Catalyst"/>
    <x v="0"/>
    <s v="Krishnaraj Kalghatgi"/>
    <x v="1"/>
    <m/>
  </r>
  <r>
    <s v="Service Performance Improvement Projects"/>
    <s v="Saravana"/>
    <s v="Tubes and Gen ( Image Chain) &amp; CT Service performance X-segments - Saturn &amp; Octavia."/>
    <s v="Dan"/>
    <s v="Purushothaman, Vijayanand"/>
    <s v="N/A"/>
    <s v="PRODUCTIVITY"/>
    <s v="CONQ"/>
    <s v="Mechanical Parts &amp; Assemblies"/>
    <s v="IGT-S"/>
    <x v="3"/>
    <s v="IL0"/>
    <n v="1"/>
    <x v="420"/>
    <s v="India"/>
    <s v="Catalyst"/>
    <x v="0"/>
    <s v="Vijayanand"/>
    <x v="1"/>
    <m/>
  </r>
  <r>
    <s v="DNA-NIC2"/>
    <s v="Siddarth"/>
    <s v="DNA-NIC2 MLD Project"/>
    <s v="Dan"/>
    <s v="Parab, Gourav Krishna"/>
    <s v="N/A"/>
    <s v="PRODUCTIVITY"/>
    <s v="SOURCING"/>
    <s v="Mechanical Parts &amp; Assemblies"/>
    <s v="MR"/>
    <x v="0"/>
    <s v="IL3"/>
    <n v="1"/>
    <x v="421"/>
    <s v="India"/>
    <s v="Catalyst"/>
    <x v="0"/>
    <s v="Gourav Krishna Parab"/>
    <x v="1"/>
    <m/>
  </r>
  <r>
    <s v="MR00268020"/>
    <s v="Siddarth"/>
    <s v="SICR20230404016B-NCWS-EOL SCHROEF (SPEC) M3 X 11 (452210412262)"/>
    <s v="Dan"/>
    <s v="Dede, Kalyani"/>
    <s v="N/A"/>
    <s v="AOS"/>
    <s v="SOURCING"/>
    <s v="Mechanical Parts &amp; Assemblies"/>
    <s v="MR"/>
    <x v="0"/>
    <s v="IL3"/>
    <n v="0.2"/>
    <x v="327"/>
    <s v="India"/>
    <s v="Catalyst"/>
    <x v="0"/>
    <s v="Kalyani Dede"/>
    <x v="1"/>
    <m/>
  </r>
  <r>
    <s v="MR00260542 "/>
    <s v="Siddarth"/>
    <s v="Find out the root cause for IQT errors (Cloned record MR00257560)"/>
    <s v="Dan"/>
    <s v="Dede, Kalyani"/>
    <s v="N/A"/>
    <s v="LCM"/>
    <s v="SOURCING"/>
    <s v="Mechanical Parts &amp; Assemblies"/>
    <s v="MR"/>
    <x v="0"/>
    <s v="IL2"/>
    <n v="0.1"/>
    <x v="327"/>
    <s v="India"/>
    <s v="Catalyst"/>
    <x v="0"/>
    <s v="Kalyani Dede"/>
    <x v="1"/>
    <m/>
  </r>
  <r>
    <s v="MR00270379"/>
    <s v="Siddarth"/>
    <s v="459800095181 no packaging prescribed"/>
    <s v="Dan"/>
    <s v="Dede, Kalyani"/>
    <s v="N/A"/>
    <s v="LCM"/>
    <s v="SOURCING"/>
    <s v="Mechanical Parts &amp; Assemblies"/>
    <s v="MR"/>
    <x v="0"/>
    <s v="IL3"/>
    <n v="0.1"/>
    <x v="326"/>
    <s v="India"/>
    <s v="Catalyst"/>
    <x v="0"/>
    <s v="Kalyani Dede"/>
    <x v="1"/>
    <m/>
  </r>
  <r>
    <s v="MR00278087"/>
    <s v="Siddarth"/>
    <s v="packaging cables not consistent"/>
    <s v="Dan"/>
    <s v="Dede, Kalyani"/>
    <s v="N/A"/>
    <s v="LCM"/>
    <s v="SOURCING"/>
    <s v="Mechanical Parts &amp; Assemblies"/>
    <s v="MR"/>
    <x v="0"/>
    <s v="IL1"/>
    <n v="0.1"/>
    <x v="326"/>
    <s v="India"/>
    <s v="Catalyst"/>
    <x v="0"/>
    <s v="Kalyani Dede"/>
    <x v="1"/>
    <m/>
  </r>
  <r>
    <s v="MR00284991"/>
    <s v="Siddarth"/>
    <s v="SICR20230623003B - NEFAB - Replacement of PUR-materials in Philips-packaging"/>
    <s v="Dan"/>
    <s v="Dede, Kalyani"/>
    <s v="N/A"/>
    <s v="LCM"/>
    <s v="SOURCING"/>
    <s v="Mechanical Parts &amp; Assemblies"/>
    <s v="MR"/>
    <x v="0"/>
    <s v="IL1"/>
    <n v="0.1"/>
    <x v="326"/>
    <s v="India"/>
    <s v="Catalyst"/>
    <x v="0"/>
    <s v="Kalyani Dede"/>
    <x v="1"/>
    <m/>
  </r>
  <r>
    <s v="MR00264816"/>
    <s v="Siddarth"/>
    <s v="4598-006-04154 MIU-II ENCLOSURE ASSY stacked too high"/>
    <s v="Dan"/>
    <s v="Dede, Kalyani"/>
    <s v="N/A"/>
    <s v="LCM"/>
    <s v="SOURCING"/>
    <s v="Mechanical Parts &amp; Assemblies"/>
    <s v="MR"/>
    <x v="0"/>
    <s v="IL1"/>
    <n v="0.1"/>
    <x v="326"/>
    <s v="India"/>
    <s v="Catalyst"/>
    <x v="0"/>
    <s v="Kalyani Dede"/>
    <x v="1"/>
    <m/>
  </r>
  <r>
    <s v="MR00241952 "/>
    <s v="Siddarth"/>
    <s v="Pre-Assembled magnets are tranported by road, only in bubble wrap. Packaging instructions needs to be updated to allow this"/>
    <s v="Dan"/>
    <s v="Dede, Kalyani"/>
    <s v="N/A"/>
    <s v="LCM"/>
    <s v="SOURCING"/>
    <s v="Mechanical Parts &amp; Assemblies"/>
    <s v="MR"/>
    <x v="0"/>
    <s v="IL1"/>
    <n v="0.1"/>
    <x v="326"/>
    <s v="India"/>
    <s v="Catalyst"/>
    <x v="0"/>
    <s v="Kalyani Dede"/>
    <x v="1"/>
    <m/>
  </r>
  <r>
    <s v="EOS extension"/>
    <s v="Pushkar Kulkarni"/>
    <s v="EOS extension for Endura and Veradius"/>
    <s v="Dan"/>
    <s v="Sharma, Manish"/>
    <s v="N/A"/>
    <s v="LCM"/>
    <s v="SOURCING"/>
    <s v="Key Components &amp; Electronics"/>
    <s v="IGT-MoS"/>
    <x v="3"/>
    <s v="IL0"/>
    <n v="0.4"/>
    <x v="256"/>
    <s v="India"/>
    <s v="Catalyst"/>
    <x v="0"/>
    <s v="Manish Sharma"/>
    <x v="1"/>
    <m/>
  </r>
  <r>
    <n v="28809"/>
    <s v="Saravana"/>
    <s v="STET : De-risking Mediagnost (V3 parts) (PCI-2020-066)"/>
    <s v="Dan"/>
    <s v="Patil, Rajaram"/>
    <s v="PROCUREMENT"/>
    <s v="AOS"/>
    <s v="SOURCING"/>
    <s v="Mechanical Parts &amp; Assemblies"/>
    <s v="IGT-S"/>
    <x v="3"/>
    <s v="IL3"/>
    <n v="0.3"/>
    <x v="389"/>
    <s v="India"/>
    <s v="Catalyst"/>
    <x v="0"/>
    <s v="Rajaram Patil"/>
    <x v="1"/>
    <m/>
  </r>
  <r>
    <s v="NPI_PLC_extension_02"/>
    <s v="Siddarth"/>
    <s v="NPI_PLC_extension_02_reliability_plan"/>
    <s v="Dan"/>
    <s v="M R, Kiran"/>
    <s v="N/A"/>
    <s v="NPI"/>
    <s v="SOURCING"/>
    <s v="Mechanical Parts &amp; Assemblies"/>
    <s v="MR"/>
    <x v="0"/>
    <s v="IL3"/>
    <n v="0.5"/>
    <x v="318"/>
    <s v="India"/>
    <s v="Catalyst"/>
    <x v="0"/>
    <s v="Kiran MR"/>
    <x v="1"/>
    <m/>
  </r>
  <r>
    <s v="NPI_PLC_extension_02"/>
    <s v="Siddarth"/>
    <s v="NPI_PLC_extension_02_reliability_plan"/>
    <s v="Dan"/>
    <s v="M R, Kiran"/>
    <s v="N/A"/>
    <s v="NPI"/>
    <s v="SOURCING"/>
    <s v="Mechanical Parts &amp; Assemblies"/>
    <s v="MR"/>
    <x v="0"/>
    <s v="IL3"/>
    <n v="0.5"/>
    <x v="319"/>
    <s v="India"/>
    <s v="Catalyst"/>
    <x v="0"/>
    <s v="Kiran MR"/>
    <x v="1"/>
    <m/>
  </r>
  <r>
    <s v="MR00282387"/>
    <s v="Siddarth"/>
    <s v="RA recommend splitting leaflet MR Legal Manufacturers to avoid confusions."/>
    <s v="Dan"/>
    <s v="Dede, Kalyani"/>
    <s v="N/A"/>
    <s v="LCM"/>
    <s v="SOURCING"/>
    <s v="Mechanical Parts &amp; Assemblies"/>
    <s v="MR"/>
    <x v="0"/>
    <s v="IL0"/>
    <n v="7.5999999999999998E-2"/>
    <x v="385"/>
    <s v="India"/>
    <s v="Catalyst"/>
    <x v="0"/>
    <s v="Kalyani Dede"/>
    <x v="1"/>
    <m/>
  </r>
  <r>
    <s v="MR00264114"/>
    <s v="Siddarth"/>
    <s v="Implement eIFU leaflet update (add Basic UDI-DI to leaflet) per original MR00252992 also for R5.8.1 and R11.1"/>
    <s v="Dan"/>
    <s v="Dede, Kalyani"/>
    <s v="N/A"/>
    <s v="LCM"/>
    <s v="SOURCING"/>
    <s v="Mechanical Parts &amp; Assemblies"/>
    <s v="MR"/>
    <x v="0"/>
    <s v="IL0"/>
    <n v="7.5999999999999998E-2"/>
    <x v="385"/>
    <s v="India"/>
    <s v="Catalyst"/>
    <x v="0"/>
    <s v="Kalyani Dede"/>
    <x v="1"/>
    <m/>
  </r>
  <r>
    <s v="MR00268833"/>
    <s v="Siddarth"/>
    <s v="request to add Korean label for Smartpath to dStream for 1.5T to CBOM"/>
    <s v="Dan"/>
    <s v="Dede, Kalyani"/>
    <s v="N/A"/>
    <s v="LCM"/>
    <s v="SOURCING"/>
    <s v="Mechanical Parts &amp; Assemblies"/>
    <s v="MR"/>
    <x v="0"/>
    <s v="IL0"/>
    <n v="7.5999999999999998E-2"/>
    <x v="385"/>
    <s v="India"/>
    <s v="Catalyst"/>
    <x v="0"/>
    <s v="Kalyani Dede"/>
    <x v="1"/>
    <m/>
  </r>
  <r>
    <s v="MR00268629"/>
    <s v="Siddarth"/>
    <s v="Localized system and packaging labels for Kazakhstan for R11"/>
    <s v="Dan"/>
    <s v="Dede, Kalyani"/>
    <s v="N/A"/>
    <s v="LCM"/>
    <s v="SOURCING"/>
    <s v="Mechanical Parts &amp; Assemblies"/>
    <s v="MR"/>
    <x v="0"/>
    <s v="IL0"/>
    <n v="7.5999999999999998E-2"/>
    <x v="385"/>
    <s v="India"/>
    <s v="Catalyst"/>
    <x v="0"/>
    <s v="Kalyani Dede"/>
    <x v="1"/>
    <m/>
  </r>
  <r>
    <s v="MR00268624"/>
    <s v="Siddarth"/>
    <s v="Localized system and packaging labels for Mexico for R11 Systems"/>
    <s v="Dan"/>
    <s v="Dede, Kalyani"/>
    <s v="N/A"/>
    <s v="LCM"/>
    <s v="SOURCING"/>
    <s v="Mechanical Parts &amp; Assemblies"/>
    <s v="MR"/>
    <x v="0"/>
    <s v="IL0"/>
    <n v="7.5999999999999998E-2"/>
    <x v="385"/>
    <s v="India"/>
    <s v="Catalyst"/>
    <x v="0"/>
    <s v="Kalyani Dede"/>
    <x v="1"/>
    <m/>
  </r>
  <r>
    <s v="MR00268622"/>
    <s v="Siddarth"/>
    <s v="Localized system and packaging labels for Costa Rica for R11 Systems"/>
    <s v="Dan"/>
    <s v="Dede, Kalyani"/>
    <s v="N/A"/>
    <s v="LCM"/>
    <s v="SOURCING"/>
    <s v="Mechanical Parts &amp; Assemblies"/>
    <s v="MR"/>
    <x v="0"/>
    <s v="IL0"/>
    <n v="7.5999999999999998E-2"/>
    <x v="385"/>
    <s v="India"/>
    <s v="Catalyst"/>
    <x v="0"/>
    <s v="Kalyani Dede"/>
    <x v="1"/>
    <m/>
  </r>
  <r>
    <s v="MR00280017"/>
    <s v="Siddarth"/>
    <s v="SICR20230608020C-SUMITOMO-Label Change"/>
    <s v="Dan"/>
    <s v="Dede, Kalyani"/>
    <s v="N/A"/>
    <s v="LCM"/>
    <s v="SOURCING"/>
    <s v="Mechanical Parts &amp; Assemblies"/>
    <s v="MR"/>
    <x v="0"/>
    <s v="IL0"/>
    <n v="7.5999999999999998E-2"/>
    <x v="385"/>
    <s v="India"/>
    <s v="Catalyst"/>
    <x v="0"/>
    <s v="Kalyani Dede"/>
    <x v="1"/>
    <m/>
  </r>
  <r>
    <s v="MR00267589"/>
    <s v="Vijayanand Purushothaman"/>
    <s v="452213270643: no identification label present on WTBU bracket (Park till Feb 2023)"/>
    <s v="Dan"/>
    <s v="Dede, Kalyani"/>
    <s v="N/A"/>
    <s v="LCM"/>
    <s v="SOURCING"/>
    <s v="Mechanical Parts &amp; Assemblies"/>
    <s v="MR"/>
    <x v="0"/>
    <s v="IL3"/>
    <n v="7.5999999999999998E-2"/>
    <x v="385"/>
    <s v="India"/>
    <s v="Catalyst"/>
    <x v="0"/>
    <s v="Kalyani Dede"/>
    <x v="1"/>
    <m/>
  </r>
  <r>
    <s v="MR00267143"/>
    <s v="Vijayanand Purushothaman"/>
    <s v="Add Baoye in the AML of Ambition/MR5300 Manual and label following local for local."/>
    <s v="Dan"/>
    <s v="Dede, Kalyani"/>
    <s v="N/A"/>
    <s v="LCM"/>
    <s v="SOURCING"/>
    <s v="Mechanical Parts &amp; Assemblies"/>
    <s v="MR"/>
    <x v="0"/>
    <s v="IL3"/>
    <n v="0.24"/>
    <x v="385"/>
    <s v="India"/>
    <s v="Catalyst"/>
    <x v="0"/>
    <s v="Kalyani Dede"/>
    <x v="1"/>
    <m/>
  </r>
  <r>
    <s v="MR00265195"/>
    <s v="Siddarth"/>
    <s v="Update Strategic Goods Indicator (SGI) Windchill"/>
    <s v="Dan"/>
    <s v="Dede, Kalyani"/>
    <s v="N/A"/>
    <s v="LCM"/>
    <s v="SOURCING"/>
    <s v="Mechanical Parts &amp; Assemblies"/>
    <s v="MR"/>
    <x v="0"/>
    <s v="IL4"/>
    <n v="0.1"/>
    <x v="328"/>
    <s v="India"/>
    <s v="Catalyst"/>
    <x v="0"/>
    <s v="Kalyani Dede"/>
    <x v="1"/>
    <m/>
  </r>
  <r>
    <s v="MR00279156"/>
    <s v="Siddarth"/>
    <s v="SICR20230525006B-Avotec Inc-Adding new subtier for disposables"/>
    <s v="Dan"/>
    <s v="Dede, Kalyani"/>
    <s v="N/A"/>
    <s v="LCM"/>
    <s v="SOURCING"/>
    <s v="Mechanical Parts &amp; Assemblies"/>
    <s v="MR"/>
    <x v="0"/>
    <s v="IL2"/>
    <n v="0.1"/>
    <x v="328"/>
    <s v="India"/>
    <s v="Catalyst"/>
    <x v="0"/>
    <s v="Kalyani Dede"/>
    <x v="1"/>
    <m/>
  </r>
  <r>
    <s v="MR00248776"/>
    <s v="Vijayanand Purushothaman"/>
    <s v="Abbreviation for Portugal on 4598-016-95291 KEYBOARD MAP (PT) (PORTUGUESE) Incorrect"/>
    <s v="Dan"/>
    <s v="Dede, Kalyani"/>
    <s v="N/A"/>
    <s v="LCM"/>
    <s v="SOURCING"/>
    <s v="Mechanical Parts &amp; Assemblies"/>
    <s v="MR"/>
    <x v="0"/>
    <s v="IL5"/>
    <n v="0.1"/>
    <x v="220"/>
    <s v="India"/>
    <s v="Catalyst"/>
    <x v="0"/>
    <s v="Kalyani Dede"/>
    <x v="1"/>
    <m/>
  </r>
  <r>
    <s v="MR00278035"/>
    <s v="Siddarth"/>
    <s v="SICR20230531006B-NCWS-EOL 4598 000 62891 TULE"/>
    <s v="Dan"/>
    <s v="Dede, Kalyani"/>
    <s v="N/A"/>
    <s v="AOS"/>
    <s v="SOURCING"/>
    <s v="Key Components &amp; Electronics"/>
    <s v="MR"/>
    <x v="0"/>
    <s v="IL1"/>
    <n v="0.1"/>
    <x v="328"/>
    <s v="India"/>
    <s v="Catalyst"/>
    <x v="0"/>
    <s v="Kalyani Dede"/>
    <x v="1"/>
    <m/>
  </r>
  <r>
    <s v="MR00267165"/>
    <s v="Siddarth"/>
    <s v="Removal of Screw 2422-034-00285 from MOUNT.MAT.SPARE WA"/>
    <s v="Dan"/>
    <s v="Dede, Kalyani"/>
    <s v="N/A"/>
    <s v="LCM"/>
    <s v="SOURCING"/>
    <s v="Mechanical Parts &amp; Assemblies"/>
    <s v="MR"/>
    <x v="0"/>
    <s v="IL4"/>
    <n v="0.1"/>
    <x v="328"/>
    <s v="India"/>
    <s v="Catalyst"/>
    <x v="0"/>
    <s v="Kalyani Dede"/>
    <x v="1"/>
    <m/>
  </r>
  <r>
    <s v="MR00265075"/>
    <s v="Siddarth"/>
    <s v="DACC replace harness RT-RR 459800815632 with RT-RR 459801805952 in DACC 33921"/>
    <s v="Dan"/>
    <s v="Dede, Kalyani"/>
    <s v="N/A"/>
    <s v="LCM"/>
    <s v="SOURCING"/>
    <s v="Mechanical Parts &amp; Assemblies"/>
    <s v="MR"/>
    <x v="0"/>
    <s v="IL1"/>
    <n v="0.05"/>
    <x v="328"/>
    <s v="India"/>
    <s v="Catalyst"/>
    <x v="0"/>
    <s v="Kalyani Dede"/>
    <x v="1"/>
    <m/>
  </r>
  <r>
    <s v="MR00284579"/>
    <s v="Siddarth"/>
    <s v="Create hardcopy Chinese technical datasheet for MR 5300 delivered for Taiwan"/>
    <s v="Dan"/>
    <s v="Dede, Kalyani"/>
    <s v="N/A"/>
    <s v="LCM"/>
    <s v="SOURCING"/>
    <s v="Mechanical Parts &amp; Assemblies"/>
    <s v="MR"/>
    <x v="0"/>
    <s v="IL2"/>
    <n v="0.1"/>
    <x v="220"/>
    <s v="India"/>
    <s v="Catalyst"/>
    <x v="0"/>
    <s v="Kalyani Dede"/>
    <x v="1"/>
    <m/>
  </r>
  <r>
    <s v="MR00265075"/>
    <s v="Siddarth"/>
    <s v="DACC replace harness RT-RR 459800815632 with RT-RR 459801805952 in DACC 33921"/>
    <s v="Dan"/>
    <s v="Dede, Kalyani"/>
    <s v="N/A"/>
    <s v="LCM"/>
    <s v="SOURCING"/>
    <s v="Mechanical Parts &amp; Assemblies"/>
    <s v="MR"/>
    <x v="0"/>
    <s v="IL1"/>
    <n v="0.1"/>
    <x v="220"/>
    <s v="India"/>
    <s v="Catalyst"/>
    <x v="0"/>
    <s v="Kalyani Dede"/>
    <x v="1"/>
    <m/>
  </r>
  <r>
    <s v="MR00266321"/>
    <s v="Siddarth"/>
    <s v="update hardcopy Chinese technical datasheet for Ingenia 1.5T, Ingenia 3.0T for Taiwan"/>
    <s v="Dan"/>
    <s v="Dede, Kalyani"/>
    <s v="N/A"/>
    <s v="LCM"/>
    <s v="SOURCING"/>
    <s v="Mechanical Parts &amp; Assemblies"/>
    <s v="MR"/>
    <x v="0"/>
    <s v="IL2"/>
    <n v="0.1"/>
    <x v="220"/>
    <s v="India"/>
    <s v="Catalyst"/>
    <x v="0"/>
    <s v="Kalyani Dede"/>
    <x v="1"/>
    <m/>
  </r>
  <r>
    <s v="MR00266322"/>
    <s v="Siddarth"/>
    <s v="update hardcopy Chinese technical datasheet for Ingenia Elition X, Ingenia Elition S for Taiwan"/>
    <s v="Dan"/>
    <s v="Dede, Kalyani"/>
    <s v="N/A"/>
    <s v="LCM"/>
    <s v="SOURCING"/>
    <s v="Mechanical Parts &amp; Assemblies"/>
    <s v="MR"/>
    <x v="0"/>
    <s v="IL2"/>
    <n v="0.1"/>
    <x v="220"/>
    <s v="India"/>
    <s v="Catalyst"/>
    <x v="0"/>
    <s v="Kalyani Dede"/>
    <x v="1"/>
    <m/>
  </r>
  <r>
    <s v="STET_IGTD000_105"/>
    <s v="Matt Morse"/>
    <s v="Turbo Elite Non 0.9 - Version 2.0 - RX Shaft Distal Tip Joint"/>
    <s v="Dan"/>
    <s v="Morse, Matt"/>
    <s v="PROCUREMENT"/>
    <s v="PRODUCTIVITY"/>
    <s v="SOURCING"/>
    <s v="Mechanical Parts &amp; Assemblies"/>
    <s v="IGT-D"/>
    <x v="3"/>
    <s v="IL1"/>
    <n v="0.5"/>
    <x v="294"/>
    <s v="India"/>
    <s v="Catalyst"/>
    <x v="0"/>
    <s v="Matt Morse"/>
    <x v="1"/>
    <m/>
  </r>
  <r>
    <s v="ART-India"/>
    <s v="Vijayanand Purushothaman"/>
    <s v="LCM Support for India"/>
    <s v="Dan"/>
    <s v="Srinivas, M.V.D"/>
    <s v="N/A"/>
    <s v="LCM"/>
    <s v="SOURCING"/>
    <s v="Mechanical Parts &amp; Assemblies"/>
    <s v="IGT-S"/>
    <x v="3"/>
    <s v="IL3"/>
    <n v="1"/>
    <x v="422"/>
    <s v="India"/>
    <s v="Catalyst"/>
    <x v="0"/>
    <s v="M.V.D Srinivas"/>
    <x v="1"/>
    <m/>
  </r>
  <r>
    <s v="PX3030 FD Issue"/>
    <s v="Kulkarni, Pushkar"/>
    <s v="FD17 Detector- Defective Pixel"/>
    <s v="Dan"/>
    <s v="Ponkshe, Mihir"/>
    <s v="PROCUREMENT"/>
    <s v="PRODUCTIVITY"/>
    <s v="SOURCING"/>
    <s v="Key Components &amp; Electronics"/>
    <s v="IGT-MoS"/>
    <x v="3"/>
    <s v="IL1"/>
    <n v="0.2"/>
    <x v="286"/>
    <s v="India"/>
    <s v="Catalyst"/>
    <x v="0"/>
    <s v="Mihir Ponkshe"/>
    <x v="1"/>
    <m/>
  </r>
  <r>
    <s v="PCBA-RISK-MITIGATION"/>
    <s v="Pushkar Kulkarni"/>
    <s v="PCBA remediation for 4 boards"/>
    <s v="Dan"/>
    <s v="Kulkarni, Pravin"/>
    <s v="N/A"/>
    <s v="LCM"/>
    <s v="SOURCING"/>
    <s v="Key Components &amp; Electronics"/>
    <s v="IGT-MoS"/>
    <x v="3"/>
    <s v="IL1"/>
    <n v="1"/>
    <x v="423"/>
    <s v="India"/>
    <s v="Catalyst"/>
    <x v="0"/>
    <s v="Pravin Kulkarni"/>
    <x v="1"/>
    <m/>
  </r>
  <r>
    <s v="GXRCQ00098499"/>
    <s v="Vijayanand Purushothaman"/>
    <s v="THS HLA Transfer-Electronic lifting column12NC# 451213326871-Zollner to Kimball"/>
    <s v="Dan"/>
    <s v="Purushothaman, Vijayanand"/>
    <s v="N/A"/>
    <s v="LCM"/>
    <s v="SOURCING"/>
    <s v="Key Components &amp; Electronics"/>
    <s v="DXR"/>
    <x v="0"/>
    <s v="IL3"/>
    <n v="0.1"/>
    <x v="246"/>
    <s v="India"/>
    <s v="Catalyst"/>
    <x v="0"/>
    <s v="Vijayanand"/>
    <x v="1"/>
    <m/>
  </r>
  <r>
    <s v="ART-India"/>
    <s v="Vijayanand Purushothaman"/>
    <s v="LCM Support for India"/>
    <s v="Dan"/>
    <s v="Patil, Rajaram"/>
    <s v="N/A"/>
    <s v="LCM"/>
    <s v="SOURCING"/>
    <s v="Mechanical Parts &amp; Assemblies"/>
    <s v="IGT-S"/>
    <x v="3"/>
    <s v="IL3"/>
    <n v="0.25"/>
    <x v="242"/>
    <s v="India"/>
    <s v="Catalyst"/>
    <x v="0"/>
    <s v="Rajaram Patil"/>
    <x v="1"/>
    <m/>
  </r>
  <r>
    <s v="STET_IGTD000_62"/>
    <s v="Matt Morse"/>
    <s v="MET Extrusion Project (Phase 1-2)"/>
    <s v="Dan"/>
    <s v="Purushothaman, Vijayanand"/>
    <s v="PROCUREMENT"/>
    <s v="PRODUCTIVITY"/>
    <s v="SOURCING"/>
    <s v="Mechanical Parts &amp; Assemblies"/>
    <s v="IGT-D"/>
    <x v="3"/>
    <s v="IL4"/>
    <n v="0.2"/>
    <x v="393"/>
    <s v="India"/>
    <s v="Catalyst"/>
    <x v="0"/>
    <s v="Vijayanand"/>
    <x v="1"/>
    <m/>
  </r>
  <r>
    <n v="33518"/>
    <s v="Matt Morse"/>
    <s v="Luer Resourcing (DGI to LLS)"/>
    <s v="Dan"/>
    <s v="Purushothaman, Vijayanand"/>
    <s v="PROCUREMENT"/>
    <s v="PRODUCTIVITY"/>
    <s v="TCO"/>
    <s v="Mechanical Parts &amp; Assemblies"/>
    <s v="IGT-D"/>
    <x v="3"/>
    <s v="IL3"/>
    <n v="0.1"/>
    <x v="393"/>
    <s v="India"/>
    <s v="Catalyst"/>
    <x v="0"/>
    <s v="Vijayanand"/>
    <x v="1"/>
    <m/>
  </r>
  <r>
    <n v="33519"/>
    <s v="Matt Morse"/>
    <s v="Luer Resourcing TCO"/>
    <s v="Dan"/>
    <s v="Purushothaman, Vijayanand"/>
    <s v="PROCUREMENT"/>
    <s v="PRODUCTIVITY"/>
    <s v="TCO"/>
    <s v="Mechanical Parts &amp; Assemblies"/>
    <s v="IGT-D"/>
    <x v="3"/>
    <s v="IL3"/>
    <n v="0.1"/>
    <x v="393"/>
    <s v="India"/>
    <s v="Catalyst"/>
    <x v="0"/>
    <s v="Vijayanand"/>
    <x v="1"/>
    <m/>
  </r>
  <r>
    <n v="35284"/>
    <s v="Matt Morse"/>
    <s v="Omniwire Dual Sourcing Distal Core"/>
    <s v="Dan"/>
    <s v="Purushothaman, Vijayanand"/>
    <s v="PROCUREMENT"/>
    <s v="PRODUCTIVITY"/>
    <s v="SOURCING"/>
    <s v="Mechanical Parts &amp; Assemblies"/>
    <s v="IGT-D"/>
    <x v="3"/>
    <s v="IL1"/>
    <n v="0.1"/>
    <x v="393"/>
    <s v="India"/>
    <s v="Catalyst"/>
    <x v="0"/>
    <s v="Vijayanand"/>
    <x v="1"/>
    <m/>
  </r>
  <r>
    <n v="35283"/>
    <s v="Matt Morse"/>
    <s v="Omniwire Dual Sourcing Ablation"/>
    <s v="Dan"/>
    <s v="Purushothaman, Vijayanand"/>
    <s v="PROCUREMENT"/>
    <s v="PRODUCTIVITY"/>
    <s v="CONCEPT"/>
    <s v="Mechanical Parts &amp; Assemblies"/>
    <s v="IGT-D"/>
    <x v="3"/>
    <s v="IL5"/>
    <n v="0.1"/>
    <x v="393"/>
    <s v="India"/>
    <s v="Catalyst"/>
    <x v="0"/>
    <s v="Vijayanand"/>
    <x v="1"/>
    <m/>
  </r>
  <r>
    <n v="29851"/>
    <s v="Matt Morse"/>
    <s v="Step Up - Supply chain optimization for composite core - 3 tiers of supplier (1 manufacturer) to 1 supplier, US suppliers to Costa Rica supplier, direct saving + TCO"/>
    <s v="Dan"/>
    <s v="Purushothaman, Vijayanand"/>
    <s v="PROCUREMENT"/>
    <s v="PRODUCTIVITY"/>
    <s v="SOURCING"/>
    <s v="Mechanical Parts &amp; Assemblies"/>
    <s v="IGT-D"/>
    <x v="3"/>
    <s v="IL3"/>
    <n v="0.1"/>
    <x v="393"/>
    <s v="India"/>
    <s v="Catalyst"/>
    <x v="0"/>
    <s v="Vijayanand"/>
    <x v="1"/>
    <m/>
  </r>
  <r>
    <s v="MR00236113"/>
    <s v="Siddarth"/>
    <s v="PLC extension -2 redesign"/>
    <s v="Dan"/>
    <s v="Kar, Abhinandan"/>
    <s v="N/A"/>
    <s v="LCM"/>
    <s v="SOURCING"/>
    <s v="Mechanical Parts &amp; Assemblies"/>
    <s v="MR"/>
    <x v="0"/>
    <s v="IL3"/>
    <n v="1"/>
    <x v="424"/>
    <s v="India"/>
    <s v="Catalyst"/>
    <x v="0"/>
    <s v="Abhinandan Kar"/>
    <x v="1"/>
    <m/>
  </r>
  <r>
    <n v="37004"/>
    <s v="Kulasekhar (KK)"/>
    <s v="REPAIR SRC Compressor replacement reduction (Plexus)"/>
    <s v="Dan"/>
    <s v="Dharmadhikari, Makarand Pandharinath"/>
    <s v="TCO"/>
    <s v="PRODUCTIVITY"/>
    <s v="TCO"/>
    <s v="Medical ODM Markets"/>
    <s v="SRC"/>
    <x v="1"/>
    <s v="IL1"/>
    <n v="0.4"/>
    <x v="323"/>
    <s v="India"/>
    <s v="Catalyst"/>
    <x v="0"/>
    <s v="Makarand Pandharinath Dharmadhikari"/>
    <x v="1"/>
    <m/>
  </r>
  <r>
    <n v="37004"/>
    <s v="Kulasekhar (KK)"/>
    <s v="REPAIR SRC Compressor replacement reduction (Plexus)"/>
    <s v="Dan"/>
    <s v="Reddy, Muppidi Samatha"/>
    <s v="TCO"/>
    <s v="PRODUCTIVITY"/>
    <s v="TCO"/>
    <s v="Medical ODM Markets"/>
    <s v="SRC"/>
    <x v="1"/>
    <s v="IL1"/>
    <n v="0.1"/>
    <x v="321"/>
    <s v="India"/>
    <s v="Catalyst"/>
    <x v="0"/>
    <s v="Vijayanand"/>
    <x v="1"/>
    <m/>
  </r>
  <r>
    <s v="Tailored-Products-overview 2023"/>
    <s v="Saravana"/>
    <s v="3rd Party Tailored-Products-overview"/>
    <s v="Dan"/>
    <s v="M R, Kiran"/>
    <s v="N/A"/>
    <s v="PRODUCTIVITY"/>
    <s v="SOURCING"/>
    <s v="Medical ODM Markets"/>
    <s v="IGT-S"/>
    <x v="3"/>
    <s v="IL0"/>
    <n v="0.4"/>
    <x v="384"/>
    <s v="India"/>
    <s v="Catalyst"/>
    <x v="0"/>
    <s v="Pushkar Kulkarni"/>
    <x v="1"/>
    <m/>
  </r>
  <r>
    <s v="Tailored-Products-overview 2023"/>
    <s v="Saravana"/>
    <s v="3rd Party Tailored-Products-overview"/>
    <s v="Dan"/>
    <s v="Purushothaman, Vijayanand"/>
    <s v="N/A"/>
    <s v="PRODUCTIVITY"/>
    <s v="SOURCING"/>
    <s v="Medical ODM Markets"/>
    <s v="IGT-S"/>
    <x v="3"/>
    <s v="IL0"/>
    <n v="0.25"/>
    <x v="243"/>
    <s v="India"/>
    <s v="Catalyst"/>
    <x v="0"/>
    <s v="Vijayanand"/>
    <x v="1"/>
    <m/>
  </r>
  <r>
    <n v="35327"/>
    <s v="Kulasekhar (KK)"/>
    <s v="Return TechMax PC after upgrade"/>
    <s v="Dan"/>
    <s v="Purushothaman, Vijayanand"/>
    <s v="PROCUREMENT"/>
    <s v="PRODUCTIVITY"/>
    <s v="SOURCING"/>
    <s v="Key Components &amp; Electronics"/>
    <s v="IGT-S"/>
    <x v="3"/>
    <s v="IL3"/>
    <n v="0.2"/>
    <x v="241"/>
    <s v="India"/>
    <s v="Catalyst"/>
    <x v="0"/>
    <s v="Vijayanand"/>
    <x v="1"/>
    <m/>
  </r>
  <r>
    <n v="20234"/>
    <s v="Pushkar Kulkarni"/>
    <s v="STET: Outsourcing - MVS Assembly"/>
    <s v="Dan"/>
    <s v="Purushothaman, Vijayanand"/>
    <s v="PROCUREMENT"/>
    <s v="PRODUCTIVITY"/>
    <s v="CONCEPT"/>
    <s v="Mechanical Parts &amp; Assemblies"/>
    <s v="IGT-MoS"/>
    <x v="3"/>
    <s v="IL3"/>
    <n v="0.1"/>
    <x v="289"/>
    <s v="India"/>
    <s v="Catalyst"/>
    <x v="0"/>
    <s v="Vijayanand"/>
    <x v="1"/>
    <m/>
  </r>
  <r>
    <s v="MR00261790"/>
    <s v="Vijayanand Purushothaman"/>
    <s v="Seaway Plastics (Port Richey) will be decommissioning our vertical press as of 31-12-2022, and will no longer be able to support vertical molding."/>
    <s v="Dan"/>
    <s v="Kar, Abhinandan"/>
    <s v="N/A"/>
    <s v="LCM"/>
    <s v="SOURCING"/>
    <s v="Mechanical Parts &amp; Assemblies"/>
    <s v="MR"/>
    <x v="0"/>
    <s v="IL5"/>
    <n v="0.05"/>
    <x v="216"/>
    <s v="India"/>
    <s v="Catalyst"/>
    <x v="0"/>
    <s v="Abhinandan Kar"/>
    <x v="1"/>
    <m/>
  </r>
  <r>
    <s v="MR00263069"/>
    <s v="Vijayanand Purushothaman"/>
    <s v="Product Change Notification"/>
    <s v="Dan"/>
    <s v="Kar, Abhinandan"/>
    <s v="N/A"/>
    <s v="LCM"/>
    <s v="SOURCING"/>
    <s v="Key Components &amp; Electronics"/>
    <s v="MR"/>
    <x v="0"/>
    <s v="IL5"/>
    <n v="0.05"/>
    <x v="216"/>
    <s v="India"/>
    <s v="Catalyst"/>
    <x v="0"/>
    <s v="Abhinandan Kar"/>
    <x v="1"/>
    <m/>
  </r>
  <r>
    <s v="CR174438"/>
    <s v="Saurabh Agarwal"/>
    <s v="China WPT Project"/>
    <s v="Tim"/>
    <s v="Kalghatgi, Krishnaraj"/>
    <s v="N/A"/>
    <s v="LCM"/>
    <s v="SOURCING"/>
    <s v="Personal Health"/>
    <s v="OHC"/>
    <x v="2"/>
    <s v="IL2"/>
    <n v="1"/>
    <x v="425"/>
    <s v="India"/>
    <s v="Catalyst"/>
    <x v="0"/>
    <s v="Krishnaraj Kalghatgi"/>
    <x v="1"/>
    <m/>
  </r>
  <r>
    <s v="CONQ-QIO"/>
    <s v="Saravana"/>
    <s v="CONQ QIO Data Analysis"/>
    <s v="Dan"/>
    <s v="Purushothaman, Vijayanand"/>
    <s v="N/A"/>
    <s v="CONQ"/>
    <s v="TCO"/>
    <s v="Key Components &amp; Electronics"/>
    <s v="IGT-S"/>
    <x v="3"/>
    <s v="IL1"/>
    <n v="0.25"/>
    <x v="301"/>
    <s v="India"/>
    <s v="Catalyst"/>
    <x v="0"/>
    <s v="Vijayanand"/>
    <x v="1"/>
    <m/>
  </r>
  <r>
    <n v="26793"/>
    <s v="Vijayanand Purushothaman"/>
    <s v="Single PCBA to replace VS2 and TH2 Controller PCBA"/>
    <s v="Dan"/>
    <s v="Kumar, Niranjan"/>
    <s v="PROCUREMENT"/>
    <s v="PRODUCTIVITY"/>
    <s v="CONCEPT"/>
    <s v="Key Components &amp; Electronics"/>
    <s v="DXR"/>
    <x v="0"/>
    <s v="IL3"/>
    <n v="0.5"/>
    <x v="255"/>
    <s v="India"/>
    <s v="Catalyst"/>
    <x v="0"/>
    <s v="Niranjan Kumar"/>
    <x v="1"/>
    <m/>
  </r>
  <r>
    <s v="MR00271880"/>
    <s v="Siddarth"/>
    <s v="ECI-Plexus Supplier De-Risking Project"/>
    <s v="Dan"/>
    <s v="Barve, Bhushan"/>
    <s v="PROCUREMENT"/>
    <s v="PRODUCTIVITY"/>
    <s v="SOURCING"/>
    <s v="Key Components &amp; Electronics"/>
    <s v="MR"/>
    <x v="0"/>
    <s v="IL0"/>
    <n v="0.1"/>
    <x v="272"/>
    <s v="India"/>
    <s v="Catalyst"/>
    <x v="0"/>
    <s v="Bhushan Barve"/>
    <x v="1"/>
    <m/>
  </r>
  <r>
    <n v="33510"/>
    <s v="Siddarth"/>
    <s v="Arctronics De-risking to SFO for Breast coils family"/>
    <s v="Phil"/>
    <s v="Barve, Bhushan"/>
    <s v="PROCUREMENT"/>
    <s v="PRODUCTIVITY"/>
    <s v="SOURCING"/>
    <s v="Key Components &amp; Electronics"/>
    <s v="MR"/>
    <x v="0"/>
    <s v="IL3"/>
    <n v="0.4"/>
    <x v="272"/>
    <s v="India"/>
    <s v="Catalyst"/>
    <x v="0"/>
    <s v="Bhushan Barve"/>
    <x v="1"/>
    <m/>
  </r>
  <r>
    <s v="CONQ-QIO"/>
    <s v="Saravana"/>
    <s v="CONQ QIO Data Analysis"/>
    <s v="Dan"/>
    <s v="Kulkarni, Pravin"/>
    <s v="N/A"/>
    <s v="CONQ"/>
    <s v="TCO"/>
    <s v="Key Components &amp; Electronics"/>
    <s v="IGT-S"/>
    <x v="3"/>
    <s v="IL1"/>
    <n v="0.33"/>
    <x v="298"/>
    <s v="India"/>
    <s v="Catalyst"/>
    <x v="0"/>
    <s v="Bhavesh Devendra Shaha"/>
    <x v="1"/>
    <m/>
  </r>
  <r>
    <s v="D001417657 "/>
    <s v="Kulkarni, Pushkar"/>
    <s v="SRAM EOL"/>
    <s v="Dan"/>
    <s v="Bhandari, Priyanka"/>
    <s v="N/A"/>
    <s v="AOS"/>
    <s v="SOURCING"/>
    <s v="Key Components &amp; Electronics"/>
    <s v="IGT-MoS"/>
    <x v="3"/>
    <s v="IL2"/>
    <n v="0.15"/>
    <x v="260"/>
    <s v="India"/>
    <s v="Catalyst"/>
    <x v="0"/>
    <s v="Priyanka Bhandari"/>
    <x v="1"/>
    <m/>
  </r>
  <r>
    <s v="CR180665"/>
    <s v="Kulkarni, Pushkar"/>
    <s v="Defective pixels on some FD17 system"/>
    <s v="Dan"/>
    <s v="Bhandari, Priyanka"/>
    <s v="N/A"/>
    <s v="CONQ"/>
    <s v="CONQ"/>
    <s v="Key Components &amp; Electronics"/>
    <s v="IGT-MoS"/>
    <x v="3"/>
    <s v="IL3"/>
    <n v="0.5"/>
    <x v="222"/>
    <s v="India"/>
    <s v="Catalyst"/>
    <x v="0"/>
    <s v="Priyanka Bhandari"/>
    <x v="1"/>
    <m/>
  </r>
  <r>
    <s v="CR156871"/>
    <s v="Saurabh Agarwal"/>
    <s v="PIE - alternate source for comparator IC (TCs and Xian base charger)"/>
    <s v="Tim"/>
    <s v="Srinivas, M.V.D"/>
    <s v="N/A"/>
    <s v="LCM"/>
    <s v="SOURCING"/>
    <s v="Key Components &amp; Electronics"/>
    <s v="OHC"/>
    <x v="2"/>
    <s v="IL3"/>
    <n v="0.2"/>
    <x v="245"/>
    <s v="India"/>
    <s v="Catalyst"/>
    <x v="0"/>
    <s v="M.V.D Srinivas"/>
    <x v="1"/>
    <m/>
  </r>
  <r>
    <n v="26346"/>
    <s v="Saurabh Agarwal"/>
    <s v="SUP20-other Shanghai travel cases. Remove PU leather on both versions, integrated cable &amp; cover on charging version."/>
    <s v="Tim"/>
    <s v="Srinivas, M.V.D"/>
    <s v="PROCUREMENT"/>
    <s v="PRODUCTIVITY"/>
    <s v="CONCEPT"/>
    <s v="Key Components &amp; Electronics"/>
    <s v="OHC"/>
    <x v="2"/>
    <s v="IL3"/>
    <n v="0.4"/>
    <x v="245"/>
    <s v="India"/>
    <s v="Catalyst"/>
    <x v="0"/>
    <s v="M.V.D Srinivas"/>
    <x v="1"/>
    <m/>
  </r>
  <r>
    <s v="HPMLCM003"/>
    <s v="Viraj Bhagwat"/>
    <s v="LM &amp; Labelling – MRPC / Cambridge"/>
    <s v="Nishant"/>
    <s v="Dharmadhikari, Makarand Pandharinath"/>
    <s v="N/A"/>
    <s v="LCM"/>
    <s v="SOURCING"/>
    <s v="Mechanical Parts &amp; Assemblies"/>
    <s v="HPM"/>
    <x v="1"/>
    <s v="IL3"/>
    <n v="0.5"/>
    <x v="240"/>
    <s v="India"/>
    <s v="Catalyst"/>
    <x v="0"/>
    <s v="Makarand Pandharinath Dharmadhikari"/>
    <x v="1"/>
    <m/>
  </r>
  <r>
    <s v="CR158975"/>
    <s v="Vijayanand Purushothaman"/>
    <s v="NC992a Tube switch selector Mechanical"/>
    <s v="Dan"/>
    <s v="Dharmadhikari, Makarand Pandharinath"/>
    <s v="N/A"/>
    <s v="LCM"/>
    <s v="SOURCING"/>
    <s v="Mechanical Parts &amp; Assemblies"/>
    <s v="CT/AMI"/>
    <x v="0"/>
    <s v="IL1"/>
    <n v="0.2"/>
    <x v="230"/>
    <s v="India"/>
    <s v="Catalyst"/>
    <x v="0"/>
    <s v="Makarand Pandharinath Dharmadhikari"/>
    <x v="1"/>
    <m/>
  </r>
  <r>
    <s v="CR160324"/>
    <s v="Vijayanand Purushothaman"/>
    <s v="MRC CV Specification"/>
    <s v="Dan"/>
    <s v="Dharmadhikari, Makarand Pandharinath"/>
    <s v="N/A"/>
    <s v="LCM"/>
    <s v="SOURCING"/>
    <s v="Mechanical Parts &amp; Assemblies"/>
    <s v="CT/AMI"/>
    <x v="0"/>
    <s v="IL1"/>
    <n v="0.2"/>
    <x v="230"/>
    <s v="India"/>
    <s v="Catalyst"/>
    <x v="0"/>
    <s v="Makarand Pandharinath Dharmadhikari"/>
    <x v="1"/>
    <m/>
  </r>
  <r>
    <s v="CR160324"/>
    <s v="Vijayanand Purushothaman"/>
    <s v="MRC CV Specification"/>
    <s v="Dan"/>
    <s v="Dharmadhikari, Makarand Pandharinath"/>
    <s v="N/A"/>
    <s v="LCM"/>
    <s v="SOURCING"/>
    <s v="Mechanical Parts &amp; Assemblies"/>
    <s v="CT/AMI"/>
    <x v="0"/>
    <s v="IL1"/>
    <n v="0.2"/>
    <x v="230"/>
    <s v="India"/>
    <s v="Catalyst"/>
    <x v="0"/>
    <s v="Makarand Pandharinath Dharmadhikari"/>
    <x v="1"/>
    <m/>
  </r>
  <r>
    <s v="CR160324"/>
    <s v="Vijayanand Purushothaman"/>
    <s v="MRC CV Specification"/>
    <s v="Dan"/>
    <s v="Dharmadhikari, Makarand Pandharinath"/>
    <s v="N/A"/>
    <s v="LCM"/>
    <s v="SOURCING"/>
    <s v="Mechanical Parts &amp; Assemblies"/>
    <s v="CT/AMI"/>
    <x v="0"/>
    <s v="IL1"/>
    <n v="0.2"/>
    <x v="230"/>
    <s v="India"/>
    <s v="Catalyst"/>
    <x v="0"/>
    <s v="Makarand Pandharinath Dharmadhikari"/>
    <x v="1"/>
    <m/>
  </r>
  <r>
    <s v="CARTPDCUS2"/>
    <s v="Charles Moses"/>
    <s v="Carts PDC - Ultrasound Shelby NPI"/>
    <s v="Nishant"/>
    <s v="Naik, Tushar"/>
    <s v="N/A"/>
    <s v="CART PDC"/>
    <s v="CONCEPT"/>
    <s v="Mechanical Parts &amp; Assemblies"/>
    <s v="US"/>
    <x v="0"/>
    <s v="IL2"/>
    <n v="0.3"/>
    <x v="426"/>
    <s v="India"/>
    <s v="Catalyst"/>
    <x v="0"/>
    <s v="Tushar Naik"/>
    <x v="1"/>
    <m/>
  </r>
  <r>
    <n v="36654"/>
    <s v="Matt Morse"/>
    <s v="Capture Productivity Savings - PV035 Y-arm mold transfer to Viant"/>
    <s v="Dan"/>
    <s v="Kulkarni, Pushkar"/>
    <s v="PROCUREMENT"/>
    <s v="PRODUCTIVITY"/>
    <s v="SOURCING"/>
    <s v="Mechanical Parts &amp; Assemblies"/>
    <s v="IGT-D"/>
    <x v="3"/>
    <s v="IL2"/>
    <n v="0.1"/>
    <x v="376"/>
    <s v="India"/>
    <s v="Catalyst"/>
    <x v="0"/>
    <s v="Pushkar Kulkarni"/>
    <x v="1"/>
    <m/>
  </r>
  <r>
    <n v="35065"/>
    <s v="Matt Morse"/>
    <s v="Distributor Consolidation Project: RS Hughes"/>
    <s v="Dan"/>
    <s v="Kulkarni, Pushkar"/>
    <s v="PROCUREMENT"/>
    <s v="PRODUCTIVITY"/>
    <s v="SOURCING"/>
    <s v="Mechanical Parts &amp; Assemblies"/>
    <s v="IGT-D"/>
    <x v="3"/>
    <s v="IL1"/>
    <n v="0.1"/>
    <x v="376"/>
    <s v="India"/>
    <s v="Catalyst"/>
    <x v="0"/>
    <s v="Pushkar Kulkarni"/>
    <x v="1"/>
    <m/>
  </r>
  <r>
    <s v="CONQ-QIO"/>
    <s v="Saravana"/>
    <s v="CONQ QIO Data Analysis"/>
    <s v="Dan"/>
    <s v="Kulkarni, Pushkar"/>
    <s v="N/A"/>
    <s v="CONQ"/>
    <s v="TCO"/>
    <s v="Key Components &amp; Electronics"/>
    <s v="IGT-S"/>
    <x v="3"/>
    <s v="IL1"/>
    <n v="0.05"/>
    <x v="379"/>
    <s v="India"/>
    <s v="Catalyst"/>
    <x v="0"/>
    <s v="Pushkar Kulkarni"/>
    <x v="1"/>
    <m/>
  </r>
  <r>
    <n v="36529"/>
    <s v="Kulasekhar (KK)"/>
    <s v="Move Repair of 45980002241/2/3 PHI-DVI-16416 Matrix to Techdata"/>
    <s v="Dan"/>
    <s v="Kulkarni, Pravin"/>
    <s v="PROCUREMENT"/>
    <s v="PRODUCTIVITY"/>
    <s v="CONCEPT"/>
    <s v="Mechanical Parts &amp; Assemblies"/>
    <s v="IGT-S"/>
    <x v="3"/>
    <s v="IL1"/>
    <n v="0.2"/>
    <x v="296"/>
    <s v="India"/>
    <s v="Catalyst"/>
    <x v="0"/>
    <s v="Bhavesh Devendra Shaha"/>
    <x v="1"/>
    <m/>
  </r>
  <r>
    <s v="MR00253597"/>
    <s v="Vijayanand Purushothaman"/>
    <s v="HFO Coils EOL - LTB Stockout"/>
    <s v="Dan"/>
    <s v="Barve, Bhushan"/>
    <s v="N/A"/>
    <s v="LCM"/>
    <s v="SOURCING"/>
    <s v="Key Components &amp; Electronics"/>
    <s v="MR"/>
    <x v="0"/>
    <s v="IL3"/>
    <n v="0.5"/>
    <x v="276"/>
    <s v="India"/>
    <s v="Catalyst"/>
    <x v="0"/>
    <s v="Bhushan Barve"/>
    <x v="1"/>
    <m/>
  </r>
  <r>
    <n v="33508"/>
    <s v="Siddarth"/>
    <s v="Arctronics De-risking to SFO for Wrist coils family"/>
    <s v="Phil"/>
    <s v="Barve, Bhushan"/>
    <s v="PROCUREMENT"/>
    <s v="PRODUCTIVITY"/>
    <s v="SOURCING"/>
    <s v="Key Components &amp; Electronics"/>
    <s v="MR"/>
    <x v="0"/>
    <s v="IL3"/>
    <n v="0.5"/>
    <x v="427"/>
    <s v="India"/>
    <s v="Catalyst"/>
    <x v="0"/>
    <s v="Bhushan Barve"/>
    <x v="1"/>
    <m/>
  </r>
  <r>
    <n v="33510"/>
    <s v="Siddarth"/>
    <s v="Arctronics De-risking to SFO for Breast coils family"/>
    <s v="Phil"/>
    <s v="Barve, Bhushan"/>
    <s v="PROCUREMENT"/>
    <s v="PRODUCTIVITY"/>
    <s v="SOURCING"/>
    <s v="Key Components &amp; Electronics"/>
    <s v="MR"/>
    <x v="0"/>
    <s v="IL3"/>
    <n v="0.5"/>
    <x v="427"/>
    <s v="India"/>
    <s v="Catalyst"/>
    <x v="0"/>
    <s v="Bhushan Barve"/>
    <x v="1"/>
    <m/>
  </r>
  <r>
    <n v="33510"/>
    <s v="Siddarth"/>
    <s v="Arctronics De-risking to SFO for Breast coils family"/>
    <s v="Phil"/>
    <s v="Barve, Bhushan"/>
    <s v="PROCUREMENT"/>
    <s v="PRODUCTIVITY"/>
    <s v="SOURCING"/>
    <s v="Key Components &amp; Electronics"/>
    <s v="MR"/>
    <x v="0"/>
    <s v="IL3"/>
    <n v="0.5"/>
    <x v="428"/>
    <s v="India"/>
    <s v="Catalyst"/>
    <x v="0"/>
    <s v="Bhushan Barve"/>
    <x v="1"/>
    <m/>
  </r>
  <r>
    <n v="30383"/>
    <s v="Vijayanand Purushothaman"/>
    <s v="Hardware localization from GNV supplier base to india supplier base"/>
    <s v="Dan"/>
    <s v="Barve, Bhushan"/>
    <s v="PROCUREMENT"/>
    <s v="PRODUCTIVITY"/>
    <s v="SOURCING"/>
    <s v="Mechanical Parts &amp; Assemblies"/>
    <s v="MR"/>
    <x v="0"/>
    <s v="IL3"/>
    <n v="0.25"/>
    <x v="277"/>
    <s v="India"/>
    <s v="Catalyst"/>
    <x v="0"/>
    <s v="Bhushan Barve"/>
    <x v="1"/>
    <m/>
  </r>
  <r>
    <n v="27156"/>
    <s v="Anil CS"/>
    <s v="STET:Project Vayu - Cluster 1 (ProxiDiagnost Geometry)"/>
    <s v="Phil"/>
    <s v="Shetty, Siddarth Vishwanath"/>
    <s v="PROCUREMENT"/>
    <s v="LCM"/>
    <s v="CONCEPT"/>
    <s v="Mechanical Parts &amp; Assemblies"/>
    <s v="DXR"/>
    <x v="0"/>
    <s v="IL3"/>
    <n v="0.8"/>
    <x v="414"/>
    <s v="India"/>
    <s v="Catalyst"/>
    <x v="0"/>
    <s v="Siddarth Shetty"/>
    <x v="1"/>
    <m/>
  </r>
  <r>
    <s v="D001250886"/>
    <s v="Vijayanand Purushothaman"/>
    <s v="Tool Modification"/>
    <s v="Dan"/>
    <s v="Ponkshe, Mihir"/>
    <s v="N/A"/>
    <s v="LCM"/>
    <s v="SOURCING"/>
    <s v="Mechanical Parts &amp; Assemblies"/>
    <s v="MR"/>
    <x v="0"/>
    <s v="IL3"/>
    <n v="0.2"/>
    <x v="217"/>
    <s v="India"/>
    <s v="Catalyst"/>
    <x v="0"/>
    <s v="Bhushan Barve"/>
    <x v="1"/>
    <m/>
  </r>
  <r>
    <n v="36370"/>
    <s v="Kulasekhar (KK)"/>
    <s v="Move Repair of 45980002241/2/3 PHI-DVI-16416 Matrix to Techdata"/>
    <s v="Dan"/>
    <s v="Purushothaman, Vijayanand"/>
    <s v="PROCUREMENT"/>
    <s v="PRODUCTIVITY"/>
    <s v="CONCEPT"/>
    <s v="Medical ODM Markets"/>
    <s v="IGT-S"/>
    <x v="3"/>
    <s v="IL1"/>
    <n v="0.1"/>
    <x v="241"/>
    <s v="India"/>
    <s v="Catalyst"/>
    <x v="0"/>
    <s v="Vijayanand"/>
    <x v="1"/>
    <m/>
  </r>
  <r>
    <n v="28787"/>
    <s v="Vijayanand Purushothaman"/>
    <s v="Tubemount Phase II"/>
    <s v="Dan"/>
    <s v="Purushothaman, Vijayanand"/>
    <s v="PROCUREMENT"/>
    <s v="PRODUCTIVITY"/>
    <s v="CONCEPT"/>
    <s v="Mechanical Parts &amp; Assemblies"/>
    <s v="DXR"/>
    <x v="0"/>
    <s v="IL2"/>
    <n v="0.05"/>
    <x v="292"/>
    <s v="India"/>
    <s v="Catalyst"/>
    <x v="0"/>
    <s v="Vijayanand"/>
    <x v="1"/>
    <m/>
  </r>
  <r>
    <s v="PCBA-RISK-MITIGATION"/>
    <s v="Pushkar Kulkarni"/>
    <s v="PCBA remediation for 4 boards"/>
    <s v="Dan"/>
    <s v="Barve, Bhushan"/>
    <s v="N/A"/>
    <s v="LCM"/>
    <s v="SOURCING"/>
    <s v="Key Components &amp; Electronics"/>
    <s v="IGT-MoS"/>
    <x v="3"/>
    <s v="IL1"/>
    <n v="1"/>
    <x v="429"/>
    <s v="India"/>
    <s v="Catalyst"/>
    <x v="0"/>
    <s v="Bhushan Barve"/>
    <x v="1"/>
    <m/>
  </r>
  <r>
    <s v="L&amp;A"/>
    <s v="N/A"/>
    <s v="MISC. ENTRY TO BALANCE WITH RESOURCE DATABASE"/>
    <s v="All"/>
    <s v="Kumar, Niranjan"/>
    <s v="L&amp;A"/>
    <s v="L&amp;A"/>
    <s v="L&amp;A"/>
    <s v="L&amp;A"/>
    <s v="L&amp;A"/>
    <x v="4"/>
    <s v="L&amp;A"/>
    <n v="0.5"/>
    <x v="302"/>
    <s v="India"/>
    <s v="Catalyst"/>
    <x v="0"/>
    <s v="Niranjan Kumar"/>
    <x v="1"/>
    <m/>
  </r>
  <r>
    <s v="MR00253597"/>
    <s v="Vijayanand Purushothaman"/>
    <s v="HFO Coils EOL - LTB Stockout"/>
    <s v="Dan"/>
    <s v="Shetty, Siddarth Vishwanath"/>
    <s v="N/A"/>
    <s v="LCM"/>
    <s v="SOURCING"/>
    <s v="Key Components &amp; Electronics"/>
    <s v="MR"/>
    <x v="0"/>
    <s v="IL3"/>
    <n v="1"/>
    <x v="430"/>
    <s v="India"/>
    <s v="Catalyst"/>
    <x v="0"/>
    <s v="Siddarth Shetty"/>
    <x v="1"/>
    <m/>
  </r>
  <r>
    <s v="LCM7"/>
    <s v="Niranjan Kumar"/>
    <s v="Hamburg LCM"/>
    <s v="Dan"/>
    <s v="Dharmadhikari, Makarand Pandharinath"/>
    <s v="N/A"/>
    <s v="LCM"/>
    <s v="SOURCING"/>
    <s v="Mechanical Parts &amp; Assemblies"/>
    <s v="CT/AMI"/>
    <x v="0"/>
    <s v="IL3"/>
    <n v="1"/>
    <x v="431"/>
    <s v="India"/>
    <s v="Catalyst"/>
    <x v="0"/>
    <s v="Rajat Rokde"/>
    <x v="1"/>
    <m/>
  </r>
  <r>
    <n v="36653"/>
    <s v="Matt Morse"/>
    <s v="Capture Productivity Savings - Refinity molds transfer to Viant"/>
    <s v="Dan"/>
    <s v="Naik, Tushar"/>
    <s v="PROCUREMENT"/>
    <s v="PRODUCTIVITY"/>
    <s v="SOURCING"/>
    <s v="Mechanical Parts &amp; Assemblies"/>
    <s v="IGT-D"/>
    <x v="3"/>
    <s v="IL2"/>
    <n v="0.7"/>
    <x v="426"/>
    <s v="India"/>
    <s v="Catalyst"/>
    <x v="0"/>
    <s v="Tushar Naik"/>
    <x v="1"/>
    <m/>
  </r>
  <r>
    <s v="IGT-S Funnel Bulding Activities"/>
    <s v="Vijayanand Purushothaman"/>
    <s v="IGT-S Funnel Bulding Activities - IL0 to IL 2."/>
    <s v="Dan"/>
    <s v="Dharmadhikari, Makarand Pandharinath"/>
    <s v="N/A"/>
    <s v="LCM"/>
    <s v="SOURCING"/>
    <s v="Mechanical Parts &amp; Assemblies"/>
    <s v="IGT-S"/>
    <x v="3"/>
    <s v="IL0"/>
    <n v="0.35"/>
    <x v="322"/>
    <s v="India"/>
    <s v="Catalyst"/>
    <x v="0"/>
    <s v="Kiran MR"/>
    <x v="1"/>
    <m/>
  </r>
  <r>
    <s v="LCM13"/>
    <s v="Vijayanand Purushothaman"/>
    <s v="XXXXX : DXR SZ and Group III Label Transfer from IC_DXR_Sustaining"/>
    <s v="Dan"/>
    <s v="Purushothaman, Vijayanand"/>
    <s v="N/A"/>
    <s v="AOS"/>
    <s v="SOURCING"/>
    <s v="Mechanical Parts &amp; Assemblies"/>
    <s v="DXR"/>
    <x v="0"/>
    <s v="IL3"/>
    <n v="0.05"/>
    <x v="292"/>
    <s v="India"/>
    <s v="Catalyst"/>
    <x v="0"/>
    <s v="Vijayanand"/>
    <x v="1"/>
    <m/>
  </r>
  <r>
    <s v="L&amp;A"/>
    <s v="N/A"/>
    <s v="MISC. ENTRY TO BALANCE WITH RESOURCE DATABASE"/>
    <s v="All"/>
    <s v="Purushothaman, Vijayanand"/>
    <s v="L&amp;A"/>
    <s v="L&amp;A"/>
    <s v="L&amp;A"/>
    <s v="L&amp;A"/>
    <s v="L&amp;A"/>
    <x v="4"/>
    <s v="L&amp;A"/>
    <n v="0.1"/>
    <x v="292"/>
    <s v="India"/>
    <s v="Catalyst"/>
    <x v="0"/>
    <s v="Vijayanand"/>
    <x v="1"/>
    <m/>
  </r>
  <r>
    <s v="DNA-NIC2"/>
    <s v="Siddarth"/>
    <s v="DNA-NIC2 MLD Project"/>
    <s v="Dan"/>
    <s v="Parab, Gourav Krishna"/>
    <s v="N/A"/>
    <s v="PRODUCTIVITY"/>
    <s v="SOURCING"/>
    <s v="Mechanical Parts &amp; Assemblies"/>
    <s v="MR"/>
    <x v="0"/>
    <s v="IL3"/>
    <n v="0.7"/>
    <x v="432"/>
    <s v="India"/>
    <s v="Catalyst"/>
    <x v="0"/>
    <s v="Siddarth Shetty"/>
    <x v="1"/>
    <m/>
  </r>
  <r>
    <s v="SMRS6"/>
    <s v="Vijayanand Purushothaman"/>
    <s v="Seaway plastics parts localization"/>
    <s v="Dan"/>
    <s v="Parab, Gourav Krishna"/>
    <s v="PROCUREMENT"/>
    <s v="PRODUCTIVITY"/>
    <s v="SOURCING"/>
    <s v="Mechanical Parts &amp; Assemblies"/>
    <s v="MR"/>
    <x v="0"/>
    <s v="IL0"/>
    <n v="0.3"/>
    <x v="432"/>
    <s v="India"/>
    <s v="Catalyst"/>
    <x v="0"/>
    <s v="Siddarth Shetty"/>
    <x v="1"/>
    <m/>
  </r>
  <r>
    <n v="36545"/>
    <s v="Saurabh Agarwal"/>
    <s v="SYDNEY 2ND SOURCE TI MCU"/>
    <s v="Tim"/>
    <m/>
    <s v="PROCUREMENT"/>
    <s v="PRODUCTIVITY"/>
    <s v="CONCEPT"/>
    <s v="Key Components &amp; Electronics"/>
    <s v="OHC"/>
    <x v="2"/>
    <s v="IL2"/>
    <n v="0.3"/>
    <x v="433"/>
    <s v="India"/>
    <s v="SYSTEUR"/>
    <x v="0"/>
    <s v="Saurabh Agrawal"/>
    <x v="3"/>
    <m/>
  </r>
  <r>
    <n v="26774"/>
    <s v="Viraj Bhagwat"/>
    <s v="STET: DFX_PM_Resourcing Delphi power supply"/>
    <s v="Nishant"/>
    <s v="Rahul Rahulankar"/>
    <s v="PROCUREMENT"/>
    <s v="PRODUCTIVITY"/>
    <s v="SOURCING"/>
    <s v="Key Components &amp; Electronics"/>
    <s v="HPM"/>
    <x v="1"/>
    <s v="IL5"/>
    <n v="0.2"/>
    <x v="434"/>
    <s v="India"/>
    <s v="SYSTEUR"/>
    <x v="0"/>
    <s v="Viraj Bhagwat"/>
    <x v="2"/>
    <m/>
  </r>
  <r>
    <n v="30133"/>
    <s v="Viraj Bhagwat"/>
    <s v="2021_Quasar_New Sumida Transformer with SMT"/>
    <s v="Nishant"/>
    <s v="Viraj Bhagwat"/>
    <s v="PROCUREMENT"/>
    <s v="PRODUCTIVITY"/>
    <s v="CONCEPT"/>
    <s v="Key Components &amp; Electronics"/>
    <s v="HPM"/>
    <x v="1"/>
    <s v="IL2"/>
    <n v="0.2"/>
    <x v="434"/>
    <s v="India"/>
    <s v="SYSTEUR"/>
    <x v="0"/>
    <s v="Viraj Bhagwat"/>
    <x v="2"/>
    <m/>
  </r>
  <r>
    <n v="35929"/>
    <s v="Viraj Bhagwat"/>
    <s v="Alternative vendor for UPS"/>
    <s v="Nishant"/>
    <s v="Viraj Bhagwat"/>
    <s v="PROCUREMENT"/>
    <s v="PRODUCTIVITY"/>
    <s v="SOURCING"/>
    <s v="Medical ODM Markets"/>
    <s v="HPM"/>
    <x v="1"/>
    <s v="IL1"/>
    <n v="0.1"/>
    <x v="434"/>
    <s v="India"/>
    <s v="SYSTEUR"/>
    <x v="0"/>
    <s v="Viraj Bhagwat"/>
    <x v="2"/>
    <m/>
  </r>
  <r>
    <s v="HPMLCM005"/>
    <s v="Viraj Bhagwat"/>
    <s v="Comp Engg. Paper VnV"/>
    <s v="Nishant"/>
    <s v="Viraj Bhagwat"/>
    <s v="N/A"/>
    <s v="LCM"/>
    <s v="SOURCING"/>
    <s v="Mechanical Parts &amp; Assemblies"/>
    <s v="HPM"/>
    <x v="1"/>
    <s v="IL3"/>
    <n v="0.2"/>
    <x v="434"/>
    <s v="India"/>
    <s v="SYSTEUR"/>
    <x v="0"/>
    <s v="Viraj Bhagwat"/>
    <x v="2"/>
    <m/>
  </r>
  <r>
    <n v="29240"/>
    <s v="Viraj Bhagwat"/>
    <s v="Digitalization and dual sourcing of NiBP pressure sensor"/>
    <s v="Nishant"/>
    <s v="Viraj Bhagwat"/>
    <s v="PROCUREMENT"/>
    <s v="PRODUCTIVITY"/>
    <s v="CONCEPT"/>
    <s v="Key Components &amp; Electronics"/>
    <s v="HPM"/>
    <x v="1"/>
    <s v="IL1"/>
    <n v="0.1"/>
    <x v="435"/>
    <s v="India"/>
    <s v="SYSTEUR"/>
    <x v="0"/>
    <s v="Viraj Bhagwat"/>
    <x v="2"/>
    <m/>
  </r>
  <r>
    <n v="29240"/>
    <s v="Viraj Bhagwat"/>
    <s v="Digitalization and dual sourcing of NiBP pressure sensor"/>
    <s v="Nishant"/>
    <s v="Viraj Bhagwat"/>
    <s v="PROCUREMENT"/>
    <s v="PRODUCTIVITY"/>
    <s v="CONCEPT"/>
    <s v="Key Components &amp; Electronics"/>
    <s v="HPM"/>
    <x v="1"/>
    <s v="IL1"/>
    <n v="0.1"/>
    <x v="436"/>
    <s v="India"/>
    <s v="SYSTEUR"/>
    <x v="0"/>
    <s v="Viraj Bhagwat"/>
    <x v="2"/>
    <m/>
  </r>
  <r>
    <s v="HPMLCM001"/>
    <s v="Viraj Bhagwat"/>
    <s v="Labelling requests – BBN"/>
    <s v="Nishant"/>
    <s v="Viraj Bhagwat"/>
    <s v="N/A"/>
    <s v="LCM"/>
    <s v="SOURCING"/>
    <s v="Mechanical Parts &amp; Assemblies"/>
    <s v="HPM"/>
    <x v="1"/>
    <s v="IL3"/>
    <n v="0.5"/>
    <x v="437"/>
    <s v="India"/>
    <s v="SYSTEUR"/>
    <x v="0"/>
    <s v="Viraj Bhagwat"/>
    <x v="2"/>
    <m/>
  </r>
  <r>
    <s v="HPMLCM003"/>
    <s v="Viraj Bhagwat"/>
    <s v="LM &amp; Labelling – MRPC / Cambridge"/>
    <s v="Nishant"/>
    <s v="Rahul Rahulankar"/>
    <s v="N/A"/>
    <s v="LCM"/>
    <s v="SOURCING"/>
    <s v="Mechanical Parts &amp; Assemblies"/>
    <s v="HPM"/>
    <x v="1"/>
    <s v="IL3"/>
    <n v="0.2"/>
    <x v="437"/>
    <s v="India"/>
    <s v="SYSTEUR"/>
    <x v="0"/>
    <s v="Viraj Bhagwat"/>
    <x v="2"/>
    <m/>
  </r>
  <r>
    <n v="33289"/>
    <s v="Viraj Bhagwat"/>
    <s v="Transfer of 9 parts from CMP and AMS to Sanmina's source SFO"/>
    <s v="Nishant"/>
    <s v="Viraj Bhagwat"/>
    <s v="PROCUREMENT"/>
    <s v="PRODUCTIVITY"/>
    <s v="SOURCING"/>
    <s v="Key Components &amp; Electronics"/>
    <s v="HPM"/>
    <x v="1"/>
    <s v="IL4"/>
    <n v="0.3"/>
    <x v="438"/>
    <s v="India"/>
    <s v="SYSTEUR"/>
    <x v="0"/>
    <s v="Viraj Bhagwat"/>
    <x v="2"/>
    <m/>
  </r>
  <r>
    <n v="24497"/>
    <s v="Viraj Bhagwat"/>
    <s v="Jupiter Project Phase 1 (former STET - PM-BBN Q319 Kaizen: Expand OMS Besser Project (Exit Schwarz))"/>
    <s v="Nishant"/>
    <s v="Parag Kulkarni"/>
    <s v="PROCUREMENT"/>
    <s v="PRODUCTIVITY"/>
    <s v="SOURCING"/>
    <s v="Mechanical Parts &amp; Assemblies"/>
    <s v="HPM"/>
    <x v="1"/>
    <s v="IL4"/>
    <n v="0.3"/>
    <x v="438"/>
    <s v="India"/>
    <s v="SYSTEUR"/>
    <x v="0"/>
    <s v="Viraj Bhagwat"/>
    <x v="2"/>
    <m/>
  </r>
  <r>
    <s v="HPMLCM003"/>
    <s v="Viraj Bhagwat"/>
    <s v="LM &amp; Labelling – MRPC / Cambridge"/>
    <s v="Nishant"/>
    <s v="Rahul Rahulankar"/>
    <s v="N/A"/>
    <s v="LCM"/>
    <s v="SOURCING"/>
    <s v="Mechanical Parts &amp; Assemblies"/>
    <s v="HPM"/>
    <x v="1"/>
    <s v="IL3"/>
    <n v="0.2"/>
    <x v="438"/>
    <s v="India"/>
    <s v="SYSTEUR"/>
    <x v="0"/>
    <s v="Viraj Bhagwat"/>
    <x v="2"/>
    <m/>
  </r>
  <r>
    <n v="30133"/>
    <s v="Viraj Bhagwat"/>
    <s v="2021_Quasar_New Sumida Transformer with SMT"/>
    <s v="Nishant"/>
    <s v="Viraj Bhagwat"/>
    <s v="PROCUREMENT"/>
    <s v="PRODUCTIVITY"/>
    <s v="CONCEPT"/>
    <s v="Key Components &amp; Electronics"/>
    <s v="HPM"/>
    <x v="1"/>
    <s v="IL2"/>
    <n v="0.2"/>
    <x v="439"/>
    <s v="India"/>
    <s v="SYSTEUR"/>
    <x v="0"/>
    <s v="Viraj Bhagwat"/>
    <x v="2"/>
    <m/>
  </r>
  <r>
    <n v="35929"/>
    <s v="Viraj Bhagwat"/>
    <s v="Alternative vendor for UPS"/>
    <s v="Nishant"/>
    <s v="Viraj Bhagwat"/>
    <s v="PROCUREMENT"/>
    <s v="PRODUCTIVITY"/>
    <s v="SOURCING"/>
    <s v="Medical ODM Markets"/>
    <s v="HPM"/>
    <x v="1"/>
    <s v="IL1"/>
    <n v="0.4"/>
    <x v="439"/>
    <s v="India"/>
    <s v="SYSTEUR"/>
    <x v="0"/>
    <s v="Viraj Bhagwat"/>
    <x v="2"/>
    <m/>
  </r>
  <r>
    <n v="33356"/>
    <s v="Viraj Bhagwat"/>
    <s v="Phoenix power supply resourcing"/>
    <s v="Nishant"/>
    <s v="Viraj Bhagwat"/>
    <s v="PROCUREMENT"/>
    <s v="PRODUCTIVITY"/>
    <s v="SOURCING"/>
    <s v="Key Components &amp; Electronics"/>
    <s v="HPM"/>
    <x v="1"/>
    <s v="IL3"/>
    <n v="0.1"/>
    <x v="439"/>
    <s v="India"/>
    <s v="SYSTEUR"/>
    <x v="0"/>
    <s v="Viraj Bhagwat"/>
    <x v="2"/>
    <m/>
  </r>
  <r>
    <s v="L&amp;A"/>
    <s v="N/A"/>
    <s v="MISC. ENTRY TO BALANCE WITH RESOURCE DATABASE"/>
    <s v="All"/>
    <m/>
    <s v="L&amp;A"/>
    <s v="L&amp;A"/>
    <s v="L&amp;A"/>
    <s v="L&amp;A"/>
    <s v="L&amp;A"/>
    <x v="4"/>
    <s v="L&amp;A"/>
    <n v="1"/>
    <x v="440"/>
    <s v="India"/>
    <s v="Catalyst"/>
    <x v="0"/>
    <s v="Neelam Kaustubh Pathak"/>
    <x v="1"/>
    <m/>
  </r>
  <r>
    <s v="L&amp;A"/>
    <s v="N/A"/>
    <s v="MISC. ENTRY TO BALANCE WITH RESOURCE DATABASE"/>
    <s v="All"/>
    <m/>
    <s v="L&amp;A"/>
    <s v="L&amp;A"/>
    <s v="L&amp;A"/>
    <s v="L&amp;A"/>
    <s v="L&amp;A"/>
    <x v="4"/>
    <s v="L&amp;A"/>
    <n v="1"/>
    <x v="441"/>
    <s v="USA"/>
    <s v="L&amp;A"/>
    <x v="0"/>
    <s v="Phil Jenkins"/>
    <x v="0"/>
    <m/>
  </r>
  <r>
    <s v="L&amp;A"/>
    <s v="N/A"/>
    <s v="MISC. ENTRY TO BALANCE WITH RESOURCE DATABASE"/>
    <s v="All"/>
    <m/>
    <s v="L&amp;A"/>
    <s v="L&amp;A"/>
    <s v="L&amp;A"/>
    <s v="L&amp;A"/>
    <s v="L&amp;A"/>
    <x v="4"/>
    <s v="L&amp;A"/>
    <n v="1"/>
    <x v="442"/>
    <s v="USA"/>
    <s v="L&amp;A"/>
    <x v="0"/>
    <s v="Phil Jenkins"/>
    <x v="0"/>
    <m/>
  </r>
  <r>
    <s v="L&amp;A"/>
    <s v="N/A"/>
    <s v="MISC. ENTRY TO BALANCE WITH RESOURCE DATABASE"/>
    <s v="All"/>
    <m/>
    <s v="L&amp;A"/>
    <s v="L&amp;A"/>
    <s v="L&amp;A"/>
    <s v="L&amp;A"/>
    <s v="L&amp;A"/>
    <x v="4"/>
    <s v="L&amp;A"/>
    <n v="1"/>
    <x v="443"/>
    <s v="China"/>
    <s v="L&amp;A"/>
    <x v="0"/>
    <s v="Phil Jenkins"/>
    <x v="0"/>
    <m/>
  </r>
  <r>
    <s v="L&amp;A"/>
    <s v="L&amp;A"/>
    <s v="L&amp;A"/>
    <s v="All"/>
    <m/>
    <s v="L&amp;A"/>
    <s v="L&amp;A"/>
    <s v="L&amp;A"/>
    <s v="L&amp;A"/>
    <s v="L&amp;A"/>
    <x v="4"/>
    <s v="L&amp;A"/>
    <n v="1"/>
    <x v="444"/>
    <s v="India"/>
    <s v="L&amp;A"/>
    <x v="0"/>
    <s v="Tim Bokelman"/>
    <x v="3"/>
    <m/>
  </r>
  <r>
    <s v="L&amp;A"/>
    <s v="L&amp;A"/>
    <s v="L&amp;A"/>
    <s v="All"/>
    <m/>
    <s v="L&amp;A"/>
    <s v="L&amp;A"/>
    <s v="L&amp;A"/>
    <s v="L&amp;A"/>
    <s v="L&amp;A"/>
    <x v="4"/>
    <s v="L&amp;A"/>
    <n v="1"/>
    <x v="445"/>
    <s v="India"/>
    <s v="L&amp;A"/>
    <x v="0"/>
    <s v="Tim Bokelman"/>
    <x v="3"/>
    <m/>
  </r>
  <r>
    <s v="L&amp;A"/>
    <s v="N/A"/>
    <s v="MISC. ENTRY TO BALANCE WITH RESOURCE DATABASE"/>
    <s v="All"/>
    <m/>
    <s v="L&amp;A"/>
    <s v="L&amp;A"/>
    <s v="L&amp;A"/>
    <s v="L&amp;A"/>
    <s v="L&amp;A"/>
    <x v="4"/>
    <s v="L&amp;A"/>
    <n v="1"/>
    <x v="446"/>
    <s v="India"/>
    <s v="Catalyst"/>
    <x v="0"/>
    <s v="Tim Bokelman"/>
    <x v="3"/>
    <m/>
  </r>
  <r>
    <s v="L&amp;A"/>
    <s v="N/A"/>
    <s v="MISC. ENTRY TO BALANCE WITH RESOURCE DATABASE"/>
    <s v="All"/>
    <m/>
    <s v="L&amp;A"/>
    <s v="L&amp;A"/>
    <s v="L&amp;A"/>
    <s v="L&amp;A"/>
    <s v="L&amp;A"/>
    <x v="4"/>
    <s v="L&amp;A"/>
    <n v="1"/>
    <x v="447"/>
    <s v="USA"/>
    <s v="L&amp;A"/>
    <x v="0"/>
    <s v="Vanish Dabra"/>
    <x v="4"/>
    <m/>
  </r>
  <r>
    <s v="L&amp;A"/>
    <s v="N/A"/>
    <s v="MISC. ENTRY TO BALANCE WITH RESOURCE DATABASE"/>
    <s v="All"/>
    <m/>
    <s v="L&amp;A"/>
    <s v="L&amp;A"/>
    <s v="L&amp;A"/>
    <s v="L&amp;A"/>
    <s v="L&amp;A"/>
    <x v="4"/>
    <s v="L&amp;A"/>
    <n v="1"/>
    <x v="448"/>
    <s v="USA"/>
    <s v="L&amp;A"/>
    <x v="0"/>
    <s v="Vanish Dabra"/>
    <x v="4"/>
    <m/>
  </r>
  <r>
    <s v="L&amp;A"/>
    <s v="N/A"/>
    <s v="MISC. ENTRY TO BALANCE WITH RESOURCE DATABASE"/>
    <s v="All"/>
    <m/>
    <s v="L&amp;A"/>
    <s v="L&amp;A"/>
    <s v="L&amp;A"/>
    <s v="L&amp;A"/>
    <s v="L&amp;A"/>
    <x v="4"/>
    <s v="L&amp;A"/>
    <n v="1"/>
    <x v="449"/>
    <s v="USA"/>
    <s v="L&amp;A"/>
    <x v="0"/>
    <s v="Vanish Dabra"/>
    <x v="4"/>
    <m/>
  </r>
  <r>
    <s v="L&amp;A"/>
    <s v="N/A"/>
    <s v="MISC. ENTRY TO BALANCE WITH RESOURCE DATABASE"/>
    <s v="All"/>
    <m/>
    <s v="L&amp;A"/>
    <s v="L&amp;A"/>
    <s v="L&amp;A"/>
    <s v="L&amp;A"/>
    <s v="L&amp;A"/>
    <x v="4"/>
    <s v="L&amp;A"/>
    <n v="1"/>
    <x v="450"/>
    <s v="USA"/>
    <s v="L&amp;A"/>
    <x v="0"/>
    <s v="Vanish Dabra"/>
    <x v="4"/>
    <m/>
  </r>
  <r>
    <s v="34990"/>
    <s v="Sushruth"/>
    <s v="D400 Nipple Shield transfer from OEM to BATAM"/>
    <s v="Tim"/>
    <m/>
    <s v="PROCUREMENT"/>
    <s v="PRODUCTIVITY"/>
    <s v="SOURCING"/>
    <s v="Mechanical Parts &amp; Assemblies"/>
    <s v="MCC"/>
    <x v="2"/>
    <s v="IL3"/>
    <n v="0.3"/>
    <x v="18"/>
    <s v="India"/>
    <s v="SYSTEUR"/>
    <x v="0"/>
    <s v="sushruth.rudrachary@philips.com"/>
    <x v="3"/>
    <m/>
  </r>
  <r>
    <s v="38088"/>
    <s v="Charles Moses"/>
    <s v="STET A2K - Optioning Wifi Module"/>
    <s v="Nishant"/>
    <m/>
    <s v="PROCUREMENT"/>
    <s v="PRODUCTIVITY"/>
    <s v="CONCEPT"/>
    <s v="Key Components &amp; Electronics"/>
    <s v="US"/>
    <x v="1"/>
    <s v="IL0"/>
    <n v="0.5"/>
    <x v="451"/>
    <s v="India"/>
    <s v="SYSTEUR"/>
    <x v="0"/>
    <s v="Charles.Moses@philips.com"/>
    <x v="2"/>
    <m/>
  </r>
  <r>
    <s v="32083"/>
    <s v="Charles Moses"/>
    <s v="STET DfX 2331: Resource AFFINITI (APPM) Power Supply"/>
    <s v="Nishant"/>
    <m/>
    <s v="PROCUREMENT"/>
    <s v="PRODUCTIVITY"/>
    <s v="SOURCING"/>
    <s v="Key Components &amp; Electronics"/>
    <s v="US"/>
    <x v="0"/>
    <s v="IL2"/>
    <n v="0.5"/>
    <x v="451"/>
    <s v="India"/>
    <s v="SYSTEUR"/>
    <x v="0"/>
    <s v="Charles.Moses@philips.com"/>
    <x v="2"/>
    <m/>
  </r>
  <r>
    <s v="30317"/>
    <s v="Charles Moses"/>
    <s v="STET DfX 2331: Resource EPIQ (VPPM) Power Supplies"/>
    <s v="Nishant"/>
    <m/>
    <s v="PROCUREMENT"/>
    <s v="PRODUCTIVITY"/>
    <s v="SOURCING"/>
    <s v="Key Components &amp; Electronics"/>
    <s v="US"/>
    <x v="0"/>
    <s v="IL3"/>
    <n v="0.5"/>
    <x v="451"/>
    <s v="India"/>
    <s v="SYSTEUR"/>
    <x v="0"/>
    <s v="Charles.Moses@philips.com"/>
    <x v="2"/>
    <m/>
  </r>
  <r>
    <s v="32401"/>
    <s v="Charles Moses"/>
    <s v="OLED Display 2nd Source"/>
    <s v="Nishant"/>
    <m/>
    <s v="PROCUREMENT"/>
    <s v="PRODUCTIVITY"/>
    <s v="SOURCING"/>
    <s v="Key Components &amp; Electronics"/>
    <s v="US"/>
    <x v="0"/>
    <s v="IL3"/>
    <n v="0.5"/>
    <x v="451"/>
    <s v="India"/>
    <s v="SYSTEUR"/>
    <x v="0"/>
    <s v="Charles.Moses@philips.com"/>
    <x v="2"/>
    <m/>
  </r>
  <r>
    <s v="26160"/>
    <s v="Charles Moses"/>
    <s v="STET 2nd source Epiq Control Panel arm (current supplier Southco)"/>
    <s v="Nishant"/>
    <m/>
    <s v="PROCUREMENT"/>
    <s v="PRODUCTIVITY"/>
    <s v="CONCEPT"/>
    <s v="Mechanical Parts &amp; Assemblies"/>
    <s v="US"/>
    <x v="0"/>
    <s v="IL2"/>
    <n v="0.5"/>
    <x v="452"/>
    <s v="India"/>
    <s v="SYSTEUR"/>
    <x v="0"/>
    <s v="Charles.Moses@philips.com"/>
    <x v="2"/>
    <m/>
  </r>
  <r>
    <s v="35096"/>
    <s v="Charles Moses"/>
    <s v="Grayhill New Manufacturing Location in China"/>
    <s v="Nishant"/>
    <m/>
    <s v="PROCUREMENT"/>
    <s v="PRODUCTIVITY"/>
    <s v="SOURCING"/>
    <s v="Mechanical Parts &amp; Assemblies"/>
    <s v="US"/>
    <x v="0"/>
    <s v="IL0"/>
    <n v="0.5"/>
    <x v="452"/>
    <s v="India"/>
    <s v="SYSTEUR"/>
    <x v="0"/>
    <s v="Charles.Moses@philips.com"/>
    <x v="2"/>
    <m/>
  </r>
  <r>
    <s v="PD32257"/>
    <s v="Charles Moses"/>
    <s v="CTT – Affiniti PN 453561730631 Enclosure, Trigger (CP unlock lever) failures"/>
    <s v="Nishant"/>
    <m/>
    <s v="N/A"/>
    <s v="LCM"/>
    <s v="SOURCING"/>
    <s v="Mechanical Parts &amp; Assemblies"/>
    <s v="US"/>
    <x v="0"/>
    <s v="IL3"/>
    <n v="0.5"/>
    <x v="453"/>
    <s v="USA"/>
    <s v="SYSTEUR"/>
    <x v="0"/>
    <s v="Charles.Moses@philips.com"/>
    <x v="2"/>
    <m/>
  </r>
  <r>
    <s v="CR0110394"/>
    <s v="Charles Moses"/>
    <s v="Parts needed for PKG Transition Closure (HD15 Control Panel)"/>
    <s v="Nishant"/>
    <m/>
    <s v="N/A"/>
    <s v="AOS"/>
    <s v="SOURCING"/>
    <s v="Mechanical Parts &amp; Assemblies"/>
    <s v="US"/>
    <x v="0"/>
    <s v="IL3"/>
    <n v="0.5"/>
    <x v="453"/>
    <s v="USA"/>
    <s v="SYSTEUR"/>
    <x v="0"/>
    <s v="Charles.Moses@philips.com"/>
    <x v="2"/>
    <m/>
  </r>
  <r>
    <s v="CARTPDCHRC2"/>
    <s v="Charles Moses"/>
    <s v="Carts PDC - HRC Cart V60"/>
    <s v="Nishant"/>
    <m/>
    <s v="PROCUREMENT"/>
    <s v="CART PDC"/>
    <s v="CONCEPT"/>
    <s v="Mechanical Parts &amp; Assemblies"/>
    <s v="HRC"/>
    <x v="1"/>
    <s v="IL3"/>
    <n v="1"/>
    <x v="454"/>
    <s v="India"/>
    <s v="SYSTEUR"/>
    <x v="0"/>
    <s v="Charles.Moses@philips.com"/>
    <x v="2"/>
    <m/>
  </r>
  <r>
    <s v="CARTPDCHRC2"/>
    <s v="Charles Moses"/>
    <s v="Carts PDC - HRC Cart V60"/>
    <s v="Nishant"/>
    <m/>
    <s v="PROCUREMENT"/>
    <s v="CART PDC"/>
    <s v="CONCEPT"/>
    <s v="Mechanical Parts &amp; Assemblies"/>
    <s v="HRC"/>
    <x v="1"/>
    <s v="IL3"/>
    <n v="0.4"/>
    <x v="455"/>
    <s v="India"/>
    <s v="SYSTEUR"/>
    <x v="0"/>
    <s v="Charles.Moses@philips.com"/>
    <x v="2"/>
    <m/>
  </r>
  <r>
    <s v="CARTPDCUS1"/>
    <s v="Charles Moses"/>
    <s v="Carts PDC - Ultrasound Quicksilver NPI"/>
    <s v="Nishant"/>
    <m/>
    <s v="PROCUREMENT"/>
    <s v="CART PDC"/>
    <s v="CONCEPT"/>
    <s v="Mechanical Parts &amp; Assemblies"/>
    <s v="US"/>
    <x v="0"/>
    <s v="IL3"/>
    <n v="0.4"/>
    <x v="455"/>
    <s v="India"/>
    <s v="SYSTEUR"/>
    <x v="0"/>
    <s v="Charles.Moses@philips.com"/>
    <x v="2"/>
    <m/>
  </r>
  <r>
    <s v="CARTPDCHPM_1"/>
    <s v="Charles Moses"/>
    <s v="Carts PDC - HPM - Calimero material Fetal Cart"/>
    <s v="Nishant"/>
    <m/>
    <s v="PROCUREMENT"/>
    <s v="CART PDC"/>
    <s v="CONCEPT"/>
    <s v="Mechanical Parts &amp; Assemblies"/>
    <s v="HPM"/>
    <x v="1"/>
    <s v="IL3"/>
    <n v="0.2"/>
    <x v="455"/>
    <s v="India"/>
    <s v="SYSTEUR"/>
    <x v="0"/>
    <s v="Charles.Moses@philips.com"/>
    <x v="2"/>
    <m/>
  </r>
  <r>
    <s v="CARTPDCUS1"/>
    <s v="Charles Moses"/>
    <s v="Carts PDC - Ultrasound Quicksilver NPI"/>
    <s v="Nishant"/>
    <m/>
    <s v="PROCUREMENT"/>
    <s v="CART PDC"/>
    <s v="CONCEPT"/>
    <s v="Mechanical Parts &amp; Assemblies"/>
    <s v="US"/>
    <x v="0"/>
    <s v="IL3"/>
    <n v="0.7"/>
    <x v="456"/>
    <s v="India"/>
    <s v="SYSTEUR"/>
    <x v="0"/>
    <s v="Charles.Moses@philips.com"/>
    <x v="2"/>
    <m/>
  </r>
  <r>
    <s v="CARTPDCHPM_1"/>
    <s v="Charles Moses"/>
    <s v="Carts PDC - HPM - Calimero material Fetal Cart"/>
    <s v="Nishant"/>
    <m/>
    <s v="PROCUREMENT"/>
    <s v="CART PDC"/>
    <s v="CONCEPT"/>
    <s v="Mechanical Parts &amp; Assemblies"/>
    <s v="HPM"/>
    <x v="1"/>
    <s v="IL3"/>
    <n v="0.3"/>
    <x v="456"/>
    <s v="India"/>
    <s v="SYSTEUR"/>
    <x v="0"/>
    <s v="Charles.Moses@philips.com"/>
    <x v="2"/>
    <m/>
  </r>
  <r>
    <s v="124505"/>
    <s v="Chris McDaniel"/>
    <s v="HS1 Pads Cartridge Resistor Dual Sourcing"/>
    <s v="Nishant"/>
    <m/>
    <s v="N/A"/>
    <s v="AOS"/>
    <s v="SOURCING"/>
    <s v="Mechanical Parts &amp; Assemblies"/>
    <s v="EC"/>
    <x v="1"/>
    <s v="IL3"/>
    <n v="1"/>
    <x v="457"/>
    <s v="India"/>
    <s v="SYSTEUR"/>
    <x v="0"/>
    <s v="rajat.rokde@philips.com"/>
    <x v="2"/>
    <m/>
  </r>
  <r>
    <s v="132929"/>
    <s v="Chris McDaniel"/>
    <s v="Tempus Pro printer controller chip replacement"/>
    <s v="Nishant"/>
    <m/>
    <s v="N/A"/>
    <s v="AOS"/>
    <s v="SOURCING"/>
    <s v="Key Components &amp; Electronics"/>
    <s v="EC"/>
    <x v="1"/>
    <s v="IL3"/>
    <n v="1"/>
    <x v="458"/>
    <s v="India"/>
    <s v="SYSTEUR"/>
    <x v="0"/>
    <s v="rajat.rokde@philips.com"/>
    <x v="2"/>
    <m/>
  </r>
  <r>
    <s v="EC_SUST_2"/>
    <s v="Charles Moses"/>
    <s v="HS1 Drawing Release 1"/>
    <s v="Nishant"/>
    <m/>
    <s v="N/A"/>
    <s v="LCM"/>
    <s v="SOURCING"/>
    <s v="Mechanical Parts &amp; Assemblies"/>
    <s v="EC"/>
    <x v="1"/>
    <s v="IL3"/>
    <n v="1"/>
    <x v="459"/>
    <s v="India"/>
    <s v="SYSTEUR"/>
    <x v="0"/>
    <s v="rajat.rokde@philips.com"/>
    <x v="2"/>
    <m/>
  </r>
  <r>
    <s v="EC_SUST_8"/>
    <s v="Charles Moses"/>
    <s v="Pro &amp; Accessories"/>
    <s v="Nishant"/>
    <m/>
    <s v="N/A"/>
    <s v="LCM"/>
    <s v="SOURCING"/>
    <s v="Mechanical Parts &amp; Assemblies"/>
    <s v="EC"/>
    <x v="1"/>
    <s v="IL3"/>
    <n v="1"/>
    <x v="460"/>
    <s v="India"/>
    <s v="SYSTEUR"/>
    <x v="0"/>
    <s v="rajat.rokde@philips.com"/>
    <x v="2"/>
    <m/>
  </r>
  <r>
    <s v="110392"/>
    <s v="Chris McDaniel"/>
    <s v="EU MDR Class I labelling and Brexit label updates"/>
    <s v="Nishant"/>
    <m/>
    <s v="N/A"/>
    <s v="AOS"/>
    <s v="SOURCING"/>
    <s v="Mechanical Parts &amp; Assemblies"/>
    <s v="EC"/>
    <x v="1"/>
    <s v="IL3"/>
    <n v="1"/>
    <x v="461"/>
    <s v="India"/>
    <s v="SYSTEUR"/>
    <x v="0"/>
    <s v="rajat.rokde@philips.com"/>
    <x v="2"/>
    <m/>
  </r>
  <r>
    <s v="EC_SUST_9"/>
    <s v="Charles Moses"/>
    <s v="Pads Platform"/>
    <s v="Nishant"/>
    <m/>
    <s v="N/A"/>
    <s v="LCM"/>
    <s v="SOURCING"/>
    <s v="Mechanical Parts &amp; Assemblies"/>
    <s v="EC"/>
    <x v="1"/>
    <s v="IL3"/>
    <n v="1"/>
    <x v="462"/>
    <s v="India"/>
    <s v="SYSTEUR"/>
    <x v="0"/>
    <s v="rajat.rokde@philips.com"/>
    <x v="2"/>
    <m/>
  </r>
  <r>
    <s v="EC_SUST_5"/>
    <s v="Charles Moses"/>
    <s v="SCIP Database_3"/>
    <s v="Nishant"/>
    <m/>
    <s v="N/A"/>
    <s v="LCM"/>
    <s v="SOURCING"/>
    <s v="Mechanical Parts &amp; Assemblies"/>
    <s v="EC"/>
    <x v="1"/>
    <s v="IL3"/>
    <n v="1"/>
    <x v="463"/>
    <s v="India"/>
    <s v="SYSTEUR"/>
    <x v="0"/>
    <s v="rajat.rokde@philips.com"/>
    <x v="2"/>
    <m/>
  </r>
  <r>
    <s v="35908"/>
    <s v="Steven Mroch"/>
    <s v="Consolidate production of Helix assemblies in Kimball Mexico."/>
    <s v="Nishant"/>
    <m/>
    <s v="PROCUREMENT"/>
    <s v="PRODUCTIVITY"/>
    <s v="SOURCING"/>
    <s v="Key Components &amp; Electronics"/>
    <s v="SRC"/>
    <x v="1"/>
    <s v="IL1"/>
    <n v="0.4"/>
    <x v="464"/>
    <s v="India"/>
    <s v="SYSTEUR"/>
    <x v="0"/>
    <s v="Steven.Mroch@philips.com"/>
    <x v="2"/>
    <m/>
  </r>
  <r>
    <s v="DCR-Obs7"/>
    <s v="Steve/Fernando"/>
    <s v="SRC Remediation - Observation-7"/>
    <s v="Nishant"/>
    <m/>
    <s v="N/A"/>
    <s v="LCM"/>
    <s v="CONCEPT"/>
    <s v="Mechanical Parts &amp; Assemblies"/>
    <s v="SRC"/>
    <x v="1"/>
    <s v="IL3"/>
    <n v="1"/>
    <x v="465"/>
    <s v="India"/>
    <s v="SYSTEUR"/>
    <x v="0"/>
    <s v="Steven.Mroch@philips.com"/>
    <x v="2"/>
    <m/>
  </r>
  <r>
    <s v="DCR-Obs7"/>
    <s v="Steve/Fernando"/>
    <s v="SRC Remediation - Observation-7"/>
    <s v="Nishant"/>
    <m/>
    <s v="N/A"/>
    <s v="LCM"/>
    <s v="CONCEPT"/>
    <s v="Mechanical Parts &amp; Assemblies"/>
    <s v="SRC"/>
    <x v="1"/>
    <s v="IL3"/>
    <n v="1"/>
    <x v="466"/>
    <s v="India"/>
    <s v="SYSTEUR"/>
    <x v="0"/>
    <s v="Steven.Mroch@philips.com"/>
    <x v="2"/>
    <m/>
  </r>
  <r>
    <s v="DCR-Obs7"/>
    <s v="Steve/Fernando"/>
    <s v="SRC Remediation - Observation-7"/>
    <s v="Nishant"/>
    <m/>
    <s v="N/A"/>
    <s v="LCM"/>
    <s v="CONCEPT"/>
    <s v="Mechanical Parts &amp; Assemblies"/>
    <s v="SRC"/>
    <x v="1"/>
    <s v="IL3"/>
    <n v="1"/>
    <x v="467"/>
    <s v="India"/>
    <s v="SYSTEUR"/>
    <x v="0"/>
    <s v="Steven.Mroch@philips.com"/>
    <x v="2"/>
    <m/>
  </r>
  <r>
    <s v="DCR-Obs7"/>
    <s v="Steve/Fernando"/>
    <s v="SRC Remediation - Observation-7"/>
    <s v="Nishant"/>
    <m/>
    <s v="N/A"/>
    <s v="LCM"/>
    <s v="CONCEPT"/>
    <s v="Mechanical Parts &amp; Assemblies"/>
    <s v="SRC"/>
    <x v="1"/>
    <s v="IL3"/>
    <n v="0.6"/>
    <x v="468"/>
    <s v="India"/>
    <s v="SYSTEUR"/>
    <x v="0"/>
    <s v="Steven.Mroch@philips.com"/>
    <x v="2"/>
    <m/>
  </r>
  <r>
    <s v="36612"/>
    <s v="Tiger Xiao"/>
    <s v="Saving for sub-tier source change of Sumitumo cable assembly driven by STET Gemba activity"/>
    <s v="Phil"/>
    <m/>
    <s v="PROCUREMENT"/>
    <s v="PRODUCTIVITY"/>
    <s v="SOURCING"/>
    <s v="Key Components &amp; Electronics"/>
    <s v="US"/>
    <x v="0"/>
    <s v="IL0"/>
    <n v="0.2"/>
    <x v="468"/>
    <s v="India"/>
    <s v="SYSTEUR"/>
    <x v="0"/>
    <s v="Steven.Mroch@philips.com"/>
    <x v="2"/>
    <m/>
  </r>
  <r>
    <s v="DCR-13138"/>
    <s v="Steve/Fernando"/>
    <s v="Triology Class I MDR Label updates"/>
    <s v="Nishant"/>
    <m/>
    <s v="N/A"/>
    <s v="LCM"/>
    <s v="SOURCING"/>
    <s v="Mechanical Parts &amp; Assemblies"/>
    <s v="SRC"/>
    <x v="1"/>
    <s v="IL2"/>
    <n v="0.2"/>
    <x v="468"/>
    <s v="India"/>
    <s v="SYSTEUR"/>
    <x v="0"/>
    <s v="Steven.Mroch@philips.com"/>
    <x v="2"/>
    <m/>
  </r>
  <r>
    <s v="36612"/>
    <s v="Tiger Xiao"/>
    <s v="Saving for sub-tier source change of Sumitumo cable assembly driven by STET Gemba activity"/>
    <s v="Phil"/>
    <m/>
    <s v="PROCUREMENT"/>
    <s v="PRODUCTIVITY"/>
    <s v="SOURCING"/>
    <s v="Key Components &amp; Electronics"/>
    <s v="US"/>
    <x v="0"/>
    <s v="IL0"/>
    <n v="0.2"/>
    <x v="469"/>
    <s v="India"/>
    <s v="SYSTEUR"/>
    <x v="0"/>
    <s v="Steven.Mroch@philips.com"/>
    <x v="2"/>
    <m/>
  </r>
  <r>
    <s v="DCR-Obs7"/>
    <s v="Steve/Fernando"/>
    <s v="SRC Remediation - Observation-7"/>
    <s v="Nishant"/>
    <m/>
    <s v="N/A"/>
    <s v="LCM"/>
    <s v="CONCEPT"/>
    <s v="Mechanical Parts &amp; Assemblies"/>
    <s v="SRC"/>
    <x v="1"/>
    <s v="IL3"/>
    <n v="0.8"/>
    <x v="469"/>
    <s v="India"/>
    <s v="SYSTEUR"/>
    <x v="0"/>
    <s v="Steven.Mroch@philips.com"/>
    <x v="2"/>
    <m/>
  </r>
  <r>
    <s v="DCR-Obs7"/>
    <s v="Steve/Fernando"/>
    <s v="SRC Remediation - Observation-7"/>
    <s v="Nishant"/>
    <m/>
    <s v="N/A"/>
    <s v="LCM"/>
    <s v="CONCEPT"/>
    <s v="Mechanical Parts &amp; Assemblies"/>
    <s v="SRC"/>
    <x v="1"/>
    <s v="IL3"/>
    <n v="0.6"/>
    <x v="470"/>
    <s v="India"/>
    <s v="SYSTEUR"/>
    <x v="0"/>
    <s v="Steven.Mroch@philips.com"/>
    <x v="2"/>
    <m/>
  </r>
  <r>
    <s v="DCR-13206"/>
    <s v="Steven Mroch"/>
    <s v="Thule exit plan"/>
    <s v="Nishant"/>
    <m/>
    <s v="N/A"/>
    <s v="LCM"/>
    <s v="SOURCING"/>
    <s v="Mechanical Parts &amp; Assemblies"/>
    <s v="SRC"/>
    <x v="1"/>
    <s v="IL3"/>
    <n v="0.2"/>
    <x v="470"/>
    <s v="India"/>
    <s v="SYSTEUR"/>
    <x v="0"/>
    <s v="Steven.Mroch@philips.com"/>
    <x v="2"/>
    <m/>
  </r>
  <r>
    <s v="DCR-Obs7"/>
    <s v="Steve/Fernando"/>
    <s v="SRC Remediation - Observation-7"/>
    <s v="Nishant"/>
    <m/>
    <s v="N/A"/>
    <s v="LCM"/>
    <s v="CONCEPT"/>
    <s v="Mechanical Parts &amp; Assemblies"/>
    <s v="SRC"/>
    <x v="1"/>
    <s v="IL3"/>
    <n v="0.7"/>
    <x v="471"/>
    <s v="India"/>
    <s v="SYSTEUR"/>
    <x v="0"/>
    <s v="Steven.Mroch@philips.com"/>
    <x v="2"/>
    <m/>
  </r>
  <r>
    <s v="SRCLCM0001"/>
    <s v="Steve"/>
    <s v="SRC Portfolio Pruning"/>
    <s v="Nishant"/>
    <m/>
    <s v="N/A"/>
    <s v="LCM"/>
    <s v="SOURCING"/>
    <s v="Medical ODM Markets"/>
    <s v="SRC"/>
    <x v="1"/>
    <s v="IL3"/>
    <n v="0.3"/>
    <x v="471"/>
    <s v="India"/>
    <s v="SYSTEUR"/>
    <x v="0"/>
    <s v="Steven.Mroch@philips.com"/>
    <x v="2"/>
    <m/>
  </r>
  <r>
    <s v="DCR-Obs7"/>
    <s v="Steve/Fernando"/>
    <s v="SRC Remediation - Observation-7"/>
    <s v="Nishant"/>
    <m/>
    <s v="N/A"/>
    <s v="LCM"/>
    <s v="CONCEPT"/>
    <s v="Mechanical Parts &amp; Assemblies"/>
    <s v="SRC"/>
    <x v="1"/>
    <s v="IL3"/>
    <n v="0.8"/>
    <x v="472"/>
    <s v="India"/>
    <s v="SYSTEUR"/>
    <x v="0"/>
    <s v="Steven.Mroch@philips.com"/>
    <x v="2"/>
    <m/>
  </r>
  <r>
    <s v="DCR-Obs7"/>
    <s v="Steve/Fernando"/>
    <s v="SRC Remediation - Observation-7"/>
    <s v="Nishant"/>
    <m/>
    <s v="N/A"/>
    <s v="LCM"/>
    <s v="CONCEPT"/>
    <s v="Mechanical Parts &amp; Assemblies"/>
    <s v="SRC"/>
    <x v="1"/>
    <s v="IL3"/>
    <n v="0.8"/>
    <x v="473"/>
    <s v="India"/>
    <s v="SYSTEUR"/>
    <x v="0"/>
    <s v="Steven.Mroch@philips.com"/>
    <x v="2"/>
    <m/>
  </r>
  <r>
    <s v="34686"/>
    <s v="steve/Fernando"/>
    <s v="Thule Exit Plan Thule informed Philips to stop their OEM business with Philips becaused they want to focus on their own brand business. This activity is the transfer all the active parts from Thule to SI Jacobson (new supplier) &amp; ZhengYu (Exiting supplier"/>
    <s v="Nishant"/>
    <m/>
    <s v="PROCUREMENT"/>
    <s v="PRODUCTIVITY"/>
    <s v="SOURCING"/>
    <s v="Key Components &amp; Electronics"/>
    <s v="SRC"/>
    <x v="1"/>
    <s v="IL3"/>
    <n v="0.3"/>
    <x v="474"/>
    <s v="India"/>
    <s v="SYSTEUR"/>
    <x v="0"/>
    <s v="Steven.Mroch@philips.com"/>
    <x v="2"/>
    <m/>
  </r>
  <r>
    <s v="30988"/>
    <s v="Steve/Fernando"/>
    <s v="Dual source Nirvana UI panel, Blower Box assembly, Upper enclosure assembly, and lower enclosure assembly"/>
    <s v="Nishant"/>
    <m/>
    <s v="PROCUREMENT"/>
    <s v="PRODUCTIVITY"/>
    <s v="SOURCING"/>
    <s v="Mechanical Parts &amp; Assemblies"/>
    <s v="SRC"/>
    <x v="1"/>
    <s v="IL4"/>
    <n v="0.1"/>
    <x v="474"/>
    <s v="India"/>
    <s v="SYSTEUR"/>
    <x v="0"/>
    <s v="Steven.Mroch@philips.com"/>
    <x v="2"/>
    <m/>
  </r>
  <r>
    <s v="28169"/>
    <s v="Steve/Fernando"/>
    <s v="SimplyGo Battery Assembly Resourcing (1074880); due to Greatbatch Contract Termination"/>
    <s v="Nishant"/>
    <m/>
    <s v="PROCUREMENT"/>
    <s v="PRODUCTIVITY"/>
    <s v="SOURCING"/>
    <s v="Key Components &amp; Electronics"/>
    <s v="SRC"/>
    <x v="1"/>
    <s v="IL3"/>
    <n v="0.1"/>
    <x v="475"/>
    <s v="India"/>
    <s v="SYSTEUR"/>
    <x v="0"/>
    <s v="Steven.Mroch@philips.com"/>
    <x v="2"/>
    <m/>
  </r>
  <r>
    <s v="PDTEAM100"/>
    <s v="Phil Jenkins"/>
    <s v="Jabil Exit"/>
    <s v="Phil"/>
    <m/>
    <s v="PROCUREMENT"/>
    <s v="PRODUCTIVITY"/>
    <s v="SOURCING"/>
    <s v="All"/>
    <s v="MR"/>
    <x v="0"/>
    <s v="IL3"/>
    <n v="0.9"/>
    <x v="475"/>
    <s v="India"/>
    <s v="SYSTEUR"/>
    <x v="0"/>
    <s v="Steven.Mroch@philips.com"/>
    <x v="2"/>
    <m/>
  </r>
  <r>
    <s v="36583"/>
    <s v="Steven Mroch"/>
    <s v="Everflo : Localize Carton Supplier"/>
    <s v="Nishant"/>
    <m/>
    <s v="PROCUREMENT"/>
    <s v="PRODUCTIVITY"/>
    <s v="SOURCING"/>
    <s v="Key Components &amp; Electronics"/>
    <s v="SRC"/>
    <x v="1"/>
    <s v="IL0"/>
    <n v="0.1"/>
    <x v="476"/>
    <s v="USA"/>
    <s v="SYSTEUR"/>
    <x v="0"/>
    <s v="Steven.Mroch@philips.com"/>
    <x v="2"/>
    <m/>
  </r>
  <r>
    <s v="35908"/>
    <s v="Steven Mroch"/>
    <s v="Consolidate production of Helix assemblies in Kimball Mexico."/>
    <s v="Nishant"/>
    <m/>
    <s v="PROCUREMENT"/>
    <s v="PRODUCTIVITY"/>
    <s v="SOURCING"/>
    <s v="Key Components &amp; Electronics"/>
    <s v="SRC"/>
    <x v="1"/>
    <s v="IL1"/>
    <n v="0.1"/>
    <x v="476"/>
    <s v="USA"/>
    <s v="SYSTEUR"/>
    <x v="0"/>
    <s v="Steven.Mroch@philips.com"/>
    <x v="2"/>
    <m/>
  </r>
  <r>
    <s v="DCR-Obs7"/>
    <s v="Steve/Fernando"/>
    <s v="SRC Remediation - Observation-7"/>
    <s v="Nishant"/>
    <m/>
    <s v="N/A"/>
    <s v="LCM"/>
    <s v="CONCEPT"/>
    <s v="Mechanical Parts &amp; Assemblies"/>
    <s v="SRC"/>
    <x v="1"/>
    <s v="IL3"/>
    <n v="0.8"/>
    <x v="477"/>
    <s v="USA"/>
    <s v="SYSTEUR"/>
    <x v="0"/>
    <s v="Steven.Mroch@philips.com"/>
    <x v="2"/>
    <m/>
  </r>
  <r>
    <s v="DCR-Obs7"/>
    <s v="Steve/Fernando"/>
    <s v="SRC Remediation - Observation-7"/>
    <s v="Nishant"/>
    <m/>
    <s v="N/A"/>
    <s v="LCM"/>
    <s v="CONCEPT"/>
    <s v="Mechanical Parts &amp; Assemblies"/>
    <s v="SRC"/>
    <x v="1"/>
    <s v="IL3"/>
    <n v="0.7"/>
    <x v="478"/>
    <s v="India"/>
    <s v="SYSTEUR"/>
    <x v="0"/>
    <s v="Steven.Mroch@philips.com"/>
    <x v="2"/>
    <m/>
  </r>
  <r>
    <s v="DCR-13482"/>
    <s v="Steve/Fernando"/>
    <s v="RoHS Compliance PN 1120818 &amp; 1001370"/>
    <s v="Nishant"/>
    <m/>
    <s v="N/A"/>
    <s v="LCM"/>
    <s v="SOURCING"/>
    <s v="Key Components &amp; Electronics"/>
    <s v="SRC"/>
    <x v="1"/>
    <s v="IL4"/>
    <n v="0.1"/>
    <x v="478"/>
    <s v="India"/>
    <s v="SYSTEUR"/>
    <x v="0"/>
    <s v="Steven.Mroch@philips.com"/>
    <x v="2"/>
    <m/>
  </r>
  <r>
    <s v="DCR-Obs7"/>
    <s v="Steve/Fernando"/>
    <s v="SRC Remediation - Observation-7"/>
    <s v="Nishant"/>
    <m/>
    <s v="N/A"/>
    <s v="LCM"/>
    <s v="CONCEPT"/>
    <s v="Mechanical Parts &amp; Assemblies"/>
    <s v="SRC"/>
    <x v="1"/>
    <s v="IL3"/>
    <n v="0.9"/>
    <x v="479"/>
    <s v="India"/>
    <s v="SYSTEUR"/>
    <x v="0"/>
    <s v="Steven.Mroch@philips.com"/>
    <x v="2"/>
    <m/>
  </r>
  <r>
    <s v="DCR-13532"/>
    <s v="Steven Mroch"/>
    <s v="AcBel 1150969 Second Source Parts"/>
    <s v="Nishant"/>
    <m/>
    <s v="N/A"/>
    <s v="LCM"/>
    <s v="SOURCING"/>
    <s v="Key Components &amp; Electronics"/>
    <s v="SRC"/>
    <x v="1"/>
    <s v="IL3"/>
    <n v="0.1"/>
    <x v="479"/>
    <s v="India"/>
    <s v="SYSTEUR"/>
    <x v="0"/>
    <s v="Steven.Mroch@philips.com"/>
    <x v="2"/>
    <m/>
  </r>
  <r>
    <s v="DCR-Obs7"/>
    <s v="Steve/Fernando"/>
    <s v="SRC Remediation - Observation-7"/>
    <s v="Nishant"/>
    <m/>
    <s v="N/A"/>
    <s v="LCM"/>
    <s v="CONCEPT"/>
    <s v="Mechanical Parts &amp; Assemblies"/>
    <s v="SRC"/>
    <x v="1"/>
    <s v="IL3"/>
    <n v="1"/>
    <x v="480"/>
    <s v="India"/>
    <s v="SYSTEUR"/>
    <x v="0"/>
    <s v="Steven.Mroch@philips.com"/>
    <x v="2"/>
    <m/>
  </r>
  <r>
    <s v="DCR-Obs7"/>
    <s v="Steve/Fernando"/>
    <s v="SRC Remediation - Observation-7"/>
    <s v="Nishant"/>
    <m/>
    <s v="N/A"/>
    <s v="LCM"/>
    <s v="CONCEPT"/>
    <s v="Mechanical Parts &amp; Assemblies"/>
    <s v="SRC"/>
    <x v="1"/>
    <s v="IL3"/>
    <n v="1"/>
    <x v="481"/>
    <s v="India"/>
    <s v="SYSTEUR"/>
    <x v="0"/>
    <s v="Steven.Mroch@philips.com"/>
    <x v="2"/>
    <m/>
  </r>
  <r>
    <s v="TPDLM11"/>
    <s v="Tjisse"/>
    <s v="PDLM Phoenix 1.0"/>
    <s v="Tim"/>
    <m/>
    <s v="N/A"/>
    <s v="NPI"/>
    <s v="CONCEPT"/>
    <s v="Personal Health"/>
    <s v="GB"/>
    <x v="2"/>
    <s v="IL3"/>
    <n v="1"/>
    <x v="482"/>
    <s v="India"/>
    <s v="SYSTEUR"/>
    <x v="1"/>
    <s v="Adarsh.Shrivastava@philips.com"/>
    <x v="3"/>
    <m/>
  </r>
  <r>
    <s v="TPDLM21"/>
    <s v="Sushruth"/>
    <s v="PDLM Xenon"/>
    <s v="Tim"/>
    <m/>
    <s v="N/A"/>
    <s v="NPI"/>
    <s v="CONCEPT"/>
    <s v="Personal Health"/>
    <s v="GB"/>
    <x v="2"/>
    <s v="IL3"/>
    <n v="1"/>
    <x v="483"/>
    <s v="India"/>
    <s v="SYSTEUR"/>
    <x v="1"/>
    <s v="Adarsh.Shrivastava@philips.com"/>
    <x v="3"/>
    <m/>
  </r>
  <r>
    <s v="TPDLM20"/>
    <s v="Tjisse"/>
    <s v="Yin Yang"/>
    <s v="Tim"/>
    <m/>
    <s v="N/A"/>
    <s v="NPI"/>
    <s v="CONCEPT"/>
    <s v="Personal Health"/>
    <s v="GB"/>
    <x v="2"/>
    <s v="IL3"/>
    <n v="0.5"/>
    <x v="484"/>
    <s v="India"/>
    <s v="SYSTEUR"/>
    <x v="1"/>
    <s v="Adarsh.Shrivastava@philips.com"/>
    <x v="3"/>
    <m/>
  </r>
  <r>
    <s v="TPDLM8"/>
    <s v="Tjisse"/>
    <s v="XXXXX:PH LCM Packaging 2022"/>
    <s v="Tim"/>
    <m/>
    <s v="N/A"/>
    <s v="LCM"/>
    <s v="SOURCING"/>
    <s v="Mechanical Parts &amp; Assemblies"/>
    <s v="GB"/>
    <x v="2"/>
    <s v="IL1"/>
    <n v="1"/>
    <x v="485"/>
    <s v="India"/>
    <s v="SYSTEUR"/>
    <x v="1"/>
    <s v="Yogesh.Shelgaonkar@philips.com"/>
    <x v="3"/>
    <m/>
  </r>
  <r>
    <s v="TPDLM8"/>
    <s v="Tjisse"/>
    <s v="XXXXX:PH LCM Packaging 2022"/>
    <s v="Tim"/>
    <m/>
    <s v="N/A"/>
    <s v="LCM"/>
    <s v="SOURCING"/>
    <s v="Mechanical Parts &amp; Assemblies"/>
    <s v="GB"/>
    <x v="2"/>
    <s v="IL1"/>
    <n v="1"/>
    <x v="486"/>
    <s v="India"/>
    <s v="SYSTEUR"/>
    <x v="1"/>
    <s v="Yogesh.Shelgaonkar@philips.com"/>
    <x v="3"/>
    <m/>
  </r>
  <r>
    <s v="TPDLM8"/>
    <s v="Tjisse"/>
    <s v="XXXXX:PH LCM Packaging 2022"/>
    <s v="Tim"/>
    <m/>
    <s v="N/A"/>
    <s v="LCM"/>
    <s v="SOURCING"/>
    <s v="Mechanical Parts &amp; Assemblies"/>
    <s v="GB"/>
    <x v="2"/>
    <s v="IL1"/>
    <n v="1"/>
    <x v="487"/>
    <s v="India"/>
    <s v="SYSTEUR"/>
    <x v="1"/>
    <s v="Yogesh.Shelgaonkar@philips.com"/>
    <x v="3"/>
    <m/>
  </r>
  <r>
    <s v="TPDLM6"/>
    <s v="Tjisse"/>
    <s v="XXXXX:PH LCM Mechanical 2022"/>
    <s v="Tim"/>
    <m/>
    <s v="N/A"/>
    <s v="LCM"/>
    <s v="SOURCING"/>
    <s v="Mechanical Parts &amp; Assemblies"/>
    <s v="GB"/>
    <x v="2"/>
    <s v="IL1"/>
    <n v="0.5"/>
    <x v="488"/>
    <s v="India"/>
    <s v="SYSTEUR"/>
    <x v="1"/>
    <s v="Yogesh.Shelgaonkar@philips.com"/>
    <x v="3"/>
    <m/>
  </r>
  <r>
    <s v="TPDLM11"/>
    <s v="Tjisse"/>
    <s v="PDLM Phoenix 1.0"/>
    <s v="Tim"/>
    <m/>
    <s v="N/A"/>
    <s v="NPI"/>
    <s v="CONCEPT"/>
    <s v="Personal Health"/>
    <s v="GB"/>
    <x v="2"/>
    <s v="IL3"/>
    <n v="1"/>
    <x v="489"/>
    <s v="India"/>
    <s v="SYSTEUR"/>
    <x v="0"/>
    <s v="Mihir.Vaidya@philips.com"/>
    <x v="3"/>
    <m/>
  </r>
  <r>
    <s v="TPDLM20"/>
    <s v="Tjisse"/>
    <s v="Yin Yang"/>
    <s v="Tim"/>
    <m/>
    <s v="N/A"/>
    <s v="NPI"/>
    <s v="CONCEPT"/>
    <s v="Personal Health"/>
    <s v="GB"/>
    <x v="2"/>
    <s v="IL3"/>
    <n v="1"/>
    <x v="490"/>
    <s v="India"/>
    <s v="SYSTEUR"/>
    <x v="0"/>
    <s v="Mihir.Vaidya@philips.com"/>
    <x v="3"/>
    <m/>
  </r>
  <r>
    <s v="L&amp;A"/>
    <s v="N/A"/>
    <s v="MISC. ENTRY TO BALANCE WITH RESOURCE DATABASE"/>
    <s v="All"/>
    <m/>
    <s v="N/A"/>
    <s v="L&amp;A"/>
    <s v="L&amp;A"/>
    <s v="L&amp;A"/>
    <s v="L&amp;A"/>
    <x v="4"/>
    <s v="L&amp;A"/>
    <n v="1"/>
    <x v="491"/>
    <s v="India"/>
    <s v="SYSTEUR"/>
    <x v="1"/>
    <s v="Mihir.Vaidya@philips.com"/>
    <x v="3"/>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71">
  <r>
    <s v="MR00350204"/>
    <s v="Sarnobat, Damodar"/>
    <s v="SICR20230628009B- AIBO REDESIGN"/>
    <s v="Phil"/>
    <s v=""/>
    <s v="N/A"/>
    <s v="LCM"/>
    <s v="SOURCING"/>
    <s v="Key components &amp; Electronics"/>
    <s v="MR"/>
    <s v="PD"/>
    <s v="IL0"/>
    <n v="1"/>
    <x v="0"/>
    <s v="India"/>
    <s v="SYSTEUR"/>
    <s v="FTE"/>
    <s v="Bhushan Barve"/>
    <s v="Phil"/>
  </r>
  <r>
    <s v="IGTS Data Sustainability"/>
    <s v="Saravanakumar Palani"/>
    <s v="IGTS Data Sustainability Project (CSRD)"/>
    <s v="Raj"/>
    <s v=""/>
    <s v="N/A"/>
    <s v="LCM"/>
    <s v="SOURCING"/>
    <s v="Mechanical Parts &amp; Assemblies"/>
    <s v="IGT-S"/>
    <s v="IGT"/>
    <s v="IL3"/>
    <n v="1"/>
    <x v="1"/>
    <s v="India"/>
    <s v="SYSTEUR"/>
    <s v="FTE"/>
    <s v="Makarand Dharmadhikari"/>
    <s v="Raj"/>
  </r>
  <r>
    <s v="41025"/>
    <s v="Saurabh Agrawal"/>
    <s v="Cairo EU / EE assy sourcing savings"/>
    <s v="Tim"/>
    <s v=""/>
    <s v="PROCUREMENT"/>
    <s v="PRODUCTIVITY"/>
    <s v="SOURCING"/>
    <s v="Key components &amp; Electronics"/>
    <s v="OHC"/>
    <s v="PH"/>
    <s v="IL5"/>
    <n v="0.3"/>
    <x v="2"/>
    <s v="India"/>
    <s v="SYSTEUR"/>
    <s v="FTE"/>
    <s v="Neeraj Chhabra"/>
    <s v="Tim"/>
  </r>
  <r>
    <s v="CR192500"/>
    <s v="Saurabh Agrawal"/>
    <s v="Mykonos – Anax"/>
    <s v="Tim"/>
    <s v=""/>
    <s v="N/A"/>
    <s v="LCM"/>
    <s v="CONCEPT"/>
    <s v="Personal Health"/>
    <s v="OHC"/>
    <s v="PH"/>
    <s v="IL3"/>
    <n v="0.7"/>
    <x v="2"/>
    <s v="India"/>
    <s v="SYSTEUR"/>
    <s v="FTE"/>
    <s v="Neeraj Chhabra"/>
    <s v="Tim"/>
  </r>
  <r>
    <s v="PDTEAM622"/>
    <s v="Damodar Sarnobat"/>
    <s v="STET MR COILS SICR DESIGN/SPECIFICATION CHANGE "/>
    <s v="Phil"/>
    <s v=""/>
    <s v="N/A"/>
    <s v="LCM"/>
    <s v="TCO"/>
    <s v="Mechanical Parts &amp; Assemblies"/>
    <s v="MR"/>
    <s v="PD"/>
    <s v="IL2"/>
    <n v="1"/>
    <x v="3"/>
    <s v="India"/>
    <s v="SYSTEUR"/>
    <s v="Contingent"/>
    <s v="Avinash Gosavi"/>
    <s v="Phil"/>
  </r>
  <r>
    <s v="PDTEAM514"/>
    <s v="Avinash Gosavi "/>
    <s v="STET MR C&amp;C Project Support Electrical "/>
    <s v="Phil"/>
    <s v=""/>
    <s v="N/A"/>
    <s v="LCM"/>
    <s v="CONCEPT"/>
    <s v="Mechanical Parts &amp; Assemblies"/>
    <s v="MR"/>
    <s v="PD"/>
    <s v="IL2"/>
    <n v="1"/>
    <x v="4"/>
    <s v="India"/>
    <s v="SYSTEUR"/>
    <s v="Contingent"/>
    <s v="Amruta Kulkarni"/>
    <s v="Phil"/>
  </r>
  <r>
    <s v="DCR#20643"/>
    <s v="Steven Mroch"/>
    <s v="Release 1134428 v09 - Evo Travel Bag"/>
    <s v="Nishant"/>
    <s v=""/>
    <s v="TCO"/>
    <s v="AOS"/>
    <s v="TCO"/>
    <s v="Mechanical Parts &amp; Assemblies"/>
    <s v="SRC"/>
    <s v="CC"/>
    <s v="IL3"/>
    <n v="0.3"/>
    <x v="5"/>
    <s v="India"/>
    <s v="SYSTEUR"/>
    <s v="FTE"/>
    <s v="Krishna Prasad K"/>
    <m/>
  </r>
  <r>
    <s v="DCR#20736"/>
    <s v="Steven Mroch"/>
    <s v="Engineering assessment &amp; Shelf Life update"/>
    <s v="Nishant"/>
    <s v=""/>
    <s v="N/A"/>
    <s v="LCM"/>
    <s v="NON_12NC"/>
    <s v="Mechanical Parts &amp; Assemblies"/>
    <s v="SRC"/>
    <s v="CC"/>
    <s v="IL3"/>
    <n v="0.2"/>
    <x v="5"/>
    <s v="India"/>
    <s v="SYSTEUR"/>
    <s v="FTE"/>
    <s v="Krishna Prasad K"/>
    <m/>
  </r>
  <r>
    <s v="DCR#14082"/>
    <s v="Steve_x000a_"/>
    <s v="Create 3D drawing and replacement tool for PN310001 (O2 Enrichment Attachment)"/>
    <s v="Nishant"/>
    <s v=""/>
    <s v="N/A"/>
    <s v="LCM"/>
    <s v="TCO"/>
    <s v="Mechanical Parts &amp; Assemblies"/>
    <s v="SRC"/>
    <s v="CC"/>
    <s v="IL3"/>
    <n v="0.2"/>
    <x v="5"/>
    <s v="India"/>
    <s v="SYSTEUR"/>
    <s v="FTE"/>
    <s v="Krishna Prasad K"/>
    <m/>
  </r>
  <r>
    <s v="DCR#13138"/>
    <s v="Steven Mroch"/>
    <s v="Triology Class I MDR Label updates"/>
    <s v="Nishant"/>
    <s v=""/>
    <s v="N/A"/>
    <s v="LCM"/>
    <s v="SOURCING"/>
    <s v="Mechanical Parts &amp; Assemblies"/>
    <s v="SRC"/>
    <s v="CC"/>
    <s v="IL2"/>
    <n v="0.3"/>
    <x v="5"/>
    <s v="India"/>
    <s v="SYSTEUR"/>
    <s v="FTE"/>
    <s v="Krishna Prasad K"/>
    <m/>
  </r>
  <r>
    <s v="03MOSLCMBOMPROD"/>
    <s v="Ponkshe, Mihir"/>
    <s v="LCM BOM productivity in IGT-MOS"/>
    <s v="Raj"/>
    <s v=""/>
    <s v="N/A"/>
    <s v="LCM"/>
    <s v="SOURCING"/>
    <s v="Mechanical Parts &amp; Assemblies"/>
    <s v="IGT-MoS"/>
    <s v="IGT"/>
    <s v="IL3"/>
    <n v="1"/>
    <x v="6"/>
    <s v="India"/>
    <s v="SYSTEUR"/>
    <s v="FTE"/>
    <s v="Mihir Ponkshe"/>
    <s v="Raj"/>
  </r>
  <r>
    <s v="PDTEAM601"/>
    <s v="Damodar Sarnobat"/>
    <s v="MR Coils Resin Harmonization "/>
    <s v="Phil"/>
    <s v=""/>
    <s v="N/A"/>
    <s v="LCM"/>
    <s v="TCO"/>
    <s v="Mechanical Parts &amp; Assemblies"/>
    <s v="MR"/>
    <s v="PD"/>
    <s v="IL2"/>
    <n v="1"/>
    <x v="7"/>
    <s v="India"/>
    <s v="SYSTEUR"/>
    <s v="FTE"/>
    <s v="Satheesh Nair"/>
    <s v="Nishant"/>
  </r>
  <r>
    <s v="ART-India"/>
    <s v="Vijayanand Purushothaman"/>
    <s v="LCM Support for India"/>
    <s v="Raj"/>
    <s v=""/>
    <s v="N/A"/>
    <s v="LCM"/>
    <s v="SOURCING"/>
    <s v="Mechanical Parts &amp; Assemblies"/>
    <s v="IGT-S"/>
    <s v="IGT"/>
    <s v="IL3"/>
    <n v="1"/>
    <x v="8"/>
    <s v="India"/>
    <s v="SYSTEUR"/>
    <s v="FTE"/>
    <s v="Manish Sharma"/>
    <s v="Raj"/>
  </r>
  <r>
    <s v="ART-India"/>
    <s v="Vijayanand Purushothaman"/>
    <s v="LCM Support for India"/>
    <s v="Raj"/>
    <s v=""/>
    <s v="N/A"/>
    <s v="LCM"/>
    <s v="SOURCING"/>
    <s v="Mechanical Parts &amp; Assemblies"/>
    <s v="IGT-S"/>
    <s v="IGT"/>
    <s v="IL3"/>
    <n v="1"/>
    <x v="9"/>
    <s v="India"/>
    <s v="SYSTEUR"/>
    <s v="FTE"/>
    <s v="Manish Sharma"/>
    <s v="Raj"/>
  </r>
  <r>
    <s v="CARTPDCUS4"/>
    <s v="Charles Moses"/>
    <s v="Carts PDC-Ultrasound iMAMA Lumify Rollstand"/>
    <s v="Nishant"/>
    <s v=""/>
    <s v="N/A"/>
    <s v="CART PDC"/>
    <s v="CONCEPT"/>
    <s v="Mechanical Parts &amp; Assemblies"/>
    <s v="US"/>
    <s v="PD"/>
    <s v="IL1"/>
    <n v="1"/>
    <x v="10"/>
    <s v="India"/>
    <s v="SYSTEUR"/>
    <s v="FTE"/>
    <s v="Charles Moses"/>
    <s v="Nishant"/>
  </r>
  <r>
    <s v="GB_L&amp;A"/>
    <s v="N/A"/>
    <s v="MISC. ENTRY TO BALANCE WITH RESOURCE DATABASE"/>
    <s v="All"/>
    <s v=""/>
    <s v="N/A"/>
    <s v="L&amp;A"/>
    <s v="L&amp;A"/>
    <s v="L&amp;A"/>
    <s v="GB"/>
    <s v="PH"/>
    <s v="IL0"/>
    <n v="1"/>
    <x v="11"/>
    <s v="Netherlands"/>
    <s v="SYSTEUR"/>
    <s v="FTE"/>
    <s v="Tim Bokelman"/>
    <s v="Tim"/>
  </r>
  <r>
    <s v="PDTEAM420"/>
    <s v="Srinivas, M.V.D "/>
    <s v="PCBA Health IGTD"/>
    <s v="Phil"/>
    <s v=""/>
    <s v="N/A"/>
    <s v="LCM"/>
    <s v="SOURCING"/>
    <s v="Key components &amp; Electronics"/>
    <s v="IGT-D"/>
    <s v="IGT"/>
    <s v="IL2"/>
    <n v="1"/>
    <x v="12"/>
    <s v="India"/>
    <s v="SYSTEUR"/>
    <s v="Contingent"/>
    <s v="Bhushan Barve"/>
    <s v="Phil"/>
  </r>
  <r>
    <s v="DXR_Long Leave"/>
    <s v="NA"/>
    <s v="Long Medical Leaves/Maternity leave/Sabbatical"/>
    <s v="All"/>
    <s v=""/>
    <s v="Long Leave"/>
    <s v="Long Leave"/>
    <s v="Long Leave"/>
    <s v="Long Leave"/>
    <s v="DXR"/>
    <s v="PD"/>
    <s v="IL0"/>
    <n v="1"/>
    <x v="13"/>
    <s v="India"/>
    <s v="SYSTEUR"/>
    <s v="Contingent"/>
    <s v="Bhushan Barve"/>
    <s v="Phil"/>
  </r>
  <r>
    <s v="PV - Remediation"/>
    <s v="Sanjeev Kumar"/>
    <s v="Process Validation remediation for IGTS BU"/>
    <s v="Tim"/>
    <s v=""/>
    <s v="N/A"/>
    <s v="LCM"/>
    <s v="CONCEPT"/>
    <s v="Mechanical Parts &amp; Assemblies"/>
    <s v="IGT-S"/>
    <s v="IGT"/>
    <s v="IL3"/>
    <n v="1"/>
    <x v="14"/>
    <s v="India"/>
    <s v="SYSTEUR"/>
    <s v="FTE"/>
    <s v="Sanjeev Kumar"/>
    <s v="Tim"/>
  </r>
  <r>
    <s v="PDTEAM560"/>
    <s v="Damodar Sarnobat"/>
    <s v="STET CT/AMI-  LCM FRU Resolutions"/>
    <s v="Phil"/>
    <s v=""/>
    <s v="N/A"/>
    <s v="LCM"/>
    <s v="TCO"/>
    <s v="Key components &amp; Electronics"/>
    <s v="CT/AMI"/>
    <s v="PD"/>
    <s v="IL2"/>
    <n v="1"/>
    <x v="15"/>
    <s v="India"/>
    <s v="SYSTEUR"/>
    <s v="FTE"/>
    <s v="Subhankar Das"/>
    <s v="Phil"/>
  </r>
  <r>
    <s v="PDTEAM313"/>
    <s v="MR Kiran "/>
    <s v="Factory Best PV remediation"/>
    <s v="Phil"/>
    <s v=""/>
    <s v="N/A"/>
    <s v="LCM"/>
    <s v="TCO"/>
    <s v="Mechanical Parts &amp; Assemblies"/>
    <s v="MR"/>
    <s v="PD"/>
    <s v="IL2"/>
    <n v="0.8"/>
    <x v="16"/>
    <s v="India"/>
    <s v="SYSTEUR"/>
    <s v="FTE"/>
    <s v="Kiran MR"/>
    <s v="Phil"/>
  </r>
  <r>
    <s v="PDTEAM304"/>
    <s v="Kiran MR"/>
    <s v="STET Pkg COE IGT-M Becon Monitor Packaging Change"/>
    <s v="Phil"/>
    <s v=""/>
    <s v="N/A"/>
    <s v="LCM"/>
    <s v="SOURCING"/>
    <s v="Mechanical Parts &amp; Assemblies"/>
    <s v="IGT-MoS"/>
    <s v="IGT"/>
    <s v="IL2"/>
    <n v="0.2"/>
    <x v="16"/>
    <s v="India"/>
    <s v="SYSTEUR"/>
    <s v="FTE"/>
    <s v="Kiran MR"/>
    <s v="Phil"/>
  </r>
  <r>
    <s v="39641"/>
    <s v="Saurabh Agrawal"/>
    <s v="Marvel: Cairo Connected E-Components Optimization"/>
    <s v="Tim"/>
    <s v=""/>
    <s v="PROCUREMENT"/>
    <s v="PRODUCTIVITY"/>
    <s v="SOURCING"/>
    <s v="Personal Health"/>
    <s v="OHC"/>
    <s v="PH"/>
    <s v="IL3"/>
    <n v="1"/>
    <x v="17"/>
    <s v="India"/>
    <s v="SYSTEUR"/>
    <s v="FTE"/>
    <s v="Samar Rajan Dash"/>
    <s v="Tim"/>
  </r>
  <r>
    <s v="DCR 20876"/>
    <s v="Steven Mroch"/>
    <s v="Add a VGA cable fixing device Change the Expected service life of T900 series non-invasive ventilators from &quot;5 years&quot; to &quot;10 years&quot;"/>
    <s v="Nishant"/>
    <s v=""/>
    <s v="N/A"/>
    <s v="LCM"/>
    <s v="NON_12NC"/>
    <s v="Key components &amp; Electronics"/>
    <s v="SRC"/>
    <s v="CC"/>
    <s v="IL3"/>
    <n v="0.25"/>
    <x v="18"/>
    <s v="India"/>
    <s v="SYSTEUR"/>
    <s v="FTE"/>
    <s v="Ganesh Bhat"/>
    <s v="Nishant"/>
  </r>
  <r>
    <s v="DCR 20988"/>
    <s v="Steven Mroch"/>
    <s v="OG5 Instructional Video LBL release"/>
    <s v="Nishant"/>
    <s v=""/>
    <s v="N/A"/>
    <s v="LCM"/>
    <s v="NON_12NC"/>
    <s v="All"/>
    <s v="SRC"/>
    <s v="CC"/>
    <s v="IL3"/>
    <n v="0.5"/>
    <x v="18"/>
    <s v="India"/>
    <s v="SYSTEUR"/>
    <s v="FTE"/>
    <s v="Ganesh Bhat"/>
    <s v="Nishant"/>
  </r>
  <r>
    <s v="DCR 20737"/>
    <s v="Steven Mroch"/>
    <s v="Merge the UDI label and the manufacturer label on the outer box"/>
    <s v="Nishant"/>
    <s v=""/>
    <s v="N/A"/>
    <s v="LCM"/>
    <s v="NON_12NC"/>
    <s v="All"/>
    <s v="SRC"/>
    <s v="CC"/>
    <s v="IL3"/>
    <n v="0.25"/>
    <x v="18"/>
    <s v="India"/>
    <s v="SYSTEUR"/>
    <s v="FTE"/>
    <s v="Ganesh Bhat"/>
    <s v="Nishant"/>
  </r>
  <r>
    <s v="ART-India"/>
    <s v="Vijayanand Purushothaman"/>
    <s v="LCM Support for India"/>
    <s v="Raj"/>
    <s v=""/>
    <s v="N/A"/>
    <s v="LCM"/>
    <s v="SOURCING"/>
    <s v="Mechanical Parts &amp; Assemblies"/>
    <s v="IGT-S"/>
    <s v="IGT"/>
    <s v="IL3"/>
    <n v="1"/>
    <x v="19"/>
    <s v="India"/>
    <s v="SYSTEUR"/>
    <s v="FTE"/>
    <s v="Manish Sharma"/>
    <s v="Raj"/>
  </r>
  <r>
    <s v="PDTEAM421"/>
    <s v="Srinivas, M.V.D "/>
    <s v="STET DXR HW LCM CQ - Mechanical"/>
    <s v="Phil"/>
    <s v=""/>
    <s v="N/A"/>
    <s v="LCM"/>
    <s v="SOURCING"/>
    <s v="Mechanical Parts &amp; Assemblies"/>
    <s v="DXR"/>
    <s v="PD"/>
    <s v="IL2"/>
    <n v="0.5"/>
    <x v="20"/>
    <s v="India"/>
    <s v="SYSTEUR"/>
    <s v="Contingent"/>
    <s v="M.V.D Srinivas"/>
    <s v="Phil"/>
  </r>
  <r>
    <s v="PDTEAM432"/>
    <s v="MVD Srinivas"/>
    <s v="STET DXR Synchronization"/>
    <s v="Phil"/>
    <s v=""/>
    <s v="PROCUREMENT"/>
    <s v="LCM"/>
    <s v="SOURCING"/>
    <s v="Key components &amp; Electronics"/>
    <s v="DXR"/>
    <s v="PD"/>
    <s v="IL2"/>
    <n v="0.4"/>
    <x v="20"/>
    <s v="India"/>
    <s v="SYSTEUR"/>
    <s v="Contingent"/>
    <s v="M.V.D Srinivas"/>
    <s v="Phil"/>
  </r>
  <r>
    <s v="PDTEAM433"/>
    <s v="MVD Srinivas"/>
    <s v="STET DXR NPI Support"/>
    <s v="Phil"/>
    <s v=""/>
    <s v="N/A"/>
    <s v="LCM"/>
    <s v="SOURCING"/>
    <s v="Key components &amp; Electronics"/>
    <s v="DXR"/>
    <s v="PD"/>
    <s v="IL2"/>
    <n v="0.1"/>
    <x v="20"/>
    <s v="India"/>
    <s v="SYSTEUR"/>
    <s v="Contingent"/>
    <s v="M.V.D Srinivas"/>
    <s v="Phil"/>
  </r>
  <r>
    <s v="IGTS_LCM"/>
    <s v="Saravanakumar Palani_x000a__x000a_"/>
    <s v="IGTS_LCM"/>
    <s v="Raj"/>
    <s v=""/>
    <s v="N/A"/>
    <s v="LCM"/>
    <s v="CONCEPT"/>
    <s v="Mechanical Parts &amp; Assemblies"/>
    <s v="IGT-S"/>
    <s v="IGT"/>
    <s v="IL2"/>
    <n v="1"/>
    <x v="21"/>
    <s v="India"/>
    <s v="SYSTEUR"/>
    <s v="FTE"/>
    <s v="Makarand Dharmadhikari"/>
    <s v="Raj"/>
  </r>
  <r>
    <s v="PDTEAM434"/>
    <s v="MVD Srinivas"/>
    <s v="STET DXR-LUNA Transfer Project"/>
    <s v="Phil"/>
    <s v=""/>
    <s v="N/A"/>
    <s v="LCM"/>
    <s v="SOURCING"/>
    <s v="Mechanical Parts &amp; Assemblies"/>
    <s v="DXR"/>
    <s v="PD"/>
    <s v="IL2"/>
    <n v="1"/>
    <x v="22"/>
    <s v="India"/>
    <s v="SYSTEUR"/>
    <s v="FTE"/>
    <s v="M.V.D Srinivas"/>
    <s v="Phil"/>
  </r>
  <r>
    <s v="42069"/>
    <s v="Charles Moses"/>
    <s v="Ultrasound FRU direct buy project(was supported by Bothell) for SPS due to Samba transfer"/>
    <s v="Nishant"/>
    <s v=""/>
    <s v="PROCUREMENT"/>
    <s v="PRODUCTIVITY"/>
    <s v="SOURCING"/>
    <s v="Repair Centers &amp; Service Parts"/>
    <s v="US"/>
    <s v="PD"/>
    <s v="IL3"/>
    <n v="0.8"/>
    <x v="23"/>
    <s v="India"/>
    <s v="SYSTEUR"/>
    <s v="FTE"/>
    <s v="Sanjeev Kumar"/>
    <s v="Tim"/>
  </r>
  <r>
    <s v="35567"/>
    <s v="Vijay Purushothaman"/>
    <s v="Labels phase 2 (Total) transfer"/>
    <s v="Phil"/>
    <s v=""/>
    <s v="PROCUREMENT"/>
    <s v="PRODUCTIVITY"/>
    <s v="SOURCING"/>
    <s v="Mechanical Parts &amp; Assemblies"/>
    <s v="MR"/>
    <s v="PD"/>
    <s v="IL3"/>
    <n v="0.2"/>
    <x v="23"/>
    <s v="India"/>
    <s v="SYSTEUR"/>
    <s v="FTE"/>
    <s v="Sanjeev Kumar"/>
    <s v="Tim"/>
  </r>
  <r>
    <s v="ART-BEST"/>
    <s v="Vijayanand Purushothaman"/>
    <s v="LCM Support for Best"/>
    <s v="Raj"/>
    <s v=""/>
    <s v="N/A"/>
    <s v="LCM"/>
    <s v="SOURCING"/>
    <s v="Mechanical Parts &amp; Assemblies"/>
    <s v="IGT-S"/>
    <s v="IGT"/>
    <s v="IL3"/>
    <n v="1"/>
    <x v="24"/>
    <s v="India"/>
    <s v="SYSTEUR"/>
    <s v="FTE"/>
    <s v="Vijayanand Purushothaman"/>
    <s v="Raj"/>
  </r>
  <r>
    <s v="Funnel Activities"/>
    <s v="NA"/>
    <s v="Funnel/Business case/Technical feasibility"/>
    <s v="All"/>
    <s v=""/>
    <s v="Funnel Activities"/>
    <s v="Funnel Activities"/>
    <s v="Funnel Activities"/>
    <s v="Funnel Activities"/>
    <s v="Funnel Activities"/>
    <s v="Funnel Activities"/>
    <s v="IL0"/>
    <n v="0.2"/>
    <x v="25"/>
    <s v="India"/>
    <s v="SYSTEUR"/>
    <s v="Contingent"/>
    <s v="Vivek Sonagra"/>
    <s v="Raj"/>
  </r>
  <r>
    <s v="CS-2024-044"/>
    <s v="Saravanakumar Palani"/>
    <s v="Increase in consumption of Firewalls"/>
    <s v="Raj"/>
    <s v=""/>
    <s v="TCO"/>
    <s v="PRODUCTIVITY"/>
    <s v="TCO"/>
    <s v="Mechanical Parts &amp; Assemblies"/>
    <s v="IGT-S"/>
    <s v="IGT"/>
    <s v="IL2"/>
    <n v="0.2"/>
    <x v="25"/>
    <s v="India"/>
    <s v="SYSTEUR"/>
    <s v="Contingent"/>
    <s v="Vivek Sonagra"/>
    <s v="Raj"/>
  </r>
  <r>
    <s v="CS-2024-043"/>
    <s v="Kulasekhar (KK)"/>
    <s v="&gt;100% Consumption YOY: UPS 1Phase Data Integrity Controller SP (459801117161)"/>
    <s v="Raj"/>
    <s v=""/>
    <s v="TCO"/>
    <s v="PRODUCTIVITY"/>
    <s v="CONCEPT"/>
    <s v="Mechanical Parts &amp; Assemblies"/>
    <s v="IGT-S"/>
    <s v="IGT"/>
    <s v="IL2"/>
    <n v="0.2"/>
    <x v="25"/>
    <s v="India"/>
    <s v="SYSTEUR"/>
    <s v="Contingent"/>
    <s v="Vivek Sonagra"/>
    <s v="Raj"/>
  </r>
  <r>
    <s v="CS-2021-095"/>
    <s v="Kulasekhar (KK)"/>
    <s v="Potmeter AD7 Height and Tilt quality improvement"/>
    <s v="Raj"/>
    <s v=""/>
    <s v="TCO"/>
    <s v="PRODUCTIVITY"/>
    <s v="TCO"/>
    <s v="Mechanical Parts &amp; Assemblies"/>
    <s v="IGT-S"/>
    <s v="IGT"/>
    <s v="IL3"/>
    <n v="0.2"/>
    <x v="25"/>
    <s v="India"/>
    <s v="SYSTEUR"/>
    <s v="Contingent"/>
    <s v="Vivek Sonagra"/>
    <s v="Raj"/>
  </r>
  <r>
    <s v="CS-2025-012"/>
    <s v="Kulasekhar (KK)"/>
    <s v="INTERCOM FOR DIH FDXD"/>
    <s v="Raj"/>
    <s v=""/>
    <s v="TCO"/>
    <s v="PRODUCTIVITY"/>
    <s v="CONCEPT"/>
    <s v="Mechanical Parts &amp; Assemblies"/>
    <s v="IGT-S"/>
    <s v="IGT"/>
    <s v="IL1"/>
    <n v="0.2"/>
    <x v="25"/>
    <s v="India"/>
    <s v="SYSTEUR"/>
    <s v="Contingent"/>
    <s v="Vivek Sonagra"/>
    <s v="Raj"/>
  </r>
  <r>
    <s v="PDTEAM613"/>
    <s v="Damodar Sarnobat"/>
    <s v="STET MR LCE MECHANICAL"/>
    <s v="Phil"/>
    <s v=""/>
    <s v="N/A"/>
    <s v="LCM"/>
    <s v="TCO"/>
    <s v="Mechanical Parts &amp; Assemblies"/>
    <s v="MR"/>
    <s v="PD"/>
    <s v="IL2"/>
    <n v="1"/>
    <x v="26"/>
    <s v="India"/>
    <s v="SYSTEUR"/>
    <s v="FTE"/>
    <s v="Avinash Gosavi"/>
    <s v="Phil"/>
  </r>
  <r>
    <s v="31575"/>
    <s v="Vijayanand Purushothaman"/>
    <s v="Sheet metal &amp; Casting parts localisation from Gainesville supplier base to India."/>
    <s v="Phil"/>
    <s v=""/>
    <s v="PROCUREMENT"/>
    <s v="PRODUCTIVITY"/>
    <s v="SOURCING"/>
    <s v="Mechanical Parts &amp; Assemblies"/>
    <s v="MR"/>
    <s v="PD"/>
    <s v="IL3"/>
    <n v="0.1"/>
    <x v="27"/>
    <s v="India"/>
    <s v="SYSTEUR"/>
    <s v="Contingent"/>
    <s v="Avinash Gosavi"/>
    <s v="Phil"/>
  </r>
  <r>
    <s v="PDTEAM623"/>
    <s v="Damodar Sarnobat"/>
    <s v="STET MR COILS SICR DOCUMENTATION/CLERICAL CHANGE "/>
    <s v="Phil"/>
    <s v=""/>
    <s v="N/A"/>
    <s v="LCM"/>
    <s v="TCO"/>
    <s v="Mechanical Parts &amp; Assemblies"/>
    <s v="MR"/>
    <s v="PD"/>
    <s v="IL2"/>
    <n v="0.6"/>
    <x v="27"/>
    <s v="India"/>
    <s v="SYSTEUR"/>
    <s v="Contingent"/>
    <s v="Avinash Gosavi"/>
    <s v="Phil"/>
  </r>
  <r>
    <s v="33973"/>
    <s v="Vijay Purushothaman"/>
    <s v="Nicolet Plastic Parts localization to LCC- Derisking"/>
    <s v="Phil"/>
    <s v=""/>
    <s v="PROCUREMENT"/>
    <s v="PRODUCTIVITY"/>
    <s v="SOURCING"/>
    <s v="Mechanical Parts &amp; Assemblies"/>
    <s v="MR"/>
    <s v="PD"/>
    <s v="IL3"/>
    <n v="0.3"/>
    <x v="27"/>
    <s v="India"/>
    <s v="SYSTEUR"/>
    <s v="Contingent"/>
    <s v="Avinash Gosavi"/>
    <s v="Phil"/>
  </r>
  <r>
    <s v="PJ-009562"/>
    <s v="Sushruth Rudrachary"/>
    <s v="1Grooming LcM"/>
    <s v="Tim"/>
    <s v=""/>
    <s v="N/A"/>
    <s v="LCM"/>
    <s v="CONCEPT"/>
    <s v="Personal Health"/>
    <s v="GB"/>
    <s v="PH"/>
    <s v="IL2"/>
    <n v="0.8"/>
    <x v="28"/>
    <s v="India"/>
    <s v="SYSTEUR"/>
    <s v="Contingent"/>
    <s v="Yogesh Shelgaonkar"/>
    <s v="Bokelman"/>
  </r>
  <r>
    <s v="RfS 272677"/>
    <s v="Sushruth Rudrachary"/>
    <s v="REGMEM AMB 554-23055 - EU - Corporate Sustainability Reporting Directive (CSRD - (EU) 2022/2464)"/>
    <s v="Tim"/>
    <s v=""/>
    <s v="N/A"/>
    <s v="LCM"/>
    <s v="CONCEPT"/>
    <s v="Personal Health"/>
    <s v="GB"/>
    <s v="PH"/>
    <s v="IL5"/>
    <n v="0.2"/>
    <x v="28"/>
    <s v="India"/>
    <s v="SYSTEUR"/>
    <s v="Contingent"/>
    <s v="Yogesh Shelgaonkar"/>
    <s v="Bokelman"/>
  </r>
  <r>
    <s v="PJ-028051"/>
    <s v="Sushruth Rudrachary"/>
    <s v="IPL MLD/LCM - Mid End Technical"/>
    <s v="Tim"/>
    <s v=""/>
    <s v="N/A"/>
    <s v="LCM"/>
    <s v="CONCEPT"/>
    <s v="Personal Health"/>
    <s v="GB"/>
    <s v="PH"/>
    <s v="IL2"/>
    <n v="1"/>
    <x v="29"/>
    <s v="India"/>
    <s v="SYSTEUR"/>
    <s v="FTE"/>
    <s v="Pramila Mote"/>
    <s v="Bokelman"/>
  </r>
  <r>
    <s v="31575"/>
    <s v="Vijayanand Purushothaman"/>
    <s v="Sheet metal &amp; Casting parts localisation from Gainesville supplier base to India."/>
    <s v="Phil"/>
    <s v=""/>
    <s v="PROCUREMENT"/>
    <s v="PRODUCTIVITY"/>
    <s v="SOURCING"/>
    <s v="Mechanical Parts &amp; Assemblies"/>
    <s v="MR"/>
    <s v="PD"/>
    <s v="IL3"/>
    <n v="0.3"/>
    <x v="30"/>
    <s v="India"/>
    <s v="SYSTEUR"/>
    <s v="FTE"/>
    <s v="Avinash Gosavi"/>
    <s v="Phil"/>
  </r>
  <r>
    <s v="PDTEAM621"/>
    <s v="Damodar Sarnobat"/>
    <s v="STET MR COILS SICR EOL/ MATERIAL CHANGE "/>
    <s v="Phil"/>
    <s v=""/>
    <s v="N/A"/>
    <s v="LCM"/>
    <s v="TCO"/>
    <s v="Key components &amp; Electronics"/>
    <s v="MR"/>
    <s v="PD"/>
    <s v="IL2"/>
    <n v="0.2"/>
    <x v="30"/>
    <s v="India"/>
    <s v="SYSTEUR"/>
    <s v="FTE"/>
    <s v="Avinash Gosavi"/>
    <s v="Phil"/>
  </r>
  <r>
    <s v="35567"/>
    <s v="Vijay Purushothaman"/>
    <s v="Labels phase 2 (Total) transfer"/>
    <s v="Phil"/>
    <s v=""/>
    <s v="PROCUREMENT"/>
    <s v="PRODUCTIVITY"/>
    <s v="SOURCING"/>
    <s v="Mechanical Parts &amp; Assemblies"/>
    <s v="MR"/>
    <s v="PD"/>
    <s v="IL3"/>
    <n v="0.5"/>
    <x v="30"/>
    <s v="India"/>
    <s v="SYSTEUR"/>
    <s v="FTE"/>
    <s v="Avinash Gosavi"/>
    <s v="Phil"/>
  </r>
  <r>
    <s v="HPM_Sustaining_Monitoring_09122205"/>
    <s v="Jidhish Sidharthan_x000a_"/>
    <s v="HPM Sustaining Projects support - Monitoring"/>
    <s v="Nishant"/>
    <s v=""/>
    <s v="N/A"/>
    <s v="LCM"/>
    <s v="SOURCING"/>
    <s v="All"/>
    <s v="HPM"/>
    <s v="CC"/>
    <s v="IL3"/>
    <n v="1"/>
    <x v="31"/>
    <s v="India"/>
    <s v="SYSTEUR"/>
    <s v="FTE"/>
    <s v="Manoj Verma"/>
    <s v="Nishant"/>
  </r>
  <r>
    <s v="36516"/>
    <s v="Saurabh Agrawal"/>
    <s v="Marvel: DD 5.0: CAIRO NON-CONNECTED PCBA FCP Improvement"/>
    <s v="Tim"/>
    <s v=""/>
    <s v="PROCUREMENT"/>
    <s v="PRODUCTIVITY"/>
    <s v="CONCEPT"/>
    <s v="Personal Health"/>
    <s v="OHC"/>
    <s v="PH"/>
    <s v="IL3"/>
    <n v="0.3"/>
    <x v="32"/>
    <s v="India"/>
    <s v="SYSTEUR"/>
    <s v="Contingent"/>
    <s v="Saurabh Khedkar"/>
    <s v="Bokelman"/>
  </r>
  <r>
    <s v="CR203988-2"/>
    <s v="Saurabh Agrawal"/>
    <s v="2.5W USA-A AC Adapter Development (Vietnam)"/>
    <s v="Tim"/>
    <s v=""/>
    <s v="N/A"/>
    <s v="LCM"/>
    <s v="CONCEPT"/>
    <s v="Personal Health"/>
    <s v="OHC"/>
    <s v="PH"/>
    <s v="IL3"/>
    <n v="0.3"/>
    <x v="32"/>
    <s v="India"/>
    <s v="SYSTEUR"/>
    <s v="Contingent"/>
    <s v="Saurabh Khedkar"/>
    <s v="Bokelman"/>
  </r>
  <r>
    <s v="28347"/>
    <s v="Saurabh Agrawal"/>
    <s v="Dual Sourcing – Unip Syringes"/>
    <s v="Tim"/>
    <s v=""/>
    <s v="N/A"/>
    <s v="AOS"/>
    <s v="SOURCING"/>
    <s v="Mechanical Parts &amp; Assemblies"/>
    <s v="OHC"/>
    <s v="PH"/>
    <s v="IL3"/>
    <n v="0.2"/>
    <x v="32"/>
    <s v="India"/>
    <s v="SYSTEUR"/>
    <s v="Contingent"/>
    <s v="Saurabh Khedkar"/>
    <s v="Bokelman"/>
  </r>
  <r>
    <s v="CR237272"/>
    <s v="Saurabh Agrawal"/>
    <s v="Spiti PDLM"/>
    <s v="Tim"/>
    <s v=""/>
    <s v="N/A"/>
    <s v="LCM"/>
    <s v="CONCEPT"/>
    <s v="Mechanical Parts &amp; Assemblies"/>
    <s v="OHC"/>
    <s v="PH"/>
    <s v="IL3"/>
    <n v="0.2"/>
    <x v="32"/>
    <s v="India"/>
    <s v="SYSTEUR"/>
    <s v="Contingent"/>
    <s v="Saurabh Khedkar"/>
    <s v="Bokelman"/>
  </r>
  <r>
    <s v="PDTEAM621"/>
    <s v="Damodar Sarnobat"/>
    <s v="STET MR COILS SICR EOL/ MATERIAL CHANGE "/>
    <s v="Phil"/>
    <s v=""/>
    <s v="N/A"/>
    <s v="LCM"/>
    <s v="TCO"/>
    <s v="Key components &amp; Electronics"/>
    <s v="MR"/>
    <s v="PD"/>
    <s v="IL2"/>
    <n v="0.5"/>
    <x v="33"/>
    <s v="India"/>
    <s v="SYSTEUR"/>
    <s v="FTE"/>
    <s v="Radhaprasanna Merugu"/>
    <s v="Raj"/>
  </r>
  <r>
    <s v="PDTEAM623"/>
    <s v="Damodar Sarnobat"/>
    <s v="STET MR COILS SICR DOCUMENTATION/CLERICAL CHANGE "/>
    <s v="Phil"/>
    <s v=""/>
    <s v="N/A"/>
    <s v="LCM"/>
    <s v="TCO"/>
    <s v="Mechanical Parts &amp; Assemblies"/>
    <s v="MR"/>
    <s v="PD"/>
    <s v="IL2"/>
    <n v="0.5"/>
    <x v="33"/>
    <s v="India"/>
    <s v="SYSTEUR"/>
    <s v="FTE"/>
    <s v="Radhaprasanna Merugu"/>
    <s v="Raj"/>
  </r>
  <r>
    <s v="PJ-024874"/>
    <s v="Sushruth Rudrachary"/>
    <s v="Mykonos - Anax"/>
    <s v="Tim"/>
    <s v=""/>
    <s v="N/A"/>
    <s v="LCM"/>
    <s v="CONCEPT"/>
    <s v="Personal Health"/>
    <s v="OHC"/>
    <s v="PH"/>
    <s v="IL2"/>
    <n v="1"/>
    <x v="34"/>
    <s v="India"/>
    <s v="SYSTEUR"/>
    <s v="FTE"/>
    <s v="Saurabh Agrawal"/>
    <s v="Bokelman"/>
  </r>
  <r>
    <s v="03MOSLCMBOMPROD"/>
    <s v="Ponkshe, Mihir"/>
    <s v="LCM BOM productivity in IGT-MOS"/>
    <s v="Raj"/>
    <s v=""/>
    <s v="N/A"/>
    <s v="LCM"/>
    <s v="SOURCING"/>
    <s v="Mechanical Parts &amp; Assemblies"/>
    <s v="IGT-MoS"/>
    <s v="IGT"/>
    <s v="IL3"/>
    <n v="0.5"/>
    <x v="35"/>
    <s v="India"/>
    <s v="SYSTEUR"/>
    <s v="FTE"/>
    <s v="Mihir Ponkshe"/>
    <s v="Raj"/>
  </r>
  <r>
    <s v="02MOSLCMSICR"/>
    <s v="Ponkshe, Mihir"/>
    <s v="LCM SICR in IGT-MOS"/>
    <s v="Raj"/>
    <s v=""/>
    <s v="N/A"/>
    <s v="AOS"/>
    <s v="SOURCING"/>
    <s v="Key components &amp; Electronics"/>
    <s v="IGT-MoS"/>
    <s v="IGT"/>
    <s v="IL3"/>
    <n v="0.25"/>
    <x v="35"/>
    <s v="India"/>
    <s v="SYSTEUR"/>
    <s v="FTE"/>
    <s v="Mihir Ponkshe"/>
    <s v="Raj"/>
  </r>
  <r>
    <s v="06MOSLCMSUST"/>
    <s v="Ponkshe, Mihir"/>
    <s v="LCM Sustaining activity in IGT-MOS"/>
    <s v="Raj"/>
    <s v=""/>
    <s v="N/A"/>
    <s v="LCM"/>
    <s v="SOURCING"/>
    <s v="Mechanical Parts &amp; Assemblies"/>
    <s v="IGT-MoS"/>
    <s v="IGT"/>
    <s v="IL3"/>
    <n v="0.25"/>
    <x v="35"/>
    <s v="India"/>
    <s v="SYSTEUR"/>
    <s v="FTE"/>
    <s v="Mihir Ponkshe"/>
    <s v="Raj"/>
  </r>
  <r>
    <s v="US-Trans_Funnel Activities"/>
    <s v="NA"/>
    <s v="Funnel/Business case/Technical feasibility"/>
    <s v="All"/>
    <s v=""/>
    <s v="Funnel Activities"/>
    <s v="Funnel Activities"/>
    <s v="Funnel Activities"/>
    <s v="Funnel Activities"/>
    <s v="US-Trans"/>
    <s v="PD"/>
    <s v="IL0"/>
    <n v="0.2"/>
    <x v="36"/>
    <s v="USA"/>
    <s v="SYSTEUR"/>
    <s v="FTE"/>
    <s v="Steven Mroch"/>
    <s v="Nishant"/>
  </r>
  <r>
    <s v="US_XDCRS_30062025-1"/>
    <s v="Steven Mroch"/>
    <s v="Incoming Defect @ Forming "/>
    <s v="Nishant"/>
    <s v=""/>
    <s v="PROCUREMENT"/>
    <s v="CONQ"/>
    <s v="CONQ"/>
    <s v="All"/>
    <s v="US-Trans"/>
    <s v="PD"/>
    <s v="IL5"/>
    <n v="0.4"/>
    <x v="36"/>
    <s v="USA"/>
    <s v="SYSTEUR"/>
    <s v="FTE"/>
    <s v="Steven Mroch"/>
    <s v="Nishant"/>
  </r>
  <r>
    <s v="US-XDCRs_30062025-2"/>
    <s v="Steven Mroch"/>
    <s v="Damaged @ Stackbond"/>
    <s v="Nishant"/>
    <s v=""/>
    <s v="PROCUREMENT"/>
    <s v="CONQ"/>
    <s v="CONQ"/>
    <s v="All"/>
    <s v="US-Trans"/>
    <s v="PD"/>
    <s v="IL5"/>
    <n v="0.4"/>
    <x v="36"/>
    <s v="USA"/>
    <s v="SYSTEUR"/>
    <s v="FTE"/>
    <s v="Steven Mroch"/>
    <s v="Nishant"/>
  </r>
  <r>
    <s v="37934"/>
    <s v="Fred Cai "/>
    <s v="Hawk calibration phantom transfer from H.P to LCC"/>
    <s v="Phil"/>
    <s v=""/>
    <s v="PROCUREMENT"/>
    <s v="PRODUCTIVITY"/>
    <s v="SOURCING"/>
    <s v="Mechanical Parts &amp; Assemblies"/>
    <s v="CT/AMI"/>
    <s v="PD"/>
    <s v="IL2"/>
    <n v="0.2"/>
    <x v="37"/>
    <s v="China"/>
    <s v="SYSTEUR"/>
    <s v="FTE"/>
    <s v="James Pan"/>
    <s v="Phil"/>
  </r>
  <r>
    <s v="19186"/>
    <s v="Steven Li"/>
    <s v="Alternative supplier for the headset/nurse call connector (chasis)"/>
    <s v="Phil"/>
    <s v=""/>
    <s v="PROCUREMENT"/>
    <s v="PRODUCTIVITY"/>
    <s v="CONCEPT"/>
    <s v="Key components &amp; Electronics"/>
    <s v="MR"/>
    <s v="PD"/>
    <s v="IL4"/>
    <n v="0.4"/>
    <x v="37"/>
    <s v="China"/>
    <s v="SYSTEUR"/>
    <s v="FTE"/>
    <s v="James Pan"/>
    <s v="Phil"/>
  </r>
  <r>
    <s v="34408"/>
    <s v="ShaSha Shi"/>
    <s v="BB/Hawk/Taichi H-Phantom transfer (CTI to Joho)"/>
    <s v="Phil"/>
    <s v=""/>
    <s v="PROCUREMENT"/>
    <s v="PRODUCTIVITY"/>
    <s v="SOURCING"/>
    <s v="Mechanical Parts &amp; Assemblies"/>
    <s v="CT/AMI"/>
    <s v="PD"/>
    <s v="IL3"/>
    <n v="0.4"/>
    <x v="37"/>
    <s v="China"/>
    <s v="SYSTEUR"/>
    <s v="FTE"/>
    <s v="James Pan"/>
    <s v="Phil"/>
  </r>
  <r>
    <s v="42069"/>
    <s v="Charles Moses"/>
    <s v="Ultrasound FRU direct buy project(was supported by Bothell) for SPS due to Samba transfer"/>
    <s v="Nishant"/>
    <s v=""/>
    <s v="PROCUREMENT"/>
    <s v="PRODUCTIVITY"/>
    <s v="SOURCING"/>
    <s v="Repair Centers &amp; Service Parts"/>
    <s v="US"/>
    <s v="PD"/>
    <s v="IL3"/>
    <n v="0.4"/>
    <x v="38"/>
    <s v="India"/>
    <s v="SYSTEUR"/>
    <s v="FTE"/>
    <s v="Subhankar Das"/>
    <s v="Phil"/>
  </r>
  <r>
    <s v="HPM_Sustaining_MRPC_09122205"/>
    <s v="Jidhish Sidharthan_x000a_"/>
    <s v="HPM Sustaining Projects support - MRPC"/>
    <s v="Nishant"/>
    <s v=""/>
    <s v="N/A"/>
    <s v="LCM"/>
    <s v="SOURCING"/>
    <s v="All"/>
    <s v="HPM"/>
    <s v="CC"/>
    <s v="IL3"/>
    <n v="0.3"/>
    <x v="39"/>
    <s v="India"/>
    <s v="SYSTEUR"/>
    <s v="FTE"/>
    <s v="Manoj Verma"/>
    <s v="Nishant"/>
  </r>
  <r>
    <s v="HPM_Sustaining_Monitoring_09122205"/>
    <s v="Jidhish Sidharthan_x000a_"/>
    <s v="HPM Sustaining Projects support - Monitoring"/>
    <s v="Nishant"/>
    <s v=""/>
    <s v="N/A"/>
    <s v="LCM"/>
    <s v="SOURCING"/>
    <s v="All"/>
    <s v="HPM"/>
    <s v="CC"/>
    <s v="IL3"/>
    <n v="0.7"/>
    <x v="39"/>
    <s v="India"/>
    <s v="SYSTEUR"/>
    <s v="FTE"/>
    <s v="Manoj Verma"/>
    <s v="Nishant"/>
  </r>
  <r>
    <s v="IGTS_LCM"/>
    <s v="Saravanakumar Palani_x000a__x000a_"/>
    <s v="IGTS_LCM"/>
    <s v="Raj"/>
    <s v=""/>
    <s v="N/A"/>
    <s v="LCM"/>
    <s v="CONCEPT"/>
    <s v="Mechanical Parts &amp; Assemblies"/>
    <s v="IGT-S"/>
    <s v="IGT"/>
    <s v="IL2"/>
    <n v="0.75"/>
    <x v="40"/>
    <s v="India"/>
    <s v="SYSTEUR"/>
    <s v="FTE"/>
    <s v="Vijayanand Purushothaman"/>
    <s v="Raj"/>
  </r>
  <r>
    <s v="ESP Management"/>
    <s v="Vijayanand Purushothaman"/>
    <s v="ESP Engagement Management Activities"/>
    <s v="Raj"/>
    <s v=""/>
    <s v="N/A"/>
    <s v="LCM"/>
    <s v="CONCEPT"/>
    <s v="L&amp;A"/>
    <s v="IGT-S"/>
    <s v="IGT"/>
    <s v="IL2"/>
    <n v="0.25"/>
    <x v="40"/>
    <s v="India"/>
    <s v="SYSTEUR"/>
    <s v="FTE"/>
    <s v="Vijayanand Purushothaman"/>
    <s v="Raj"/>
  </r>
  <r>
    <s v="PDTEAM306"/>
    <s v="Kiran MR"/>
    <s v="STET Pkg COE IWD IGT-S Project Execution"/>
    <s v="Phil"/>
    <s v=""/>
    <s v="N/A"/>
    <s v="LCM"/>
    <s v="SOURCING"/>
    <s v="Mechanical Parts &amp; Assemblies"/>
    <s v="IGT-S"/>
    <s v="IGT"/>
    <s v="IL2"/>
    <n v="1"/>
    <x v="41"/>
    <s v="India"/>
    <s v="SYSTEUR"/>
    <s v="FTE"/>
    <s v="Kiran MR"/>
    <s v="Bokelman"/>
  </r>
  <r>
    <s v="PDTEAM560"/>
    <s v="Damodar Sarnobat"/>
    <s v="STET CT/AMI-  LCM FRU Resolutions"/>
    <s v="Phil"/>
    <s v=""/>
    <s v="N/A"/>
    <s v="LCM"/>
    <s v="TCO"/>
    <s v="Key components &amp; Electronics"/>
    <s v="CT/AMI"/>
    <s v="PD"/>
    <s v="IL2"/>
    <n v="1"/>
    <x v="42"/>
    <s v="India"/>
    <s v="SYSTEUR"/>
    <s v="FTE"/>
    <s v="Subhankar Das"/>
    <s v="Phil"/>
  </r>
  <r>
    <s v="PDTEAM521"/>
    <s v="MVD Srinivas"/>
    <s v="PCBA - Proactive Obsolescence of TH Controller"/>
    <s v="Phil"/>
    <s v=""/>
    <s v="N/A"/>
    <s v="LCM"/>
    <s v="SOURCING"/>
    <s v="Key components &amp; Electronics"/>
    <s v="DXR"/>
    <s v="PD"/>
    <s v="IL2"/>
    <n v="1"/>
    <x v="43"/>
    <s v="India"/>
    <s v="SYSTEUR"/>
    <s v="Contingent"/>
    <s v="Bhushan Barve"/>
    <s v="Phil"/>
  </r>
  <r>
    <s v="OHC_LCM_1"/>
    <s v="Saurabh Agarwal"/>
    <s v="LCM Activities"/>
    <s v="Tim"/>
    <s v=""/>
    <s v="N/A"/>
    <s v="LCM"/>
    <s v="CONCEPT"/>
    <s v="Personal Health"/>
    <s v="OHC"/>
    <s v="PH"/>
    <s v="IL3"/>
    <n v="1"/>
    <x v="44"/>
    <s v="India"/>
    <s v="SYSTEUR"/>
    <s v="FTE"/>
    <s v="Alec Benton"/>
    <s v="Tim"/>
  </r>
  <r>
    <s v="PDTEAM549"/>
    <s v="Avinash Gosavi "/>
    <s v="STET MR LCE Therapy Electrical "/>
    <s v="Phil"/>
    <s v=""/>
    <s v="N/A"/>
    <s v="LCM"/>
    <s v="CONCEPT"/>
    <s v="Medical ODM Markets"/>
    <s v="MR"/>
    <s v="PD"/>
    <s v="IL2"/>
    <n v="0.5"/>
    <x v="45"/>
    <s v="India"/>
    <s v="SYSTEUR"/>
    <s v="FTE"/>
    <s v="Avinash Gosavi"/>
    <s v="Phil"/>
  </r>
  <r>
    <s v="PDTEAM614"/>
    <s v="Damodar Sarnobat"/>
    <s v="STET MR LCE ELECTRICAL"/>
    <s v="Phil"/>
    <s v=""/>
    <s v="N/A"/>
    <s v="LCM"/>
    <s v="TCO"/>
    <s v="Key components &amp; Electronics"/>
    <s v="MR"/>
    <s v="PD"/>
    <s v="IL2"/>
    <n v="0.5"/>
    <x v="45"/>
    <s v="India"/>
    <s v="SYSTEUR"/>
    <s v="FTE"/>
    <s v="Avinash Gosavi"/>
    <s v="Phil"/>
  </r>
  <r>
    <s v="PDTEAM500"/>
    <s v="Damodar Sarnobat"/>
    <s v="STET MR LCE MECHANICAL"/>
    <s v="Phil"/>
    <s v=""/>
    <s v="N/A"/>
    <s v="LCM"/>
    <s v="CONCEPT"/>
    <s v="Mechanical Parts &amp; Assemblies"/>
    <s v="MR"/>
    <s v="PD"/>
    <s v="IL5"/>
    <n v="1"/>
    <x v="46"/>
    <s v="India"/>
    <s v="SYSTEUR"/>
    <s v="FTE"/>
    <s v="Avinash Gosavi"/>
    <s v="Phil"/>
  </r>
  <r>
    <s v="36516"/>
    <s v="Saurabh Agrawal"/>
    <s v="Marvel: DD 5.0: CAIRO NON-CONNECTED PCBA FCP Improvement"/>
    <s v="Tim"/>
    <s v=""/>
    <s v="PROCUREMENT"/>
    <s v="PRODUCTIVITY"/>
    <s v="CONCEPT"/>
    <s v="Personal Health"/>
    <s v="OHC"/>
    <s v="PH"/>
    <s v="IL3"/>
    <n v="1"/>
    <x v="47"/>
    <s v="India"/>
    <s v="SYSTEUR"/>
    <s v="Contingent"/>
    <s v="Samar Dash Ranjan"/>
    <s v="Bokelman"/>
  </r>
  <r>
    <s v="LCM_Ultrasound"/>
    <s v="Charles Moses"/>
    <s v="Ultrasound Sustaining Projects"/>
    <s v="Nishant"/>
    <s v=""/>
    <s v="N/A"/>
    <s v="LCM"/>
    <s v="SOURCING"/>
    <s v="Mechanical Parts &amp; Assemblies"/>
    <s v="US"/>
    <s v="PD"/>
    <s v="IL3"/>
    <n v="1"/>
    <x v="48"/>
    <s v="India"/>
    <s v="SYSTEUR"/>
    <s v="FTE"/>
    <s v="Charles Moses"/>
    <s v="Nishant"/>
  </r>
  <r>
    <s v="Tailored-Products-overview 2025"/>
    <s v="Saravanakumar Palani_x000a_"/>
    <s v="3rd Party Tailored-Products-overview"/>
    <s v="Raj"/>
    <s v=""/>
    <s v="N/A"/>
    <s v="LCM"/>
    <s v="SOURCING"/>
    <s v="Medical ODM Markets"/>
    <s v="IGT-S"/>
    <s v="IGT"/>
    <s v="IL5"/>
    <n v="1"/>
    <x v="49"/>
    <s v="India"/>
    <s v="SYSTEUR"/>
    <s v="Contingent"/>
    <s v="Anija M"/>
    <s v="Raj"/>
  </r>
  <r>
    <s v="CT/AMI_L&amp;A"/>
    <s v="N/A"/>
    <s v="MISC. ENTRY TO BALANCE WITH RESOURCE DATABASE"/>
    <s v="All"/>
    <s v=""/>
    <s v="N/A"/>
    <s v="L&amp;A"/>
    <s v="L&amp;A"/>
    <s v="L&amp;A"/>
    <s v="CT/AMI"/>
    <s v="PD"/>
    <s v="IL0"/>
    <n v="0.1"/>
    <x v="50"/>
    <s v="India"/>
    <s v="SYSTEUR"/>
    <s v="FTE"/>
    <s v="Tim Bokelman"/>
    <s v="Tim"/>
  </r>
  <r>
    <s v="DXR_L&amp;A"/>
    <s v="N/A"/>
    <s v="MISC. ENTRY TO BALANCE WITH RESOURCE DATABASE"/>
    <s v="All"/>
    <s v=""/>
    <s v="N/A"/>
    <s v="L&amp;A"/>
    <s v="L&amp;A"/>
    <s v="L&amp;A"/>
    <s v="DXR"/>
    <s v="PD"/>
    <s v="IL0"/>
    <n v="0.1"/>
    <x v="50"/>
    <s v="India"/>
    <s v="SYSTEUR"/>
    <s v="FTE"/>
    <s v="Tim Bokelman"/>
    <s v="Tim"/>
  </r>
  <r>
    <s v="EC_L&amp;A"/>
    <s v="N/A"/>
    <s v="MISC. ENTRY TO BALANCE WITH RESOURCE DATABASE"/>
    <s v="All"/>
    <s v=""/>
    <s v="N/A"/>
    <s v="L&amp;A"/>
    <s v="L&amp;A"/>
    <s v="L&amp;A"/>
    <s v="EC"/>
    <s v="CC"/>
    <s v="IL0"/>
    <n v="0.1"/>
    <x v="50"/>
    <s v="India"/>
    <s v="SYSTEUR"/>
    <s v="FTE"/>
    <s v="Tim Bokelman"/>
    <s v="Tim"/>
  </r>
  <r>
    <s v="GB_L&amp;A"/>
    <s v="N/A"/>
    <s v="MISC. ENTRY TO BALANCE WITH RESOURCE DATABASE"/>
    <s v="All"/>
    <s v=""/>
    <s v="N/A"/>
    <s v="L&amp;A"/>
    <s v="L&amp;A"/>
    <s v="L&amp;A"/>
    <s v="GB"/>
    <s v="PH"/>
    <s v="IL0"/>
    <n v="0.1"/>
    <x v="50"/>
    <s v="India"/>
    <s v="SYSTEUR"/>
    <s v="FTE"/>
    <s v="Tim Bokelman"/>
    <s v="Tim"/>
  </r>
  <r>
    <s v="HPM_L&amp;A"/>
    <s v="N/A"/>
    <s v="MISC. ENTRY TO BALANCE WITH RESOURCE DATABASE"/>
    <s v="All"/>
    <s v=""/>
    <s v="N/A"/>
    <s v="L&amp;A"/>
    <s v="L&amp;A"/>
    <s v="L&amp;A"/>
    <s v="HPM"/>
    <s v="CC"/>
    <s v="IL0"/>
    <n v="0.1"/>
    <x v="50"/>
    <s v="India"/>
    <s v="SYSTEUR"/>
    <s v="FTE"/>
    <s v="Tim Bokelman"/>
    <s v="Tim"/>
  </r>
  <r>
    <s v="IGT-D_L&amp;A"/>
    <s v="N/A"/>
    <s v="MISC. ENTRY TO BALANCE WITH RESOURCE DATABASE"/>
    <s v="All"/>
    <s v=""/>
    <s v="N/A"/>
    <s v="L&amp;A"/>
    <s v="L&amp;A"/>
    <s v="L&amp;A"/>
    <s v="IGT-D"/>
    <s v="IGT"/>
    <s v="IL0"/>
    <n v="0.1"/>
    <x v="50"/>
    <s v="India"/>
    <s v="SYSTEUR"/>
    <s v="FTE"/>
    <s v="Tim Bokelman"/>
    <s v="Tim"/>
  </r>
  <r>
    <s v="IGT-S_L&amp;A"/>
    <s v="N/A"/>
    <s v="MISC. ENTRY TO BALANCE WITH RESOURCE DATABASE"/>
    <s v="All"/>
    <s v=""/>
    <s v="N/A"/>
    <s v="L&amp;A"/>
    <s v="L&amp;A"/>
    <s v="L&amp;A"/>
    <s v="IGT-S"/>
    <s v="IGT"/>
    <s v="IL0"/>
    <n v="0.1"/>
    <x v="50"/>
    <s v="India"/>
    <s v="SYSTEUR"/>
    <s v="FTE"/>
    <s v="Tim Bokelman"/>
    <s v="Tim"/>
  </r>
  <r>
    <s v="IGT-S_L&amp;A"/>
    <s v="N/A"/>
    <s v="MISC. ENTRY TO BALANCE WITH RESOURCE DATABASE"/>
    <s v="All"/>
    <s v=""/>
    <s v="N/A"/>
    <s v="L&amp;A"/>
    <s v="L&amp;A"/>
    <s v="L&amp;A"/>
    <s v="IGT-S"/>
    <s v="IGT"/>
    <s v="IL0"/>
    <n v="0.1"/>
    <x v="50"/>
    <s v="India"/>
    <s v="SYSTEUR"/>
    <s v="FTE"/>
    <s v="Tim Bokelman"/>
    <s v="Tim"/>
  </r>
  <r>
    <s v="MR_L&amp;A"/>
    <s v="N/A"/>
    <s v="MISC. ENTRY TO BALANCE WITH RESOURCE DATABASE"/>
    <s v="All"/>
    <s v=""/>
    <s v="N/A"/>
    <s v="L&amp;A"/>
    <s v="L&amp;A"/>
    <s v="L&amp;A"/>
    <s v="MR"/>
    <s v="PD"/>
    <s v="IL0"/>
    <n v="0.1"/>
    <x v="50"/>
    <s v="India"/>
    <s v="SYSTEUR"/>
    <s v="FTE"/>
    <s v="Tim Bokelman"/>
    <s v="Tim"/>
  </r>
  <r>
    <s v="OHC_L&amp;A"/>
    <s v="N/A"/>
    <s v="MISC. ENTRY TO BALANCE WITH RESOURCE DATABASE"/>
    <s v="All"/>
    <s v=""/>
    <s v="N/A"/>
    <s v="L&amp;A"/>
    <s v="L&amp;A"/>
    <s v="L&amp;A"/>
    <s v="OHC"/>
    <s v="PH"/>
    <s v="IL0"/>
    <n v="0.1"/>
    <x v="50"/>
    <s v="India"/>
    <s v="SYSTEUR"/>
    <s v="FTE"/>
    <s v="Tim Bokelman"/>
    <s v="Tim"/>
  </r>
  <r>
    <s v="PDTEAM433"/>
    <s v="MVD Srinivas"/>
    <s v="STET DXR NPI Support"/>
    <s v="Phil"/>
    <s v=""/>
    <s v="N/A"/>
    <s v="LCM"/>
    <s v="SOURCING"/>
    <s v="Key components &amp; Electronics"/>
    <s v="DXR"/>
    <s v="PD"/>
    <s v="IL2"/>
    <n v="0.3"/>
    <x v="51"/>
    <s v="India"/>
    <s v="SYSTEUR"/>
    <s v="FTE"/>
    <s v="M.V.D Srinivas"/>
    <s v="Phil"/>
  </r>
  <r>
    <s v="PDTEAM434"/>
    <s v="MVD Srinivas"/>
    <s v="STET DXR-LUNA Transfer Project"/>
    <s v="Phil"/>
    <s v=""/>
    <s v="N/A"/>
    <s v="LCM"/>
    <s v="SOURCING"/>
    <s v="Mechanical Parts &amp; Assemblies"/>
    <s v="DXR"/>
    <s v="PD"/>
    <s v="IL2"/>
    <n v="0.5"/>
    <x v="51"/>
    <s v="India"/>
    <s v="SYSTEUR"/>
    <s v="FTE"/>
    <s v="M.V.D Srinivas"/>
    <s v="Phil"/>
  </r>
  <r>
    <s v="PDTEAM432"/>
    <s v="MVD Srinivas"/>
    <s v="STET DXR Synchronization"/>
    <s v="Phil"/>
    <s v=""/>
    <s v="PROCUREMENT"/>
    <s v="LCM"/>
    <s v="SOURCING"/>
    <s v="Key components &amp; Electronics"/>
    <s v="DXR"/>
    <s v="PD"/>
    <s v="IL2"/>
    <n v="0.2"/>
    <x v="51"/>
    <s v="India"/>
    <s v="SYSTEUR"/>
    <s v="FTE"/>
    <s v="M.V.D Srinivas"/>
    <s v="Phil"/>
  </r>
  <r>
    <s v="ART-India"/>
    <s v="Vijayanand Purushothaman"/>
    <s v="LCM Support for India"/>
    <s v="Raj"/>
    <s v=""/>
    <s v="N/A"/>
    <s v="LCM"/>
    <s v="SOURCING"/>
    <s v="Mechanical Parts &amp; Assemblies"/>
    <s v="IGT-S"/>
    <s v="IGT"/>
    <s v="IL3"/>
    <n v="1"/>
    <x v="52"/>
    <s v="India"/>
    <s v="SYSTEUR"/>
    <s v="FTE"/>
    <s v="Manish Sharma"/>
    <s v="Raj"/>
  </r>
  <r>
    <s v="PDTEAM434"/>
    <s v="MVD Srinivas"/>
    <s v="STET DXR-LUNA Transfer Project"/>
    <s v="Phil"/>
    <s v=""/>
    <s v="N/A"/>
    <s v="LCM"/>
    <s v="SOURCING"/>
    <s v="Mechanical Parts &amp; Assemblies"/>
    <s v="DXR"/>
    <s v="PD"/>
    <s v="IL2"/>
    <n v="1"/>
    <x v="53"/>
    <s v="India"/>
    <s v="SYSTEUR"/>
    <s v="FTE"/>
    <s v="Karthik Ramamurthy"/>
    <s v="Phil"/>
  </r>
  <r>
    <s v="21174"/>
    <s v="Jidhish Sidharthan"/>
    <s v="STET: PM-BBN Q319 Kaizen: 2nd Source Apollo Connector Block"/>
    <s v="Nishant"/>
    <s v=""/>
    <s v="PROCUREMENT"/>
    <s v="PRODUCTIVITY"/>
    <s v="SOURCING"/>
    <s v="Key components &amp; Electronics"/>
    <s v="HPM"/>
    <s v="CC"/>
    <s v="IL3"/>
    <n v="1"/>
    <x v="54"/>
    <s v="India"/>
    <s v="SYSTEUR"/>
    <s v="FTE"/>
    <s v="Jidhish Sidharthan"/>
    <s v="Nishant"/>
  </r>
  <r>
    <s v="RTC-GRO20251101685"/>
    <s v="Sushruth Rudrachary_x000a_"/>
    <s v="Launch Xenon BT5761/40 in Walmart US"/>
    <s v="Tim"/>
    <s v=""/>
    <s v="IGM"/>
    <s v="Commercial Innovation"/>
    <s v="Commercial Innovation"/>
    <s v="Personal Health"/>
    <s v="GB"/>
    <s v="PH"/>
    <s v="IL3"/>
    <n v="0.1"/>
    <x v="55"/>
    <s v="India"/>
    <s v="SYSTEUR"/>
    <s v="FTE"/>
    <s v="Ishan Gupta"/>
    <s v="Tim"/>
  </r>
  <r>
    <s v="RTC-HSH20250800707"/>
    <s v="Sushruth Rudrachary"/>
    <s v="Q2-2026 handle phase-out"/>
    <s v="Tim"/>
    <s v=""/>
    <s v="N/A"/>
    <s v="LCM"/>
    <s v="SOURCING"/>
    <s v="Personal Health"/>
    <s v="GB"/>
    <s v="PH"/>
    <s v="IL3"/>
    <n v="0.1"/>
    <x v="55"/>
    <s v="India"/>
    <s v="SYSTEUR"/>
    <s v="FTE"/>
    <s v="Ishan Gupta"/>
    <s v="Tim"/>
  </r>
  <r>
    <s v="RTC-HSH20251000719"/>
    <s v="Sushruth Rudrachary"/>
    <s v="Launch QP1924/28 in WE &amp; CEE"/>
    <s v="Tim"/>
    <s v=""/>
    <s v="IGM"/>
    <s v="Commercial Innovation"/>
    <s v="Commercial Innovation"/>
    <s v="Personal Health"/>
    <s v="GB"/>
    <s v="PH"/>
    <s v="IL3"/>
    <n v="0.2"/>
    <x v="55"/>
    <s v="India"/>
    <s v="SYSTEUR"/>
    <s v="FTE"/>
    <s v="Ishan Gupta"/>
    <s v="Tim"/>
  </r>
  <r>
    <s v="43269"/>
    <s v="Sushruth Rudrachary_x000a_"/>
    <s v="Precision trimmer Meiban reallocation to Rompa"/>
    <s v="Tim"/>
    <s v=""/>
    <s v="PROCUREMENT"/>
    <s v="PRODUCTIVITY"/>
    <s v="SOURCING"/>
    <s v="Personal Health"/>
    <s v="GB"/>
    <s v="PH"/>
    <s v="IL3"/>
    <n v="0.2"/>
    <x v="55"/>
    <s v="India"/>
    <s v="SYSTEUR"/>
    <s v="FTE"/>
    <s v="Ishan Gupta"/>
    <s v="Tim"/>
  </r>
  <r>
    <s v="RTC-HSH20251100735"/>
    <s v="Sushruth Rudrachary_x000a_"/>
    <s v="Launch QP1924/30 in Canada"/>
    <s v="Tim"/>
    <s v=""/>
    <s v="IGM"/>
    <s v="Commercial Innovation"/>
    <s v="Commercial Innovation"/>
    <s v="Personal Health"/>
    <s v="GB"/>
    <s v="PH"/>
    <s v="IL3"/>
    <n v="0.1"/>
    <x v="55"/>
    <s v="India"/>
    <s v="SYSTEUR"/>
    <s v="FTE"/>
    <s v="Ishan Gupta"/>
    <s v="Tim"/>
  </r>
  <r>
    <s v="RTC-GRO20251001677"/>
    <s v="Sushruth Rudrachary_x000a_"/>
    <s v="Regmem AMB554-25044 China Product Specs"/>
    <s v="Tim"/>
    <s v=""/>
    <s v="N/A"/>
    <s v="LCM"/>
    <s v="CONCEPT"/>
    <s v="Personal Health"/>
    <s v="GB"/>
    <s v="PH"/>
    <s v="IL3"/>
    <n v="0.1"/>
    <x v="55"/>
    <s v="India"/>
    <s v="SYSTEUR"/>
    <s v="FTE"/>
    <s v="Ishan Gupta"/>
    <s v="Tim"/>
  </r>
  <r>
    <s v="RTC-GRO20250801667"/>
    <s v="Sushruth Rudrachary"/>
    <s v="Body Groom Shaver assy and Precision Shaver assy plastic parts tool needed repeat tools by Triplus "/>
    <s v="Tim"/>
    <s v=""/>
    <s v="N/A"/>
    <s v="LCM"/>
    <s v="CONCEPT"/>
    <s v="Personal Health"/>
    <s v="GB"/>
    <s v="PH"/>
    <s v="IL3"/>
    <n v="0.1"/>
    <x v="55"/>
    <s v="India"/>
    <s v="SYSTEUR"/>
    <s v="FTE"/>
    <s v="Ishan Gupta"/>
    <s v="Tim"/>
  </r>
  <r>
    <s v="RTC-HSH20250700705"/>
    <s v="Sushruth Rudrachary"/>
    <s v="PO - QP1424/65( CEE &amp; WEU) &amp; QP6530/90 (USA)"/>
    <s v="Tim"/>
    <s v=""/>
    <s v="N/A"/>
    <s v="LCM"/>
    <s v="CONCEPT"/>
    <s v="Personal Health"/>
    <s v="GB"/>
    <s v="PH"/>
    <s v="IL3"/>
    <n v="0.1"/>
    <x v="55"/>
    <s v="India"/>
    <s v="SYSTEUR"/>
    <s v="FTE"/>
    <s v="Ishan Gupta"/>
    <s v="Tim"/>
  </r>
  <r>
    <s v="38697"/>
    <s v="Steven Mroch"/>
    <s v="Tooling, proximal shaft coupling (Refinity)"/>
    <s v="Nishant"/>
    <s v=""/>
    <s v="PROCUREMENT"/>
    <s v="PRODUCTIVITY"/>
    <s v="SOURCING"/>
    <s v="Mechanical Parts &amp; Assemblies"/>
    <s v="IGT-D"/>
    <s v="IGT"/>
    <s v="IL3"/>
    <n v="0.3"/>
    <x v="56"/>
    <s v="India"/>
    <s v="SYSTEUR"/>
    <s v="FTE"/>
    <s v="Satheesh Nair"/>
    <s v="Nishant"/>
  </r>
  <r>
    <s v="PDTEAM601"/>
    <s v="Damodar Sarnobat"/>
    <s v="MR Coils Resin Harmonization "/>
    <s v="Phil"/>
    <s v=""/>
    <s v="N/A"/>
    <s v="LCM"/>
    <s v="TCO"/>
    <s v="Mechanical Parts &amp; Assemblies"/>
    <s v="MR"/>
    <s v="PD"/>
    <s v="IL2"/>
    <n v="0.7"/>
    <x v="56"/>
    <s v="India"/>
    <s v="SYSTEUR"/>
    <s v="FTE"/>
    <s v="Satheesh Nair"/>
    <s v="Nishant"/>
  </r>
  <r>
    <s v="RfS 276038"/>
    <s v="Suraj Ramchandani"/>
    <s v="Wee Thumbie-RSZ factory relocation"/>
    <s v="Tim"/>
    <s v=""/>
    <s v="N/A"/>
    <s v="LCM"/>
    <s v="CONCEPT"/>
    <s v="Personal Health"/>
    <s v="MCC"/>
    <s v="PH"/>
    <s v="IL3"/>
    <n v="0.2"/>
    <x v="57"/>
    <s v="India"/>
    <s v="SYSTEUR"/>
    <s v="FTE"/>
    <s v="Tim Bokelman"/>
    <s v="Tim"/>
  </r>
  <r>
    <s v="RfS 275490"/>
    <s v="Suraj Ramchandani"/>
    <s v="RM2025: Soothie Heart Blister 1P Pink and Blue to Brazil"/>
    <s v="Tim"/>
    <s v=""/>
    <s v="IGM"/>
    <s v="Commercial Innovation"/>
    <s v="Commercial Innovation"/>
    <s v="Personal Health"/>
    <s v="MCC"/>
    <s v="PH"/>
    <s v="IL3"/>
    <n v="0.1"/>
    <x v="57"/>
    <s v="India"/>
    <s v="SYSTEUR"/>
    <s v="FTE"/>
    <s v="Tim Bokelman"/>
    <s v="Tim"/>
  </r>
  <r>
    <s v="RfS 277236"/>
    <s v="Suraj Ramchandani"/>
    <s v="Boost 2.0 - Natural 3.0 DFU Update for WEU &amp; NAR"/>
    <s v="Tim"/>
    <s v=""/>
    <s v="N/A"/>
    <s v="LCM"/>
    <s v="CONCEPT"/>
    <s v="Personal Health"/>
    <s v="MCC"/>
    <s v="PH"/>
    <s v="IL5"/>
    <n v="0.1"/>
    <x v="57"/>
    <s v="India"/>
    <s v="SYSTEUR"/>
    <s v="FTE"/>
    <s v="Tim Bokelman"/>
    <s v="Tim"/>
  </r>
  <r>
    <s v="RfS 277240"/>
    <s v="Suraj Ramchandani"/>
    <s v="Boost 2.0 - Natural 3.0 DFU Update for RoW"/>
    <s v="Tim"/>
    <s v=""/>
    <s v="N/A"/>
    <s v="LCM"/>
    <s v="CONCEPT"/>
    <s v="Personal Health"/>
    <s v="MCC"/>
    <s v="PH"/>
    <s v="IL5"/>
    <n v="0.2"/>
    <x v="57"/>
    <s v="India"/>
    <s v="SYSTEUR"/>
    <s v="FTE"/>
    <s v="Tim Bokelman"/>
    <s v="Tim"/>
  </r>
  <r>
    <s v="RfS 275468"/>
    <s v="Suraj Ramchandani"/>
    <s v="RM2027: ultra soft 3pack 2XDT 1xNT NAR"/>
    <s v="Tim"/>
    <s v=""/>
    <s v="N/A"/>
    <s v="LCM"/>
    <s v="CONCEPT"/>
    <s v="Personal Health"/>
    <s v="MCC"/>
    <s v="PH"/>
    <s v="IL2"/>
    <n v="0.2"/>
    <x v="57"/>
    <s v="India"/>
    <s v="SYSTEUR"/>
    <s v="FTE"/>
    <s v="Tim Bokelman"/>
    <s v="Tim"/>
  </r>
  <r>
    <s v="RfS 278140"/>
    <s v="Suraj Ramchandani"/>
    <s v="RM2026: Extension of SCD838/30 to CEE"/>
    <s v="Tim"/>
    <s v=""/>
    <s v="IGM"/>
    <s v="Commercial Innovation"/>
    <s v="Commercial Innovation"/>
    <s v="Personal Health"/>
    <s v="MCC"/>
    <s v="PH"/>
    <s v="IL2"/>
    <n v="0.1"/>
    <x v="57"/>
    <s v="India"/>
    <s v="SYSTEUR"/>
    <s v="FTE"/>
    <s v="Tim Bokelman"/>
    <s v="Tim"/>
  </r>
  <r>
    <s v="DOCOMP"/>
    <s v="Saravanakumar Palani"/>
    <s v="3rd Party Compitibilities"/>
    <s v="Raj"/>
    <s v=""/>
    <s v="N/A"/>
    <s v="LCM"/>
    <s v="SOURCING"/>
    <s v="Mechanical Parts &amp; Assemblies"/>
    <s v="IGT-S"/>
    <s v="IGT"/>
    <s v="IL5"/>
    <n v="0.5"/>
    <x v="58"/>
    <s v="India"/>
    <s v="SYSTEUR"/>
    <s v="Contingent"/>
    <s v="Anija M"/>
    <s v="Raj"/>
  </r>
  <r>
    <s v="3PP-Compatibility Checks "/>
    <s v="Saravanakumar Palani_x000a__x000a_"/>
    <s v="3PP-Compatibility Checks "/>
    <s v="Raj"/>
    <s v=""/>
    <s v="TCO"/>
    <s v="PRODUCTIVITY"/>
    <s v="CONCEPT"/>
    <s v="Mechanical Parts &amp; Assemblies"/>
    <s v="IGT-S"/>
    <s v="IGT"/>
    <s v="IL2"/>
    <n v="0.5"/>
    <x v="58"/>
    <s v="India"/>
    <s v="SYSTEUR"/>
    <s v="Contingent"/>
    <s v="Anija M"/>
    <s v="Raj"/>
  </r>
  <r>
    <s v="PDTEAM543"/>
    <s v="Gourav Parab"/>
    <s v="STET IC - Shakti"/>
    <s v="Phil"/>
    <s v=""/>
    <s v="N/A"/>
    <s v="LCM"/>
    <s v="SOURCING"/>
    <s v="Key components &amp; Electronics"/>
    <s v="IC"/>
    <s v="PD"/>
    <s v="IL2"/>
    <n v="0.3"/>
    <x v="59"/>
    <s v="India"/>
    <s v="SYSTEUR"/>
    <s v="FTE"/>
    <s v="Gourav Krishna Parab"/>
    <s v="Phil"/>
  </r>
  <r>
    <s v="PDTEAM535"/>
    <s v="Gourav Parab"/>
    <s v="Hamburg LCM"/>
    <s v="Phil"/>
    <s v=""/>
    <s v="N/A"/>
    <s v="LCM"/>
    <s v="SOURCING"/>
    <s v="Key components &amp; Electronics"/>
    <s v="IC"/>
    <s v="PD"/>
    <s v="IL2"/>
    <n v="0.3"/>
    <x v="59"/>
    <s v="India"/>
    <s v="SYSTEUR"/>
    <s v="FTE"/>
    <s v="Gourav Krishna Parab"/>
    <s v="Phil"/>
  </r>
  <r>
    <s v="PDTEAM526"/>
    <s v="Gourav Parab"/>
    <s v="STET IC - Pangu"/>
    <s v="Phil"/>
    <s v=""/>
    <s v="N/A"/>
    <s v="LCM"/>
    <s v="SOURCING"/>
    <s v="Key components &amp; Electronics"/>
    <s v="IC"/>
    <s v="PD"/>
    <s v="IL2"/>
    <n v="0.4"/>
    <x v="59"/>
    <s v="India"/>
    <s v="SYSTEUR"/>
    <s v="FTE"/>
    <s v="Gourav Krishna Parab"/>
    <s v="Phil"/>
  </r>
  <r>
    <s v="38256"/>
    <s v="Vijayanand Purushothaman"/>
    <s v="TCH Control Board"/>
    <s v="Phil"/>
    <s v=""/>
    <s v="PROCUREMENT"/>
    <s v="PRODUCTIVITY"/>
    <s v="CONCEPT"/>
    <s v="Key components &amp; Electronics"/>
    <s v="DXR"/>
    <s v="PD"/>
    <s v="IL2"/>
    <n v="0.6"/>
    <x v="60"/>
    <s v="India"/>
    <s v="SYSTEUR"/>
    <s v="Contingent"/>
    <s v="Bhushan Barve"/>
    <s v="Phil"/>
  </r>
  <r>
    <s v="PDTEAM561"/>
    <s v="Bhushan Barve"/>
    <s v="COHO HS1_FRx_PCB Update"/>
    <s v="Phil"/>
    <s v=""/>
    <s v="N/A"/>
    <s v="LCM"/>
    <s v="TCO"/>
    <s v="Key components &amp; Electronics"/>
    <s v="EC"/>
    <s v="CC"/>
    <s v="IL2"/>
    <n v="0.4"/>
    <x v="60"/>
    <s v="India"/>
    <s v="SYSTEUR"/>
    <s v="Contingent"/>
    <s v="Bhushan Barve"/>
    <s v="Phil"/>
  </r>
  <r>
    <s v="33510"/>
    <s v="Siddarth Shetty"/>
    <s v="Arctronics De-risking to SFO for Breast coils family"/>
    <s v="Phil"/>
    <s v=""/>
    <s v="PROCUREMENT"/>
    <s v="PRODUCTIVITY"/>
    <s v="SOURCING"/>
    <s v="Key components &amp; Electronics"/>
    <s v="MR"/>
    <s v="PD"/>
    <s v="IL3"/>
    <n v="1"/>
    <x v="61"/>
    <s v="India"/>
    <s v="SYSTEUR"/>
    <s v="FTE"/>
    <s v="Radhaprasanna Merugu"/>
    <s v="Raj"/>
  </r>
  <r>
    <s v="CR0112092"/>
    <s v="Charles Moses"/>
    <s v="Add 2nd source of TRANSFORMER MAIN EER42 850uH +/-5%/ Delta PN 2870359200."/>
    <s v="Nishant"/>
    <s v=""/>
    <s v="N/A"/>
    <s v="AOS"/>
    <s v="SOURCING"/>
    <s v="Key components &amp; Electronics"/>
    <s v="US"/>
    <s v="PD"/>
    <s v="IL5"/>
    <n v="1"/>
    <x v="62"/>
    <s v="India"/>
    <s v="SYSTEUR"/>
    <s v="FTE"/>
    <s v="Anand Navalagi"/>
    <s v="Raj"/>
  </r>
  <r>
    <s v="01MOSLCMCR"/>
    <s v="Ponkshe, Mihir"/>
    <s v="LCM CR in IGT- MOS"/>
    <s v="Raj"/>
    <s v=""/>
    <s v="N/A"/>
    <s v="AOS"/>
    <s v="SOURCING"/>
    <s v="Key components &amp; Electronics"/>
    <s v="IGT-MoS"/>
    <s v="IGT"/>
    <s v="IL3"/>
    <n v="0.5"/>
    <x v="63"/>
    <s v="India"/>
    <s v="SYSTEUR"/>
    <s v="FTE"/>
    <s v="Manish Sharma"/>
    <s v="Raj"/>
  </r>
  <r>
    <s v="02MOSLCMSICR"/>
    <s v="Ponkshe, Mihir"/>
    <s v="LCM SICR in IGT-MOS"/>
    <s v="Raj"/>
    <s v=""/>
    <s v="N/A"/>
    <s v="AOS"/>
    <s v="SOURCING"/>
    <s v="Key components &amp; Electronics"/>
    <s v="IGT-MoS"/>
    <s v="IGT"/>
    <s v="IL3"/>
    <n v="0.2"/>
    <x v="63"/>
    <s v="India"/>
    <s v="SYSTEUR"/>
    <s v="FTE"/>
    <s v="Manish Sharma"/>
    <s v="Raj"/>
  </r>
  <r>
    <s v="03MOSLCMBOMPROD"/>
    <s v="Ponkshe, Mihir"/>
    <s v="LCM BOM productivity in IGT-MOS"/>
    <s v="Raj"/>
    <s v=""/>
    <s v="N/A"/>
    <s v="LCM"/>
    <s v="SOURCING"/>
    <s v="Mechanical Parts &amp; Assemblies"/>
    <s v="IGT-MoS"/>
    <s v="IGT"/>
    <s v="IL3"/>
    <n v="0.3"/>
    <x v="63"/>
    <s v="India"/>
    <s v="SYSTEUR"/>
    <s v="FTE"/>
    <s v="Manish Sharma"/>
    <s v="Raj"/>
  </r>
  <r>
    <s v="PDTEAM429"/>
    <s v="MVD Srinivas"/>
    <s v="STET DXR MCOS &amp; CoNQ"/>
    <s v="Phil"/>
    <s v=""/>
    <s v="N/A"/>
    <s v="CONQ"/>
    <s v="SOURCING"/>
    <s v="Key components &amp; Electronics"/>
    <s v="DXR"/>
    <s v="PD"/>
    <s v="IL2"/>
    <n v="0.5"/>
    <x v="64"/>
    <s v="India"/>
    <s v="SYSTEUR"/>
    <s v="Contingent"/>
    <s v="M.V.D Srinivas"/>
    <s v="Phil"/>
  </r>
  <r>
    <s v="PDTEAM430"/>
    <s v="MVD Srinivas"/>
    <s v="STET DXR Remediation Support"/>
    <s v="Phil"/>
    <s v=""/>
    <s v="N/A"/>
    <s v="LCM"/>
    <s v="SOURCING"/>
    <s v="Mechanical Parts &amp; Assemblies"/>
    <s v="DXR"/>
    <s v="PD"/>
    <s v="IL2"/>
    <n v="0.5"/>
    <x v="64"/>
    <s v="India"/>
    <s v="SYSTEUR"/>
    <s v="Contingent"/>
    <s v="M.V.D Srinivas"/>
    <s v="Phil"/>
  </r>
  <r>
    <s v="36654"/>
    <s v="Matt Morse"/>
    <s v="Capture Productivity Savings - PV035 Y-arm mold transfer to Viant"/>
    <s v="Nishant"/>
    <s v=""/>
    <s v="PROCUREMENT"/>
    <s v="PRODUCTIVITY"/>
    <s v="SOURCING"/>
    <s v="Mechanical Parts &amp; Assemblies"/>
    <s v="IGT-D"/>
    <s v="IGT"/>
    <s v="IL3"/>
    <n v="0.25"/>
    <x v="65"/>
    <s v="India"/>
    <s v="SYSTEUR"/>
    <s v="FTE"/>
    <s v="Steven Mroch"/>
    <s v="Nishant"/>
  </r>
  <r>
    <s v="34072"/>
    <s v="Matt Morse"/>
    <s v="PLS Alternate Cable Supplier"/>
    <s v="Nishant"/>
    <s v=""/>
    <s v="PROCUREMENT"/>
    <s v="PRODUCTIVITY"/>
    <s v="SOURCING"/>
    <s v="Mechanical Parts &amp; Assemblies"/>
    <s v="IGT-D"/>
    <s v="IGT"/>
    <s v="IL3"/>
    <n v="0.3"/>
    <x v="65"/>
    <s v="India"/>
    <s v="SYSTEUR"/>
    <s v="FTE"/>
    <s v="Steven Mroch"/>
    <s v="Nishant"/>
  </r>
  <r>
    <s v="41566"/>
    <s v="Kyle  Undesser_x000a_"/>
    <s v="Tooling - New Shaft Guide Mold"/>
    <s v="Nishant"/>
    <s v=""/>
    <s v="N/A"/>
    <s v="LCM"/>
    <s v="SOURCING"/>
    <s v="Mechanical Parts &amp; Assemblies"/>
    <s v="IGT-D"/>
    <s v="IGT"/>
    <s v="IL3"/>
    <n v="0.2"/>
    <x v="65"/>
    <s v="India"/>
    <s v="SYSTEUR"/>
    <s v="FTE"/>
    <s v="Steven Mroch"/>
    <s v="Nishant"/>
  </r>
  <r>
    <s v="41567"/>
    <s v="Kyle  Undesser_x000a_"/>
    <s v="Tooling - New Dual RFID Mold"/>
    <s v="Nishant"/>
    <s v=""/>
    <s v="N/A"/>
    <s v="LCM"/>
    <s v="SOURCING"/>
    <s v="Mechanical Parts &amp; Assemblies"/>
    <s v="IGT-D"/>
    <s v="IGT"/>
    <s v="IL3"/>
    <n v="0.25"/>
    <x v="65"/>
    <s v="India"/>
    <s v="SYSTEUR"/>
    <s v="FTE"/>
    <s v="Steven Mroch"/>
    <s v="Nishant"/>
  </r>
  <r>
    <s v="HPM_Sustaining_Consumables_09122205"/>
    <s v="Jidhish Sidharthan_x000a_"/>
    <s v="HPM Sustaining Projects support - Consumables"/>
    <s v="Nishant"/>
    <s v=""/>
    <s v="N/A"/>
    <s v="LCM"/>
    <s v="SOURCING"/>
    <s v="All"/>
    <s v="HPM"/>
    <s v="CC"/>
    <s v="IL3"/>
    <n v="0.5"/>
    <x v="66"/>
    <s v="India"/>
    <s v="SYSTEUR"/>
    <s v="Contingent"/>
    <s v="Jidhish Sidharthan"/>
    <s v="Nishant"/>
  </r>
  <r>
    <s v="HPM_Sustaining_Capnography_09122205"/>
    <s v="Jidhish Sidharthan_x000a_"/>
    <s v="HPM Sustaining Projects support - Capnography"/>
    <s v="Nishant"/>
    <s v=""/>
    <s v="N/A"/>
    <s v="LCM"/>
    <s v="SOURCING"/>
    <s v="All"/>
    <s v="HPM"/>
    <s v="CC"/>
    <s v="IL3"/>
    <n v="0.5"/>
    <x v="66"/>
    <s v="India"/>
    <s v="SYSTEUR"/>
    <s v="Contingent"/>
    <s v="Jidhish Sidharthan"/>
    <s v="Nishant"/>
  </r>
  <r>
    <s v="CT/AMI_Training-1"/>
    <s v="NA"/>
    <s v="Trainings"/>
    <s v="All"/>
    <s v=""/>
    <s v="Trainings"/>
    <s v="Trainings"/>
    <s v="Trainings"/>
    <s v="Trainings"/>
    <s v="CT/AMI"/>
    <s v="PD"/>
    <s v="IL0"/>
    <n v="0.2"/>
    <x v="67"/>
    <s v="India"/>
    <s v="SYSTEUR"/>
    <s v="FTE"/>
    <s v="Subhankar Das"/>
    <s v="Phil"/>
  </r>
  <r>
    <s v="PDTEAM532"/>
    <s v="Krishnaraj Kalghatgi"/>
    <s v="STET CT AMI - TCO"/>
    <s v="Phil"/>
    <s v=""/>
    <s v="TCO"/>
    <s v="LCM"/>
    <s v="SOURCING"/>
    <s v="Key components &amp; Electronics"/>
    <s v="CT/AMI"/>
    <s v="PD"/>
    <s v="IL2"/>
    <n v="0.5"/>
    <x v="67"/>
    <s v="India"/>
    <s v="SYSTEUR"/>
    <s v="FTE"/>
    <s v="Subhankar Das"/>
    <s v="Phil"/>
  </r>
  <r>
    <s v="PDTEAM560"/>
    <s v="Damodar Sarnobat"/>
    <s v="STET CT/AMI-  LCM FRU Resolutions"/>
    <s v="Phil"/>
    <s v=""/>
    <s v="N/A"/>
    <s v="LCM"/>
    <s v="TCO"/>
    <s v="Key components &amp; Electronics"/>
    <s v="CT/AMI"/>
    <s v="PD"/>
    <s v="IL2"/>
    <n v="0.3"/>
    <x v="67"/>
    <s v="India"/>
    <s v="SYSTEUR"/>
    <s v="FTE"/>
    <s v="Subhankar Das"/>
    <s v="Phil"/>
  </r>
  <r>
    <s v="CR237272"/>
    <s v="Saurabh Agrawal"/>
    <s v="Spiti PDLM"/>
    <s v="Tim"/>
    <s v=""/>
    <s v="N/A"/>
    <s v="LCM"/>
    <s v="CONCEPT"/>
    <s v="Mechanical Parts &amp; Assemblies"/>
    <s v="OHC"/>
    <s v="PH"/>
    <s v="IL3"/>
    <n v="1"/>
    <x v="68"/>
    <s v="India"/>
    <s v="SYSTEUR"/>
    <s v="FTE"/>
    <s v="Samar Rajan Dash"/>
    <s v="Tim"/>
  </r>
  <r>
    <s v="27192"/>
    <s v="Vijayanand Purushothaman"/>
    <s v="STET:Project Vayu - Cluster 2 (TH-S Table)"/>
    <s v="Phil"/>
    <s v=""/>
    <s v="N/A"/>
    <s v="LCM"/>
    <s v="CONCEPT"/>
    <s v="Mechanical Parts &amp; Assemblies"/>
    <s v="DXR"/>
    <s v="PD"/>
    <s v="IL3"/>
    <n v="0.3"/>
    <x v="69"/>
    <s v="India"/>
    <s v="SYSTEUR"/>
    <s v="FTE"/>
    <s v="Karthik Ramamurthy"/>
    <s v="Phil"/>
  </r>
  <r>
    <s v="27157"/>
    <s v="Anil CS"/>
    <s v="STET:Project Vayu - Cluster 2 (VM) + Cables @ Bizlink"/>
    <s v="Phil"/>
    <s v=""/>
    <s v="PROCUREMENT"/>
    <s v="PRODUCTIVITY"/>
    <s v="CONCEPT"/>
    <s v="Mechanical Parts &amp; Assemblies"/>
    <s v="DXR"/>
    <s v="PD"/>
    <s v="IL2"/>
    <n v="0.3"/>
    <x v="69"/>
    <s v="India"/>
    <s v="SYSTEUR"/>
    <s v="FTE"/>
    <s v="Karthik Ramamurthy"/>
    <s v="Phil"/>
  </r>
  <r>
    <s v="PDTEAM432"/>
    <s v="MVD Srinivas"/>
    <s v="STET DXR Synchronization"/>
    <s v="Phil"/>
    <s v=""/>
    <s v="PROCUREMENT"/>
    <s v="LCM"/>
    <s v="SOURCING"/>
    <s v="Key components &amp; Electronics"/>
    <s v="DXR"/>
    <s v="PD"/>
    <s v="IL2"/>
    <n v="0.4"/>
    <x v="69"/>
    <s v="India"/>
    <s v="SYSTEUR"/>
    <s v="FTE"/>
    <s v="Karthik Ramamurthy"/>
    <s v="Phil"/>
  </r>
  <r>
    <s v="41709"/>
    <s v="Steven Mroch"/>
    <s v="DS2 Localization - Priority 2"/>
    <s v="Nishant"/>
    <s v=""/>
    <s v="PROCUREMENT"/>
    <s v="PRODUCTIVITY"/>
    <s v="SOURCING"/>
    <s v="Key components &amp; Electronics"/>
    <s v="SRC"/>
    <s v="CC"/>
    <s v="IL2"/>
    <n v="0.5"/>
    <x v="70"/>
    <s v="India"/>
    <s v="SYSTEUR"/>
    <s v="FTE"/>
    <s v="Ganesh Bhat"/>
    <s v="Nishant"/>
  </r>
  <r>
    <s v="41281"/>
    <s v="Steven Mroch"/>
    <s v="DS1 and DS2 Localization - Priority 1"/>
    <s v="Nishant"/>
    <s v=""/>
    <s v="PROCUREMENT"/>
    <s v="PRODUCTIVITY"/>
    <s v="SOURCING"/>
    <s v="Key components &amp; Electronics"/>
    <s v="SRC"/>
    <s v="CC"/>
    <s v="IL1"/>
    <n v="0.5"/>
    <x v="70"/>
    <s v="India"/>
    <s v="SYSTEUR"/>
    <s v="FTE"/>
    <s v="Ganesh Bhat"/>
    <s v="Nishant"/>
  </r>
  <r>
    <s v="PDTEAM424"/>
    <s v="Srinivas, M.V.D "/>
    <s v="STET DXR HW LCM - Label &amp; Packaging"/>
    <s v="Phil"/>
    <s v=""/>
    <s v="N/A"/>
    <s v="LCM"/>
    <s v="SOURCING"/>
    <s v="Mechanical Parts &amp; Assemblies"/>
    <s v="DXR"/>
    <s v="PD"/>
    <s v="IL2"/>
    <n v="1"/>
    <x v="71"/>
    <s v="India"/>
    <s v="SYSTEUR"/>
    <s v="Contingent"/>
    <s v="M.V.D Srinivas"/>
    <s v="Phil"/>
  </r>
  <r>
    <s v="39641"/>
    <s v="Saurabh Agrawal"/>
    <s v="Marvel: Cairo Connected E-Components Optimization"/>
    <s v="Tim"/>
    <s v=""/>
    <s v="PROCUREMENT"/>
    <s v="PRODUCTIVITY"/>
    <s v="SOURCING"/>
    <s v="Personal Health"/>
    <s v="OHC"/>
    <s v="PH"/>
    <s v="IL3"/>
    <n v="1"/>
    <x v="72"/>
    <s v="India"/>
    <s v="SYSTEUR"/>
    <s v="FTE"/>
    <s v="Samar Rajan Dash"/>
    <s v="Tim"/>
  </r>
  <r>
    <s v="PDTEAM501"/>
    <s v="Damodar Sarnobat"/>
    <s v="STET MR LCE ELECTRICAL"/>
    <s v="Phil"/>
    <s v=""/>
    <s v="N/A"/>
    <s v="LCM"/>
    <s v="CONCEPT"/>
    <s v="Key components &amp; Electronics"/>
    <s v="MR"/>
    <s v="PD"/>
    <s v="IL5"/>
    <n v="1"/>
    <x v="73"/>
    <s v="India"/>
    <s v="SYSTEUR"/>
    <s v="FTE"/>
    <s v="Bhushan Barve"/>
    <s v="Phil"/>
  </r>
  <r>
    <s v="PDTEAM560"/>
    <s v="Damodar Sarnobat"/>
    <s v="STET CT/AMI-  LCM FRU Resolutions"/>
    <s v="Phil"/>
    <s v=""/>
    <s v="N/A"/>
    <s v="LCM"/>
    <s v="TCO"/>
    <s v="Key components &amp; Electronics"/>
    <s v="CT/AMI"/>
    <s v="PD"/>
    <s v="IL2"/>
    <n v="1"/>
    <x v="74"/>
    <s v="India"/>
    <s v="SYSTEUR"/>
    <s v="FTE"/>
    <s v="Subhankar Das"/>
    <s v="Phil"/>
  </r>
  <r>
    <s v="CR0110375"/>
    <s v="Charles Moses"/>
    <s v="Design changes for HACB"/>
    <s v="Nishant"/>
    <s v=""/>
    <s v="N/A"/>
    <s v="LCM"/>
    <s v="SOURCING"/>
    <s v="Key components &amp; Electronics"/>
    <s v="US"/>
    <s v="PD"/>
    <s v="IL2"/>
    <n v="0.5"/>
    <x v="75"/>
    <s v="India"/>
    <s v="SYSTEUR"/>
    <s v="FTE"/>
    <s v="Bhushan Barve"/>
    <s v="Phil"/>
  </r>
  <r>
    <s v="PDTEAM561"/>
    <s v="Bhushan Barve"/>
    <s v="COHO HS1_FRx_PCB Update"/>
    <s v="Phil"/>
    <s v=""/>
    <s v="N/A"/>
    <s v="LCM"/>
    <s v="TCO"/>
    <s v="Key components &amp; Electronics"/>
    <s v="EC"/>
    <s v="CC"/>
    <s v="IL2"/>
    <n v="0.2"/>
    <x v="75"/>
    <s v="India"/>
    <s v="SYSTEUR"/>
    <s v="FTE"/>
    <s v="Bhushan Barve"/>
    <s v="Phil"/>
  </r>
  <r>
    <s v="33875"/>
    <s v="Sushruth Rudrachary"/>
    <s v="Sunstone - PCBAs 2nd source + alternative EE"/>
    <s v="Tim"/>
    <s v=""/>
    <s v="PROCUREMENT"/>
    <s v="PRODUCTIVITY"/>
    <s v="SOURCING"/>
    <s v="Personal Health"/>
    <s v="GB"/>
    <s v="PH"/>
    <s v="IL3"/>
    <n v="0.3"/>
    <x v="75"/>
    <s v="India"/>
    <s v="SYSTEUR"/>
    <s v="FTE"/>
    <s v="Bhushan Barve"/>
    <s v="Phil"/>
  </r>
  <r>
    <s v="L&amp;A"/>
    <s v="N/A"/>
    <s v="MISC. ENTRY TO BALANCE WITH RESOURCE DATABASE"/>
    <s v="All"/>
    <s v=""/>
    <s v="N/A"/>
    <s v="L&amp;A"/>
    <s v="L&amp;A"/>
    <s v="L&amp;A"/>
    <s v="L&amp;A"/>
    <s v="L&amp;A"/>
    <s v="IL3"/>
    <n v="1"/>
    <x v="76"/>
    <s v="India"/>
    <s v="SYSTEUR"/>
    <s v="FTE"/>
    <s v="Chinnaraja Pon S"/>
    <s v="Raj"/>
  </r>
  <r>
    <s v="HPM_Funnel Activities"/>
    <s v="NA"/>
    <s v="Funnel/Business case/Technical feasibility"/>
    <s v="All"/>
    <s v=""/>
    <s v="Funnel Activities"/>
    <s v="Funnel Activities"/>
    <s v="Funnel Activities"/>
    <s v="Funnel Activities"/>
    <s v="HPM"/>
    <s v="CC"/>
    <s v="IL0"/>
    <n v="1"/>
    <x v="77"/>
    <s v="India"/>
    <s v="SYSTEUR"/>
    <s v="FTE"/>
    <s v="Raghavendra Gaonkar"/>
    <s v="Nishant"/>
  </r>
  <r>
    <s v="PDTEAM434"/>
    <s v="MVD Srinivas"/>
    <s v="STET DXR-LUNA Transfer Project"/>
    <s v="Phil"/>
    <s v=""/>
    <s v="N/A"/>
    <s v="LCM"/>
    <s v="SOURCING"/>
    <s v="Mechanical Parts &amp; Assemblies"/>
    <s v="DXR"/>
    <s v="PD"/>
    <s v="IL2"/>
    <n v="1"/>
    <x v="78"/>
    <s v="India"/>
    <s v="SYSTEUR"/>
    <s v="Contingent"/>
    <s v="M.V.D Srinivas"/>
    <s v="Phil"/>
  </r>
  <r>
    <s v="38253"/>
    <s v="Saravanakumar Palani"/>
    <s v="Re-use of frames_(Europe Scope Phase II)"/>
    <s v="Raj"/>
    <s v=""/>
    <s v="PROCUREMENT"/>
    <s v="PRODUCTIVITY"/>
    <s v="SOURCING"/>
    <s v="Mechanical Parts &amp; Assemblies"/>
    <s v="IGT-S"/>
    <s v="IGT"/>
    <s v="IL3"/>
    <n v="0.5"/>
    <x v="79"/>
    <s v="India"/>
    <s v="SYSTEUR"/>
    <s v="FTE"/>
    <s v="Makarand Dharmadhikari"/>
    <s v="Raj"/>
  </r>
  <r>
    <s v="CSM MBD Simulation"/>
    <s v="Vijayanand Purushothaman"/>
    <s v="DXR_CSM_MBD_Simulation"/>
    <s v="Phil"/>
    <s v=""/>
    <s v="N/A"/>
    <s v="LCM"/>
    <s v="CONCEPT"/>
    <s v="Mechanical Parts &amp; Assemblies"/>
    <s v="DXR"/>
    <s v="PD"/>
    <s v="IL5"/>
    <n v="0.5"/>
    <x v="79"/>
    <s v="India"/>
    <s v="SYSTEUR"/>
    <s v="FTE"/>
    <s v="Makarand Dharmadhikari"/>
    <s v="Raj"/>
  </r>
  <r>
    <s v="32257"/>
    <s v="Vijayanand Purushothaman"/>
    <s v="NYX Albany parts transfer"/>
    <s v="Phil"/>
    <s v=""/>
    <s v="PROCUREMENT"/>
    <s v="PRODUCTIVITY"/>
    <s v="SOURCING"/>
    <s v="Mechanical Parts &amp; Assemblies"/>
    <s v="MR"/>
    <s v="PD"/>
    <s v="IL3"/>
    <n v="0.1"/>
    <x v="80"/>
    <s v="India"/>
    <s v="SYSTEUR"/>
    <s v="FTE"/>
    <s v="Avinash Gosavi"/>
    <s v="Phil"/>
  </r>
  <r>
    <s v="41086"/>
    <s v="Vijayanand Purushothaman"/>
    <s v="Transfer Midwest parts to LCC"/>
    <s v="Phil"/>
    <s v=""/>
    <s v="PROCUREMENT"/>
    <s v="PRODUCTIVITY"/>
    <s v="SOURCING"/>
    <s v="Mechanical Parts &amp; Assemblies"/>
    <s v="MR"/>
    <s v="PD"/>
    <s v="IL3"/>
    <n v="0.9"/>
    <x v="80"/>
    <s v="India"/>
    <s v="SYSTEUR"/>
    <s v="FTE"/>
    <s v="Avinash Gosavi"/>
    <s v="Phil"/>
  </r>
  <r>
    <s v="PJ-028049"/>
    <s v="Sushruth Rudrachary"/>
    <s v="IPL MLD/LCM - High End Technical"/>
    <s v="Tim"/>
    <s v=""/>
    <s v="N/A"/>
    <s v="LCM"/>
    <s v="CONCEPT"/>
    <s v="Personal Health"/>
    <s v="GB"/>
    <s v="PH"/>
    <s v="IL2"/>
    <n v="1"/>
    <x v="81"/>
    <s v="India"/>
    <s v="SYSTEUR"/>
    <s v="Contingent"/>
    <s v="Yogesh Shelgaonkar"/>
    <s v="Bokelman"/>
  </r>
  <r>
    <s v="CR174643"/>
    <s v="Saurabh Agrawal"/>
    <s v="T2301-02, Core, C&amp;A &amp; BMC VS, MLD, Update label material spec sourced from Yuwei"/>
    <s v="Tim"/>
    <s v=""/>
    <s v="N/A"/>
    <s v="LCM"/>
    <s v="CONCEPT"/>
    <s v="Personal Health"/>
    <s v="OHC"/>
    <s v="PH"/>
    <s v="IL5"/>
    <n v="0.25"/>
    <x v="82"/>
    <s v="India"/>
    <s v="SYSTEUR"/>
    <s v="FTE"/>
    <s v="Pramila Mote"/>
    <s v="Tim"/>
  </r>
  <r>
    <s v="CR199557"/>
    <s v="Saurabh Agrawal"/>
    <s v="Ontario RFiD Ring assembly line utilization improvement"/>
    <s v="Tim"/>
    <s v=""/>
    <s v="N/A"/>
    <s v="LCM"/>
    <s v="CONCEPT"/>
    <s v="Personal Health"/>
    <s v="OHC"/>
    <s v="PH"/>
    <s v="IL3"/>
    <n v="0.25"/>
    <x v="82"/>
    <s v="India"/>
    <s v="SYSTEUR"/>
    <s v="FTE"/>
    <s v="Pramila Mote"/>
    <s v="Tim"/>
  </r>
  <r>
    <s v="CR225608"/>
    <s v="Saurabh Agrawal_x000a_"/>
    <s v="Packaging design refreshment_Global"/>
    <s v="Tim"/>
    <s v=""/>
    <s v="N/A"/>
    <s v="LCM"/>
    <s v="CONCEPT"/>
    <s v="Personal Health"/>
    <s v="OHC"/>
    <s v="PH"/>
    <s v="IL3"/>
    <n v="0.25"/>
    <x v="82"/>
    <s v="India"/>
    <s v="SYSTEUR"/>
    <s v="FTE"/>
    <s v="Pramila Mote"/>
    <s v="Tim"/>
  </r>
  <r>
    <s v="CR223738"/>
    <s v="Saurabh Agrawal"/>
    <s v="WH/PID VS, REGMEM 25019 RoHS China in DFU/Leaflet. "/>
    <s v="Tim"/>
    <s v=""/>
    <s v="N/A"/>
    <s v="LCM"/>
    <s v="CONCEPT"/>
    <s v="Personal Health"/>
    <s v="OHC"/>
    <s v="PH"/>
    <s v="IL5"/>
    <n v="0.25"/>
    <x v="82"/>
    <s v="India"/>
    <s v="SYSTEUR"/>
    <s v="FTE"/>
    <s v="Pramila Mote"/>
    <s v="Tim"/>
  </r>
  <r>
    <s v="PDTEAM622"/>
    <s v="Damodar Sarnobat"/>
    <s v="STET MR COILS SICR DESIGN/SPECIFICATION CHANGE "/>
    <s v="Phil"/>
    <s v=""/>
    <s v="N/A"/>
    <s v="LCM"/>
    <s v="TCO"/>
    <s v="Mechanical Parts &amp; Assemblies"/>
    <s v="MR"/>
    <s v="PD"/>
    <s v="IL2"/>
    <n v="0.1"/>
    <x v="83"/>
    <s v="India"/>
    <s v="SYSTEUR"/>
    <s v="FTE"/>
    <s v="Kulasekhar K"/>
    <s v="Phil"/>
  </r>
  <r>
    <s v="PDTEAM626"/>
    <s v="Damodar Sarnobat "/>
    <s v="STET MR COILS SICR PROCESS CHANGE "/>
    <s v="Phil"/>
    <s v=""/>
    <s v="N/A"/>
    <s v="LCM"/>
    <s v="TCO"/>
    <s v="Mechanical Parts &amp; Assemblies"/>
    <s v="MR"/>
    <s v="PD"/>
    <s v="IL2"/>
    <n v="0.2"/>
    <x v="83"/>
    <s v="India"/>
    <s v="SYSTEUR"/>
    <s v="FTE"/>
    <s v="Kulasekhar K"/>
    <s v="Phil"/>
  </r>
  <r>
    <s v="PDTEAM500"/>
    <s v="Damodar Sarnobat"/>
    <s v="STET MR LCE MECHANICAL"/>
    <s v="Phil"/>
    <s v=""/>
    <s v="N/A"/>
    <s v="LCM"/>
    <s v="CONCEPT"/>
    <s v="Mechanical Parts &amp; Assemblies"/>
    <s v="MR"/>
    <s v="PD"/>
    <s v="IL5"/>
    <n v="0.1"/>
    <x v="83"/>
    <s v="India"/>
    <s v="SYSTEUR"/>
    <s v="FTE"/>
    <s v="Kulasekhar K"/>
    <s v="Phil"/>
  </r>
  <r>
    <s v="41086"/>
    <s v="Vijayanand Purushothaman"/>
    <s v="Transfer Midwest parts to LCC"/>
    <s v="Phil"/>
    <s v=""/>
    <s v="PROCUREMENT"/>
    <s v="PRODUCTIVITY"/>
    <s v="SOURCING"/>
    <s v="Mechanical Parts &amp; Assemblies"/>
    <s v="MR"/>
    <s v="PD"/>
    <s v="IL3"/>
    <n v="0.1"/>
    <x v="83"/>
    <s v="India"/>
    <s v="SYSTEUR"/>
    <s v="FTE"/>
    <s v="Kulasekhar K"/>
    <s v="Phil"/>
  </r>
  <r>
    <s v="PDTEAM614"/>
    <s v="Damodar Sarnobat"/>
    <s v="STET MR LCE ELECTRICAL"/>
    <s v="Phil"/>
    <s v=""/>
    <s v="N/A"/>
    <s v="LCM"/>
    <s v="TCO"/>
    <s v="Key components &amp; Electronics"/>
    <s v="MR"/>
    <s v="PD"/>
    <s v="IL2"/>
    <n v="0.1"/>
    <x v="83"/>
    <s v="India"/>
    <s v="SYSTEUR"/>
    <s v="FTE"/>
    <s v="Kulasekhar K"/>
    <s v="Phil"/>
  </r>
  <r>
    <s v="PDTEAM614"/>
    <s v="Damodar Sarnobat"/>
    <s v="STET MR LCE ELECTRICAL"/>
    <s v="Phil"/>
    <s v=""/>
    <s v="N/A"/>
    <s v="LCM"/>
    <s v="TCO"/>
    <s v="Key components &amp; Electronics"/>
    <s v="MR"/>
    <s v="PD"/>
    <s v="IL2"/>
    <n v="0.1"/>
    <x v="83"/>
    <s v="India"/>
    <s v="SYSTEUR"/>
    <s v="FTE"/>
    <s v="Kulasekhar K"/>
    <s v="Phil"/>
  </r>
  <r>
    <s v="PDTEAM549"/>
    <s v="Avinash Gosavi "/>
    <s v="STET MR LCE Therapy Electrical "/>
    <s v="Phil"/>
    <s v=""/>
    <s v="N/A"/>
    <s v="LCM"/>
    <s v="CONCEPT"/>
    <s v="Medical ODM Markets"/>
    <s v="MR"/>
    <s v="PD"/>
    <s v="IL2"/>
    <n v="0.1"/>
    <x v="83"/>
    <s v="India"/>
    <s v="SYSTEUR"/>
    <s v="FTE"/>
    <s v="Kulasekhar K"/>
    <s v="Phil"/>
  </r>
  <r>
    <s v="PDTEAM625"/>
    <s v="Damodar Sarnobat"/>
    <s v="STET MR COILS SICR QUALITY IMPROVEMENT "/>
    <s v="Phil"/>
    <s v=""/>
    <s v="N/A"/>
    <s v="LCM"/>
    <s v="TCO"/>
    <s v="Mechanical Parts &amp; Assemblies"/>
    <s v="MR"/>
    <s v="PD"/>
    <s v="IL2"/>
    <n v="0.1"/>
    <x v="83"/>
    <s v="India"/>
    <s v="SYSTEUR"/>
    <s v="FTE"/>
    <s v="Kulasekhar K"/>
    <s v="Phil"/>
  </r>
  <r>
    <s v="31575"/>
    <s v="Vijayanand Purushothaman"/>
    <s v="Sheet metal &amp; Casting parts localisation from Gainesville supplier base to India."/>
    <s v="Phil"/>
    <s v=""/>
    <s v="PROCUREMENT"/>
    <s v="PRODUCTIVITY"/>
    <s v="SOURCING"/>
    <s v="Mechanical Parts &amp; Assemblies"/>
    <s v="MR"/>
    <s v="PD"/>
    <s v="IL3"/>
    <n v="0.1"/>
    <x v="83"/>
    <s v="India"/>
    <s v="SYSTEUR"/>
    <s v="FTE"/>
    <s v="Kulasekhar K"/>
    <s v="Phil"/>
  </r>
  <r>
    <s v="PDTEAM421"/>
    <s v="Srinivas, M.V.D "/>
    <s v="STET DXR HW LCM CQ - Mechanical"/>
    <s v="Phil"/>
    <s v=""/>
    <s v="N/A"/>
    <s v="LCM"/>
    <s v="SOURCING"/>
    <s v="Mechanical Parts &amp; Assemblies"/>
    <s v="DXR"/>
    <s v="PD"/>
    <s v="IL2"/>
    <n v="0.5"/>
    <x v="84"/>
    <s v="India"/>
    <s v="SYSTEUR"/>
    <s v="FTE"/>
    <s v="M.V.D Srinivas"/>
    <s v="Phil"/>
  </r>
  <r>
    <s v="PDTEAM432"/>
    <s v="MVD Srinivas"/>
    <s v="STET DXR Synchronization"/>
    <s v="Phil"/>
    <s v=""/>
    <s v="PROCUREMENT"/>
    <s v="LCM"/>
    <s v="SOURCING"/>
    <s v="Key components &amp; Electronics"/>
    <s v="DXR"/>
    <s v="PD"/>
    <s v="IL2"/>
    <n v="0.5"/>
    <x v="84"/>
    <s v="India"/>
    <s v="SYSTEUR"/>
    <s v="FTE"/>
    <s v="M.V.D Srinivas"/>
    <s v="Phil"/>
  </r>
  <r>
    <s v="CR0115642"/>
    <s v="Charles Moses"/>
    <s v="Affiniti HLA Configuration Creation"/>
    <s v="Nishant"/>
    <s v=""/>
    <s v="N/A"/>
    <s v="LCM"/>
    <s v="SOURCING"/>
    <s v="Mechanical Parts &amp; Assemblies"/>
    <s v="US"/>
    <s v="PD"/>
    <s v="IL3"/>
    <n v="1"/>
    <x v="85"/>
    <s v="India"/>
    <s v="SYSTEUR"/>
    <s v="FTE"/>
    <s v="Anand Navalagi"/>
    <s v="Raj"/>
  </r>
  <r>
    <s v="03MOSLCMBOMPROD"/>
    <s v="Ponkshe, Mihir"/>
    <s v="LCM BOM productivity in IGT-MOS"/>
    <s v="Raj"/>
    <s v=""/>
    <s v="N/A"/>
    <s v="LCM"/>
    <s v="SOURCING"/>
    <s v="Mechanical Parts &amp; Assemblies"/>
    <s v="IGT-MoS"/>
    <s v="IGT"/>
    <s v="IL3"/>
    <n v="1"/>
    <x v="86"/>
    <s v="India"/>
    <s v="SYSTEUR"/>
    <s v="FTE"/>
    <s v="Mihir Ponkshe"/>
    <s v="Raj"/>
  </r>
  <r>
    <s v="Tailored-Products-overview 2025"/>
    <s v="Saravanakumar Palani_x000a_"/>
    <s v="3rd Party Tailored-Products-overview"/>
    <s v="Raj"/>
    <s v=""/>
    <s v="N/A"/>
    <s v="LCM"/>
    <s v="SOURCING"/>
    <s v="Medical ODM Markets"/>
    <s v="IGT-S"/>
    <s v="IGT"/>
    <s v="IL5"/>
    <n v="1"/>
    <x v="87"/>
    <s v="India"/>
    <s v="SYSTEUR"/>
    <s v="FTE"/>
    <s v="Anija M"/>
    <s v="Raj"/>
  </r>
  <r>
    <s v="ART-BEST"/>
    <s v="Vijayanand Purushothaman"/>
    <s v="LCM Support for Best"/>
    <s v="Raj"/>
    <s v=""/>
    <s v="N/A"/>
    <s v="LCM"/>
    <s v="SOURCING"/>
    <s v="Mechanical Parts &amp; Assemblies"/>
    <s v="IGT-S"/>
    <s v="IGT"/>
    <s v="IL3"/>
    <n v="1"/>
    <x v="88"/>
    <s v="India"/>
    <s v="SYSTEUR"/>
    <s v="FTE"/>
    <s v="Manish Sharma"/>
    <s v="Raj"/>
  </r>
  <r>
    <s v="39641"/>
    <s v="Saurabh Agrawal"/>
    <s v="Marvel: Cairo Connected E-Components Optimization"/>
    <s v="Tim"/>
    <s v=""/>
    <s v="PROCUREMENT"/>
    <s v="PRODUCTIVITY"/>
    <s v="SOURCING"/>
    <s v="Personal Health"/>
    <s v="OHC"/>
    <s v="PH"/>
    <s v="IL3"/>
    <n v="0.2"/>
    <x v="89"/>
    <s v="India"/>
    <s v="SYSTEUR"/>
    <s v="Contingent"/>
    <s v="Saurabh Khedkar"/>
    <s v="Bokelman"/>
  </r>
  <r>
    <s v="CR192500"/>
    <s v="Saurabh Agrawal"/>
    <s v="Mykonos – Anax"/>
    <s v="Tim"/>
    <s v=""/>
    <s v="N/A"/>
    <s v="LCM"/>
    <s v="CONCEPT"/>
    <s v="Personal Health"/>
    <s v="OHC"/>
    <s v="PH"/>
    <s v="IL3"/>
    <n v="0.4"/>
    <x v="89"/>
    <s v="India"/>
    <s v="SYSTEUR"/>
    <s v="Contingent"/>
    <s v="Saurabh Khedkar"/>
    <s v="Bokelman"/>
  </r>
  <r>
    <s v="CR237272"/>
    <s v="Saurabh Agrawal"/>
    <s v="Spiti PDLM"/>
    <s v="Tim"/>
    <s v=""/>
    <s v="N/A"/>
    <s v="LCM"/>
    <s v="CONCEPT"/>
    <s v="Mechanical Parts &amp; Assemblies"/>
    <s v="OHC"/>
    <s v="PH"/>
    <s v="IL3"/>
    <n v="0.2"/>
    <x v="89"/>
    <s v="India"/>
    <s v="SYSTEUR"/>
    <s v="Contingent"/>
    <s v="Saurabh Khedkar"/>
    <s v="Bokelman"/>
  </r>
  <r>
    <s v="36516"/>
    <s v="Saurabh Agrawal"/>
    <s v="Marvel: DD 5.0: CAIRO NON-CONNECTED PCBA FCP Improvement"/>
    <s v="Tim"/>
    <s v=""/>
    <s v="PROCUREMENT"/>
    <s v="PRODUCTIVITY"/>
    <s v="CONCEPT"/>
    <s v="Personal Health"/>
    <s v="OHC"/>
    <s v="PH"/>
    <s v="IL3"/>
    <n v="1"/>
    <x v="90"/>
    <s v="India"/>
    <s v="SYSTEUR"/>
    <s v="FTE"/>
    <s v="Samar Rajan Dash"/>
    <s v="Tim"/>
  </r>
  <r>
    <s v="NPIHPMDISP1"/>
    <s v="Jidhish Sidharthan"/>
    <s v="Nitro High Resolution Display"/>
    <s v="Nishant"/>
    <s v=""/>
    <s v="N/A"/>
    <s v="NPI"/>
    <s v="SOURCING"/>
    <s v="Medical ODM Markets"/>
    <s v="HPM"/>
    <s v="CC"/>
    <s v="IL2"/>
    <n v="0.3"/>
    <x v="91"/>
    <s v="India"/>
    <s v="SYSTEUR"/>
    <s v="FTE"/>
    <s v="Jidhish Sidharthan"/>
    <s v="Nishant"/>
  </r>
  <r>
    <s v="36617"/>
    <s v="Jidhish Sidharthan"/>
    <s v="Speaker assy sourcing for MX100/X3"/>
    <s v="Nishant"/>
    <s v=""/>
    <s v="PROCUREMENT"/>
    <s v="PRODUCTIVITY"/>
    <s v="SOURCING"/>
    <s v="Key components &amp; Electronics"/>
    <s v="HPM"/>
    <s v="CC"/>
    <s v="IL1"/>
    <n v="0.1"/>
    <x v="91"/>
    <s v="India"/>
    <s v="SYSTEUR"/>
    <s v="FTE"/>
    <s v="Jidhish Sidharthan"/>
    <s v="Nishant"/>
  </r>
  <r>
    <s v="36618"/>
    <s v="Jidhish Sidharthan"/>
    <s v="Speaker assy sourcing for MX450~550 - DE9A, Phase 2: Speaker assy supplier change"/>
    <s v="Nishant"/>
    <s v=""/>
    <s v="PROCUREMENT"/>
    <s v="PRODUCTIVITY"/>
    <s v="SOURCING"/>
    <s v="Key components &amp; Electronics"/>
    <s v="HPM"/>
    <s v="CC"/>
    <s v="IL1"/>
    <n v="0.1"/>
    <x v="91"/>
    <s v="India"/>
    <s v="SYSTEUR"/>
    <s v="FTE"/>
    <s v="Jidhish Sidharthan"/>
    <s v="Nishant"/>
  </r>
  <r>
    <s v="36620"/>
    <s v="Jidhish Sidharthan"/>
    <s v="Speaker assy sourcing for MX750/MX850/AD75/AD85 Phase 2: assy supplier change"/>
    <s v="Nishant"/>
    <s v=""/>
    <s v="PROCUREMENT"/>
    <s v="PRODUCTIVITY"/>
    <s v="SOURCING"/>
    <s v="Mechanical Parts &amp; Assemblies"/>
    <s v="HPM"/>
    <s v="CC"/>
    <s v="IL1"/>
    <n v="0.2"/>
    <x v="91"/>
    <s v="India"/>
    <s v="SYSTEUR"/>
    <s v="FTE"/>
    <s v="Jidhish Sidharthan"/>
    <s v="Nishant"/>
  </r>
  <r>
    <s v="DXR_L&amp;A"/>
    <s v="N/A"/>
    <s v="MISC. ENTRY TO BALANCE WITH RESOURCE DATABASE"/>
    <s v="All"/>
    <s v=""/>
    <s v="N/A"/>
    <s v="L&amp;A"/>
    <s v="L&amp;A"/>
    <s v="L&amp;A"/>
    <s v="DXR"/>
    <s v="PD"/>
    <s v="IL0"/>
    <n v="0.5"/>
    <x v="92"/>
    <s v="India"/>
    <s v="SYSTEUR"/>
    <s v="FTE"/>
    <s v="Kulasekhar K"/>
    <s v="Phil"/>
  </r>
  <r>
    <s v="IGT-S_L&amp;A"/>
    <s v="N/A"/>
    <s v="MISC. ENTRY TO BALANCE WITH RESOURCE DATABASE"/>
    <s v="All"/>
    <s v=""/>
    <s v="N/A"/>
    <s v="L&amp;A"/>
    <s v="L&amp;A"/>
    <s v="L&amp;A"/>
    <s v="IGT-S"/>
    <s v="IGT"/>
    <s v="IL0"/>
    <n v="0.5"/>
    <x v="92"/>
    <s v="India"/>
    <s v="SYSTEUR"/>
    <s v="FTE"/>
    <s v="Kulasekhar K"/>
    <s v="Phil"/>
  </r>
  <r>
    <s v="GB_Long Leave"/>
    <s v="NA"/>
    <s v="Long Medical Leaves/Maternity leave/Sabbatical"/>
    <s v="All"/>
    <s v=""/>
    <s v="Long Leave"/>
    <s v="Long Leave"/>
    <s v="Long Leave"/>
    <s v="Long Leave"/>
    <s v="GB"/>
    <s v="PH"/>
    <s v="IL0"/>
    <n v="1"/>
    <x v="93"/>
    <s v="India"/>
    <s v="SYSTEUR"/>
    <s v="Contingent"/>
    <s v="Yogesh Shelgaonkar"/>
    <s v="Bokelman"/>
  </r>
  <r>
    <s v="IPL_T&amp;V_4"/>
    <s v="Sushruth Rudrachary"/>
    <s v="GMY Lifetime (V) TBD EME"/>
    <s v="Tim"/>
    <s v=""/>
    <s v="N/A"/>
    <s v="LCM"/>
    <s v="CONCEPT"/>
    <s v="Personal Health"/>
    <s v="GB"/>
    <s v="PH"/>
    <s v="IL3"/>
    <n v="0.25"/>
    <x v="94"/>
    <s v="India"/>
    <s v="SYSTEUR"/>
    <s v="FTE"/>
    <s v="Sushruth Rudrachary"/>
    <s v="Tim"/>
  </r>
  <r>
    <s v="IPL_T&amp;V_2"/>
    <s v="Sushruth Rudrachary"/>
    <s v="Homogeneity and Spectrum Improvement"/>
    <s v="Tim"/>
    <s v=""/>
    <s v="N/A"/>
    <s v="LCM"/>
    <s v="CONCEPT"/>
    <s v="Personal Health"/>
    <s v="GB"/>
    <s v="PH"/>
    <s v="IL3"/>
    <n v="0.25"/>
    <x v="94"/>
    <s v="India"/>
    <s v="SYSTEUR"/>
    <s v="FTE"/>
    <s v="Sushruth Rudrachary"/>
    <s v="Tim"/>
  </r>
  <r>
    <s v="IPL_T&amp;V_3"/>
    <s v="Sushruth Rudrachary"/>
    <s v="Sapphire EMI/EMC updates"/>
    <s v="Tim"/>
    <s v=""/>
    <s v="N/A"/>
    <s v="LCM"/>
    <s v="CONCEPT"/>
    <s v="Personal Health"/>
    <s v="GB"/>
    <s v="PH"/>
    <s v="IL2"/>
    <n v="0.25"/>
    <x v="94"/>
    <s v="India"/>
    <s v="SYSTEUR"/>
    <s v="FTE"/>
    <s v="Sushruth Rudrachary"/>
    <s v="Tim"/>
  </r>
  <r>
    <s v="IPL_T&amp;V_1"/>
    <s v="Sushruth Rudrachary"/>
    <s v="IPL devices – ORT 2024/25"/>
    <s v="Tim"/>
    <s v=""/>
    <s v="N/A"/>
    <s v="LCM"/>
    <s v="CONCEPT"/>
    <s v="Personal Health"/>
    <s v="GB"/>
    <s v="PH"/>
    <s v="IL3"/>
    <n v="0.25"/>
    <x v="94"/>
    <s v="India"/>
    <s v="SYSTEUR"/>
    <s v="FTE"/>
    <s v="Sushruth Rudrachary"/>
    <s v="Tim"/>
  </r>
  <r>
    <s v="34299"/>
    <s v="ShaSha Shi"/>
    <s v="STET: Putuo interface Heatsink machining to sheet metal"/>
    <s v="Phil"/>
    <s v=""/>
    <s v="PROCUREMENT"/>
    <s v="PRODUCTIVITY"/>
    <s v="CONCEPT"/>
    <s v="Mechanical Parts &amp; Assemblies"/>
    <s v="MR"/>
    <s v="PD"/>
    <s v="IL2"/>
    <n v="0.5"/>
    <x v="95"/>
    <s v="China"/>
    <s v="SYSTEUR"/>
    <s v="FTE"/>
    <s v="Sam Zhao"/>
    <s v="Phil"/>
  </r>
  <r>
    <s v="19186"/>
    <s v="Steven Li"/>
    <s v="Alternative supplier for the headset/nurse call connector (chasis)"/>
    <s v="Phil"/>
    <s v=""/>
    <s v="PROCUREMENT"/>
    <s v="PRODUCTIVITY"/>
    <s v="CONCEPT"/>
    <s v="Key components &amp; Electronics"/>
    <s v="MR"/>
    <s v="PD"/>
    <s v="IL4"/>
    <n v="0.5"/>
    <x v="95"/>
    <s v="China"/>
    <s v="SYSTEUR"/>
    <s v="FTE"/>
    <s v="Sam Zhao"/>
    <s v="Phil"/>
  </r>
  <r>
    <s v="DCR#13696"/>
    <s v="Steven Mroch"/>
    <s v="Design Transfer of 1074880 BATTERY ASSEMBLY,E2 "/>
    <s v="Nishant"/>
    <s v=""/>
    <s v="N/A"/>
    <s v="LCM"/>
    <s v="SOURCING"/>
    <s v="Mechanical Parts &amp; Assemblies"/>
    <s v="SRC"/>
    <s v="CC"/>
    <s v="IL3"/>
    <n v="0.3"/>
    <x v="96"/>
    <s v="India"/>
    <s v="SYSTEUR"/>
    <s v="FTE"/>
    <s v="Krishna Prasad K"/>
    <m/>
  </r>
  <r>
    <s v="US_TRANS_LCM0001"/>
    <s v="Steven Mroch"/>
    <s v="US_TRANS_LCM"/>
    <s v="Nishant"/>
    <s v=""/>
    <s v="N/A"/>
    <s v="LCM"/>
    <s v="SOURCING"/>
    <s v="Mechanical Parts &amp; Assemblies"/>
    <s v="US-Trans"/>
    <s v="PD"/>
    <s v="IL3"/>
    <n v="0.5"/>
    <x v="96"/>
    <s v="India"/>
    <s v="SYSTEUR"/>
    <s v="FTE"/>
    <s v="Krishna Prasad K"/>
    <m/>
  </r>
  <r>
    <s v="DCR#20183"/>
    <s v="Steven Mroch"/>
    <s v="Re-Source DS/DS2 DC Cable to New Supplier ( PN 1120818 &amp; 1001370)"/>
    <s v="Nishant"/>
    <s v=""/>
    <s v="N/A"/>
    <s v="LCM"/>
    <s v="NON_12NC"/>
    <s v="Mechanical Parts &amp; Assemblies"/>
    <s v="SRC"/>
    <s v="CC"/>
    <s v="IL3"/>
    <n v="0.2"/>
    <x v="96"/>
    <s v="India"/>
    <s v="SYSTEUR"/>
    <s v="FTE"/>
    <s v="Krishna Prasad K"/>
    <m/>
  </r>
  <r>
    <s v="PDTEAM415"/>
    <s v="Srinivas, M.V.D "/>
    <s v="PCBA Health DXR"/>
    <s v="Phil"/>
    <s v=""/>
    <s v="N/A"/>
    <s v="LCM"/>
    <s v="SOURCING"/>
    <s v="Key components &amp; Electronics"/>
    <s v="DXR"/>
    <s v="PD"/>
    <s v="IL2"/>
    <n v="1"/>
    <x v="97"/>
    <s v="India"/>
    <s v="SYSTEUR"/>
    <s v="Contingent"/>
    <s v="Karthik Ramamurthy"/>
    <s v="Phil"/>
  </r>
  <r>
    <s v="CR226118"/>
    <s v="Saurabh Agrawal_x000a_"/>
    <s v="Change in colorant supplier for BH parts"/>
    <s v="Tim"/>
    <s v=""/>
    <s v="N/A"/>
    <s v="LCM"/>
    <s v="CONCEPT"/>
    <s v="Personal Health"/>
    <s v="OHC"/>
    <s v="PH"/>
    <s v="IL3"/>
    <n v="0.3"/>
    <x v="98"/>
    <s v="India"/>
    <s v="SYSTEUR"/>
    <s v="FTE"/>
    <s v="Pramila Mote"/>
    <s v="Tim"/>
  </r>
  <r>
    <s v="CR205871"/>
    <s v="Saurabh Agrawal"/>
    <s v="Launch of Sonicare for Kids 2 new handles in EU region"/>
    <s v="Tim"/>
    <s v=""/>
    <s v="IGM"/>
    <s v="Commercial Innovation"/>
    <s v="Commercial Innovation"/>
    <s v="Personal Health"/>
    <s v="OHC"/>
    <s v="PH"/>
    <s v="IL5"/>
    <n v="0.3"/>
    <x v="98"/>
    <s v="India"/>
    <s v="SYSTEUR"/>
    <s v="FTE"/>
    <s v="Pramila Mote"/>
    <s v="Tim"/>
  </r>
  <r>
    <s v="35092"/>
    <s v="Fred Cai "/>
    <s v="Bobsled-Hawk GPC sourcing transfer from GMI to LCC"/>
    <s v="Phil"/>
    <s v=""/>
    <s v="PROCUREMENT"/>
    <s v="PRODUCTIVITY"/>
    <s v="SOURCING"/>
    <s v="Medical ODM Markets"/>
    <s v="CT/AMI"/>
    <s v="PD"/>
    <s v="IL2"/>
    <n v="1"/>
    <x v="99"/>
    <s v="China"/>
    <s v="SYSTEUR"/>
    <s v="FTE"/>
    <s v="Thomas Liu"/>
    <s v="Phil"/>
  </r>
  <r>
    <s v="PDTEAM133"/>
    <s v="Tiger Xiao"/>
    <s v="Nexha NPI"/>
    <s v="Phil"/>
    <s v=""/>
    <s v="N/A"/>
    <s v="NPI"/>
    <s v="CONCEPT"/>
    <s v="Key components &amp; Electronics"/>
    <s v="US-Trans"/>
    <s v="PD"/>
    <s v="IL1"/>
    <n v="1"/>
    <x v="100"/>
    <s v="China"/>
    <s v="SYSTEUR"/>
    <s v="FTE"/>
    <s v="Sam Zhao"/>
    <s v="Phil"/>
  </r>
  <r>
    <s v="US_PROD1"/>
    <s v="Charles Moses"/>
    <s v="US-Productivity"/>
    <s v="Nishant"/>
    <s v=""/>
    <s v="PROCUREMENT"/>
    <s v="PRODUCTIVITY"/>
    <s v="SOURCING"/>
    <s v="Mechanical Parts &amp; Assemblies"/>
    <s v="US"/>
    <s v="PD"/>
    <s v="IL2"/>
    <n v="1"/>
    <x v="101"/>
    <s v="USA"/>
    <s v="SYSTEUR"/>
    <s v="FTE"/>
    <s v="Nishant Nair"/>
    <s v="Nishant"/>
  </r>
  <r>
    <s v="IGT-D_Funnel Activities"/>
    <s v="NA"/>
    <s v="Funnel/Business case/Technical feasibility"/>
    <s v="All"/>
    <s v=""/>
    <s v="Funnel Activities"/>
    <s v="Funnel Activities"/>
    <s v="Funnel Activities"/>
    <s v="Funnel Activities"/>
    <s v="IGT-D"/>
    <s v="IGT"/>
    <s v="IL0"/>
    <n v="0.8"/>
    <x v="102"/>
    <s v="India"/>
    <s v="SYSTEUR"/>
    <s v="FTE"/>
    <s v="Satheesh Nair"/>
    <s v="Nishant"/>
  </r>
  <r>
    <s v="32257"/>
    <s v="Vijayanand Purushothaman"/>
    <s v="NYX Albany parts transfer"/>
    <s v="Phil"/>
    <s v=""/>
    <s v="PROCUREMENT"/>
    <s v="PRODUCTIVITY"/>
    <s v="SOURCING"/>
    <s v="Mechanical Parts &amp; Assemblies"/>
    <s v="MR"/>
    <s v="PD"/>
    <s v="IL3"/>
    <n v="0.1"/>
    <x v="102"/>
    <s v="India"/>
    <s v="SYSTEUR"/>
    <s v="FTE"/>
    <s v="Satheesh Nair"/>
    <s v="Nishant"/>
  </r>
  <r>
    <s v="39146"/>
    <s v="Steven Mroch"/>
    <s v="Alternate source for Optichamber Diamond"/>
    <s v="Nishant"/>
    <s v=""/>
    <s v="PROCUREMENT"/>
    <s v="PRODUCTIVITY"/>
    <s v="SOURCING"/>
    <s v="Mechanical Parts &amp; Assemblies"/>
    <s v="SRC"/>
    <s v="CC"/>
    <s v="IL3"/>
    <n v="0.1"/>
    <x v="102"/>
    <s v="India"/>
    <s v="SYSTEUR"/>
    <s v="FTE"/>
    <s v="Satheesh Nair"/>
    <s v="Nishant"/>
  </r>
  <r>
    <s v="CR220365"/>
    <s v="Saurabh Agrawal"/>
    <s v="Prestige Models' Handle Labelling Resolution"/>
    <s v="Tim"/>
    <s v=""/>
    <s v="N/A"/>
    <s v="LCM"/>
    <s v="CONCEPT"/>
    <s v="Personal Health"/>
    <s v="OHC"/>
    <s v="PH"/>
    <s v="IL5"/>
    <n v="0.3"/>
    <x v="103"/>
    <s v="India"/>
    <s v="SYSTEUR"/>
    <s v="Contingent"/>
    <s v="Sanjeev Kumar"/>
    <s v="Bokelman"/>
  </r>
  <r>
    <s v="CR219541"/>
    <s v="Saurabh Agrawal"/>
    <s v="Discus Dental products, labeling and registration update as per REGMEM AMB-554 24049 (Malaysia)"/>
    <s v="Tim"/>
    <s v=""/>
    <s v="N/A"/>
    <s v="LCM"/>
    <s v="CONCEPT"/>
    <s v="Personal Health"/>
    <s v="OHC"/>
    <s v="PH"/>
    <s v="IL2"/>
    <n v="0.5"/>
    <x v="103"/>
    <s v="India"/>
    <s v="SYSTEUR"/>
    <s v="Contingent"/>
    <s v="Sanjeev Kumar"/>
    <s v="Bokelman"/>
  </r>
  <r>
    <s v="CR226118"/>
    <s v="Saurabh Agrawal_x000a_"/>
    <s v="Change in colorant supplier for BH parts"/>
    <s v="Tim"/>
    <s v=""/>
    <s v="N/A"/>
    <s v="LCM"/>
    <s v="CONCEPT"/>
    <s v="Personal Health"/>
    <s v="OHC"/>
    <s v="PH"/>
    <s v="IL3"/>
    <n v="0.2"/>
    <x v="103"/>
    <s v="India"/>
    <s v="SYSTEUR"/>
    <s v="Contingent"/>
    <s v="Sanjeev Kumar"/>
    <s v="Bokelman"/>
  </r>
  <r>
    <s v="36516"/>
    <s v="Saurabh Agrawal"/>
    <s v="Marvel: DD 5.0: CAIRO NON-CONNECTED PCBA FCP Improvement"/>
    <s v="Tim"/>
    <s v=""/>
    <s v="PROCUREMENT"/>
    <s v="PRODUCTIVITY"/>
    <s v="CONCEPT"/>
    <s v="Personal Health"/>
    <s v="OHC"/>
    <s v="PH"/>
    <s v="IL3"/>
    <n v="1"/>
    <x v="104"/>
    <s v="India"/>
    <s v="SYSTEUR"/>
    <s v="FTE"/>
    <s v="Samar Rajan Dash"/>
    <s v="Tim"/>
  </r>
  <r>
    <s v="04MOSLCMMAJPROJ"/>
    <s v="Ponkshe, Mihir"/>
    <s v="LCM Major project in IGT-MOS"/>
    <s v="Raj"/>
    <s v=""/>
    <s v="N/A"/>
    <s v="AOS"/>
    <s v="SOURCING"/>
    <s v="Key components &amp; Electronics"/>
    <s v="IGT-MoS"/>
    <s v="IGT"/>
    <s v="IL3"/>
    <n v="1"/>
    <x v="105"/>
    <s v="India"/>
    <s v="SYSTEUR"/>
    <s v="Contingent"/>
    <s v="Mihir Ponkshe"/>
    <s v="Raj"/>
  </r>
  <r>
    <s v="PDTEAM621"/>
    <s v="Damodar Sarnobat"/>
    <s v="STET MR COILS SICR EOL/ MATERIAL CHANGE "/>
    <s v="Phil"/>
    <s v=""/>
    <s v="N/A"/>
    <s v="LCM"/>
    <s v="TCO"/>
    <s v="Key components &amp; Electronics"/>
    <s v="MR"/>
    <s v="PD"/>
    <s v="IL2"/>
    <n v="0.5"/>
    <x v="106"/>
    <s v="India"/>
    <s v="SYSTEUR"/>
    <s v="Contingent"/>
    <s v="Radha Prasanna"/>
    <s v="Phil"/>
  </r>
  <r>
    <s v="PDTEAM625"/>
    <s v="Damodar Sarnobat"/>
    <s v="STET MR COILS SICR QUALITY IMPROVEMENT "/>
    <s v="Phil"/>
    <s v=""/>
    <s v="N/A"/>
    <s v="LCM"/>
    <s v="TCO"/>
    <s v="Mechanical Parts &amp; Assemblies"/>
    <s v="MR"/>
    <s v="PD"/>
    <s v="IL2"/>
    <n v="0.5"/>
    <x v="106"/>
    <s v="India"/>
    <s v="SYSTEUR"/>
    <s v="Contingent"/>
    <s v="Radha Prasanna"/>
    <s v="Phil"/>
  </r>
  <r>
    <s v="RfS 272216"/>
    <s v="Sushruth Rudrachary"/>
    <s v="SUNSTONE Series 7000/8000/9000/9900  refurbishment"/>
    <s v="Tim"/>
    <s v=""/>
    <s v="N/A"/>
    <s v="LCM"/>
    <s v="CONCEPT"/>
    <s v="Personal Health"/>
    <s v="GB"/>
    <s v="PH"/>
    <s v="IL2"/>
    <n v="0.4"/>
    <x v="107"/>
    <s v="India"/>
    <s v="SYSTEUR"/>
    <s v="FTE"/>
    <s v="Dayal Mirthinti"/>
    <s v="Tim"/>
  </r>
  <r>
    <s v="RfS 271073"/>
    <s v="Sushruth Rudrachary"/>
    <s v="Plastic consumer packaging items and associated material identification markings to be corrected"/>
    <s v="Tim"/>
    <s v=""/>
    <s v="N/A"/>
    <s v="LCM"/>
    <s v="CONCEPT"/>
    <s v="Personal Health"/>
    <s v="GB"/>
    <s v="PH"/>
    <s v="IL5"/>
    <n v="0.2"/>
    <x v="107"/>
    <s v="India"/>
    <s v="SYSTEUR"/>
    <s v="FTE"/>
    <s v="Dayal Mirthinti"/>
    <s v="Tim"/>
  </r>
  <r>
    <s v="RfS 278238"/>
    <s v="Sushruth Rudrachary_x000a_"/>
    <s v="Turkey-Dual EAN sticker issue"/>
    <s v="Tim"/>
    <s v=""/>
    <s v="N/A"/>
    <s v="LCM"/>
    <s v="CONCEPT"/>
    <s v="Personal Health"/>
    <s v="GB"/>
    <s v="PH"/>
    <s v="IL5"/>
    <n v="0.2"/>
    <x v="107"/>
    <s v="India"/>
    <s v="SYSTEUR"/>
    <s v="FTE"/>
    <s v="Dayal Mirthinti"/>
    <s v="Tim"/>
  </r>
  <r>
    <s v="RfS 277449"/>
    <s v="Sushruth Rudrachary"/>
    <s v="REGMEM AMB554-25033 - Argentina - Electrical safety resolution"/>
    <s v="Tim"/>
    <s v=""/>
    <s v="N/A"/>
    <s v="LCM"/>
    <s v="CONCEPT"/>
    <s v="Personal Health"/>
    <s v="GB"/>
    <s v="PH"/>
    <s v="IL3"/>
    <n v="0.2"/>
    <x v="107"/>
    <s v="India"/>
    <s v="SYSTEUR"/>
    <s v="FTE"/>
    <s v="Dayal Mirthinti"/>
    <s v="Tim"/>
  </r>
  <r>
    <s v="08MOSLCMTESTENGG"/>
    <s v="Ponkshe, Mihir"/>
    <s v="LCM testing activities  in IGT-MOS"/>
    <s v="Raj"/>
    <s v=""/>
    <s v="N/A"/>
    <s v="LCM"/>
    <s v="SOURCING"/>
    <s v="Key components &amp; Electronics"/>
    <s v="IGT-MoS"/>
    <s v="IGT"/>
    <s v="IL3"/>
    <n v="1"/>
    <x v="108"/>
    <s v="India"/>
    <s v="SYSTEUR"/>
    <s v="Contingent"/>
    <s v="Manish Sharma"/>
    <s v="Raj"/>
  </r>
  <r>
    <s v="MR_Funnel Activities"/>
    <s v="NA"/>
    <s v="Funnel/Business case/Technical feasibility"/>
    <s v="All"/>
    <s v=""/>
    <s v="Funnel Activities"/>
    <s v="Funnel Activities"/>
    <s v="Funnel Activities"/>
    <s v="Funnel Activities"/>
    <s v="MR"/>
    <s v="PD"/>
    <s v="IL0"/>
    <n v="0.3"/>
    <x v="109"/>
    <s v="USA"/>
    <s v="SYSTEUR"/>
    <s v="FTE"/>
    <s v="Phil Jenkins"/>
    <s v="Phil"/>
  </r>
  <r>
    <s v="US_Funnel Activities"/>
    <s v="NA"/>
    <s v="Funnel/Business case/Technical feasibility"/>
    <s v="All"/>
    <s v=""/>
    <s v="Funnel Activities"/>
    <s v="Funnel Activities"/>
    <s v="Funnel Activities"/>
    <s v="Funnel Activities"/>
    <s v="US"/>
    <s v="PD"/>
    <s v="IL0"/>
    <n v="0.2"/>
    <x v="109"/>
    <s v="USA"/>
    <s v="SYSTEUR"/>
    <s v="FTE"/>
    <s v="Phil Jenkins"/>
    <s v="Phil"/>
  </r>
  <r>
    <s v="CT/AMI_Funnel Activities"/>
    <s v="NA"/>
    <s v="Funnel/Business case/Technical feasibility"/>
    <s v="All"/>
    <s v=""/>
    <s v="Funnel Activities"/>
    <s v="Funnel Activities"/>
    <s v="Funnel Activities"/>
    <s v="Funnel Activities"/>
    <s v="CT/AMI"/>
    <s v="PD"/>
    <s v="IL0"/>
    <n v="0.3"/>
    <x v="109"/>
    <s v="USA"/>
    <s v="SYSTEUR"/>
    <s v="FTE"/>
    <s v="Phil Jenkins"/>
    <s v="Phil"/>
  </r>
  <r>
    <s v="SRCLCM0004"/>
    <s v="Steven Mroch_x000a_"/>
    <s v="Project Spring "/>
    <s v="Nishant"/>
    <s v=""/>
    <s v="N/A"/>
    <s v="LCM"/>
    <s v="SOURCING"/>
    <s v="Key components &amp; Electronics"/>
    <s v="SRC"/>
    <s v="CC"/>
    <s v="IL5"/>
    <n v="1"/>
    <x v="110"/>
    <s v="USA"/>
    <s v="SYSTEUR"/>
    <s v="FTE"/>
    <s v="Steven Mroch"/>
    <s v="Nishant"/>
  </r>
  <r>
    <s v="41485"/>
    <s v="Tiger Xiao"/>
    <s v="Transfer S5-1 FPC from Tech Etch to Shennan Circuits (SCC)"/>
    <s v="Phil"/>
    <s v=""/>
    <s v="PROCUREMENT"/>
    <s v="PRODUCTIVITY"/>
    <s v="SOURCING"/>
    <s v="Key components &amp; Electronics"/>
    <s v="US-Trans"/>
    <s v="PD"/>
    <s v="IL2"/>
    <n v="0.3"/>
    <x v="111"/>
    <s v="China"/>
    <s v="SYSTEUR"/>
    <s v="FTE"/>
    <s v="Phil Jenkins"/>
    <s v="Phil"/>
  </r>
  <r>
    <s v="40685"/>
    <s v="Tiger Xiao"/>
    <s v="L12-5 FPC From Topsun(Tin-Lead) to SUIWA (Tin%)"/>
    <s v="Phil"/>
    <s v=""/>
    <s v="PROCUREMENT"/>
    <s v="AOS"/>
    <s v="SOURCING"/>
    <s v="Key components &amp; Electronics"/>
    <s v="US-Trans"/>
    <s v="PD"/>
    <s v="IL2"/>
    <n v="0.3"/>
    <x v="111"/>
    <s v="China"/>
    <s v="SYSTEUR"/>
    <s v="FTE"/>
    <s v="Phil Jenkins"/>
    <s v="Phil"/>
  </r>
  <r>
    <s v="41482"/>
    <s v="Tiger Xiao"/>
    <s v="AOS - C9-4V Plastic parts transfer from Xuxin to Tontec"/>
    <s v="Phil"/>
    <s v=""/>
    <s v="PROCUREMENT"/>
    <s v="AOS"/>
    <s v="SOURCING"/>
    <s v="Mechanical Parts &amp; Assemblies"/>
    <s v="US-Trans"/>
    <s v="PD"/>
    <s v="IL2"/>
    <n v="0.2"/>
    <x v="111"/>
    <s v="China"/>
    <s v="SYSTEUR"/>
    <s v="FTE"/>
    <s v="Phil Jenkins"/>
    <s v="Phil"/>
  </r>
  <r>
    <s v="40566"/>
    <s v="Tiger Xiao"/>
    <s v="APEX: Localization C5-1 FPC from Tech-Etch to SUIWA"/>
    <s v="Phil"/>
    <s v=""/>
    <s v="PROCUREMENT"/>
    <s v="PRODUCTIVITY"/>
    <s v="SOURCING"/>
    <s v="Key components &amp; Electronics"/>
    <s v="US-Trans"/>
    <s v="PD"/>
    <s v="IL2"/>
    <n v="0.2"/>
    <x v="111"/>
    <s v="China"/>
    <s v="SYSTEUR"/>
    <s v="FTE"/>
    <s v="Phil Jenkins"/>
    <s v="Phil"/>
  </r>
  <r>
    <s v="PDTEAM133"/>
    <s v="Tiger Xiao"/>
    <s v="Nexha NPI"/>
    <s v="Phil"/>
    <s v=""/>
    <s v="N/A"/>
    <s v="NPI"/>
    <s v="CONCEPT"/>
    <s v="Key components &amp; Electronics"/>
    <s v="US-Trans"/>
    <s v="PD"/>
    <s v="IL1"/>
    <n v="1"/>
    <x v="112"/>
    <s v="China"/>
    <s v="SYSTEUR"/>
    <s v="FTE"/>
    <s v="Sam Zhao"/>
    <s v="Phil"/>
  </r>
  <r>
    <s v="MR_L&amp;A"/>
    <s v="N/A"/>
    <s v="MISC. ENTRY TO BALANCE WITH RESOURCE DATABASE"/>
    <s v="All"/>
    <s v=""/>
    <s v="N/A"/>
    <s v="L&amp;A"/>
    <s v="L&amp;A"/>
    <s v="L&amp;A"/>
    <s v="MR"/>
    <s v="PD"/>
    <s v="IL0"/>
    <n v="0.5"/>
    <x v="113"/>
    <s v="India"/>
    <s v="SYSTEUR"/>
    <s v="FTE"/>
    <s v="Phil Jenkins"/>
    <s v="Phil"/>
  </r>
  <r>
    <s v="CT/AMI_L&amp;A"/>
    <s v="N/A"/>
    <s v="MISC. ENTRY TO BALANCE WITH RESOURCE DATABASE"/>
    <s v="All"/>
    <s v=""/>
    <s v="N/A"/>
    <s v="L&amp;A"/>
    <s v="L&amp;A"/>
    <s v="L&amp;A"/>
    <s v="CT/AMI"/>
    <s v="PD"/>
    <s v="IL0"/>
    <n v="0.5"/>
    <x v="113"/>
    <s v="India"/>
    <s v="SYSTEUR"/>
    <s v="FTE"/>
    <s v="Phil Jenkins"/>
    <s v="Phil"/>
  </r>
  <r>
    <s v="39033"/>
    <s v="Sushruth Rudrachary"/>
    <s v="Sunstone - Sunon Fan (new plant qualification) Zhuhai"/>
    <s v="Tim"/>
    <s v=""/>
    <s v="PROCUREMENT"/>
    <s v="PRODUCTIVITY"/>
    <s v="SOURCING"/>
    <s v="Mechanical Parts &amp; Assemblies"/>
    <s v="GB"/>
    <s v="PH"/>
    <s v="IL3"/>
    <n v="0.2"/>
    <x v="114"/>
    <s v="India"/>
    <s v="SYSTEUR"/>
    <s v="FTE"/>
    <s v="Sushruth Rudrachary"/>
    <s v="Tim"/>
  </r>
  <r>
    <s v="40662"/>
    <s v="Sushruth Rudrachary"/>
    <s v="Sunstone Trigger Button and attachment PCBA Dual Source"/>
    <s v="Tim"/>
    <s v=""/>
    <s v="PROCUREMENT"/>
    <s v="PRODUCTIVITY"/>
    <s v="SOURCING"/>
    <s v="Key components &amp; Electronics"/>
    <s v="GB"/>
    <s v="PH"/>
    <s v="IL3"/>
    <n v="0.2"/>
    <x v="114"/>
    <s v="India"/>
    <s v="SYSTEUR"/>
    <s v="FTE"/>
    <s v="Sushruth Rudrachary"/>
    <s v="Tim"/>
  </r>
  <r>
    <s v="33877"/>
    <s v="Sushruth Rudrachary"/>
    <s v="Sunstone - Trigger Coil 2nd source"/>
    <s v="Tim"/>
    <s v=""/>
    <s v="PROCUREMENT"/>
    <s v="PRODUCTIVITY"/>
    <s v="SOURCING"/>
    <s v="Personal Health"/>
    <s v="GB"/>
    <s v="PH"/>
    <s v="IL3"/>
    <n v="0.2"/>
    <x v="114"/>
    <s v="India"/>
    <s v="SYSTEUR"/>
    <s v="FTE"/>
    <s v="Sushruth Rudrachary"/>
    <s v="Tim"/>
  </r>
  <r>
    <s v="RfS 265564"/>
    <s v="Sushruth Rudrachary"/>
    <s v="Modified Emerald Body attachment Plastic tube design and tooling (Zhuhai site only)"/>
    <s v="Tim"/>
    <s v=""/>
    <s v="N/A"/>
    <s v="CONQ"/>
    <s v="CONQ"/>
    <s v="Mechanical Parts &amp; Assemblies"/>
    <s v="GB"/>
    <s v="PH"/>
    <s v="IL3"/>
    <n v="0.1"/>
    <x v="114"/>
    <s v="India"/>
    <s v="SYSTEUR"/>
    <s v="FTE"/>
    <s v="Sushruth Rudrachary"/>
    <s v="Tim"/>
  </r>
  <r>
    <s v="33874"/>
    <s v="Sushruth Rudrachary"/>
    <s v="Sunstone - Fan 2nd source"/>
    <s v="Tim"/>
    <s v=""/>
    <s v="PROCUREMENT"/>
    <s v="PRODUCTIVITY"/>
    <s v="SOURCING"/>
    <s v="Personal Health"/>
    <s v="GB"/>
    <s v="PH"/>
    <s v="IL3"/>
    <n v="0.1"/>
    <x v="114"/>
    <s v="India"/>
    <s v="SYSTEUR"/>
    <s v="FTE"/>
    <s v="Sushruth Rudrachary"/>
    <s v="Tim"/>
  </r>
  <r>
    <s v="GB_L&amp;A"/>
    <s v="N/A"/>
    <s v="MISC. ENTRY TO BALANCE WITH RESOURCE DATABASE"/>
    <s v="All"/>
    <s v=""/>
    <s v="N/A"/>
    <s v="L&amp;A"/>
    <s v="L&amp;A"/>
    <s v="L&amp;A"/>
    <s v="GB"/>
    <s v="PH"/>
    <s v="IL0"/>
    <n v="0.2"/>
    <x v="114"/>
    <s v="India"/>
    <s v="SYSTEUR"/>
    <s v="FTE"/>
    <s v="Sushruth Rudrachary"/>
    <s v="Tim"/>
  </r>
  <r>
    <s v="PDTEAM405"/>
    <s v="Kiran MR"/>
    <s v="Factory Pune Process Validation Remediation"/>
    <s v="Phil"/>
    <s v=""/>
    <s v="N/A"/>
    <s v="LCM"/>
    <s v="SOURCING"/>
    <s v="Mechanical Parts &amp; Assemblies"/>
    <s v="IGT-S"/>
    <s v="IGT"/>
    <s v="IL2"/>
    <n v="1"/>
    <x v="115"/>
    <s v="India"/>
    <s v="SYSTEUR"/>
    <s v="FTE"/>
    <s v="Kiran MR"/>
    <s v="Phil"/>
  </r>
  <r>
    <s v="Infinity"/>
    <s v="Sushruth Rudrachary"/>
    <s v="Project Infinity"/>
    <s v="Tim"/>
    <s v=""/>
    <s v="N/A"/>
    <s v="NPI"/>
    <s v="CONCEPT"/>
    <s v="Personal Health"/>
    <s v="GB"/>
    <s v="PH"/>
    <s v="IL2"/>
    <n v="1"/>
    <x v="116"/>
    <s v="India"/>
    <s v="SYSTEUR"/>
    <s v="Contingent"/>
    <s v="Adarsh Shrivastava"/>
    <s v="Bokelman"/>
  </r>
  <r>
    <s v="PDTEAM515"/>
    <s v="Avinash Gosavi "/>
    <s v="STET MR C&amp;C Project Support Electrical "/>
    <s v="Phil"/>
    <s v=""/>
    <s v="N/A"/>
    <s v="LCM"/>
    <s v="CONCEPT"/>
    <s v="Key components &amp; Electronics"/>
    <s v="MR"/>
    <s v="PD"/>
    <s v="IL2"/>
    <n v="1"/>
    <x v="117"/>
    <s v="India"/>
    <s v="SYSTEUR"/>
    <s v="Contingent"/>
    <s v="Avinash Gosavi"/>
    <s v="Phil"/>
  </r>
  <r>
    <s v="RfS 275680"/>
    <s v="Suraj Ramchandani"/>
    <s v="#1 Bottle brand claim removal &amp; Glass call out enhancement"/>
    <s v="Tim"/>
    <s v=""/>
    <s v="N/A"/>
    <s v="LCM"/>
    <s v="CONCEPT"/>
    <s v="Personal Health"/>
    <s v="MCC"/>
    <s v="PH"/>
    <s v="IL5"/>
    <n v="0.1"/>
    <x v="118"/>
    <s v="India"/>
    <s v="SYSTEUR"/>
    <s v="FTE"/>
    <s v="Tim Bokelman"/>
    <s v="Tim"/>
  </r>
  <r>
    <s v="RfS 275480"/>
    <s v="Suraj Ramchandani"/>
    <s v="RM2025: Starter Set Growth Regions"/>
    <s v="Tim"/>
    <s v=""/>
    <s v="IGM"/>
    <s v="Commercial Innovation"/>
    <s v="Commercial Innovation"/>
    <s v="Personal Health"/>
    <s v="MCC"/>
    <s v="PH"/>
    <s v="IL5"/>
    <n v="0.1"/>
    <x v="118"/>
    <s v="India"/>
    <s v="SYSTEUR"/>
    <s v="FTE"/>
    <s v="Tim Bokelman"/>
    <s v="Tim"/>
  </r>
  <r>
    <s v="RfS 277324"/>
    <s v="Suraj Ramchandani"/>
    <s v="Alternate Source for Packaging materials"/>
    <s v="Tim"/>
    <s v=""/>
    <s v="N/A"/>
    <s v="LCM"/>
    <s v="SOURCING"/>
    <s v="Personal Health"/>
    <s v="MCC"/>
    <s v="PH"/>
    <s v="IL2"/>
    <n v="0.1"/>
    <x v="118"/>
    <s v="India"/>
    <s v="SYSTEUR"/>
    <s v="FTE"/>
    <s v="Tim Bokelman"/>
    <s v="Tim"/>
  </r>
  <r>
    <s v="RfS 278055"/>
    <s v="Suraj Ramchandani"/>
    <s v="Update Sealing disks in NAM giftsets with Providence KM"/>
    <s v="Tim"/>
    <s v=""/>
    <s v="N/A"/>
    <s v="LCM"/>
    <s v="SOURCING"/>
    <s v="Personal Health"/>
    <s v="MCC"/>
    <s v="PH"/>
    <s v="IL3"/>
    <n v="0.2"/>
    <x v="118"/>
    <s v="India"/>
    <s v="SYSTEUR"/>
    <s v="FTE"/>
    <s v="Tim Bokelman"/>
    <s v="Tim"/>
  </r>
  <r>
    <s v="RfS 278076"/>
    <s v="Suraj Ramchandani"/>
    <s v="RM 2026: Natural Response Mix &amp; Match Teat Pack - Greater China Roll-out"/>
    <s v="Tim"/>
    <s v=""/>
    <s v="IGM"/>
    <s v="Commercial Innovation"/>
    <s v="Commercial Innovation"/>
    <s v="Personal Health"/>
    <s v="MCC"/>
    <s v="PH"/>
    <s v="IL2"/>
    <n v="0.1"/>
    <x v="118"/>
    <s v="India"/>
    <s v="SYSTEUR"/>
    <s v="FTE"/>
    <s v="Tim Bokelman"/>
    <s v="Tim"/>
  </r>
  <r>
    <s v="RfS 278021"/>
    <s v="Suraj Ramchandani"/>
    <s v="RM 2026: AFV Deco Bottle - WEU"/>
    <s v="Tim"/>
    <s v=""/>
    <s v="IGM"/>
    <s v="Commercial Innovation"/>
    <s v="Commercial Innovation"/>
    <s v="Personal Health"/>
    <s v="MCC"/>
    <s v="PH"/>
    <s v="IL2"/>
    <n v="0.1"/>
    <x v="118"/>
    <s v="India"/>
    <s v="SYSTEUR"/>
    <s v="FTE"/>
    <s v="Tim Bokelman"/>
    <s v="Tim"/>
  </r>
  <r>
    <s v="RfS 278171"/>
    <s v="Suraj Ramchandani"/>
    <s v="2oz Bottle Packaging structure Updates - NAR"/>
    <s v="Tim"/>
    <s v=""/>
    <s v="IGM"/>
    <s v="Commercial Innovation"/>
    <s v="Commercial Innovation"/>
    <s v="Personal Health"/>
    <s v="MCC"/>
    <s v="PH"/>
    <s v="IL5"/>
    <n v="0.1"/>
    <x v="118"/>
    <s v="India"/>
    <s v="SYSTEUR"/>
    <s v="FTE"/>
    <s v="Tim Bokelman"/>
    <s v="Tim"/>
  </r>
  <r>
    <s v="RfS 278148"/>
    <s v="Suraj Ramchandani"/>
    <s v="Remediation by factory stickering accessories for REGMEMs Spain, Italy, and France"/>
    <s v="Tim"/>
    <s v=""/>
    <s v="N/A"/>
    <s v="LCM"/>
    <s v="CONCEPT"/>
    <s v="Personal Health"/>
    <s v="MCC"/>
    <s v="PH"/>
    <s v="IL5"/>
    <n v="0.1"/>
    <x v="118"/>
    <s v="India"/>
    <s v="SYSTEUR"/>
    <s v="FTE"/>
    <s v="Tim Bokelman"/>
    <s v="Tim"/>
  </r>
  <r>
    <s v="RfS 278048"/>
    <s v="Suraj Ramchandani"/>
    <s v="RM 2026: SCD838/04 extension India"/>
    <s v="Tim"/>
    <s v=""/>
    <s v="IGM"/>
    <s v="Commercial Innovation"/>
    <s v="Commercial Innovation"/>
    <s v="Personal Health"/>
    <s v="MCC"/>
    <s v="PH"/>
    <s v="IL2"/>
    <n v="0.1"/>
    <x v="118"/>
    <s v="India"/>
    <s v="SYSTEUR"/>
    <s v="FTE"/>
    <s v="Tim Bokelman"/>
    <s v="Tim"/>
  </r>
  <r>
    <s v="OHC_LCM_1"/>
    <s v="Saurabh Agarwal"/>
    <s v="LCM Activities"/>
    <s v="Tim"/>
    <s v=""/>
    <s v="N/A"/>
    <s v="LCM"/>
    <s v="CONCEPT"/>
    <s v="Personal Health"/>
    <s v="OHC"/>
    <s v="PH"/>
    <s v="IL3"/>
    <n v="1"/>
    <x v="119"/>
    <s v="India"/>
    <s v="SYSTEUR"/>
    <s v="Contingent"/>
    <s v="Amol Balkawade"/>
    <s v="Bokelman"/>
  </r>
  <r>
    <s v="PDTEAM535"/>
    <s v="Gourav Parab"/>
    <s v="Hamburg LCM"/>
    <s v="Phil"/>
    <s v=""/>
    <s v="N/A"/>
    <s v="LCM"/>
    <s v="SOURCING"/>
    <s v="Key components &amp; Electronics"/>
    <s v="IC"/>
    <s v="PD"/>
    <s v="IL2"/>
    <n v="1"/>
    <x v="120"/>
    <s v="India"/>
    <s v="SYSTEUR"/>
    <s v="FTE"/>
    <s v="Gourav Krishna Parab"/>
    <s v="Phil"/>
  </r>
  <r>
    <s v="PDTEAM560"/>
    <s v="Damodar Sarnobat"/>
    <s v="STET CT/AMI-  LCM FRU Resolutions"/>
    <s v="Phil"/>
    <s v=""/>
    <s v="N/A"/>
    <s v="LCM"/>
    <s v="TCO"/>
    <s v="Key components &amp; Electronics"/>
    <s v="CT/AMI"/>
    <s v="PD"/>
    <s v="IL2"/>
    <n v="0.6"/>
    <x v="121"/>
    <s v="India"/>
    <s v="SYSTEUR"/>
    <s v="FTE"/>
    <s v="Subhankar Das"/>
    <s v="Phil"/>
  </r>
  <r>
    <s v="CT/AMI_Training-1"/>
    <s v="NA"/>
    <s v="Trainings"/>
    <s v="All"/>
    <s v=""/>
    <s v="Trainings"/>
    <s v="Trainings"/>
    <s v="Trainings"/>
    <s v="Trainings"/>
    <s v="CT/AMI"/>
    <s v="PD"/>
    <s v="IL0"/>
    <n v="0.2"/>
    <x v="121"/>
    <s v="India"/>
    <s v="SYSTEUR"/>
    <s v="FTE"/>
    <s v="Subhankar Das"/>
    <s v="Phil"/>
  </r>
  <r>
    <s v="PDTEAM535"/>
    <s v="Gourav Parab"/>
    <s v="Hamburg LCM"/>
    <s v="Phil"/>
    <s v=""/>
    <s v="N/A"/>
    <s v="LCM"/>
    <s v="SOURCING"/>
    <s v="Key components &amp; Electronics"/>
    <s v="IC"/>
    <s v="PD"/>
    <s v="IL2"/>
    <n v="0.4"/>
    <x v="122"/>
    <s v="India"/>
    <s v="SYSTEUR"/>
    <s v="FTE"/>
    <s v="Gourav Krishna Parab"/>
    <s v="Phil"/>
  </r>
  <r>
    <s v="PDTEAM527"/>
    <s v="Gourav Parab"/>
    <s v="STET IC - RSL"/>
    <s v="Phil"/>
    <s v=""/>
    <s v="N/A"/>
    <s v="LCM"/>
    <s v="SOURCING"/>
    <s v="Key components &amp; Electronics"/>
    <s v="IC"/>
    <s v="PD"/>
    <s v="IL2"/>
    <n v="0.3"/>
    <x v="122"/>
    <s v="India"/>
    <s v="SYSTEUR"/>
    <s v="FTE"/>
    <s v="Gourav Krishna Parab"/>
    <s v="Phil"/>
  </r>
  <r>
    <s v="PDTEAM551"/>
    <s v="Gourav Parab"/>
    <s v="Certerey IPS 4512-108-19305"/>
    <s v="Phil"/>
    <s v=""/>
    <s v="N/A"/>
    <s v="LCM"/>
    <s v="NON_12NC"/>
    <s v="Key components &amp; Electronics"/>
    <s v="IC"/>
    <s v="PD"/>
    <s v="IL2"/>
    <n v="0.3"/>
    <x v="122"/>
    <s v="India"/>
    <s v="SYSTEUR"/>
    <s v="FTE"/>
    <s v="Gourav Krishna Parab"/>
    <s v="Phil"/>
  </r>
  <r>
    <s v="Saffron"/>
    <s v="Sushruth Rudrachary"/>
    <s v="Project Saffron"/>
    <s v="Tim"/>
    <s v=""/>
    <s v="N/A"/>
    <s v="NPI"/>
    <s v="CONCEPT"/>
    <s v="Personal Health"/>
    <s v="GB"/>
    <s v="PH"/>
    <s v="IL3"/>
    <n v="1"/>
    <x v="123"/>
    <s v="India"/>
    <s v="SYSTEUR"/>
    <s v="Contingent"/>
    <s v="Adarsh Shrivastava"/>
    <s v="Bokelman"/>
  </r>
  <r>
    <s v="HPM_Sustaining_Monitoring_09122205"/>
    <s v="Jidhish Sidharthan_x000a_"/>
    <s v="HPM Sustaining Projects support - Monitoring"/>
    <s v="Nishant"/>
    <s v=""/>
    <s v="N/A"/>
    <s v="LCM"/>
    <s v="SOURCING"/>
    <s v="All"/>
    <s v="HPM"/>
    <s v="CC"/>
    <s v="IL3"/>
    <n v="1"/>
    <x v="124"/>
    <s v="India"/>
    <s v="SYSTEUR"/>
    <s v="FTE"/>
    <s v="Manoj Verma"/>
    <s v="Nishant"/>
  </r>
  <r>
    <s v="28153"/>
    <s v="Vijayanand Purushothaman"/>
    <s v="Monitor CS for 1 Monitor (Eth) Cost out version"/>
    <s v="Phil"/>
    <s v=""/>
    <s v="PROCUREMENT"/>
    <s v="PRODUCTIVITY"/>
    <s v="SOURCING"/>
    <s v="Mechanical Parts &amp; Assemblies"/>
    <s v="DXR"/>
    <s v="PD"/>
    <s v="IL3"/>
    <n v="1"/>
    <x v="125"/>
    <s v="India"/>
    <s v="SYSTEUR"/>
    <s v="FTE"/>
    <s v="M.V.D Srinivas"/>
    <s v="Phil"/>
  </r>
  <r>
    <s v="OHC_LCM_1"/>
    <s v="Saurabh Agarwal"/>
    <s v="LCM Activities"/>
    <s v="Tim"/>
    <s v=""/>
    <s v="N/A"/>
    <s v="LCM"/>
    <s v="CONCEPT"/>
    <s v="Personal Health"/>
    <s v="OHC"/>
    <s v="PH"/>
    <s v="IL3"/>
    <n v="1"/>
    <x v="126"/>
    <s v="India"/>
    <s v="SYSTEUR"/>
    <s v="Contingent"/>
    <s v="Amol Balkawade"/>
    <s v="Bokelman"/>
  </r>
  <r>
    <s v="CR116508"/>
    <s v="Saurabh Agrawal"/>
    <s v="Cairo non-charging &amp; Charging travel case for the Cairo 1 &amp; 2 propositions"/>
    <s v="Tim"/>
    <s v=""/>
    <s v="N/A"/>
    <s v="LCM"/>
    <s v="SOURCING"/>
    <s v="Mechanical Parts &amp; Assemblies"/>
    <s v="OHC"/>
    <s v="PH"/>
    <s v="IL5"/>
    <n v="0.1"/>
    <x v="127"/>
    <s v="India"/>
    <s v="SYSTEUR"/>
    <s v="FTE"/>
    <s v="Saurabh Agrawal"/>
    <s v="Tim"/>
  </r>
  <r>
    <s v="23596"/>
    <s v="Saurabh Agrawal"/>
    <s v="Zoom Lamp -- Shift supplier of PCBA from MSD to Preferred"/>
    <s v="Tim"/>
    <s v=""/>
    <s v="PROCUREMENT"/>
    <s v="PRODUCTIVITY"/>
    <s v="SOURCING"/>
    <s v="Key components &amp; Electronics"/>
    <s v="OHC"/>
    <s v="PH"/>
    <s v="IL3"/>
    <n v="0.1"/>
    <x v="127"/>
    <s v="India"/>
    <s v="SYSTEUR"/>
    <s v="FTE"/>
    <s v="Saurabh Agrawal"/>
    <s v="Tim"/>
  </r>
  <r>
    <s v="CR203988-2"/>
    <s v="Saurabh Agrawal"/>
    <s v="2.5W USA-A AC Adapter Development (Vietnam)"/>
    <s v="Tim"/>
    <s v=""/>
    <s v="N/A"/>
    <s v="LCM"/>
    <s v="CONCEPT"/>
    <s v="Personal Health"/>
    <s v="OHC"/>
    <s v="PH"/>
    <s v="IL3"/>
    <n v="0.1"/>
    <x v="127"/>
    <s v="India"/>
    <s v="SYSTEUR"/>
    <s v="FTE"/>
    <s v="Saurabh Agrawal"/>
    <s v="Tim"/>
  </r>
  <r>
    <s v="39641"/>
    <s v="Saurabh Agrawal"/>
    <s v="Marvel: Cairo Connected E-Components Optimization"/>
    <s v="Tim"/>
    <s v=""/>
    <s v="PROCUREMENT"/>
    <s v="PRODUCTIVITY"/>
    <s v="SOURCING"/>
    <s v="Personal Health"/>
    <s v="OHC"/>
    <s v="PH"/>
    <s v="IL3"/>
    <n v="0.3"/>
    <x v="127"/>
    <s v="India"/>
    <s v="SYSTEUR"/>
    <s v="FTE"/>
    <s v="Saurabh Agrawal"/>
    <s v="Tim"/>
  </r>
  <r>
    <s v="41025"/>
    <s v="Saurabh Agrawal"/>
    <s v="Cairo EU / EE assy sourcing savings"/>
    <s v="Tim"/>
    <s v=""/>
    <s v="PROCUREMENT"/>
    <s v="PRODUCTIVITY"/>
    <s v="SOURCING"/>
    <s v="Key components &amp; Electronics"/>
    <s v="OHC"/>
    <s v="PH"/>
    <s v="IL5"/>
    <n v="0.3"/>
    <x v="127"/>
    <s v="India"/>
    <s v="SYSTEUR"/>
    <s v="FTE"/>
    <s v="Saurabh Agrawal"/>
    <s v="Tim"/>
  </r>
  <r>
    <s v="42069"/>
    <s v="Charles Moses"/>
    <s v="Ultrasound FRU direct buy project(was supported by Bothell) for SPS due to Samba transfer"/>
    <s v="Nishant"/>
    <s v=""/>
    <s v="PROCUREMENT"/>
    <s v="PRODUCTIVITY"/>
    <s v="SOURCING"/>
    <s v="Repair Centers &amp; Service Parts"/>
    <s v="US"/>
    <s v="PD"/>
    <s v="IL3"/>
    <n v="1"/>
    <x v="128"/>
    <s v="India"/>
    <s v="SYSTEUR"/>
    <s v="FTE"/>
    <s v="Nishant Nair"/>
    <s v="Nishant"/>
  </r>
  <r>
    <s v="36779"/>
    <s v="Ailin"/>
    <s v="AG700 to GA31D - MR 5300 &amp; Ambition S"/>
    <s v="Phil"/>
    <s v=""/>
    <s v="PROCUREMENT"/>
    <s v="PRODUCTIVITY"/>
    <s v="CONCEPT"/>
    <s v="Mechanical Parts &amp; Assemblies"/>
    <s v="MR"/>
    <s v="PD"/>
    <s v="IL2"/>
    <n v="0.5"/>
    <x v="129"/>
    <s v="China"/>
    <s v="SYSTEUR"/>
    <s v="FTE"/>
    <s v="Thomas Liu"/>
    <s v="Phil"/>
  </r>
  <r>
    <s v="34037"/>
    <s v="Fred Cai"/>
    <s v="Billy-Gradient Amp 1.6MVA"/>
    <s v="Phil"/>
    <s v=""/>
    <s v="PROCUREMENT"/>
    <s v="PRODUCTIVITY"/>
    <s v="CONCEPT"/>
    <s v="Key components &amp; Electronics"/>
    <s v="MR"/>
    <s v="PD"/>
    <s v="IL3"/>
    <n v="0.5"/>
    <x v="129"/>
    <s v="China"/>
    <s v="SYSTEUR"/>
    <s v="FTE"/>
    <s v="Thomas Liu"/>
    <s v="Phil"/>
  </r>
  <r>
    <s v="39056"/>
    <s v="Fred Cai"/>
    <s v="Localize cabinet and cables of DACC (1.5T&amp; 3T)"/>
    <s v="Phil"/>
    <s v=""/>
    <s v="PROCUREMENT"/>
    <s v="PRODUCTIVITY"/>
    <s v="SOURCING"/>
    <s v="Mechanical Parts &amp; Assemblies"/>
    <s v="MR"/>
    <s v="PD"/>
    <s v="IL2"/>
    <n v="1"/>
    <x v="130"/>
    <s v="China"/>
    <s v="SYSTEUR"/>
    <s v="FTE"/>
    <s v="Sam Zhao"/>
    <s v="Phil"/>
  </r>
  <r>
    <s v="37900"/>
    <s v="JJ Chen"/>
    <s v="BD- L-arc China supply base (unit price reduction)"/>
    <s v="Phil"/>
    <s v=""/>
    <s v="PROCUREMENT"/>
    <s v="PRODUCTIVITY"/>
    <s v="SOURCING"/>
    <s v="Mechanical Parts &amp; Assemblies"/>
    <s v="IGT-S"/>
    <s v="IGT"/>
    <s v="IL2"/>
    <n v="1"/>
    <x v="131"/>
    <s v="China"/>
    <s v="SYSTEUR"/>
    <s v="FTE"/>
    <s v="Sam Zhao"/>
    <s v="Phil"/>
  </r>
  <r>
    <s v="33510"/>
    <s v="Siddarth Shetty"/>
    <s v="Arctronics De-risking to SFO for Breast coils family"/>
    <s v="Phil"/>
    <s v=""/>
    <s v="PROCUREMENT"/>
    <s v="PRODUCTIVITY"/>
    <s v="SOURCING"/>
    <s v="Key components &amp; Electronics"/>
    <s v="MR"/>
    <s v="PD"/>
    <s v="IL3"/>
    <n v="0.8"/>
    <x v="132"/>
    <s v="India"/>
    <s v="SYSTEUR"/>
    <s v="FTE"/>
    <s v="Avinash Gosavi"/>
    <s v="Phil"/>
  </r>
  <r>
    <s v="PDTEAM625"/>
    <s v="Damodar Sarnobat"/>
    <s v="STET MR COILS SICR QUALITY IMPROVEMENT "/>
    <s v="Phil"/>
    <s v=""/>
    <s v="N/A"/>
    <s v="LCM"/>
    <s v="TCO"/>
    <s v="Mechanical Parts &amp; Assemblies"/>
    <s v="MR"/>
    <s v="PD"/>
    <s v="IL2"/>
    <n v="0.2"/>
    <x v="132"/>
    <s v="India"/>
    <s v="SYSTEUR"/>
    <s v="FTE"/>
    <s v="Avinash Gosavi"/>
    <s v="Phil"/>
  </r>
  <r>
    <s v="PDTEAM427"/>
    <s v="MVD Srinivas"/>
    <s v="STET DXR System LCM"/>
    <s v="Phil"/>
    <s v=""/>
    <s v="N/A"/>
    <s v="LCM"/>
    <s v="SOURCING"/>
    <s v="Key components &amp; Electronics"/>
    <s v="DXR"/>
    <s v="PD"/>
    <s v="IL2"/>
    <n v="1"/>
    <x v="133"/>
    <s v="India"/>
    <s v="SYSTEUR"/>
    <s v="FTE"/>
    <s v="M.V.D Srinivas"/>
    <s v="Phil"/>
  </r>
  <r>
    <s v="39686"/>
    <s v="Fred Cai "/>
    <s v="WDH 2.0/AN8150-4 to Next-Gen LDMOS RFA In-House - 1.5T"/>
    <s v="Phil"/>
    <s v=""/>
    <s v="N/A"/>
    <s v="PRODUCTIVITY"/>
    <s v="CONCEPT"/>
    <s v="Medical ODM Markets"/>
    <s v="MR"/>
    <s v="PD"/>
    <s v="IL1"/>
    <n v="0.5"/>
    <x v="134"/>
    <s v="China"/>
    <s v="SYSTEUR"/>
    <s v="FTE"/>
    <s v="Thomas Liu"/>
    <s v="Phil"/>
  </r>
  <r>
    <s v="33765"/>
    <s v="Fred Cai"/>
    <s v="STET Qin Ling DFX: High integrated circulator design"/>
    <s v="Phil"/>
    <s v=""/>
    <s v="PROCUREMENT"/>
    <s v="PRODUCTIVITY"/>
    <s v="CONCEPT"/>
    <s v="Mechanical Parts &amp; Assemblies"/>
    <s v="MR"/>
    <s v="PD"/>
    <s v="IL2"/>
    <n v="0.3"/>
    <x v="134"/>
    <s v="China"/>
    <s v="SYSTEUR"/>
    <s v="FTE"/>
    <s v="Thomas Liu"/>
    <s v="Phil"/>
  </r>
  <r>
    <s v="39701"/>
    <s v="Fred Cai"/>
    <s v="AN8137/AR300-1 to Next-Gen LDMOS RFA In-House - 3.0T"/>
    <s v="Phil"/>
    <s v=""/>
    <s v="N/A"/>
    <s v="PRODUCTIVITY"/>
    <s v="CONCEPT"/>
    <s v="Medical ODM Markets"/>
    <s v="MR"/>
    <s v="PD"/>
    <s v="IL1"/>
    <n v="0.2"/>
    <x v="134"/>
    <s v="China"/>
    <s v="SYSTEUR"/>
    <s v="FTE"/>
    <s v="Thomas Liu"/>
    <s v="Phil"/>
  </r>
  <r>
    <s v="26321"/>
    <s v="Fred Cai"/>
    <s v="Transfer of Composites &amp; Fibres"/>
    <s v="Phil"/>
    <s v=""/>
    <s v="PROCUREMENT"/>
    <s v="PRODUCTIVITY"/>
    <s v="SOURCING"/>
    <s v="Mechanical Parts &amp; Assemblies"/>
    <s v="IGT-S"/>
    <s v="IGT"/>
    <s v="IL2"/>
    <n v="0.6"/>
    <x v="135"/>
    <s v="China"/>
    <s v="SYSTEUR"/>
    <s v="FTE"/>
    <s v="James Pan"/>
    <s v="Phil"/>
  </r>
  <r>
    <s v="40654"/>
    <s v="Fred Cai "/>
    <s v="BD III Kollmorgen motors manufacturing localization from Brno to Tianjin"/>
    <s v="Phil"/>
    <s v=""/>
    <s v="PROCUREMENT"/>
    <s v="PRODUCTIVITY"/>
    <s v="SOURCING"/>
    <s v="Mechanical Parts &amp; Assemblies"/>
    <s v="IGT-S"/>
    <s v="IGT"/>
    <s v="IL2"/>
    <n v="0.1"/>
    <x v="135"/>
    <s v="China"/>
    <s v="SYSTEUR"/>
    <s v="FTE"/>
    <s v="James Pan"/>
    <s v="Phil"/>
  </r>
  <r>
    <s v="37900"/>
    <s v="JJ Chen"/>
    <s v="BD- L-arc China supply base (unit price reduction)"/>
    <s v="Phil"/>
    <s v=""/>
    <s v="PROCUREMENT"/>
    <s v="PRODUCTIVITY"/>
    <s v="SOURCING"/>
    <s v="Mechanical Parts &amp; Assemblies"/>
    <s v="IGT-S"/>
    <s v="IGT"/>
    <s v="IL2"/>
    <n v="0.3"/>
    <x v="135"/>
    <s v="China"/>
    <s v="SYSTEUR"/>
    <s v="FTE"/>
    <s v="James Pan"/>
    <s v="Phil"/>
  </r>
  <r>
    <s v="42069"/>
    <s v="Charles Moses"/>
    <s v="Ultrasound FRU direct buy project(was supported by Bothell) for SPS due to Samba transfer"/>
    <s v="Nishant"/>
    <s v=""/>
    <s v="PROCUREMENT"/>
    <s v="PRODUCTIVITY"/>
    <s v="SOURCING"/>
    <s v="Repair Centers &amp; Service Parts"/>
    <s v="US"/>
    <s v="PD"/>
    <s v="IL3"/>
    <n v="0.8"/>
    <x v="136"/>
    <s v="China"/>
    <s v="SYSTEUR"/>
    <s v="FTE"/>
    <s v="James Pan"/>
    <s v="Phil"/>
  </r>
  <r>
    <s v="PDTEAM538"/>
    <s v="Krishnaraj Kalghatgi"/>
    <s v="CT/AMI TCO projects- 2025"/>
    <s v="Phil"/>
    <s v=""/>
    <s v="TCO"/>
    <s v="PRODUCTIVITY"/>
    <s v="TCO"/>
    <s v="Key components &amp; Electronics"/>
    <s v="CT/AMI"/>
    <s v="PD"/>
    <s v="IL2"/>
    <n v="0.2"/>
    <x v="136"/>
    <s v="China"/>
    <s v="SYSTEUR"/>
    <s v="FTE"/>
    <s v="James Pan"/>
    <s v="Phil"/>
  </r>
  <r>
    <s v="MR_L&amp;A"/>
    <s v="N/A"/>
    <s v="MISC. ENTRY TO BALANCE WITH RESOURCE DATABASE"/>
    <s v="All"/>
    <s v=""/>
    <s v="N/A"/>
    <s v="L&amp;A"/>
    <s v="L&amp;A"/>
    <s v="L&amp;A"/>
    <s v="MR"/>
    <s v="PD"/>
    <s v="IL0"/>
    <n v="0.2"/>
    <x v="137"/>
    <s v="China"/>
    <s v="SYSTEUR"/>
    <s v="FTE"/>
    <s v="Phil Jenkins"/>
    <s v="Phil"/>
  </r>
  <r>
    <s v="CT/AMI_L&amp;A"/>
    <s v="N/A"/>
    <s v="MISC. ENTRY TO BALANCE WITH RESOURCE DATABASE"/>
    <s v="All"/>
    <s v=""/>
    <s v="N/A"/>
    <s v="L&amp;A"/>
    <s v="L&amp;A"/>
    <s v="L&amp;A"/>
    <s v="CT/AMI"/>
    <s v="PD"/>
    <s v="IL0"/>
    <n v="0.1"/>
    <x v="137"/>
    <s v="China"/>
    <s v="SYSTEUR"/>
    <s v="FTE"/>
    <s v="Phil Jenkins"/>
    <s v="Phil"/>
  </r>
  <r>
    <s v="IGT-S_L&amp;A"/>
    <s v="N/A"/>
    <s v="MISC. ENTRY TO BALANCE WITH RESOURCE DATABASE"/>
    <s v="All"/>
    <s v=""/>
    <s v="N/A"/>
    <s v="L&amp;A"/>
    <s v="L&amp;A"/>
    <s v="L&amp;A"/>
    <s v="IGT-S"/>
    <s v="IGT"/>
    <s v="IL0"/>
    <n v="0.2"/>
    <x v="137"/>
    <s v="China"/>
    <s v="SYSTEUR"/>
    <s v="FTE"/>
    <s v="Phil Jenkins"/>
    <s v="Phil"/>
  </r>
  <r>
    <s v="39122"/>
    <s v="Fred Cai "/>
    <s v="Incisive/Kylin cover 2nd source "/>
    <s v="Phil"/>
    <s v=""/>
    <s v="PROCUREMENT"/>
    <s v="PRODUCTIVITY"/>
    <s v="SOURCING"/>
    <s v="Mechanical Parts &amp; Assemblies"/>
    <s v="CT/AMI"/>
    <s v="PD"/>
    <s v="IL2"/>
    <n v="0.3"/>
    <x v="137"/>
    <s v="China"/>
    <s v="SYSTEUR"/>
    <s v="FTE"/>
    <s v="Phil Jenkins"/>
    <s v="Phil"/>
  </r>
  <r>
    <s v="37957"/>
    <s v="Fred Cai "/>
    <s v="Incisive gantry/couch linear actuator 2 source"/>
    <s v="Phil"/>
    <s v=""/>
    <s v="PROCUREMENT"/>
    <s v="PRODUCTIVITY"/>
    <s v="SOURCING"/>
    <s v="Mechanical Parts &amp; Assemblies"/>
    <s v="CT/AMI"/>
    <s v="PD"/>
    <s v="IL2"/>
    <n v="0.2"/>
    <x v="137"/>
    <s v="China"/>
    <s v="SYSTEUR"/>
    <s v="FTE"/>
    <s v="Phil Jenkins"/>
    <s v="Phil"/>
  </r>
  <r>
    <s v="M-24046"/>
    <s v="Sushruth Rudrachary"/>
    <s v="For all Kratos SKUs that we are launching in China, covercard removal is not possible as that would cause damage to the shaver. Therefore, we need to create empty covercards with no artworks."/>
    <s v="Tim"/>
    <s v=""/>
    <s v="N/A"/>
    <s v="LCM"/>
    <s v="CONCEPT"/>
    <s v="Mechanical Parts &amp; Assemblies"/>
    <s v="GB"/>
    <s v="PH"/>
    <s v="IL4"/>
    <n v="0.05"/>
    <x v="138"/>
    <s v="China"/>
    <s v="SYSTEUR"/>
    <s v="FTE"/>
    <s v="James Pan"/>
    <s v="Phil"/>
  </r>
  <r>
    <s v="38521"/>
    <s v="Sushruth Rudrachary"/>
    <s v="Batam DFX_MG 2023: S33XX On/Off current supplied by DTN 1) 422203311530 - O/O BUTTON Hera S3000 Laq H&amp;S Matt, Cost USD1.74"/>
    <s v="Tim"/>
    <s v=""/>
    <s v="PROCUREMENT"/>
    <s v="PRODUCTIVITY"/>
    <s v="CONCEPT"/>
    <s v="Mechanical Parts &amp; Assemblies"/>
    <s v="GB"/>
    <s v="PH"/>
    <s v="IL5"/>
    <n v="0.05"/>
    <x v="138"/>
    <s v="China"/>
    <s v="SYSTEUR"/>
    <s v="FTE"/>
    <s v="James Pan"/>
    <s v="Phil"/>
  </r>
  <r>
    <s v="M-26016"/>
    <s v="Sushruth Rudrachary"/>
    <s v="AMB 554-26011 -Warranty text update for US and Canada"/>
    <s v="Tim"/>
    <s v=""/>
    <s v="N/A"/>
    <s v="LCM"/>
    <s v="SOURCING"/>
    <s v="Mechanical Parts &amp; Assemblies"/>
    <s v="GB"/>
    <s v="PH"/>
    <s v="IL3"/>
    <n v="0.05"/>
    <x v="138"/>
    <s v="China"/>
    <s v="SYSTEUR"/>
    <s v="FTE"/>
    <s v="James Pan"/>
    <s v="Phil"/>
  </r>
  <r>
    <s v="M-25004"/>
    <s v="Sushruth Rudrachary"/>
    <s v="AMB 554-24065 France Italy Spain and Portugal  F-box language requirements update"/>
    <s v="Tim"/>
    <s v=""/>
    <s v="N/A"/>
    <s v="LCM"/>
    <s v="CONCEPT"/>
    <s v="Personal Health"/>
    <s v="GB"/>
    <s v="PH"/>
    <s v="IL5"/>
    <n v="0.05"/>
    <x v="138"/>
    <s v="China"/>
    <s v="SYSTEUR"/>
    <s v="FTE"/>
    <s v="James Pan"/>
    <s v="Phil"/>
  </r>
  <r>
    <s v="M-26011"/>
    <s v="Sushruth Rudrachary_x000a_"/>
    <s v="Launch OTG HE S79106 to Singapore and Thailand"/>
    <s v="Tim"/>
    <s v=""/>
    <s v="IGM"/>
    <s v="Commercial Innovation"/>
    <s v="Commercial Innovation"/>
    <s v="Personal Health"/>
    <s v="GB"/>
    <s v="PH"/>
    <s v="IL3"/>
    <n v="0.05"/>
    <x v="138"/>
    <s v="China"/>
    <s v="SYSTEUR"/>
    <s v="FTE"/>
    <s v="James Pan"/>
    <s v="Phil"/>
  </r>
  <r>
    <s v="M-26010"/>
    <s v="Sushruth Rudrachary_x000a_"/>
    <s v="OTG ME Cost down new lacquering change"/>
    <s v="Tim"/>
    <s v=""/>
    <s v="PROCUREMENT"/>
    <s v="PRODUCTIVITY"/>
    <s v="SOURCING"/>
    <s v="Mechanical Parts &amp; Assemblies"/>
    <s v="GB"/>
    <s v="PH"/>
    <s v="IL2"/>
    <n v="0.05"/>
    <x v="138"/>
    <s v="China"/>
    <s v="SYSTEUR"/>
    <s v="FTE"/>
    <s v="James Pan"/>
    <s v="Phil"/>
  </r>
  <r>
    <s v="M-26009"/>
    <s v="Sushruth Rudrachary_x000a_"/>
    <s v="OTG ME Cost down new PCBA design"/>
    <s v="Tim"/>
    <s v=""/>
    <s v="PROCUREMENT"/>
    <s v="PRODUCTIVITY"/>
    <s v="SOURCING"/>
    <s v="Key components &amp; Electronics"/>
    <s v="GB"/>
    <s v="PH"/>
    <s v="IL2"/>
    <n v="0.05"/>
    <x v="138"/>
    <s v="China"/>
    <s v="SYSTEUR"/>
    <s v="FTE"/>
    <s v="James Pan"/>
    <s v="Phil"/>
  </r>
  <r>
    <s v="M-26007"/>
    <s v="Sushruth Rudrachary_x000a_"/>
    <s v="Launch OTG HE to US Costco"/>
    <s v="Tim"/>
    <s v=""/>
    <s v="IGM"/>
    <s v="Commercial Innovation"/>
    <s v="Commercial Innovation"/>
    <s v="Personal Health"/>
    <s v="GB"/>
    <s v="PH"/>
    <s v="IL2"/>
    <n v="0.05"/>
    <x v="138"/>
    <s v="China"/>
    <s v="SYSTEUR"/>
    <s v="FTE"/>
    <s v="James Pan"/>
    <s v="Phil"/>
  </r>
  <r>
    <s v="M-25110"/>
    <s v="Sushruth Rudrachary"/>
    <s v="Transfer of Shaver Parts 2nd process from Topxin to Topview"/>
    <s v="Tim"/>
    <s v=""/>
    <s v="N/A"/>
    <s v="LCM"/>
    <s v="SOURCING"/>
    <s v="Mechanical Parts &amp; Assemblies"/>
    <s v="GB"/>
    <s v="PH"/>
    <s v="IL3"/>
    <n v="0.05"/>
    <x v="138"/>
    <s v="China"/>
    <s v="SYSTEUR"/>
    <s v="FTE"/>
    <s v="James Pan"/>
    <s v="Phil"/>
  </r>
  <r>
    <s v="M-25067"/>
    <s v="Sushruth Rudrachary"/>
    <s v="Kratos F-box Insert change to brown testliner"/>
    <s v="Tim"/>
    <s v=""/>
    <s v="N/A"/>
    <s v="LCM"/>
    <s v="SOURCING"/>
    <s v="Mechanical Parts &amp; Assemblies"/>
    <s v="GB"/>
    <s v="PH"/>
    <s v="IL4"/>
    <n v="0.05"/>
    <x v="138"/>
    <s v="China"/>
    <s v="SYSTEUR"/>
    <s v="FTE"/>
    <s v="James Pan"/>
    <s v="Phil"/>
  </r>
  <r>
    <s v="M-25055"/>
    <s v="Sushruth Rudrachary"/>
    <s v="Kratos PCBA manual to Automation"/>
    <s v="Tim"/>
    <s v=""/>
    <s v="PROCUREMENT"/>
    <s v="PRODUCTIVITY"/>
    <s v="SOURCING"/>
    <s v="Key components &amp; Electronics"/>
    <s v="GB"/>
    <s v="PH"/>
    <s v="IL5"/>
    <n v="0.05"/>
    <x v="138"/>
    <s v="China"/>
    <s v="SYSTEUR"/>
    <s v="FTE"/>
    <s v="James Pan"/>
    <s v="Phil"/>
  </r>
  <r>
    <s v="M-25041"/>
    <s v="Sushruth Rudrachary"/>
    <s v="M-25041 RFS Kratos Latam phase out v1"/>
    <s v="Tim"/>
    <s v=""/>
    <s v="N/A"/>
    <s v="LCM"/>
    <s v="CONCEPT"/>
    <s v="Personal Health"/>
    <s v="GB"/>
    <s v="PH"/>
    <s v="IL5"/>
    <n v="0.05"/>
    <x v="138"/>
    <s v="China"/>
    <s v="SYSTEUR"/>
    <s v="FTE"/>
    <s v="James Pan"/>
    <s v="Phil"/>
  </r>
  <r>
    <s v="M-25070"/>
    <s v="Sushruth Rudrachary"/>
    <s v="Kratos Latam phase out July25"/>
    <s v="Tim"/>
    <s v=""/>
    <s v="N/A"/>
    <s v="LCM"/>
    <s v="CONCEPT"/>
    <s v="Personal Health"/>
    <s v="GB"/>
    <s v="PH"/>
    <s v="IL5"/>
    <n v="0.05"/>
    <x v="138"/>
    <s v="China"/>
    <s v="SYSTEUR"/>
    <s v="FTE"/>
    <s v="James Pan"/>
    <s v="Phil"/>
  </r>
  <r>
    <s v="M-25056"/>
    <s v="Sushruth Rudrachary"/>
    <s v="Better Reskin PCBA transfer"/>
    <s v="Tim"/>
    <s v=""/>
    <s v="N/A"/>
    <s v="LCM"/>
    <s v="SOURCING"/>
    <s v="Key components &amp; Electronics"/>
    <s v="GB"/>
    <s v="PH"/>
    <s v="IL5"/>
    <n v="0.05"/>
    <x v="138"/>
    <s v="China"/>
    <s v="SYSTEUR"/>
    <s v="FTE"/>
    <s v="James Pan"/>
    <s v="Phil"/>
  </r>
  <r>
    <s v="M-25076"/>
    <s v="Sushruth Rudrachary"/>
    <s v="Merge Kratos HK SKU to KR"/>
    <s v="Tim"/>
    <s v=""/>
    <s v="N/A"/>
    <s v="LCM"/>
    <s v="CONCEPT"/>
    <s v="Personal Health"/>
    <s v="GB"/>
    <s v="PH"/>
    <s v="IL4"/>
    <n v="0.05"/>
    <x v="138"/>
    <s v="China"/>
    <s v="SYSTEUR"/>
    <s v="FTE"/>
    <s v="James Pan"/>
    <s v="Phil"/>
  </r>
  <r>
    <s v="M-25106"/>
    <s v="Sushruth Rudrachary_x000a_"/>
    <s v="RFS Relocate Kratos late packaging to BTM"/>
    <s v="Tim"/>
    <s v=""/>
    <s v="N/A"/>
    <s v="LCM"/>
    <s v="SOURCING"/>
    <s v="Personal Health"/>
    <s v="GB"/>
    <s v="PH"/>
    <s v="IL5"/>
    <n v="0.2"/>
    <x v="138"/>
    <s v="China"/>
    <s v="SYSTEUR"/>
    <s v="FTE"/>
    <s v="James Pan"/>
    <s v="Phil"/>
  </r>
  <r>
    <s v="M-25093"/>
    <s v="Sushruth Rudrachary"/>
    <s v="Add PCB 2nd sources for HT"/>
    <s v="Tim"/>
    <s v=""/>
    <s v="N/A"/>
    <s v="LCM"/>
    <s v="CONCEPT"/>
    <s v="Personal Health"/>
    <s v="GB"/>
    <s v="PH"/>
    <s v="IL3"/>
    <n v="0.05"/>
    <x v="138"/>
    <s v="China"/>
    <s v="SYSTEUR"/>
    <s v="FTE"/>
    <s v="James Pan"/>
    <s v="Phil"/>
  </r>
  <r>
    <s v="M-25100"/>
    <s v="Sushruth Rudrachary_x000a_"/>
    <s v="Launch Kratos S3244/12 to Korea"/>
    <s v="Tim"/>
    <s v=""/>
    <s v="N/A"/>
    <s v="LCM"/>
    <s v="SOURCING"/>
    <s v="Personal Health"/>
    <s v="GB"/>
    <s v="PH"/>
    <s v="IL5"/>
    <n v="0.05"/>
    <x v="138"/>
    <s v="China"/>
    <s v="SYSTEUR"/>
    <s v="FTE"/>
    <s v="James Pan"/>
    <s v="Phil"/>
  </r>
  <r>
    <s v="M-26002"/>
    <s v="Sushruth Rudrachary_x000a_"/>
    <s v="S1151 ANZ phase out"/>
    <s v="Tim"/>
    <s v=""/>
    <s v="N/A"/>
    <s v="LCM"/>
    <s v="SOURCING"/>
    <s v="Personal Health"/>
    <s v="GB"/>
    <s v="PH"/>
    <s v="IL3"/>
    <n v="0.05"/>
    <x v="138"/>
    <s v="China"/>
    <s v="SYSTEUR"/>
    <s v="FTE"/>
    <s v="James Pan"/>
    <s v="Phil"/>
  </r>
  <r>
    <s v="M-25109"/>
    <s v="Sushruth Rudrachary_x000a_"/>
    <s v="RFS Kratos Brazil phase out v2"/>
    <s v="Tim"/>
    <s v=""/>
    <s v="N/A"/>
    <s v="LCM"/>
    <s v="SOURCING"/>
    <s v="Personal Health"/>
    <s v="GB"/>
    <s v="PH"/>
    <s v="IL3"/>
    <n v="0.05"/>
    <x v="138"/>
    <s v="China"/>
    <s v="SYSTEUR"/>
    <s v="FTE"/>
    <s v="James Pan"/>
    <s v="Phil"/>
  </r>
  <r>
    <s v="PDTEAM548"/>
    <s v="Kiran MR"/>
    <s v="Factory Pune Process Validation Remediation - RF Coils "/>
    <s v="Phil"/>
    <s v=""/>
    <s v="N/A"/>
    <s v="LCM"/>
    <s v="NON_12NC"/>
    <s v="Mechanical Parts &amp; Assemblies"/>
    <s v="MR"/>
    <s v="PD"/>
    <s v="IL2"/>
    <n v="1"/>
    <x v="139"/>
    <s v="India"/>
    <s v="SYSTEUR"/>
    <s v="Contingent"/>
    <s v="Kiran MR"/>
    <s v="Phil"/>
  </r>
  <r>
    <s v="38924"/>
    <s v="Steven Mroch"/>
    <s v="S&amp;RC SOC 5L inorganic"/>
    <s v="Nishant"/>
    <s v=""/>
    <s v="PROCUREMENT"/>
    <s v="PRODUCTIVITY"/>
    <s v="CONCEPT"/>
    <s v="Mechanical Parts &amp; Assemblies"/>
    <s v="SRC"/>
    <s v="CC"/>
    <s v="IL5"/>
    <n v="0.4"/>
    <x v="140"/>
    <s v="India"/>
    <s v="SYSTEUR"/>
    <s v="FTE"/>
    <s v="Steven Mroch"/>
    <s v="Nishant"/>
  </r>
  <r>
    <s v="SRC_Funnel Activities"/>
    <s v="NA"/>
    <s v="Funnel/Business case/Technical feasibility"/>
    <s v="All"/>
    <s v=""/>
    <s v="Funnel Activities"/>
    <s v="Funnel Activities"/>
    <s v="Funnel Activities"/>
    <s v="Funnel Activities"/>
    <s v="SRC"/>
    <s v="CC"/>
    <s v="IL0"/>
    <n v="0.3"/>
    <x v="140"/>
    <s v="India"/>
    <s v="SYSTEUR"/>
    <s v="FTE"/>
    <s v="Steven Mroch"/>
    <s v="Nishant"/>
  </r>
  <r>
    <s v="US-Trans_Funnel Activities"/>
    <s v="NA"/>
    <s v="Funnel/Business case/Technical feasibility"/>
    <s v="All"/>
    <s v=""/>
    <s v="Funnel Activities"/>
    <s v="Funnel Activities"/>
    <s v="Funnel Activities"/>
    <s v="Funnel Activities"/>
    <s v="US-Trans"/>
    <s v="PD"/>
    <s v="IL0"/>
    <n v="0.3"/>
    <x v="140"/>
    <s v="India"/>
    <s v="SYSTEUR"/>
    <s v="FTE"/>
    <s v="Steven Mroch"/>
    <s v="Nishant"/>
  </r>
  <r>
    <s v="02MOSLCMSICR"/>
    <s v="Ponkshe, Mihir"/>
    <s v="LCM SICR in IGT-MOS"/>
    <s v="Raj"/>
    <s v=""/>
    <s v="N/A"/>
    <s v="AOS"/>
    <s v="SOURCING"/>
    <s v="Key components &amp; Electronics"/>
    <s v="IGT-MoS"/>
    <s v="IGT"/>
    <s v="IL3"/>
    <n v="1"/>
    <x v="141"/>
    <s v="India"/>
    <s v="SYSTEUR"/>
    <s v="Contingent"/>
    <s v="Manish Sharma"/>
    <s v="Raj"/>
  </r>
  <r>
    <s v="DCR#20540"/>
    <s v="Steve_x000a_"/>
    <s v="Shelf-Life Determination and update of engineering documents of Labels - SG"/>
    <s v="Nishant"/>
    <s v=""/>
    <s v="N/A"/>
    <s v="LCM"/>
    <s v="TCO"/>
    <s v="Mechanical Parts &amp; Assemblies"/>
    <s v="SRC"/>
    <s v="CC"/>
    <s v="IL3"/>
    <n v="0.1"/>
    <x v="142"/>
    <s v="India"/>
    <s v="SYSTEUR"/>
    <s v="FTE"/>
    <s v="Krishna Prasad K"/>
    <m/>
  </r>
  <r>
    <s v="DCR#20567"/>
    <s v="Steve_x000a_"/>
    <s v="Shelf-Life Determination and update of engineering documents of Labels - A Series"/>
    <s v="Nishant"/>
    <s v=""/>
    <s v="N/A"/>
    <s v="LCM"/>
    <s v="TCO"/>
    <s v="Mechanical Parts &amp; Assemblies"/>
    <s v="SRC"/>
    <s v="CC"/>
    <s v="IL3"/>
    <n v="0.4"/>
    <x v="142"/>
    <s v="India"/>
    <s v="SYSTEUR"/>
    <s v="FTE"/>
    <s v="Krishna Prasad K"/>
    <m/>
  </r>
  <r>
    <s v="DCR#20581"/>
    <s v="Steve_x000a_"/>
    <s v="Shelf-Life Determination and update of engineering documents of Labels - M10"/>
    <s v="Nishant"/>
    <s v=""/>
    <s v="N/A"/>
    <s v="LCM"/>
    <s v="TCO"/>
    <s v="Mechanical Parts &amp; Assemblies"/>
    <s v="SRC"/>
    <s v="CC"/>
    <s v="IL3"/>
    <n v="0.2"/>
    <x v="142"/>
    <s v="India"/>
    <s v="SYSTEUR"/>
    <s v="FTE"/>
    <s v="Krishna Prasad K"/>
    <m/>
  </r>
  <r>
    <s v="DCR#20560"/>
    <s v="Steve_x000a_"/>
    <s v="Shelf-Life Determination and update of engineering documents of Labels - EverFlo"/>
    <s v="Nishant"/>
    <s v=""/>
    <s v="N/A"/>
    <s v="LCM"/>
    <s v="TCO"/>
    <s v="Mechanical Parts &amp; Assemblies"/>
    <s v="SRC"/>
    <s v="CC"/>
    <s v="IL3"/>
    <n v="0.2"/>
    <x v="142"/>
    <s v="India"/>
    <s v="SYSTEUR"/>
    <s v="FTE"/>
    <s v="Krishna Prasad K"/>
    <m/>
  </r>
  <r>
    <s v="DCR#14934"/>
    <s v="Steve_x000a_"/>
    <s v="Remove CE mark for Everflo accessories"/>
    <s v="Nishant"/>
    <s v=""/>
    <s v="TCO"/>
    <s v="AOS"/>
    <s v="TCO"/>
    <s v="Mechanical Parts &amp; Assemblies"/>
    <s v="SRC"/>
    <s v="CC"/>
    <s v="IL5"/>
    <n v="0.1"/>
    <x v="142"/>
    <s v="India"/>
    <s v="SYSTEUR"/>
    <s v="FTE"/>
    <s v="Krishna Prasad K"/>
    <m/>
  </r>
  <r>
    <s v="IGTS Data Sustainability"/>
    <s v="Saravanakumar Palani"/>
    <s v="IGTS Data Sustainability Project (CSRD)"/>
    <s v="Raj"/>
    <s v=""/>
    <s v="N/A"/>
    <s v="LCM"/>
    <s v="SOURCING"/>
    <s v="Mechanical Parts &amp; Assemblies"/>
    <s v="IGT-S"/>
    <s v="IGT"/>
    <s v="IL3"/>
    <n v="0.5"/>
    <x v="143"/>
    <s v="India"/>
    <s v="SYSTEUR"/>
    <s v="FTE"/>
    <s v="Makarand Dharmadhikari"/>
    <s v="Raj"/>
  </r>
  <r>
    <s v="ART-BEST"/>
    <s v="Vijayanand Purushothaman"/>
    <s v="LCM Support for Best"/>
    <s v="Raj"/>
    <s v=""/>
    <s v="N/A"/>
    <s v="LCM"/>
    <s v="SOURCING"/>
    <s v="Mechanical Parts &amp; Assemblies"/>
    <s v="IGT-S"/>
    <s v="IGT"/>
    <s v="IL3"/>
    <n v="0.5"/>
    <x v="143"/>
    <s v="India"/>
    <s v="SYSTEUR"/>
    <s v="FTE"/>
    <s v="Makarand Dharmadhikari"/>
    <s v="Raj"/>
  </r>
  <r>
    <s v="PDTEAM523"/>
    <s v="MVD Srinivas"/>
    <s v="PCBA - Proactive Obsolescence of DC-axis Controller"/>
    <s v="Phil"/>
    <s v=""/>
    <s v="N/A"/>
    <s v="LCM"/>
    <s v="SOURCING"/>
    <s v="Key components &amp; Electronics"/>
    <s v="DXR"/>
    <s v="PD"/>
    <s v="IL2"/>
    <n v="1"/>
    <x v="144"/>
    <s v="India"/>
    <s v="SYSTEUR"/>
    <s v="FTE"/>
    <s v="Bhushan Barve"/>
    <s v="Phil"/>
  </r>
  <r>
    <s v="PDTEAM613"/>
    <s v="Damodar Sarnobat"/>
    <s v="STET MR LCE MECHANICAL"/>
    <s v="Phil"/>
    <s v=""/>
    <s v="N/A"/>
    <s v="LCM"/>
    <s v="TCO"/>
    <s v="Mechanical Parts &amp; Assemblies"/>
    <s v="MR"/>
    <s v="PD"/>
    <s v="IL2"/>
    <n v="1"/>
    <x v="145"/>
    <s v="India"/>
    <s v="SYSTEUR"/>
    <s v="FTE"/>
    <s v="Avinash Gosavi"/>
    <s v="Phil"/>
  </r>
  <r>
    <s v="09MOSBUDEDICATED"/>
    <s v="Ponkshe, Mihir"/>
    <s v="IGT MOS BU dedicated projects support"/>
    <s v="Raj"/>
    <s v=""/>
    <s v="N/A"/>
    <s v="LCM"/>
    <s v="SOURCING"/>
    <s v="Key components &amp; Electronics"/>
    <s v="IGT-MoS"/>
    <s v="IGT"/>
    <s v="IL3"/>
    <n v="1"/>
    <x v="146"/>
    <s v="India"/>
    <s v="SYSTEUR"/>
    <s v="Contingent"/>
    <s v="Mihir Ponkshe"/>
    <s v="Raj"/>
  </r>
  <r>
    <s v="PDTEAM560"/>
    <s v="Damodar Sarnobat"/>
    <s v="STET CT/AMI-  LCM FRU Resolutions"/>
    <s v="Phil"/>
    <s v=""/>
    <s v="N/A"/>
    <s v="LCM"/>
    <s v="TCO"/>
    <s v="Key components &amp; Electronics"/>
    <s v="CT/AMI"/>
    <s v="PD"/>
    <s v="IL2"/>
    <n v="1"/>
    <x v="147"/>
    <s v="India"/>
    <s v="SYSTEUR"/>
    <s v="FTE"/>
    <s v="Subhankar Das"/>
    <s v="Phil"/>
  </r>
  <r>
    <s v="HPM_Displays"/>
    <s v="Geert Lievens"/>
    <s v="HPM Display Projects"/>
    <s v="Nishant"/>
    <s v=""/>
    <s v="N/A"/>
    <s v="LCM"/>
    <s v="SOURCING"/>
    <s v="Medical ODM Markets"/>
    <s v="HPM"/>
    <s v="CC"/>
    <s v="IL2"/>
    <n v="0.5"/>
    <x v="148"/>
    <s v="USA"/>
    <s v="SYSTEUR"/>
    <s v="FTE"/>
    <s v="Nishant Nair"/>
    <s v="Nishant"/>
  </r>
  <r>
    <s v="US_Displays"/>
    <s v="Geert Lievens"/>
    <s v="US Display Projects"/>
    <s v="Nishant"/>
    <s v=""/>
    <s v="N/A"/>
    <s v="LCM"/>
    <s v="SOURCING"/>
    <s v="Medical ODM Markets"/>
    <s v="US"/>
    <s v="PD"/>
    <s v="IL2"/>
    <n v="0.5"/>
    <x v="148"/>
    <s v="USA"/>
    <s v="SYSTEUR"/>
    <s v="FTE"/>
    <s v="Nishant Nair"/>
    <s v="Nishant"/>
  </r>
  <r>
    <s v="34037"/>
    <s v="Fred Cai"/>
    <s v="Billy-Gradient Amp 1.6MVA"/>
    <s v="Phil"/>
    <s v=""/>
    <s v="PROCUREMENT"/>
    <s v="PRODUCTIVITY"/>
    <s v="CONCEPT"/>
    <s v="Key components &amp; Electronics"/>
    <s v="MR"/>
    <s v="PD"/>
    <s v="IL3"/>
    <n v="1"/>
    <x v="149"/>
    <s v="China"/>
    <s v="SYSTEUR"/>
    <s v="FTE"/>
    <s v="Sam Zhao"/>
    <s v="Phil"/>
  </r>
  <r>
    <s v="09MOSBUDEDICATED"/>
    <s v="Ponkshe, Mihir"/>
    <s v="IGT MOS BU dedicated projects support"/>
    <s v="Raj"/>
    <s v=""/>
    <s v="N/A"/>
    <s v="LCM"/>
    <s v="SOURCING"/>
    <s v="Key components &amp; Electronics"/>
    <s v="IGT-MoS"/>
    <s v="IGT"/>
    <s v="IL3"/>
    <n v="0.6"/>
    <x v="150"/>
    <s v="India"/>
    <s v="SYSTEUR"/>
    <s v="FTE"/>
    <s v="Vijayanand Purushothaman"/>
    <s v="Raj"/>
  </r>
  <r>
    <s v="35702"/>
    <s v="Pushkar Kulkarni"/>
    <s v="STET : Transfer of C-ARC Geometry from VDL to Raychem"/>
    <s v="Raj"/>
    <s v=""/>
    <s v="PROCUREMENT"/>
    <s v="PRODUCTIVITY"/>
    <s v="SOURCING"/>
    <s v="Mechanical Parts &amp; Assemblies"/>
    <s v="IGT-MoS"/>
    <s v="IGT"/>
    <s v="IL3"/>
    <n v="0.25"/>
    <x v="150"/>
    <s v="India"/>
    <s v="SYSTEUR"/>
    <s v="FTE"/>
    <s v="Vijayanand Purushothaman"/>
    <s v="Raj"/>
  </r>
  <r>
    <s v="39863"/>
    <s v="Girish Kulkarni"/>
    <s v="VDL ETG C-arc transfer from Netherlands to Suzhou"/>
    <s v="Raj"/>
    <s v=""/>
    <s v="PROCUREMENT"/>
    <s v="PRODUCTIVITY"/>
    <s v="SOURCING"/>
    <s v="Mechanical Parts &amp; Assemblies"/>
    <s v="IGT-MoS"/>
    <s v="IGT"/>
    <s v="IL3"/>
    <n v="0.25"/>
    <x v="150"/>
    <s v="India"/>
    <s v="SYSTEUR"/>
    <s v="FTE"/>
    <s v="Vijayanand Purushothaman"/>
    <s v="Raj"/>
  </r>
  <r>
    <s v="LCMGBSupport"/>
    <s v="Sushruth Rudrachary"/>
    <s v="LCM shaving and grooming general support"/>
    <s v="Tim"/>
    <s v=""/>
    <s v="N/A"/>
    <s v="LCM"/>
    <s v="CONCEPT"/>
    <s v="Personal Health"/>
    <s v="GB"/>
    <s v="PH"/>
    <s v="IL2"/>
    <n v="1"/>
    <x v="151"/>
    <s v="India"/>
    <s v="SYSTEUR"/>
    <s v="Contingent"/>
    <s v="Adarsh Shrivastava"/>
    <s v="Bokelman"/>
  </r>
  <r>
    <s v="PDTEAM531"/>
    <s v="Krishnaraj Kalghatgi"/>
    <s v="STET CT AMI - V&amp;V"/>
    <s v="Phil"/>
    <s v=""/>
    <s v="N/A"/>
    <s v="LCM"/>
    <s v="SOURCING"/>
    <s v="Key components &amp; Electronics"/>
    <s v="CT/AMI"/>
    <s v="PD"/>
    <s v="IL2"/>
    <n v="1"/>
    <x v="152"/>
    <s v="India"/>
    <s v="SYSTEUR"/>
    <s v="Contingent"/>
    <s v="Subhankar Das"/>
    <s v="Phil"/>
  </r>
  <r>
    <s v="PDTEAM526"/>
    <s v="Gourav Parab"/>
    <s v="STET IC - Pangu"/>
    <s v="Phil"/>
    <s v=""/>
    <s v="N/A"/>
    <s v="LCM"/>
    <s v="SOURCING"/>
    <s v="Key components &amp; Electronics"/>
    <s v="IC"/>
    <s v="PD"/>
    <s v="IL2"/>
    <n v="0.2"/>
    <x v="153"/>
    <s v="India"/>
    <s v="SYSTEUR"/>
    <s v="FTE"/>
    <s v="Subhankar Das"/>
    <s v="Phil"/>
  </r>
  <r>
    <s v="CT/AMI_L&amp;A"/>
    <s v="N/A"/>
    <s v="MISC. ENTRY TO BALANCE WITH RESOURCE DATABASE"/>
    <s v="All"/>
    <s v=""/>
    <s v="N/A"/>
    <s v="L&amp;A"/>
    <s v="L&amp;A"/>
    <s v="L&amp;A"/>
    <s v="CT/AMI"/>
    <s v="PD"/>
    <s v="IL0"/>
    <n v="0.1"/>
    <x v="153"/>
    <s v="India"/>
    <s v="SYSTEUR"/>
    <s v="FTE"/>
    <s v="Subhankar Das"/>
    <s v="Phil"/>
  </r>
  <r>
    <s v="PDTEAM535"/>
    <s v="Gourav Parab"/>
    <s v="Hamburg LCM"/>
    <s v="Phil"/>
    <s v=""/>
    <s v="N/A"/>
    <s v="LCM"/>
    <s v="SOURCING"/>
    <s v="Key components &amp; Electronics"/>
    <s v="IC"/>
    <s v="PD"/>
    <s v="IL2"/>
    <n v="0.1"/>
    <x v="153"/>
    <s v="India"/>
    <s v="SYSTEUR"/>
    <s v="FTE"/>
    <s v="Subhankar Das"/>
    <s v="Phil"/>
  </r>
  <r>
    <s v="PDTEAM411"/>
    <s v="Gourav Parab"/>
    <s v="STET Lab management"/>
    <s v="Phil"/>
    <s v=""/>
    <s v="N/A"/>
    <s v="LCM"/>
    <s v="SOURCING"/>
    <s v="Key components &amp; Electronics"/>
    <s v="MR"/>
    <s v="PD"/>
    <s v="IL2"/>
    <n v="0.2"/>
    <x v="153"/>
    <s v="India"/>
    <s v="SYSTEUR"/>
    <s v="FTE"/>
    <s v="Subhankar Das"/>
    <s v="Phil"/>
  </r>
  <r>
    <s v="PDTEAM527"/>
    <s v="Gourav Parab"/>
    <s v="STET IC - RSL"/>
    <s v="Phil"/>
    <s v=""/>
    <s v="N/A"/>
    <s v="LCM"/>
    <s v="SOURCING"/>
    <s v="Key components &amp; Electronics"/>
    <s v="IC"/>
    <s v="PD"/>
    <s v="IL2"/>
    <n v="0.3"/>
    <x v="153"/>
    <s v="India"/>
    <s v="SYSTEUR"/>
    <s v="FTE"/>
    <s v="Subhankar Das"/>
    <s v="Phil"/>
  </r>
  <r>
    <s v="CT/AMI_Training-1"/>
    <s v="NA"/>
    <s v="Trainings"/>
    <s v="All"/>
    <s v=""/>
    <s v="Trainings"/>
    <s v="Trainings"/>
    <s v="Trainings"/>
    <s v="Trainings"/>
    <s v="CT/AMI"/>
    <s v="PD"/>
    <s v="IL0"/>
    <n v="0.1"/>
    <x v="153"/>
    <s v="India"/>
    <s v="SYSTEUR"/>
    <s v="FTE"/>
    <s v="Subhankar Das"/>
    <s v="Phil"/>
  </r>
  <r>
    <s v="MR_Long Leave"/>
    <s v="NA"/>
    <s v="Long Medical Leaves/Maternity leave/Sabbatical"/>
    <s v="All"/>
    <s v=""/>
    <s v="Long Leave"/>
    <s v="Long Leave"/>
    <s v="Long Leave"/>
    <s v="Long Leave"/>
    <s v="MR"/>
    <s v="PD"/>
    <s v="IL0"/>
    <n v="1"/>
    <x v="154"/>
    <s v="India"/>
    <s v="SYSTEUR"/>
    <s v="FTE"/>
    <s v="Bhushan Barve"/>
    <s v="Phil"/>
  </r>
  <r>
    <s v="PDTEAM314"/>
    <s v="MR Kiran"/>
    <s v="MR -RF Coil-Parts remediation"/>
    <s v="Phil"/>
    <s v=""/>
    <s v="N/A"/>
    <s v="LCM"/>
    <s v="TCO"/>
    <s v="Mechanical Parts &amp; Assemblies"/>
    <s v="MR"/>
    <s v="PD"/>
    <s v="IL2"/>
    <n v="0.7"/>
    <x v="155"/>
    <s v="India"/>
    <s v="SYSTEUR"/>
    <s v="Contingent"/>
    <s v="Kiran MR"/>
    <s v="Phil"/>
  </r>
  <r>
    <s v="34241"/>
    <s v="Pushkar Kulkarni"/>
    <s v="STET_PCI _MoS_2022_2 - FD 17 inch cover localization"/>
    <s v="Raj"/>
    <s v=""/>
    <s v="PROCUREMENT"/>
    <s v="PRODUCTIVITY"/>
    <s v="SOURCING"/>
    <s v="Mechanical Parts &amp; Assemblies"/>
    <s v="IGT-MoS"/>
    <s v="IGT"/>
    <s v="IL2"/>
    <n v="0.2"/>
    <x v="156"/>
    <s v="India"/>
    <s v="SYSTEUR"/>
    <s v="FTE"/>
    <s v="Sanjeev Kumar"/>
    <s v="Tim"/>
  </r>
  <r>
    <s v="39976"/>
    <s v="Mihir Ponkshe_x000a_"/>
    <s v="Localization extension to NPI project Roots"/>
    <s v="Raj"/>
    <s v=""/>
    <s v="PROCUREMENT"/>
    <s v="PRODUCTIVITY"/>
    <s v="SOURCING"/>
    <s v="Mechanical Parts &amp; Assemblies"/>
    <s v="IGT-MoS"/>
    <s v="IGT"/>
    <s v="IL3"/>
    <n v="0.2"/>
    <x v="156"/>
    <s v="India"/>
    <s v="SYSTEUR"/>
    <s v="FTE"/>
    <s v="Sanjeev Kumar"/>
    <s v="Tim"/>
  </r>
  <r>
    <s v="34241"/>
    <s v="Pushkar Kulkarni"/>
    <s v="STET_PCI _MoS_2022_2 - FD 17 inch cover localization"/>
    <s v="Raj"/>
    <s v=""/>
    <s v="PROCUREMENT"/>
    <s v="PRODUCTIVITY"/>
    <s v="SOURCING"/>
    <s v="Mechanical Parts &amp; Assemblies"/>
    <s v="IGT-MoS"/>
    <s v="IGT"/>
    <s v="IL2"/>
    <n v="0.2"/>
    <x v="156"/>
    <s v="India"/>
    <s v="SYSTEUR"/>
    <s v="FTE"/>
    <s v="Sanjeev Kumar"/>
    <s v="Tim"/>
  </r>
  <r>
    <s v="39976"/>
    <s v="Mihir Ponkshe_x000a_"/>
    <s v="Localization extension to NPI project Roots"/>
    <s v="Raj"/>
    <s v=""/>
    <s v="PROCUREMENT"/>
    <s v="PRODUCTIVITY"/>
    <s v="SOURCING"/>
    <s v="Mechanical Parts &amp; Assemblies"/>
    <s v="IGT-MoS"/>
    <s v="IGT"/>
    <s v="IL3"/>
    <n v="0.2"/>
    <x v="156"/>
    <s v="India"/>
    <s v="SYSTEUR"/>
    <s v="FTE"/>
    <s v="Sanjeev Kumar"/>
    <s v="Tim"/>
  </r>
  <r>
    <s v="39270"/>
    <s v="Girish Kulkarni"/>
    <s v="Scan bearing block commonization Z30,70,90"/>
    <s v="Raj"/>
    <s v=""/>
    <s v="PROCUREMENT"/>
    <s v="PRODUCTIVITY"/>
    <s v="CONCEPT"/>
    <s v="Mechanical Parts &amp; Assemblies"/>
    <s v="IGT-MoS"/>
    <s v="IGT"/>
    <s v="IL3"/>
    <n v="0.1"/>
    <x v="156"/>
    <s v="India"/>
    <s v="SYSTEUR"/>
    <s v="FTE"/>
    <s v="Sanjeev Kumar"/>
    <s v="Tim"/>
  </r>
  <r>
    <s v="CR207092"/>
    <s v="Girish Kulkarni"/>
    <s v="Raychem Manufacturing and Assembly location change "/>
    <s v="Raj"/>
    <s v=""/>
    <s v="N/A"/>
    <s v="LCM"/>
    <s v="CONQ"/>
    <s v="Mechanical Parts &amp; Assemblies"/>
    <s v="IGT-MoS"/>
    <s v="IGT"/>
    <s v="IL3"/>
    <n v="0.5"/>
    <x v="156"/>
    <s v="India"/>
    <s v="SYSTEUR"/>
    <s v="FTE"/>
    <s v="Sanjeev Kumar"/>
    <s v="Tim"/>
  </r>
  <r>
    <s v="34037"/>
    <s v="Fred Cai"/>
    <s v="Billy-Gradient Amp 1.6MVA"/>
    <s v="Phil"/>
    <s v=""/>
    <s v="PROCUREMENT"/>
    <s v="PRODUCTIVITY"/>
    <s v="CONCEPT"/>
    <s v="Key components &amp; Electronics"/>
    <s v="MR"/>
    <s v="PD"/>
    <s v="IL3"/>
    <n v="1"/>
    <x v="157"/>
    <s v="China"/>
    <s v="SYSTEUR"/>
    <s v="FTE"/>
    <s v="Thomas Liu"/>
    <s v="Phil"/>
  </r>
  <r>
    <s v="42516"/>
    <s v="Tiger Xiao"/>
    <s v="C10-3v FPC Supplier Transfer"/>
    <s v="Phil"/>
    <s v=""/>
    <s v="PROCUREMENT"/>
    <s v="PRODUCTIVITY"/>
    <s v="SOURCING"/>
    <s v="Key components &amp; Electronics"/>
    <s v="US-Trans"/>
    <s v="PD"/>
    <s v="IL1"/>
    <n v="0.1"/>
    <x v="158"/>
    <s v="China"/>
    <s v="SYSTEUR"/>
    <s v="FTE"/>
    <s v="James Pan"/>
    <s v="Phil"/>
  </r>
  <r>
    <s v="40566"/>
    <s v="Tiger Xiao"/>
    <s v="APEX: Localization C5-1 FPC from Tech-Etch to SUIWA"/>
    <s v="Phil"/>
    <s v=""/>
    <s v="PROCUREMENT"/>
    <s v="PRODUCTIVITY"/>
    <s v="SOURCING"/>
    <s v="Key components &amp; Electronics"/>
    <s v="US-Trans"/>
    <s v="PD"/>
    <s v="IL2"/>
    <n v="0.3"/>
    <x v="158"/>
    <s v="China"/>
    <s v="SYSTEUR"/>
    <s v="FTE"/>
    <s v="James Pan"/>
    <s v="Phil"/>
  </r>
  <r>
    <s v="40685"/>
    <s v="Tiger Xiao"/>
    <s v="L12-5 FPC From Topsun(Tin-Lead) to SUIWA (Tin%)"/>
    <s v="Phil"/>
    <s v=""/>
    <s v="PROCUREMENT"/>
    <s v="AOS"/>
    <s v="SOURCING"/>
    <s v="Key components &amp; Electronics"/>
    <s v="US-Trans"/>
    <s v="PD"/>
    <s v="IL2"/>
    <n v="0.3"/>
    <x v="158"/>
    <s v="China"/>
    <s v="SYSTEUR"/>
    <s v="FTE"/>
    <s v="James Pan"/>
    <s v="Phil"/>
  </r>
  <r>
    <s v="QN_CY2025_31"/>
    <s v="Sanjeev Kumar"/>
    <s v="RFB issues reduction"/>
    <s v="Tim"/>
    <s v=""/>
    <s v="N/A"/>
    <s v="CONQ"/>
    <s v="CONQ"/>
    <s v="Key components &amp; Electronics"/>
    <s v="US"/>
    <s v="PD"/>
    <s v="IL3"/>
    <n v="0.1"/>
    <x v="158"/>
    <s v="China"/>
    <s v="SYSTEUR"/>
    <s v="FTE"/>
    <s v="James Pan"/>
    <s v="Phil"/>
  </r>
  <r>
    <s v="41485"/>
    <s v="Tiger Xiao"/>
    <s v="Transfer S5-1 FPC from Tech Etch to Shennan Circuits (SCC)"/>
    <s v="Phil"/>
    <s v=""/>
    <s v="PROCUREMENT"/>
    <s v="PRODUCTIVITY"/>
    <s v="SOURCING"/>
    <s v="Key components &amp; Electronics"/>
    <s v="US-Trans"/>
    <s v="PD"/>
    <s v="IL2"/>
    <n v="0.2"/>
    <x v="158"/>
    <s v="China"/>
    <s v="SYSTEUR"/>
    <s v="FTE"/>
    <s v="James Pan"/>
    <s v="Phil"/>
  </r>
  <r>
    <s v="37900"/>
    <s v="JJ Chen"/>
    <s v="BD- L-arc China supply base (unit price reduction)"/>
    <s v="Phil"/>
    <s v=""/>
    <s v="PROCUREMENT"/>
    <s v="PRODUCTIVITY"/>
    <s v="SOURCING"/>
    <s v="Mechanical Parts &amp; Assemblies"/>
    <s v="IGT-S"/>
    <s v="IGT"/>
    <s v="IL2"/>
    <n v="1"/>
    <x v="159"/>
    <s v="China"/>
    <s v="SYSTEUR"/>
    <s v="FTE"/>
    <s v="Thomas Liu"/>
    <s v="Phil"/>
  </r>
  <r>
    <s v="PDTEAM614"/>
    <s v="Damodar Sarnobat"/>
    <s v="STET MR LCE ELECTRICAL"/>
    <s v="Phil"/>
    <s v=""/>
    <s v="N/A"/>
    <s v="LCM"/>
    <s v="TCO"/>
    <s v="Key components &amp; Electronics"/>
    <s v="MR"/>
    <s v="PD"/>
    <s v="IL2"/>
    <n v="0.6"/>
    <x v="160"/>
    <s v="India"/>
    <s v="SYSTEUR"/>
    <s v="FTE"/>
    <s v="Amruta Kulkarni"/>
    <s v="Phil"/>
  </r>
  <r>
    <s v="PDTEAM617"/>
    <s v="Damodar Sarnobat"/>
    <s v="STET MR LCE DFS ELECTRICAL"/>
    <s v="Phil"/>
    <s v=""/>
    <s v="N/A"/>
    <s v="LCM"/>
    <s v="TCO"/>
    <s v="Key components &amp; Electronics"/>
    <s v="MR"/>
    <s v="PD"/>
    <s v="IL2"/>
    <n v="0.4"/>
    <x v="160"/>
    <s v="India"/>
    <s v="SYSTEUR"/>
    <s v="FTE"/>
    <s v="Amruta Kulkarni"/>
    <s v="Phil"/>
  </r>
  <r>
    <s v="PDTEAM617"/>
    <s v="Damodar Sarnobat"/>
    <s v="STET MR LCE DFS ELECTRICAL"/>
    <s v="Phil"/>
    <s v=""/>
    <s v="N/A"/>
    <s v="LCM"/>
    <s v="TCO"/>
    <s v="Key components &amp; Electronics"/>
    <s v="MR"/>
    <s v="PD"/>
    <s v="IL2"/>
    <n v="0.4"/>
    <x v="160"/>
    <s v="India"/>
    <s v="SYSTEUR"/>
    <s v="FTE"/>
    <s v="Amruta Kulkarni"/>
    <s v="Phil"/>
  </r>
  <r>
    <s v="26320"/>
    <s v="Fred Cai"/>
    <s v="BD-Sheet metal mono parts and &amp; Installation frame China localization (unit price reduction)"/>
    <s v="Phil"/>
    <s v=""/>
    <s v="PROCUREMENT"/>
    <s v="PRODUCTIVITY"/>
    <s v="SOURCING"/>
    <s v="Mechanical Parts &amp; Assemblies"/>
    <s v="IGT-S"/>
    <s v="IGT"/>
    <s v="IL3"/>
    <n v="1"/>
    <x v="161"/>
    <s v="China"/>
    <s v="SYSTEUR"/>
    <s v="FTE"/>
    <s v="Sam Zhao"/>
    <s v="Phil"/>
  </r>
  <r>
    <s v="34037"/>
    <s v="Fred Cai"/>
    <s v="Billy-Gradient Amp 1.6MVA"/>
    <s v="Phil"/>
    <s v=""/>
    <s v="PROCUREMENT"/>
    <s v="PRODUCTIVITY"/>
    <s v="CONCEPT"/>
    <s v="Key components &amp; Electronics"/>
    <s v="MR"/>
    <s v="PD"/>
    <s v="IL3"/>
    <n v="1"/>
    <x v="162"/>
    <s v="China"/>
    <s v="SYSTEUR"/>
    <s v="FTE"/>
    <s v="Sam Zhao"/>
    <s v="Phil"/>
  </r>
  <r>
    <s v="41086"/>
    <s v="Vijayanand Purushothaman"/>
    <s v="Transfer Midwest parts to LCC"/>
    <s v="Phil"/>
    <s v=""/>
    <s v="PROCUREMENT"/>
    <s v="PRODUCTIVITY"/>
    <s v="SOURCING"/>
    <s v="Mechanical Parts &amp; Assemblies"/>
    <s v="MR"/>
    <s v="PD"/>
    <s v="IL3"/>
    <n v="0.8"/>
    <x v="163"/>
    <s v="India"/>
    <s v="SYSTEUR"/>
    <s v="FTE"/>
    <s v="Phil Jenkins"/>
    <s v="Phil"/>
  </r>
  <r>
    <s v="ART-BEST"/>
    <s v="Vijayanand Purushothaman"/>
    <s v="LCM Support for Best"/>
    <s v="Raj"/>
    <s v=""/>
    <s v="N/A"/>
    <s v="LCM"/>
    <s v="SOURCING"/>
    <s v="Mechanical Parts &amp; Assemblies"/>
    <s v="IGT-S"/>
    <s v="IGT"/>
    <s v="IL3"/>
    <n v="1"/>
    <x v="164"/>
    <s v="India"/>
    <s v="SYSTEUR"/>
    <s v="Contingent"/>
    <s v="Vijayanand"/>
    <s v="Raj"/>
  </r>
  <r>
    <s v="PDTEAM421"/>
    <s v="Srinivas, M.V.D "/>
    <s v="STET DXR HW LCM CQ - Mechanical"/>
    <s v="Phil"/>
    <s v=""/>
    <s v="N/A"/>
    <s v="LCM"/>
    <s v="SOURCING"/>
    <s v="Mechanical Parts &amp; Assemblies"/>
    <s v="DXR"/>
    <s v="PD"/>
    <s v="IL2"/>
    <n v="1"/>
    <x v="165"/>
    <s v="India"/>
    <s v="SYSTEUR"/>
    <s v="Contingent"/>
    <s v="M.V.D Srinivas"/>
    <s v="Phil"/>
  </r>
  <r>
    <s v="CR0111336"/>
    <s v="Charles Moses"/>
    <s v="Adding alternates to AVL to mitigate price increase from Vishay"/>
    <s v="Nishant"/>
    <s v=""/>
    <s v="N/A"/>
    <s v="LCM"/>
    <s v="SOURCING"/>
    <s v="Key components &amp; Electronics"/>
    <s v="US"/>
    <s v="PD"/>
    <s v="IL5"/>
    <n v="1"/>
    <x v="166"/>
    <s v="India"/>
    <s v="SYSTEUR"/>
    <s v="FTE"/>
    <s v="Anand Navalagi"/>
    <s v="Raj"/>
  </r>
  <r>
    <s v="35284"/>
    <s v="Matt Morse"/>
    <s v="Omniwire dual sourcing- Grinding"/>
    <s v="Nishant"/>
    <s v=""/>
    <s v="PROCUREMENT"/>
    <s v="PRODUCTIVITY"/>
    <s v="SOURCING"/>
    <s v="Mechanical Parts &amp; Assemblies"/>
    <s v="IGT-D"/>
    <s v="IGT"/>
    <s v="IL2"/>
    <n v="0.5"/>
    <x v="167"/>
    <s v="India"/>
    <s v="SYSTEUR"/>
    <s v="Contingent"/>
    <s v="Lalit Khairnar"/>
    <s v="Nishant"/>
  </r>
  <r>
    <s v="RTC-GRO20250301620"/>
    <s v="Sushruth Rudrachary"/>
    <s v="Arya US Transfer to Raymond Batam from Raymond China"/>
    <s v="Tim"/>
    <s v=""/>
    <s v="N/A"/>
    <s v="LCM"/>
    <s v="CONCEPT"/>
    <s v="Personal Health"/>
    <s v="GB"/>
    <s v="PH"/>
    <s v="IL5"/>
    <n v="1"/>
    <x v="168"/>
    <s v="India"/>
    <s v="SYSTEUR"/>
    <s v="FTE"/>
    <s v="Kamal Singh"/>
    <s v="Tim"/>
  </r>
  <r>
    <s v="37900"/>
    <s v="JJ Chen"/>
    <s v="BD- L-arc China supply base (unit price reduction)"/>
    <s v="Phil"/>
    <s v=""/>
    <s v="PROCUREMENT"/>
    <s v="PRODUCTIVITY"/>
    <s v="SOURCING"/>
    <s v="Mechanical Parts &amp; Assemblies"/>
    <s v="IGT-S"/>
    <s v="IGT"/>
    <s v="IL2"/>
    <n v="0.8"/>
    <x v="169"/>
    <s v="China"/>
    <s v="SYSTEUR"/>
    <s v="FTE"/>
    <s v="James Pan"/>
    <s v="Phil"/>
  </r>
  <r>
    <s v="41482"/>
    <s v="Tiger Xiao"/>
    <s v="AOS - C9-4V Plastic parts transfer from Xuxin to Tontec"/>
    <s v="Phil"/>
    <s v=""/>
    <s v="PROCUREMENT"/>
    <s v="AOS"/>
    <s v="SOURCING"/>
    <s v="Mechanical Parts &amp; Assemblies"/>
    <s v="US-Trans"/>
    <s v="PD"/>
    <s v="IL2"/>
    <n v="0.2"/>
    <x v="169"/>
    <s v="China"/>
    <s v="SYSTEUR"/>
    <s v="FTE"/>
    <s v="James Pan"/>
    <s v="Phil"/>
  </r>
  <r>
    <s v="PDTEAM434"/>
    <s v="MVD Srinivas"/>
    <s v="STET DXR-LUNA Transfer Project"/>
    <s v="Phil"/>
    <s v=""/>
    <s v="N/A"/>
    <s v="LCM"/>
    <s v="SOURCING"/>
    <s v="Mechanical Parts &amp; Assemblies"/>
    <s v="DXR"/>
    <s v="PD"/>
    <s v="IL2"/>
    <n v="0.9"/>
    <x v="170"/>
    <s v="India"/>
    <s v="SYSTEUR"/>
    <s v="FTE"/>
    <s v="Sanjeev Kumar"/>
    <s v="Tim"/>
  </r>
  <r>
    <s v="35284"/>
    <s v="Matt Morse"/>
    <s v="Omniwire dual sourcing- Grinding"/>
    <s v="Nishant"/>
    <s v=""/>
    <s v="PROCUREMENT"/>
    <s v="PRODUCTIVITY"/>
    <s v="SOURCING"/>
    <s v="Mechanical Parts &amp; Assemblies"/>
    <s v="IGT-D"/>
    <s v="IGT"/>
    <s v="IL2"/>
    <n v="0.1"/>
    <x v="170"/>
    <s v="India"/>
    <s v="SYSTEUR"/>
    <s v="FTE"/>
    <s v="Sanjeev Kumar"/>
    <s v="Tim"/>
  </r>
  <r>
    <s v="01MOSLCMCR"/>
    <s v="Ponkshe, Mihir"/>
    <s v="LCM CR in IGT- MOS"/>
    <s v="Raj"/>
    <s v=""/>
    <s v="N/A"/>
    <s v="AOS"/>
    <s v="SOURCING"/>
    <s v="Key components &amp; Electronics"/>
    <s v="IGT-MoS"/>
    <s v="IGT"/>
    <s v="IL3"/>
    <n v="0.7"/>
    <x v="171"/>
    <s v="India"/>
    <s v="SYSTEUR"/>
    <s v="FTE"/>
    <s v="Manish Sharma"/>
    <s v="Raj"/>
  </r>
  <r>
    <s v="02MOSLCMSICR"/>
    <s v="Ponkshe, Mihir"/>
    <s v="LCM SICR in IGT-MOS"/>
    <s v="Raj"/>
    <s v=""/>
    <s v="N/A"/>
    <s v="AOS"/>
    <s v="SOURCING"/>
    <s v="Key components &amp; Electronics"/>
    <s v="IGT-MoS"/>
    <s v="IGT"/>
    <s v="IL3"/>
    <n v="0.3"/>
    <x v="171"/>
    <s v="India"/>
    <s v="SYSTEUR"/>
    <s v="FTE"/>
    <s v="Manish Sharma"/>
    <s v="Raj"/>
  </r>
  <r>
    <s v="PDTEAM138"/>
    <s v="Fred Cai "/>
    <s v="Ferraris - 3.0T magnet mechanical parts localization"/>
    <s v="Phil"/>
    <s v=""/>
    <s v="PROCUREMENT"/>
    <s v="PRODUCTIVITY"/>
    <s v="SOURCING"/>
    <s v="Mechanical Parts &amp; Assemblies"/>
    <s v="MR"/>
    <s v="PD"/>
    <s v="IL2"/>
    <n v="0.2"/>
    <x v="172"/>
    <s v="China"/>
    <s v="SYSTEUR"/>
    <s v="FTE"/>
    <s v="Fred Cai"/>
    <s v="Phil"/>
  </r>
  <r>
    <s v="39056"/>
    <s v="Fred Cai"/>
    <s v="Localize cabinet and cables of DACC (1.5T&amp; 3T)"/>
    <s v="Phil"/>
    <s v=""/>
    <s v="PROCUREMENT"/>
    <s v="PRODUCTIVITY"/>
    <s v="SOURCING"/>
    <s v="Mechanical Parts &amp; Assemblies"/>
    <s v="MR"/>
    <s v="PD"/>
    <s v="IL2"/>
    <n v="0.3"/>
    <x v="172"/>
    <s v="China"/>
    <s v="SYSTEUR"/>
    <s v="FTE"/>
    <s v="Fred Cai"/>
    <s v="Phil"/>
  </r>
  <r>
    <s v="19186"/>
    <s v="Steven Li"/>
    <s v="Alternative supplier for the headset/nurse call connector (chasis)"/>
    <s v="Phil"/>
    <s v=""/>
    <s v="PROCUREMENT"/>
    <s v="PRODUCTIVITY"/>
    <s v="CONCEPT"/>
    <s v="Key components &amp; Electronics"/>
    <s v="MR"/>
    <s v="PD"/>
    <s v="IL4"/>
    <n v="0.1"/>
    <x v="172"/>
    <s v="China"/>
    <s v="SYSTEUR"/>
    <s v="FTE"/>
    <s v="Fred Cai"/>
    <s v="Phil"/>
  </r>
  <r>
    <s v="37103"/>
    <s v="Wei Zhao"/>
    <s v="Maxwell - Outsource welding process for 40K end plate to Hontech"/>
    <s v="Phil"/>
    <s v=""/>
    <s v="PROCUREMENT"/>
    <s v="PRODUCTIVITY"/>
    <s v="SOURCING"/>
    <s v="Mechanical Parts &amp; Assemblies"/>
    <s v="MR"/>
    <s v="PD"/>
    <s v="IL3"/>
    <n v="0.2"/>
    <x v="172"/>
    <s v="China"/>
    <s v="SYSTEUR"/>
    <s v="FTE"/>
    <s v="Fred Cai"/>
    <s v="Phil"/>
  </r>
  <r>
    <s v="35737"/>
    <s v="Wei Zhao"/>
    <s v="Risk Mitigation-Maxwell: Outsource welding processes for Roll Up and End plate"/>
    <s v="Phil"/>
    <s v=""/>
    <s v="PROCUREMENT"/>
    <s v="PRODUCTIVITY"/>
    <s v="SOURCING"/>
    <s v="Mechanical Parts &amp; Assemblies"/>
    <s v="MR"/>
    <s v="PD"/>
    <s v="IL3"/>
    <n v="0.2"/>
    <x v="172"/>
    <s v="China"/>
    <s v="SYSTEUR"/>
    <s v="FTE"/>
    <s v="Fred Cai"/>
    <s v="Phil"/>
  </r>
  <r>
    <s v="PDTEAM510"/>
    <s v="Damodar Sarnobat"/>
    <s v="STET MR COILS SICR DOCUMENTATION/CLERICAL CHANGE "/>
    <s v="Phil"/>
    <s v=""/>
    <s v="N/A"/>
    <s v="LCM"/>
    <s v="CONCEPT"/>
    <s v="Mechanical Parts &amp; Assemblies"/>
    <s v="MR"/>
    <s v="PD"/>
    <s v="IL5"/>
    <n v="1"/>
    <x v="173"/>
    <s v="India"/>
    <s v="SYSTEUR"/>
    <s v="Contingent"/>
    <s v="Bhushan Barve"/>
    <s v="Phil"/>
  </r>
  <r>
    <s v="PJ-006578"/>
    <s v="Sushruth Rudrachary"/>
    <s v="Shaving LcM"/>
    <s v="Tim"/>
    <s v=""/>
    <s v="N/A"/>
    <s v="LCM"/>
    <s v="CONCEPT"/>
    <s v="Personal Health"/>
    <s v="GB"/>
    <s v="PH"/>
    <s v="IL2"/>
    <n v="0.25"/>
    <x v="174"/>
    <s v="India"/>
    <s v="SYSTEUR"/>
    <s v="FTE"/>
    <s v="Sushruth Rudrachary"/>
    <s v="Tim"/>
  </r>
  <r>
    <s v="PJ-009562"/>
    <s v="Sushruth Rudrachary"/>
    <s v="1Grooming LcM"/>
    <s v="Tim"/>
    <s v=""/>
    <s v="N/A"/>
    <s v="LCM"/>
    <s v="CONCEPT"/>
    <s v="Personal Health"/>
    <s v="GB"/>
    <s v="PH"/>
    <s v="IL2"/>
    <n v="0.25"/>
    <x v="174"/>
    <s v="India"/>
    <s v="SYSTEUR"/>
    <s v="FTE"/>
    <s v="Sushruth Rudrachary"/>
    <s v="Tim"/>
  </r>
  <r>
    <s v="GB_L&amp;A"/>
    <s v="N/A"/>
    <s v="MISC. ENTRY TO BALANCE WITH RESOURCE DATABASE"/>
    <s v="All"/>
    <s v=""/>
    <s v="N/A"/>
    <s v="L&amp;A"/>
    <s v="L&amp;A"/>
    <s v="L&amp;A"/>
    <s v="GB"/>
    <s v="PH"/>
    <s v="IL0"/>
    <n v="0.5"/>
    <x v="174"/>
    <s v="India"/>
    <s v="SYSTEUR"/>
    <s v="FTE"/>
    <s v="Sushruth Rudrachary"/>
    <s v="Tim"/>
  </r>
  <r>
    <s v="39738"/>
    <s v="Jidhish Sidharthan"/>
    <s v="Repair 2.0 HPM-EHM field repair to bench repair opportunity. EMEA (excl. DACH) region."/>
    <s v="Nishant"/>
    <s v=""/>
    <s v="PROCUREMENT"/>
    <s v="PRODUCTIVITY"/>
    <s v="CONCEPT"/>
    <s v="Repair Centers &amp; Service Parts"/>
    <s v="HPM"/>
    <s v="CC"/>
    <s v="IL1"/>
    <n v="0.6"/>
    <x v="175"/>
    <s v="India"/>
    <s v="SYSTEUR"/>
    <s v="FTE"/>
    <s v="Nishant Nair"/>
    <s v="Nishant"/>
  </r>
  <r>
    <s v="35092"/>
    <s v="Fred Cai "/>
    <s v="Bobsled-Hawk GPC sourcing transfer from GMI to LCC"/>
    <s v="Phil"/>
    <s v=""/>
    <s v="PROCUREMENT"/>
    <s v="PRODUCTIVITY"/>
    <s v="SOURCING"/>
    <s v="Medical ODM Markets"/>
    <s v="CT/AMI"/>
    <s v="PD"/>
    <s v="IL2"/>
    <n v="1"/>
    <x v="176"/>
    <s v="China"/>
    <s v="SYSTEUR"/>
    <s v="FTE"/>
    <s v="Thomas Liu"/>
    <s v="Phil"/>
  </r>
  <r>
    <s v="37062"/>
    <s v="Jack D."/>
    <s v="Rio/Mozart - De-risk Cold Mass Supports from Kuvag with Rock West Composites"/>
    <s v="Phil"/>
    <s v=""/>
    <s v="PROCUREMENT"/>
    <s v="PRODUCTIVITY"/>
    <s v="SOURCING"/>
    <s v="Mechanical Parts &amp; Assemblies"/>
    <s v="MR"/>
    <s v="PD"/>
    <s v="IL2"/>
    <n v="0.1"/>
    <x v="177"/>
    <s v="USA"/>
    <s v="SYSTEUR"/>
    <s v="FTE"/>
    <s v="Phil Jenkins"/>
    <s v="Phil"/>
  </r>
  <r>
    <s v="PDTEAM125"/>
    <s v="Jacob Cetnar"/>
    <s v="Vega Automated leak check"/>
    <s v="Phil"/>
    <s v=""/>
    <s v="N/A"/>
    <s v="NPI"/>
    <s v="TCO"/>
    <s v="Mechanical Parts &amp; Assemblies"/>
    <s v="MR"/>
    <s v="PD"/>
    <s v="IL2"/>
    <n v="0.3"/>
    <x v="177"/>
    <s v="USA"/>
    <s v="SYSTEUR"/>
    <s v="FTE"/>
    <s v="Phil Jenkins"/>
    <s v="Phil"/>
  </r>
  <r>
    <s v="41981"/>
    <s v="Jacob Cetnar"/>
    <s v="RIO - Transition QDS from paper to MES"/>
    <s v="Phil"/>
    <s v=""/>
    <s v="TCO"/>
    <s v="CONQ"/>
    <s v="TCO"/>
    <s v="Mechanical Parts &amp; Assemblies"/>
    <s v="MR"/>
    <s v="PD"/>
    <s v="IL5"/>
    <n v="0.1"/>
    <x v="177"/>
    <s v="USA"/>
    <s v="SYSTEUR"/>
    <s v="FTE"/>
    <s v="Phil Jenkins"/>
    <s v="Phil"/>
  </r>
  <r>
    <s v="PDTEAM124"/>
    <s v="Jacob Cetnar"/>
    <s v="Vega Brazed Assemblies Industrialization"/>
    <s v="Phil"/>
    <s v=""/>
    <s v="N/A"/>
    <s v="NPI"/>
    <s v="TCO"/>
    <s v="Mechanical Parts &amp; Assemblies"/>
    <s v="MR"/>
    <s v="PD"/>
    <s v="IL2"/>
    <n v="0.3"/>
    <x v="177"/>
    <s v="USA"/>
    <s v="SYSTEUR"/>
    <s v="FTE"/>
    <s v="Phil Jenkins"/>
    <s v="Phil"/>
  </r>
  <r>
    <s v="39739"/>
    <s v="Jacob Cetnar"/>
    <s v="RIO Mover conveyance solution"/>
    <s v="Phil"/>
    <s v=""/>
    <s v="PROCUREMENT"/>
    <s v="PRODUCTIVITY"/>
    <s v="NON_12NC"/>
    <s v="Mechanical Parts &amp; Assemblies"/>
    <s v="MR"/>
    <s v="PD"/>
    <s v="IL2"/>
    <n v="0.2"/>
    <x v="177"/>
    <s v="USA"/>
    <s v="SYSTEUR"/>
    <s v="FTE"/>
    <s v="Phil Jenkins"/>
    <s v="Phil"/>
  </r>
  <r>
    <s v="PDTEAM104"/>
    <s v="Fred Cai "/>
    <s v="Suzhou FDA remediation "/>
    <s v="Phil"/>
    <s v=""/>
    <s v="N/A"/>
    <s v="AOS"/>
    <s v="SOURCING"/>
    <s v="Mechanical Parts &amp; Assemblies"/>
    <s v="CT/AMI"/>
    <s v="PD"/>
    <s v="IL5"/>
    <n v="0.2"/>
    <x v="178"/>
    <s v="China"/>
    <s v="SYSTEUR"/>
    <s v="FTE"/>
    <s v="Anil C S"/>
    <s v="Tim"/>
  </r>
  <r>
    <s v="QN_CY2024_29"/>
    <s v="Sanjeev Kumar"/>
    <s v="sensor L12-5 capacitance testing automation in Doga line"/>
    <s v="Tim"/>
    <s v=""/>
    <s v="N/A"/>
    <s v="CONQ"/>
    <s v="CONQ"/>
    <s v="Mechanical Parts &amp; Assemblies"/>
    <s v="US"/>
    <s v="PD"/>
    <s v="IL3"/>
    <n v="0.2"/>
    <x v="178"/>
    <s v="China"/>
    <s v="SYSTEUR"/>
    <s v="FTE"/>
    <s v="Anil C S"/>
    <s v="Tim"/>
  </r>
  <r>
    <s v="30851"/>
    <s v="Fred Cai"/>
    <s v="BD-China localisation Tables (unit price reduction) (PCI-2021-033a)"/>
    <s v="Phil"/>
    <s v=""/>
    <s v="PROCUREMENT"/>
    <s v="PRODUCTIVITY"/>
    <s v="SOURCING"/>
    <s v="Mechanical Parts &amp; Assemblies"/>
    <s v="IGT-S"/>
    <s v="IGT"/>
    <s v="IL3"/>
    <n v="0.2"/>
    <x v="178"/>
    <s v="China"/>
    <s v="SYSTEUR"/>
    <s v="FTE"/>
    <s v="Anil C S"/>
    <s v="Tim"/>
  </r>
  <r>
    <s v="41482"/>
    <s v="Tiger Xiao"/>
    <s v="AOS - C9-4V Plastic parts transfer from Xuxin to Tontec"/>
    <s v="Phil"/>
    <s v=""/>
    <s v="PROCUREMENT"/>
    <s v="AOS"/>
    <s v="SOURCING"/>
    <s v="Mechanical Parts &amp; Assemblies"/>
    <s v="US-Trans"/>
    <s v="PD"/>
    <s v="IL2"/>
    <n v="0.2"/>
    <x v="178"/>
    <s v="China"/>
    <s v="SYSTEUR"/>
    <s v="FTE"/>
    <s v="Anil C S"/>
    <s v="Tim"/>
  </r>
  <r>
    <s v="38521"/>
    <s v="Sushruth Rudrachary"/>
    <s v="Batam DFX_MG 2023: S33XX On/Off current supplied by DTN 1) 422203311530 - O/O BUTTON Hera S3000 Laq H&amp;S Matt, Cost USD1.74"/>
    <s v="Tim"/>
    <s v=""/>
    <s v="PROCUREMENT"/>
    <s v="PRODUCTIVITY"/>
    <s v="CONCEPT"/>
    <s v="Mechanical Parts &amp; Assemblies"/>
    <s v="GB"/>
    <s v="PH"/>
    <s v="IL5"/>
    <n v="0.2"/>
    <x v="178"/>
    <s v="China"/>
    <s v="SYSTEUR"/>
    <s v="FTE"/>
    <s v="Anil C S"/>
    <s v="Tim"/>
  </r>
  <r>
    <s v="VM14 Display"/>
    <s v="Jidhish Sidharthan"/>
    <s v="VM14 Display"/>
    <s v="Nishant"/>
    <s v=""/>
    <s v="N/A"/>
    <s v="NPI"/>
    <s v="CONCEPT"/>
    <s v="Key components &amp; Electronics"/>
    <s v="US"/>
    <s v="PD"/>
    <s v="IL1"/>
    <n v="0.5"/>
    <x v="179"/>
    <s v="India"/>
    <s v="SYSTEUR"/>
    <s v="FTE"/>
    <s v="Jidhish Sidharthan"/>
    <s v="Nishant"/>
  </r>
  <r>
    <s v="VM15 Display"/>
    <s v="Jidhish Sidharthan"/>
    <s v="VM15 Display"/>
    <s v="Nishant"/>
    <s v=""/>
    <s v="N/A"/>
    <s v="NPI"/>
    <s v="CONCEPT"/>
    <s v="Key components &amp; Electronics"/>
    <s v="US"/>
    <s v="PD"/>
    <s v="IL1"/>
    <n v="0.5"/>
    <x v="179"/>
    <s v="India"/>
    <s v="SYSTEUR"/>
    <s v="FTE"/>
    <s v="Jidhish Sidharthan"/>
    <s v="Nishant"/>
  </r>
  <r>
    <s v="RfS 272329"/>
    <s v="Suraj Ramchandani"/>
    <s v="Paper based packaging for Smart Parenting portfolio - Bamboo 2.0 baby care set"/>
    <s v="Tim"/>
    <s v=""/>
    <s v="N/A"/>
    <s v="LCM"/>
    <s v="CONCEPT"/>
    <s v="Personal Health"/>
    <s v="MCC"/>
    <s v="PH"/>
    <s v="IL3"/>
    <n v="0.2"/>
    <x v="180"/>
    <s v="India"/>
    <s v="SYSTEUR"/>
    <s v="FTE"/>
    <s v="Tim Bokelman"/>
    <s v="Tim"/>
  </r>
  <r>
    <s v="RfS 276689"/>
    <s v="Suraj Ramchandani"/>
    <s v="RM2026: WEU Healthy Feeding - Bottle Warmer Giftset launch"/>
    <s v="Tim"/>
    <s v=""/>
    <s v="IGM"/>
    <s v="Commercial Innovation"/>
    <s v="Commercial Innovation"/>
    <s v="Personal Health"/>
    <s v="MCC"/>
    <s v="PH"/>
    <s v="IL4"/>
    <n v="0.2"/>
    <x v="180"/>
    <s v="India"/>
    <s v="SYSTEUR"/>
    <s v="FTE"/>
    <s v="Tim Bokelman"/>
    <s v="Tim"/>
  </r>
  <r>
    <s v="RfS 277476"/>
    <s v="Suraj Ramchandani"/>
    <s v="Bamboo 2.0 WEU SKUs consolidation "/>
    <s v="Tim"/>
    <s v=""/>
    <s v="N/A"/>
    <s v="LCM"/>
    <s v="CONCEPT"/>
    <s v="Personal Health"/>
    <s v="MCC"/>
    <s v="PH"/>
    <s v="IL3"/>
    <n v="0.15"/>
    <x v="180"/>
    <s v="India"/>
    <s v="SYSTEUR"/>
    <s v="FTE"/>
    <s v="Tim Bokelman"/>
    <s v="Tim"/>
  </r>
  <r>
    <s v="RfS 278242"/>
    <s v="Suraj Ramchandani"/>
    <s v="HF SKUs Phase Out in CEE &amp; ID"/>
    <s v="Tim"/>
    <s v=""/>
    <s v="N/A"/>
    <s v="LCM"/>
    <s v="SOURCING"/>
    <s v="Personal Health"/>
    <s v="MCC"/>
    <s v="PH"/>
    <s v="IL3"/>
    <n v="0.15"/>
    <x v="180"/>
    <s v="India"/>
    <s v="SYSTEUR"/>
    <s v="FTE"/>
    <s v="Tim Bokelman"/>
    <s v="Tim"/>
  </r>
  <r>
    <s v="RfS 278591"/>
    <s v="Suraj Ramchandani"/>
    <s v="Change supplier for USB Type-A to Type-C power charging cable for Daisy EBP"/>
    <s v="Tim"/>
    <s v=""/>
    <s v="N/A"/>
    <s v="LCM"/>
    <s v="CONCEPT"/>
    <s v="Personal Health"/>
    <s v="MCC"/>
    <s v="PH"/>
    <s v="IL3"/>
    <n v="0.1"/>
    <x v="180"/>
    <s v="India"/>
    <s v="SYSTEUR"/>
    <s v="FTE"/>
    <s v="Tim Bokelman"/>
    <s v="Tim"/>
  </r>
  <r>
    <s v="RfS-MCC-0008"/>
    <s v="Suraj Ramchandani"/>
    <s v="Align Pallet MOQ SDL/BTM"/>
    <s v="Tim"/>
    <s v=""/>
    <s v="N/A"/>
    <s v="LCM"/>
    <s v="CONCEPT"/>
    <s v="Personal Health"/>
    <s v="MCC"/>
    <s v="PH"/>
    <s v="IL3"/>
    <n v="0.2"/>
    <x v="180"/>
    <s v="India"/>
    <s v="SYSTEUR"/>
    <s v="FTE"/>
    <s v="Tim Bokelman"/>
    <s v="Tim"/>
  </r>
  <r>
    <s v="PDTEAM560"/>
    <s v="Damodar Sarnobat"/>
    <s v="STET CT/AMI-  LCM FRU Resolutions"/>
    <s v="Phil"/>
    <s v=""/>
    <s v="N/A"/>
    <s v="LCM"/>
    <s v="TCO"/>
    <s v="Key components &amp; Electronics"/>
    <s v="CT/AMI"/>
    <s v="PD"/>
    <s v="IL2"/>
    <n v="1"/>
    <x v="181"/>
    <s v="India"/>
    <s v="SYSTEUR"/>
    <s v="FTE"/>
    <s v="Subhankar Das"/>
    <s v="Phil"/>
  </r>
  <r>
    <s v="PDTEAM114"/>
    <s v="Steve Scurria"/>
    <s v="Vexos Transfer "/>
    <s v="Phil"/>
    <s v=""/>
    <s v="PROCUREMENT"/>
    <s v="AOS"/>
    <s v="SOURCING"/>
    <s v="Key components &amp; Electronics"/>
    <s v="MR"/>
    <s v="PD"/>
    <s v="IL2"/>
    <n v="1"/>
    <x v="182"/>
    <s v="USA"/>
    <s v="SYSTEUR"/>
    <s v="FTE"/>
    <s v="Phil Jenkins"/>
    <s v="Phil"/>
  </r>
  <r>
    <s v="26321"/>
    <s v="Fred Cai"/>
    <s v="Transfer of Composites &amp; Fibres"/>
    <s v="Phil"/>
    <s v=""/>
    <s v="PROCUREMENT"/>
    <s v="PRODUCTIVITY"/>
    <s v="SOURCING"/>
    <s v="Mechanical Parts &amp; Assemblies"/>
    <s v="IGT-S"/>
    <s v="IGT"/>
    <s v="IL2"/>
    <n v="1"/>
    <x v="183"/>
    <s v="China"/>
    <s v="SYSTEUR"/>
    <s v="FTE"/>
    <s v="Sam Zhao"/>
    <s v="Phil"/>
  </r>
  <r>
    <s v="36779"/>
    <s v="Ailin"/>
    <s v="AG700 to GA31D - MR 5300 &amp; Ambition S"/>
    <s v="Phil"/>
    <s v=""/>
    <s v="PROCUREMENT"/>
    <s v="PRODUCTIVITY"/>
    <s v="CONCEPT"/>
    <s v="Mechanical Parts &amp; Assemblies"/>
    <s v="MR"/>
    <s v="PD"/>
    <s v="IL2"/>
    <n v="1"/>
    <x v="184"/>
    <s v="China"/>
    <s v="SYSTEUR"/>
    <s v="FTE"/>
    <s v="Thomas Liu"/>
    <s v="Phil"/>
  </r>
  <r>
    <s v="42145"/>
    <s v="JJ Chen"/>
    <s v="China PCA L4L - to meet Local content requirement"/>
    <s v="Phil"/>
    <s v=""/>
    <s v="PROCUREMENT"/>
    <s v="LCM"/>
    <s v="SOURCING"/>
    <s v="Key components &amp; Electronics"/>
    <s v="HPM"/>
    <s v="CC"/>
    <s v="IL2"/>
    <n v="0.5"/>
    <x v="185"/>
    <s v="China"/>
    <s v="SYSTEUR"/>
    <s v="FTE"/>
    <s v="Fred Cai"/>
    <s v="Phil"/>
  </r>
  <r>
    <s v="30851"/>
    <s v="Fred Cai"/>
    <s v="BD-China localisation Tables (unit price reduction) (PCI-2021-033a)"/>
    <s v="Phil"/>
    <s v=""/>
    <s v="PROCUREMENT"/>
    <s v="PRODUCTIVITY"/>
    <s v="SOURCING"/>
    <s v="Mechanical Parts &amp; Assemblies"/>
    <s v="IGT-S"/>
    <s v="IGT"/>
    <s v="IL3"/>
    <n v="0.5"/>
    <x v="185"/>
    <s v="China"/>
    <s v="SYSTEUR"/>
    <s v="FTE"/>
    <s v="Fred Cai"/>
    <s v="Phil"/>
  </r>
  <r>
    <s v="39122"/>
    <s v="Fred Cai "/>
    <s v="Incisive/Kylin cover 2nd source "/>
    <s v="Phil"/>
    <s v=""/>
    <s v="PROCUREMENT"/>
    <s v="PRODUCTIVITY"/>
    <s v="SOURCING"/>
    <s v="Mechanical Parts &amp; Assemblies"/>
    <s v="CT/AMI"/>
    <s v="PD"/>
    <s v="IL2"/>
    <n v="1"/>
    <x v="186"/>
    <s v="China"/>
    <s v="SYSTEUR"/>
    <s v="FTE"/>
    <s v="Sam Zhao"/>
    <s v="Phil"/>
  </r>
  <r>
    <s v="36793"/>
    <s v="Fred Cai "/>
    <s v="BD II Localization of 459800159521 OPTICAL CABLE 30M 4FOLD (from Prodrive to cable supplier)"/>
    <s v="Phil"/>
    <s v=""/>
    <s v="PROCUREMENT"/>
    <s v="PRODUCTIVITY"/>
    <s v="SOURCING"/>
    <s v="Key components &amp; Electronics"/>
    <s v="IGT-S"/>
    <s v="IGT"/>
    <s v="IL2"/>
    <n v="0.3"/>
    <x v="187"/>
    <s v="China"/>
    <s v="SYSTEUR"/>
    <s v="FTE"/>
    <s v="Thomas Liu"/>
    <s v="Phil"/>
  </r>
  <r>
    <s v="36789"/>
    <s v="Fred Cai "/>
    <s v="Cable Localization "/>
    <s v="Phil"/>
    <s v=""/>
    <s v="PROCUREMENT"/>
    <s v="PRODUCTIVITY"/>
    <s v="SOURCING"/>
    <s v="Mechanical Parts &amp; Assemblies"/>
    <s v="IGT-S"/>
    <s v="IGT"/>
    <s v="IL2"/>
    <n v="0.7"/>
    <x v="187"/>
    <s v="China"/>
    <s v="SYSTEUR"/>
    <s v="FTE"/>
    <s v="Thomas Liu"/>
    <s v="Phil"/>
  </r>
  <r>
    <s v="43468"/>
    <s v="Steven Ji"/>
    <s v="Backup Cooling 1.5T"/>
    <s v="Phil"/>
    <s v=""/>
    <s v="PROCUREMENT"/>
    <s v="NPI"/>
    <s v="CONCEPT"/>
    <s v="Medical ODM Markets"/>
    <s v="MR"/>
    <s v="PD"/>
    <s v="IL2"/>
    <n v="0.5"/>
    <x v="188"/>
    <s v="China"/>
    <s v="SYSTEUR"/>
    <s v="FTE"/>
    <s v="Thomas Liu"/>
    <s v="Phil"/>
  </r>
  <r>
    <s v="43466"/>
    <s v="Steven Ji"/>
    <s v="Backup Cooling unit - 1.5T"/>
    <s v="Phil"/>
    <s v=""/>
    <s v="PROCUREMENT"/>
    <s v="NPI"/>
    <s v="CONCEPT"/>
    <s v="Key components &amp; Electronics"/>
    <s v="MR"/>
    <s v="PD"/>
    <s v="IL2"/>
    <n v="0.5"/>
    <x v="188"/>
    <s v="China"/>
    <s v="SYSTEUR"/>
    <s v="FTE"/>
    <s v="Thomas Liu"/>
    <s v="Phil"/>
  </r>
  <r>
    <s v="HPM_Funnel Activities"/>
    <s v="NA"/>
    <s v="Funnel/Business case/Technical feasibility"/>
    <s v="All"/>
    <s v=""/>
    <s v="Funnel Activities"/>
    <s v="Funnel Activities"/>
    <s v="Funnel Activities"/>
    <s v="Funnel Activities"/>
    <s v="HPM"/>
    <s v="CC"/>
    <s v="IL0"/>
    <n v="1"/>
    <x v="189"/>
    <s v="India"/>
    <s v="SYSTEUR"/>
    <s v="FTE"/>
    <s v="Nishant Nair"/>
    <s v="Nishant"/>
  </r>
  <r>
    <s v="PDTEAM133"/>
    <s v="Tiger Xiao"/>
    <s v="Nexha NPI"/>
    <s v="Phil"/>
    <s v=""/>
    <s v="N/A"/>
    <s v="NPI"/>
    <s v="CONCEPT"/>
    <s v="Key components &amp; Electronics"/>
    <s v="US-Trans"/>
    <s v="PD"/>
    <s v="IL1"/>
    <n v="1"/>
    <x v="190"/>
    <s v="China"/>
    <s v="SYSTEUR"/>
    <s v="FTE"/>
    <s v="Thomas Liu"/>
    <s v="Phil"/>
  </r>
  <r>
    <s v="PDTEAM560"/>
    <s v="Damodar Sarnobat"/>
    <s v="STET CT/AMI-  LCM FRU Resolutions"/>
    <s v="Phil"/>
    <s v=""/>
    <s v="N/A"/>
    <s v="LCM"/>
    <s v="TCO"/>
    <s v="Key components &amp; Electronics"/>
    <s v="CT/AMI"/>
    <s v="PD"/>
    <s v="IL2"/>
    <n v="1"/>
    <x v="191"/>
    <s v="India"/>
    <s v="SYSTEUR"/>
    <s v="FTE"/>
    <s v="Subhankar Das"/>
    <s v="Phil"/>
  </r>
  <r>
    <s v="ART-India"/>
    <s v="Vijayanand Purushothaman"/>
    <s v="LCM Support for India"/>
    <s v="Raj"/>
    <s v=""/>
    <s v="N/A"/>
    <s v="LCM"/>
    <s v="SOURCING"/>
    <s v="Mechanical Parts &amp; Assemblies"/>
    <s v="IGT-S"/>
    <s v="IGT"/>
    <s v="IL3"/>
    <n v="1"/>
    <x v="192"/>
    <s v="India"/>
    <s v="SYSTEUR"/>
    <s v="FTE"/>
    <s v="Makarand Dharmadhikari"/>
    <s v="Raj"/>
  </r>
  <r>
    <s v="LCM_Ultrasound"/>
    <s v="Charles Moses"/>
    <s v="Ultrasound Sustaining Projects"/>
    <s v="Nishant"/>
    <s v=""/>
    <s v="N/A"/>
    <s v="LCM"/>
    <s v="SOURCING"/>
    <s v="Mechanical Parts &amp; Assemblies"/>
    <s v="US"/>
    <s v="PD"/>
    <s v="IL3"/>
    <n v="1"/>
    <x v="193"/>
    <s v="USA"/>
    <s v="SYSTEUR"/>
    <s v="FTE"/>
    <s v="Charles Moses"/>
    <s v="Nishant"/>
  </r>
  <r>
    <s v="30851"/>
    <s v="Fred Cai"/>
    <s v="BD-China localisation Tables (unit price reduction) (PCI-2021-033a)"/>
    <s v="Phil"/>
    <s v=""/>
    <s v="PROCUREMENT"/>
    <s v="PRODUCTIVITY"/>
    <s v="SOURCING"/>
    <s v="Mechanical Parts &amp; Assemblies"/>
    <s v="IGT-S"/>
    <s v="IGT"/>
    <s v="IL3"/>
    <n v="1"/>
    <x v="194"/>
    <s v="China"/>
    <s v="SYSTEUR"/>
    <s v="FTE"/>
    <s v="Thomas Liu"/>
    <s v="Phil"/>
  </r>
  <r>
    <s v="MR_Funnel Activities"/>
    <s v="NA"/>
    <s v="Funnel/Business case/Technical feasibility"/>
    <s v="All"/>
    <s v=""/>
    <s v="Funnel Activities"/>
    <s v="Funnel Activities"/>
    <s v="Funnel Activities"/>
    <s v="Funnel Activities"/>
    <s v="MR"/>
    <s v="PD"/>
    <s v="IL0"/>
    <n v="0.2"/>
    <x v="195"/>
    <s v="USA"/>
    <s v="SYSTEUR"/>
    <s v="FTE"/>
    <s v="Phil Jenkins"/>
    <s v="Phil"/>
  </r>
  <r>
    <s v="PDTEAM128"/>
    <s v="Joshua Huett"/>
    <s v="Vega Tanks Industrialization "/>
    <s v="Phil"/>
    <s v=""/>
    <s v="N/A"/>
    <s v="NPI"/>
    <s v="TCO"/>
    <s v="Mechanical Parts &amp; Assemblies"/>
    <s v="MR"/>
    <s v="PD"/>
    <s v="IL2"/>
    <n v="0.4"/>
    <x v="195"/>
    <s v="USA"/>
    <s v="SYSTEUR"/>
    <s v="FTE"/>
    <s v="Phil Jenkins"/>
    <s v="Phil"/>
  </r>
  <r>
    <s v="PDTEAM142"/>
    <s v="Josh Huett"/>
    <s v="Automated Welding Industrialization"/>
    <s v="Phil"/>
    <s v=""/>
    <s v="TCO"/>
    <s v="PRODUCTIVITY"/>
    <s v="TCO"/>
    <s v="Mechanical Parts &amp; Assemblies"/>
    <s v="MR"/>
    <s v="PD"/>
    <s v="IL2"/>
    <n v="0.4"/>
    <x v="195"/>
    <s v="USA"/>
    <s v="SYSTEUR"/>
    <s v="FTE"/>
    <s v="Phil Jenkins"/>
    <s v="Phil"/>
  </r>
  <r>
    <s v="34037"/>
    <s v="Fred Cai"/>
    <s v="Billy-Gradient Amp 1.6MVA"/>
    <s v="Phil"/>
    <s v=""/>
    <s v="PROCUREMENT"/>
    <s v="PRODUCTIVITY"/>
    <s v="CONCEPT"/>
    <s v="Key components &amp; Electronics"/>
    <s v="MR"/>
    <s v="PD"/>
    <s v="IL3"/>
    <n v="1"/>
    <x v="196"/>
    <s v="China"/>
    <s v="SYSTEUR"/>
    <s v="FTE"/>
    <s v="Thomas Liu"/>
    <s v="Phil"/>
  </r>
  <r>
    <s v="26320"/>
    <s v="Fred Cai"/>
    <s v="BD-Sheet metal mono parts and &amp; Installation frame China localization (unit price reduction)"/>
    <s v="Phil"/>
    <s v=""/>
    <s v="PROCUREMENT"/>
    <s v="PRODUCTIVITY"/>
    <s v="SOURCING"/>
    <s v="Mechanical Parts &amp; Assemblies"/>
    <s v="IGT-S"/>
    <s v="IGT"/>
    <s v="IL3"/>
    <n v="0.9"/>
    <x v="197"/>
    <s v="China"/>
    <s v="SYSTEUR"/>
    <s v="FTE"/>
    <s v="Sam Zhao"/>
    <s v="Phil"/>
  </r>
  <r>
    <s v="30851"/>
    <s v="Fred Cai"/>
    <s v="BD-China localisation Tables (unit price reduction) (PCI-2021-033a)"/>
    <s v="Phil"/>
    <s v=""/>
    <s v="PROCUREMENT"/>
    <s v="PRODUCTIVITY"/>
    <s v="SOURCING"/>
    <s v="Mechanical Parts &amp; Assemblies"/>
    <s v="IGT-S"/>
    <s v="IGT"/>
    <s v="IL3"/>
    <n v="0.1"/>
    <x v="197"/>
    <s v="China"/>
    <s v="SYSTEUR"/>
    <s v="FTE"/>
    <s v="Sam Zhao"/>
    <s v="Phil"/>
  </r>
  <r>
    <s v="41060"/>
    <s v="Fred Cai "/>
    <s v="Gust 3.0T NPI"/>
    <s v="Phil"/>
    <s v=""/>
    <s v="PROCUREMENT"/>
    <s v="PRODUCTIVITY"/>
    <s v="CONCEPT"/>
    <s v="Key components &amp; Electronics"/>
    <s v="MR"/>
    <s v="PD"/>
    <s v="IL1"/>
    <n v="0.5"/>
    <x v="198"/>
    <s v="China"/>
    <s v="SYSTEUR"/>
    <s v="FTE"/>
    <s v="Thomas Liu"/>
    <s v="Phil"/>
  </r>
  <r>
    <s v="42094"/>
    <s v="Fred Cai "/>
    <s v="Gust 1.5T Bridge solution coil package"/>
    <s v="Phil"/>
    <s v=""/>
    <s v="PROCUREMENT"/>
    <s v="NPI"/>
    <s v="SOURCING"/>
    <s v="Mechanical Parts &amp; Assemblies"/>
    <s v="MR"/>
    <s v="PD"/>
    <s v="IL2"/>
    <n v="0.5"/>
    <x v="198"/>
    <s v="China"/>
    <s v="SYSTEUR"/>
    <s v="FTE"/>
    <s v="Thomas Liu"/>
    <s v="Phil"/>
  </r>
  <r>
    <s v="37521"/>
    <s v="Fred Cai "/>
    <s v="ING&amp;BB Moog slipring drum and brush block EOL resource to NBG_Derisk "/>
    <s v="Phil"/>
    <s v=""/>
    <s v="PROCUREMENT"/>
    <s v="AOS"/>
    <s v="SOURCING"/>
    <s v="Mechanical Parts &amp; Assemblies"/>
    <s v="CT/AMI"/>
    <s v="PD"/>
    <s v="IL3"/>
    <n v="1"/>
    <x v="199"/>
    <s v="China"/>
    <s v="SYSTEUR"/>
    <s v="FTE"/>
    <s v="Thomas Liu"/>
    <s v="Phil"/>
  </r>
  <r>
    <s v="36779"/>
    <s v="Ailin"/>
    <s v="AG700 to GA31D - MR 5300 &amp; Ambition S"/>
    <s v="Phil"/>
    <s v=""/>
    <s v="PROCUREMENT"/>
    <s v="PRODUCTIVITY"/>
    <s v="CONCEPT"/>
    <s v="Mechanical Parts &amp; Assemblies"/>
    <s v="MR"/>
    <s v="PD"/>
    <s v="IL2"/>
    <n v="0.2"/>
    <x v="200"/>
    <s v="China"/>
    <s v="SYSTEUR"/>
    <s v="FTE"/>
    <s v="Thomas Liu"/>
    <s v="Phil"/>
  </r>
  <r>
    <s v="34037"/>
    <s v="Fred Cai"/>
    <s v="Billy-Gradient Amp 1.6MVA"/>
    <s v="Phil"/>
    <s v=""/>
    <s v="PROCUREMENT"/>
    <s v="PRODUCTIVITY"/>
    <s v="CONCEPT"/>
    <s v="Key components &amp; Electronics"/>
    <s v="MR"/>
    <s v="PD"/>
    <s v="IL3"/>
    <n v="0.8"/>
    <x v="200"/>
    <s v="China"/>
    <s v="SYSTEUR"/>
    <s v="FTE"/>
    <s v="Thomas Liu"/>
    <s v="Phil"/>
  </r>
  <r>
    <s v="STETPKGLCM3"/>
    <s v="Sushruth Rudrachary"/>
    <s v="STET_Pkg_Artwork Review"/>
    <s v="Tim"/>
    <s v=""/>
    <s v="N/A"/>
    <s v="LCM"/>
    <s v="CONCEPT"/>
    <s v="Personal Health"/>
    <s v="GB"/>
    <s v="PH"/>
    <s v="IL2"/>
    <n v="0.1"/>
    <x v="201"/>
    <s v="India"/>
    <s v="SYSTEUR"/>
    <s v="FTE"/>
    <s v="Sushruth Rudrachary"/>
    <s v="Tim"/>
  </r>
  <r>
    <s v="GB_L&amp;A"/>
    <s v="N/A"/>
    <s v="MISC. ENTRY TO BALANCE WITH RESOURCE DATABASE"/>
    <s v="All"/>
    <s v=""/>
    <s v="N/A"/>
    <s v="L&amp;A"/>
    <s v="L&amp;A"/>
    <s v="L&amp;A"/>
    <s v="GB"/>
    <s v="PH"/>
    <s v="IL0"/>
    <n v="0.5"/>
    <x v="201"/>
    <s v="India"/>
    <s v="SYSTEUR"/>
    <s v="FTE"/>
    <s v="Sushruth Rudrachary"/>
    <s v="Tim"/>
  </r>
  <r>
    <s v="STETPKGLCM1"/>
    <s v="Sushruth Rudrachary"/>
    <s v="STET_Pkg_Logistic Data"/>
    <s v="Tim"/>
    <s v=""/>
    <s v="N/A"/>
    <s v="LCM"/>
    <s v="CONCEPT"/>
    <s v="Personal Health"/>
    <s v="GB"/>
    <s v="PH"/>
    <s v="IL2"/>
    <n v="0.1"/>
    <x v="201"/>
    <s v="India"/>
    <s v="SYSTEUR"/>
    <s v="FTE"/>
    <s v="Sushruth Rudrachary"/>
    <s v="Tim"/>
  </r>
  <r>
    <s v="DFU2025"/>
    <s v="Saurabh Agrawal"/>
    <s v="DFU  Content Creation"/>
    <s v="Tim"/>
    <s v=""/>
    <s v="N/A"/>
    <s v="LCM"/>
    <s v="CONCEPT"/>
    <s v="Personal Health"/>
    <s v="OHC"/>
    <s v="PH"/>
    <s v="IL2"/>
    <n v="0.1"/>
    <x v="201"/>
    <s v="India"/>
    <s v="SYSTEUR"/>
    <s v="FTE"/>
    <s v="Sushruth Rudrachary"/>
    <s v="Tim"/>
  </r>
  <r>
    <s v="USM2025"/>
    <s v="Sushruth Rudrachary"/>
    <s v="User Manual Content Creation"/>
    <s v="Tim"/>
    <s v=""/>
    <s v="N/A"/>
    <s v="LCM"/>
    <s v="CONCEPT"/>
    <s v="Personal Health"/>
    <s v="GB"/>
    <s v="PH"/>
    <s v="IL3"/>
    <n v="0.1"/>
    <x v="201"/>
    <s v="India"/>
    <s v="SYSTEUR"/>
    <s v="FTE"/>
    <s v="Sushruth Rudrachary"/>
    <s v="Tim"/>
  </r>
  <r>
    <s v="STETPKGLCM2"/>
    <s v="Sushruth Rudrachary"/>
    <s v="STET_Pkg_Trade Item"/>
    <s v="Tim"/>
    <s v=""/>
    <s v="N/A"/>
    <s v="LCM"/>
    <s v="CONCEPT"/>
    <s v="Personal Health"/>
    <s v="GB"/>
    <s v="PH"/>
    <s v="IL2"/>
    <n v="0.1"/>
    <x v="201"/>
    <s v="India"/>
    <s v="SYSTEUR"/>
    <s v="FTE"/>
    <s v="Sushruth Rudrachary"/>
    <s v="Tim"/>
  </r>
  <r>
    <s v="ART-BEST"/>
    <s v="Vijayanand Purushothaman"/>
    <s v="LCM Support for Best"/>
    <s v="Raj"/>
    <s v=""/>
    <s v="N/A"/>
    <s v="LCM"/>
    <s v="SOURCING"/>
    <s v="Mechanical Parts &amp; Assemblies"/>
    <s v="IGT-S"/>
    <s v="IGT"/>
    <s v="IL3"/>
    <n v="0.5"/>
    <x v="202"/>
    <s v="India"/>
    <s v="SYSTEUR"/>
    <s v="FTE"/>
    <s v="Makarand Dharmadhikari"/>
    <s v="Raj"/>
  </r>
  <r>
    <s v="SYNCIGTS"/>
    <s v="Saravanakumar Palani"/>
    <s v="Synchronize Projects Funnel Maturity"/>
    <s v="Raj"/>
    <s v=""/>
    <s v="N/A"/>
    <s v="LCM"/>
    <s v="CONCEPT"/>
    <s v="Mechanical Parts &amp; Assemblies"/>
    <s v="IGT-S"/>
    <s v="IGT"/>
    <s v="IL0"/>
    <n v="0.3"/>
    <x v="202"/>
    <s v="India"/>
    <s v="SYSTEUR"/>
    <s v="FTE"/>
    <s v="Makarand Dharmadhikari"/>
    <s v="Raj"/>
  </r>
  <r>
    <s v="PDTEAM617"/>
    <s v="Damodar Sarnobat"/>
    <s v="STET MR LCE DFS ELECTRICAL"/>
    <s v="Phil"/>
    <s v=""/>
    <s v="N/A"/>
    <s v="LCM"/>
    <s v="TCO"/>
    <s v="Key components &amp; Electronics"/>
    <s v="MR"/>
    <s v="PD"/>
    <s v="IL2"/>
    <n v="0.5"/>
    <x v="203"/>
    <s v="India"/>
    <s v="SYSTEUR"/>
    <s v="Contingent"/>
    <s v="Amruta Kulkarni"/>
    <s v="Phil"/>
  </r>
  <r>
    <s v="PDTEAM614"/>
    <s v="Damodar Sarnobat"/>
    <s v="STET MR LCE ELECTRICAL"/>
    <s v="Phil"/>
    <s v=""/>
    <s v="N/A"/>
    <s v="LCM"/>
    <s v="TCO"/>
    <s v="Key components &amp; Electronics"/>
    <s v="MR"/>
    <s v="PD"/>
    <s v="IL2"/>
    <n v="0.5"/>
    <x v="203"/>
    <s v="India"/>
    <s v="SYSTEUR"/>
    <s v="Contingent"/>
    <s v="Amruta Kulkarni"/>
    <s v="Phil"/>
  </r>
  <r>
    <s v="36791"/>
    <s v="Fred Cai "/>
    <s v="BD II Rotation unit localization (NTS to local supplier)"/>
    <s v="Phil"/>
    <s v=""/>
    <s v="PROCUREMENT"/>
    <s v="PRODUCTIVITY"/>
    <s v="SOURCING"/>
    <s v="Mechanical Parts &amp; Assemblies"/>
    <s v="IGT-S"/>
    <s v="IGT"/>
    <s v="IL2"/>
    <n v="0.3"/>
    <x v="204"/>
    <s v="China"/>
    <s v="SYSTEUR"/>
    <s v="FTE"/>
    <s v="James Pan"/>
    <s v="Phil"/>
  </r>
  <r>
    <s v="27157"/>
    <s v="Anil CS"/>
    <s v="STET:Project Vayu - Cluster 2 (VM) + Cables @ Bizlink"/>
    <s v="Phil"/>
    <s v=""/>
    <s v="PROCUREMENT"/>
    <s v="PRODUCTIVITY"/>
    <s v="CONCEPT"/>
    <s v="Mechanical Parts &amp; Assemblies"/>
    <s v="DXR"/>
    <s v="PD"/>
    <s v="IL2"/>
    <n v="0.6"/>
    <x v="204"/>
    <s v="China"/>
    <s v="SYSTEUR"/>
    <s v="FTE"/>
    <s v="James Pan"/>
    <s v="Phil"/>
  </r>
  <r>
    <s v="37900"/>
    <s v="JJ Chen"/>
    <s v="BD- L-arc China supply base (unit price reduction)"/>
    <s v="Phil"/>
    <s v=""/>
    <s v="PROCUREMENT"/>
    <s v="PRODUCTIVITY"/>
    <s v="SOURCING"/>
    <s v="Mechanical Parts &amp; Assemblies"/>
    <s v="IGT-S"/>
    <s v="IGT"/>
    <s v="IL2"/>
    <n v="0.1"/>
    <x v="204"/>
    <s v="China"/>
    <s v="SYSTEUR"/>
    <s v="FTE"/>
    <s v="James Pan"/>
    <s v="Phil"/>
  </r>
  <r>
    <s v="PDTEAM432"/>
    <s v="MVD Srinivas"/>
    <s v="STET DXR Synchronization"/>
    <s v="Phil"/>
    <s v=""/>
    <s v="PROCUREMENT"/>
    <s v="LCM"/>
    <s v="SOURCING"/>
    <s v="Key components &amp; Electronics"/>
    <s v="DXR"/>
    <s v="PD"/>
    <s v="IL2"/>
    <n v="0.5"/>
    <x v="205"/>
    <s v="India"/>
    <s v="SYSTEUR"/>
    <s v="FTE"/>
    <s v="Kulasekhar K"/>
    <s v="Phil"/>
  </r>
  <r>
    <s v="PDTEAM415"/>
    <s v="Srinivas, M.V.D "/>
    <s v="PCBA Health DXR"/>
    <s v="Phil"/>
    <s v=""/>
    <s v="N/A"/>
    <s v="LCM"/>
    <s v="SOURCING"/>
    <s v="Key components &amp; Electronics"/>
    <s v="DXR"/>
    <s v="PD"/>
    <s v="IL2"/>
    <n v="0.5"/>
    <x v="205"/>
    <s v="India"/>
    <s v="SYSTEUR"/>
    <s v="FTE"/>
    <s v="Kulasekhar K"/>
    <s v="Phil"/>
  </r>
  <r>
    <s v="GB_LPP_2026"/>
    <s v="Sushruth Rudrachary"/>
    <s v="Linear performance pricing analysis of comparable 12 NC's"/>
    <s v="Tim"/>
    <s v=""/>
    <s v="N/A"/>
    <s v="LCM"/>
    <s v="CONCEPT"/>
    <s v="Personal Health"/>
    <s v="GB"/>
    <s v="PH"/>
    <s v="IL3"/>
    <n v="0.2"/>
    <x v="206"/>
    <s v="India"/>
    <s v="SYSTEUR"/>
    <s v="FTE"/>
    <s v="Ishan Gupta"/>
    <s v="Tim"/>
  </r>
  <r>
    <s v="GB_PIESUPPORT_2026"/>
    <s v="Sushruth Rudrachary"/>
    <s v="PIE and ME activities support"/>
    <s v="Tim"/>
    <s v=""/>
    <s v="N/A"/>
    <s v="LCM"/>
    <s v="CONCEPT"/>
    <s v="Personal Health"/>
    <s v="GB"/>
    <s v="PH"/>
    <s v="IL3"/>
    <n v="0.4"/>
    <x v="206"/>
    <s v="India"/>
    <s v="SYSTEUR"/>
    <s v="FTE"/>
    <s v="Ishan Gupta"/>
    <s v="Tim"/>
  </r>
  <r>
    <s v="Training - 1"/>
    <s v="NA"/>
    <s v="Trainings - QMS"/>
    <s v="All"/>
    <s v=""/>
    <s v="Trainings"/>
    <s v="Trainings"/>
    <s v="Trainings"/>
    <s v="Trainings"/>
    <s v="Trainings"/>
    <s v="Trainings"/>
    <s v="IL2"/>
    <n v="0.1"/>
    <x v="206"/>
    <s v="India"/>
    <s v="SYSTEUR"/>
    <s v="FTE"/>
    <s v="Ishan Gupta"/>
    <s v="Tim"/>
  </r>
  <r>
    <s v="Training - 2"/>
    <s v="NA"/>
    <s v="Trainings - Technical"/>
    <s v="All"/>
    <s v=""/>
    <s v="Trainings"/>
    <s v="Trainings"/>
    <s v="Trainings"/>
    <s v="Trainings"/>
    <s v="Trainings"/>
    <s v="Trainings"/>
    <s v="IL0"/>
    <n v="0.2"/>
    <x v="206"/>
    <s v="India"/>
    <s v="SYSTEUR"/>
    <s v="FTE"/>
    <s v="Ishan Gupta"/>
    <s v="Tim"/>
  </r>
  <r>
    <s v="PJ-006578"/>
    <s v="Sushruth Rudrachary"/>
    <s v="Shaving LcM"/>
    <s v="Tim"/>
    <s v=""/>
    <s v="N/A"/>
    <s v="LCM"/>
    <s v="CONCEPT"/>
    <s v="Personal Health"/>
    <s v="GB"/>
    <s v="PH"/>
    <s v="IL2"/>
    <n v="0.8"/>
    <x v="207"/>
    <s v="India"/>
    <s v="SYSTEUR"/>
    <s v="Contingent"/>
    <s v="Yogesh Shelgaonkar"/>
    <s v="Bokelman"/>
  </r>
  <r>
    <s v="RfS 272677"/>
    <s v="Sushruth Rudrachary"/>
    <s v="REGMEM AMB 554-23055 - EU - Corporate Sustainability Reporting Directive (CSRD - (EU) 2022/2464)"/>
    <s v="Tim"/>
    <s v=""/>
    <s v="N/A"/>
    <s v="LCM"/>
    <s v="CONCEPT"/>
    <s v="Personal Health"/>
    <s v="GB"/>
    <s v="PH"/>
    <s v="IL5"/>
    <n v="0.2"/>
    <x v="207"/>
    <s v="India"/>
    <s v="SYSTEUR"/>
    <s v="Contingent"/>
    <s v="Yogesh Shelgaonkar"/>
    <s v="Bokelman"/>
  </r>
  <r>
    <s v="IGTS Data Sustainability"/>
    <s v="Saravanakumar Palani"/>
    <s v="IGTS Data Sustainability Project (CSRD)"/>
    <s v="Raj"/>
    <s v=""/>
    <s v="N/A"/>
    <s v="LCM"/>
    <s v="SOURCING"/>
    <s v="Mechanical Parts &amp; Assemblies"/>
    <s v="IGT-S"/>
    <s v="IGT"/>
    <s v="IL3"/>
    <n v="1"/>
    <x v="208"/>
    <s v="India"/>
    <s v="SYSTEUR"/>
    <s v="FTE"/>
    <s v="Makarand Dharmadhikari"/>
    <s v="Raj"/>
  </r>
  <r>
    <s v="HPM_Sustaining_Monitoring_09122205"/>
    <s v="Jidhish Sidharthan_x000a_"/>
    <s v="HPM Sustaining Projects support - Monitoring"/>
    <s v="Nishant"/>
    <s v=""/>
    <s v="N/A"/>
    <s v="LCM"/>
    <s v="SOURCING"/>
    <s v="All"/>
    <s v="HPM"/>
    <s v="CC"/>
    <s v="IL3"/>
    <n v="0.5"/>
    <x v="209"/>
    <s v="India"/>
    <s v="SYSTEUR"/>
    <s v="FTE"/>
    <s v="Manoj Verma"/>
    <s v="Nishant"/>
  </r>
  <r>
    <s v="US_Funnel Activities"/>
    <s v="NA"/>
    <s v="Funnel/Business case/Technical feasibility"/>
    <s v="All"/>
    <s v=""/>
    <s v="Funnel Activities"/>
    <s v="Funnel Activities"/>
    <s v="Funnel Activities"/>
    <s v="Funnel Activities"/>
    <s v="US"/>
    <s v="PD"/>
    <s v="IL0"/>
    <n v="0.5"/>
    <x v="209"/>
    <s v="India"/>
    <s v="SYSTEUR"/>
    <s v="FTE"/>
    <s v="Manoj Verma"/>
    <s v="Nishant"/>
  </r>
  <r>
    <s v="PDTEAM631"/>
    <s v="Gourav Parab"/>
    <s v="Redesign 300008687124-X def source"/>
    <s v="Phil"/>
    <s v=""/>
    <s v="N/A"/>
    <s v="LCM"/>
    <s v="TCO"/>
    <s v="Key components &amp; Electronics"/>
    <s v="DXR"/>
    <s v="PD"/>
    <s v="IL2"/>
    <n v="1"/>
    <x v="210"/>
    <s v="India"/>
    <s v="SYSTEUR"/>
    <s v="Contingent"/>
    <s v="Bhushan Barve"/>
    <s v="Phil"/>
  </r>
  <r>
    <s v="36789"/>
    <s v="Fred Cai "/>
    <s v="Cable Localization "/>
    <s v="Phil"/>
    <s v=""/>
    <s v="PROCUREMENT"/>
    <s v="PRODUCTIVITY"/>
    <s v="SOURCING"/>
    <s v="Mechanical Parts &amp; Assemblies"/>
    <s v="IGT-S"/>
    <s v="IGT"/>
    <s v="IL2"/>
    <n v="0.2"/>
    <x v="211"/>
    <s v="China"/>
    <s v="SYSTEUR"/>
    <s v="FTE"/>
    <s v="James Pan"/>
    <s v="Phil"/>
  </r>
  <r>
    <s v="36792"/>
    <s v="Fred Cai "/>
    <s v="BD II Localization of 459800159532 ETHERNET CABLE 30M (from Prodrive to cable supplier)"/>
    <s v="Phil"/>
    <s v=""/>
    <s v="PROCUREMENT"/>
    <s v="PRODUCTIVITY"/>
    <s v="SOURCING"/>
    <s v="Key components &amp; Electronics"/>
    <s v="IGT-S"/>
    <s v="IGT"/>
    <s v="IL2"/>
    <n v="0.2"/>
    <x v="211"/>
    <s v="China"/>
    <s v="SYSTEUR"/>
    <s v="FTE"/>
    <s v="James Pan"/>
    <s v="Phil"/>
  </r>
  <r>
    <s v="35092"/>
    <s v="Fred Cai "/>
    <s v="Bobsled-Hawk GPC sourcing transfer from GMI to LCC"/>
    <s v="Phil"/>
    <s v=""/>
    <s v="PROCUREMENT"/>
    <s v="PRODUCTIVITY"/>
    <s v="SOURCING"/>
    <s v="Medical ODM Markets"/>
    <s v="CT/AMI"/>
    <s v="PD"/>
    <s v="IL2"/>
    <n v="0.2"/>
    <x v="211"/>
    <s v="China"/>
    <s v="SYSTEUR"/>
    <s v="FTE"/>
    <s v="James Pan"/>
    <s v="Phil"/>
  </r>
  <r>
    <s v="41980"/>
    <s v="Saravanakumar Palani_x000a_"/>
    <s v="Dual source of Control Modules to Grayhill Shenzhen for Best + Suzhou [BD-3]"/>
    <s v="Raj"/>
    <s v=""/>
    <s v="PROCUREMENT"/>
    <s v="PRODUCTIVITY"/>
    <s v="SOURCING"/>
    <s v="Mechanical Parts &amp; Assemblies"/>
    <s v="IGT-S"/>
    <s v="IGT"/>
    <s v="IL3"/>
    <n v="0.1"/>
    <x v="211"/>
    <s v="China"/>
    <s v="SYSTEUR"/>
    <s v="FTE"/>
    <s v="James Pan"/>
    <s v="Phil"/>
  </r>
  <r>
    <s v="PDTEAM532"/>
    <s v="Krishnaraj Kalghatgi"/>
    <s v="STET CT AMI - TCO"/>
    <s v="Phil"/>
    <s v=""/>
    <s v="TCO"/>
    <s v="LCM"/>
    <s v="SOURCING"/>
    <s v="Key components &amp; Electronics"/>
    <s v="CT/AMI"/>
    <s v="PD"/>
    <s v="IL2"/>
    <n v="0.3"/>
    <x v="211"/>
    <s v="China"/>
    <s v="SYSTEUR"/>
    <s v="FTE"/>
    <s v="James Pan"/>
    <s v="Phil"/>
  </r>
  <r>
    <s v="PDTEAM306"/>
    <s v="Kiran MR"/>
    <s v="STET Pkg COE IWD IGT-S Project Execution"/>
    <s v="Phil"/>
    <s v=""/>
    <s v="N/A"/>
    <s v="LCM"/>
    <s v="SOURCING"/>
    <s v="Mechanical Parts &amp; Assemblies"/>
    <s v="IGT-S"/>
    <s v="IGT"/>
    <s v="IL2"/>
    <n v="1"/>
    <x v="212"/>
    <s v="India"/>
    <s v="SYSTEUR"/>
    <s v="FTE"/>
    <s v="Kiran MR"/>
    <s v="Phil"/>
  </r>
  <r>
    <s v="CT/AMI_L&amp;A"/>
    <s v="N/A"/>
    <s v="MISC. ENTRY TO BALANCE WITH RESOURCE DATABASE"/>
    <s v="All"/>
    <s v=""/>
    <s v="N/A"/>
    <s v="L&amp;A"/>
    <s v="L&amp;A"/>
    <s v="L&amp;A"/>
    <s v="CT/AMI"/>
    <s v="PD"/>
    <s v="IL0"/>
    <n v="0.1"/>
    <x v="213"/>
    <s v="India"/>
    <s v="SYSTEUR"/>
    <s v="FTE"/>
    <s v="Subhankar Das"/>
    <s v="Phil"/>
  </r>
  <r>
    <s v="PDTEAM560"/>
    <s v="Damodar Sarnobat"/>
    <s v="STET CT/AMI-  LCM FRU Resolutions"/>
    <s v="Phil"/>
    <s v=""/>
    <s v="N/A"/>
    <s v="LCM"/>
    <s v="TCO"/>
    <s v="Key components &amp; Electronics"/>
    <s v="CT/AMI"/>
    <s v="PD"/>
    <s v="IL2"/>
    <n v="0.6"/>
    <x v="213"/>
    <s v="India"/>
    <s v="SYSTEUR"/>
    <s v="FTE"/>
    <s v="Subhankar Das"/>
    <s v="Phil"/>
  </r>
  <r>
    <s v="CT/AMI_Training-1"/>
    <s v="NA"/>
    <s v="Trainings"/>
    <s v="All"/>
    <s v=""/>
    <s v="Trainings"/>
    <s v="Trainings"/>
    <s v="Trainings"/>
    <s v="Trainings"/>
    <s v="CT/AMI"/>
    <s v="PD"/>
    <s v="IL0"/>
    <n v="0.1"/>
    <x v="213"/>
    <s v="India"/>
    <s v="SYSTEUR"/>
    <s v="FTE"/>
    <s v="Subhankar Das"/>
    <s v="Phil"/>
  </r>
  <r>
    <s v="PDTEAM532"/>
    <s v="Krishnaraj Kalghatgi"/>
    <s v="STET CT AMI - TCO"/>
    <s v="Phil"/>
    <s v=""/>
    <s v="TCO"/>
    <s v="LCM"/>
    <s v="SOURCING"/>
    <s v="Key components &amp; Electronics"/>
    <s v="CT/AMI"/>
    <s v="PD"/>
    <s v="IL2"/>
    <n v="0.2"/>
    <x v="213"/>
    <s v="India"/>
    <s v="SYSTEUR"/>
    <s v="FTE"/>
    <s v="Subhankar Das"/>
    <s v="Phil"/>
  </r>
  <r>
    <s v="44060"/>
    <s v="Fred Cai "/>
    <s v="BD-Sheet metal mono parts and &amp; Installation frame China localization (#26320 Gr. 3)"/>
    <s v="Phil"/>
    <s v=""/>
    <s v="PROCUREMENT"/>
    <s v="PRODUCTIVITY"/>
    <s v="SOURCING"/>
    <s v="Mechanical Parts &amp; Assemblies"/>
    <s v="IGT-S"/>
    <s v="IGT"/>
    <s v="IL2"/>
    <n v="0.5"/>
    <x v="214"/>
    <s v="China"/>
    <s v="SYSTEUR"/>
    <s v="FTE"/>
    <s v="Fred Cai"/>
    <s v="Phil"/>
  </r>
  <r>
    <s v="44059"/>
    <s v="Fred Cai "/>
    <s v="BD-Sheet metal mono parts and &amp; Installation frame China localization (#26320 Gr. 2)"/>
    <s v="Phil"/>
    <s v=""/>
    <s v="PROCUREMENT"/>
    <s v="PRODUCTIVITY"/>
    <s v="SOURCING"/>
    <s v="Mechanical Parts &amp; Assemblies"/>
    <s v="IGT-S"/>
    <s v="IGT"/>
    <s v="IL3"/>
    <n v="0.5"/>
    <x v="214"/>
    <s v="China"/>
    <s v="SYSTEUR"/>
    <s v="FTE"/>
    <s v="Fred Cai"/>
    <s v="Phil"/>
  </r>
  <r>
    <s v="LCMGBSupport"/>
    <s v="Sushruth Rudrachary"/>
    <s v="LCM shaving and grooming general support"/>
    <s v="Tim"/>
    <s v=""/>
    <s v="N/A"/>
    <s v="LCM"/>
    <s v="CONCEPT"/>
    <s v="Personal Health"/>
    <s v="GB"/>
    <s v="PH"/>
    <s v="IL2"/>
    <n v="1"/>
    <x v="215"/>
    <s v="Netherlands"/>
    <s v="SYSTEUR"/>
    <s v="FTE"/>
    <s v="Adarsh Shrivastava"/>
    <s v="Tim"/>
  </r>
  <r>
    <s v="Infinity"/>
    <s v="Sushruth Rudrachary"/>
    <s v="Project Infinity"/>
    <s v="Tim"/>
    <s v=""/>
    <s v="N/A"/>
    <s v="NPI"/>
    <s v="CONCEPT"/>
    <s v="Personal Health"/>
    <s v="GB"/>
    <s v="PH"/>
    <s v="IL2"/>
    <n v="1"/>
    <x v="216"/>
    <s v="India"/>
    <s v="SYSTEUR"/>
    <s v="Contingent"/>
    <s v="Adarsh Shrivastava"/>
    <s v="Bokelman"/>
  </r>
  <r>
    <s v="33973"/>
    <s v="Vijay Purushothaman"/>
    <s v="Nicolet Plastic Parts localization to LCC- Derisking"/>
    <s v="Phil"/>
    <s v=""/>
    <s v="PROCUREMENT"/>
    <s v="PRODUCTIVITY"/>
    <s v="SOURCING"/>
    <s v="Mechanical Parts &amp; Assemblies"/>
    <s v="MR"/>
    <s v="PD"/>
    <s v="IL3"/>
    <n v="0.2"/>
    <x v="217"/>
    <s v="India"/>
    <s v="SYSTEUR"/>
    <s v="FTE"/>
    <s v="Damodar Sarnobat"/>
    <s v="Phil"/>
  </r>
  <r>
    <s v="33508"/>
    <s v="Siddarth Shetty"/>
    <s v="Arctronics De-risking to SFO for Wrist coils family"/>
    <s v="Phil"/>
    <s v=""/>
    <s v="PROCUREMENT"/>
    <s v="PRODUCTIVITY"/>
    <s v="SOURCING"/>
    <s v="Key components &amp; Electronics"/>
    <s v="MR"/>
    <s v="PD"/>
    <s v="IL3"/>
    <n v="0.8"/>
    <x v="217"/>
    <s v="India"/>
    <s v="SYSTEUR"/>
    <s v="FTE"/>
    <s v="Damodar Sarnobat"/>
    <s v="Phil"/>
  </r>
  <r>
    <s v="MR_L&amp;A"/>
    <s v="N/A"/>
    <s v="MISC. ENTRY TO BALANCE WITH RESOURCE DATABASE"/>
    <s v="All"/>
    <s v=""/>
    <s v="N/A"/>
    <s v="L&amp;A"/>
    <s v="L&amp;A"/>
    <s v="L&amp;A"/>
    <s v="MR"/>
    <s v="PD"/>
    <s v="IL0"/>
    <n v="0.7"/>
    <x v="218"/>
    <s v="India"/>
    <s v="SYSTEUR"/>
    <s v="FTE"/>
    <s v="Kulasekhar K"/>
    <s v="Phil"/>
  </r>
  <r>
    <s v="IGT-MoS_L&amp;A"/>
    <s v="N/A"/>
    <s v="MISC. ENTRY TO BALANCE WITH RESOURCE DATABASE"/>
    <s v="All"/>
    <s v=""/>
    <s v="N/A"/>
    <s v="L&amp;A"/>
    <s v="L&amp;A"/>
    <s v="L&amp;A"/>
    <s v="IGT-MoS"/>
    <s v="IGT"/>
    <s v="IL0"/>
    <n v="0.3"/>
    <x v="218"/>
    <s v="India"/>
    <s v="SYSTEUR"/>
    <s v="FTE"/>
    <s v="Kulasekhar K"/>
    <s v="Phil"/>
  </r>
  <r>
    <s v="41142"/>
    <s v="Sushruth Rudrachary"/>
    <s v="2nd source PCBA supplier BT3 - Elin DfX Workshop 2025 BT1/BT3"/>
    <s v="Tim"/>
    <s v=""/>
    <s v="PROCUREMENT"/>
    <s v="PRODUCTIVITY"/>
    <s v="CONCEPT"/>
    <s v="Personal Health"/>
    <s v="GB"/>
    <s v="PH"/>
    <s v="IL3"/>
    <n v="0.1"/>
    <x v="219"/>
    <s v="India"/>
    <s v="SYSTEUR"/>
    <s v="FTE"/>
    <s v="Ishan Gupta"/>
    <s v="Tim"/>
  </r>
  <r>
    <s v="RTC-GRO20250801666"/>
    <s v="Sushruth Rudrachary"/>
    <s v="HLN Seal cup M4 Repeat Tool"/>
    <s v="Tim"/>
    <s v=""/>
    <s v="N/A"/>
    <s v="LCM"/>
    <s v="SOURCING"/>
    <s v="Personal Health"/>
    <s v="GB"/>
    <s v="PH"/>
    <s v="IL5"/>
    <n v="0.1"/>
    <x v="219"/>
    <s v="India"/>
    <s v="SYSTEUR"/>
    <s v="FTE"/>
    <s v="Ishan Gupta"/>
    <s v="Tim"/>
  </r>
  <r>
    <s v="RTC-GRO20250201611"/>
    <s v="Sushruth Rudrachary"/>
    <s v="Phase out AiO"/>
    <s v="Tim"/>
    <s v=""/>
    <s v="N/A"/>
    <s v="LCM"/>
    <s v="SOURCING"/>
    <s v="Personal Health"/>
    <s v="GB"/>
    <s v="PH"/>
    <s v="IL3"/>
    <n v="0.1"/>
    <x v="219"/>
    <s v="India"/>
    <s v="SYSTEUR"/>
    <s v="FTE"/>
    <s v="Ishan Gupta"/>
    <s v="Tim"/>
  </r>
  <r>
    <s v="RTC-GRO20251101679"/>
    <s v="Sushruth Rudrachary_x000a_"/>
    <s v="Tool tansfer Batam - Yeakin"/>
    <s v="Tim"/>
    <s v=""/>
    <s v="N/A"/>
    <s v="LCM"/>
    <s v="SOURCING"/>
    <s v="Personal Health"/>
    <s v="GB"/>
    <s v="PH"/>
    <s v="IL2"/>
    <n v="0.1"/>
    <x v="219"/>
    <s v="India"/>
    <s v="SYSTEUR"/>
    <s v="FTE"/>
    <s v="Ishan Gupta"/>
    <s v="Tim"/>
  </r>
  <r>
    <s v="RTC-HSH20251000718"/>
    <s v="Sushruth Rudrachary_x000a_"/>
    <s v="Sigma-Iota repeat tooling"/>
    <s v="Tim"/>
    <s v=""/>
    <s v="N/A"/>
    <s v="LCM"/>
    <s v="SOURCING"/>
    <s v="Personal Health"/>
    <s v="GB"/>
    <s v="PH"/>
    <s v="IL2"/>
    <n v="0.1"/>
    <x v="219"/>
    <s v="India"/>
    <s v="SYSTEUR"/>
    <s v="FTE"/>
    <s v="Ishan Gupta"/>
    <s v="Tim"/>
  </r>
  <r>
    <s v="RTC-HSH20251100733"/>
    <s v="Sushruth Rudrachary_x000a_"/>
    <s v="OneBlade intimate Japan"/>
    <s v="Tim"/>
    <s v=""/>
    <s v="IGM"/>
    <s v="Commercial Innovation"/>
    <s v="Commercial Innovation"/>
    <s v="Personal Health"/>
    <s v="GB"/>
    <s v="PH"/>
    <s v="IL3"/>
    <n v="0.1"/>
    <x v="219"/>
    <s v="India"/>
    <s v="SYSTEUR"/>
    <s v="FTE"/>
    <s v="Ishan Gupta"/>
    <s v="Tim"/>
  </r>
  <r>
    <s v="RTC-GRO20250601645"/>
    <s v="Sushruth Rudrachary"/>
    <s v="Reg mem AMB554-25031 China plug requirements"/>
    <s v="Tim"/>
    <s v=""/>
    <s v="N/A"/>
    <s v="LCM"/>
    <s v="CONCEPT"/>
    <s v="Personal Health"/>
    <s v="GB"/>
    <s v="PH"/>
    <s v="IL3"/>
    <n v="0.1"/>
    <x v="219"/>
    <s v="India"/>
    <s v="SYSTEUR"/>
    <s v="FTE"/>
    <s v="Ishan Gupta"/>
    <s v="Tim"/>
  </r>
  <r>
    <s v="RTC-GRO20241001577"/>
    <s v="Sushruth Rudrachary"/>
    <s v="Launch of BT1 BT3 India"/>
    <s v="Tim"/>
    <s v=""/>
    <s v="IGM"/>
    <s v="Commercial Innovation"/>
    <s v="Commercial Innovation"/>
    <s v="Personal Health"/>
    <s v="GB"/>
    <s v="PH"/>
    <s v="IL3"/>
    <n v="0.1"/>
    <x v="219"/>
    <s v="India"/>
    <s v="SYSTEUR"/>
    <s v="FTE"/>
    <s v="Ishan Gupta"/>
    <s v="Tim"/>
  </r>
  <r>
    <s v="RfS-SHA20250701909"/>
    <s v="Sushruth Rudrachary"/>
    <s v="Rfs China New AC Plug type requirements"/>
    <s v="Tim"/>
    <s v=""/>
    <s v="N/A"/>
    <s v="LCM"/>
    <s v="CONCEPT"/>
    <s v="Personal Health"/>
    <s v="GB"/>
    <s v="PH"/>
    <s v="IL3"/>
    <n v="0.1"/>
    <x v="219"/>
    <s v="India"/>
    <s v="SYSTEUR"/>
    <s v="FTE"/>
    <s v="Ishan Gupta"/>
    <s v="Tim"/>
  </r>
  <r>
    <s v="RTC-HSH20251000723"/>
    <s v="Sushruth Rudrachary_x000a_"/>
    <s v="Phase-out QP630/51 Batam"/>
    <s v="Tim"/>
    <s v=""/>
    <s v="N/A"/>
    <s v="LCM"/>
    <s v="SOURCING"/>
    <s v="Personal Health"/>
    <s v="GB"/>
    <s v="PH"/>
    <s v="IL2"/>
    <n v="0.1"/>
    <x v="219"/>
    <s v="India"/>
    <s v="SYSTEUR"/>
    <s v="FTE"/>
    <s v="Ishan Gupta"/>
    <s v="Tim"/>
  </r>
  <r>
    <s v="PJ-028050"/>
    <s v="Sushruth Rudrachary"/>
    <s v="IPL MLD/LCM - Mid End Program"/>
    <s v="Tim"/>
    <s v=""/>
    <s v="N/A"/>
    <s v="LCM"/>
    <s v="CONCEPT"/>
    <s v="Personal Health"/>
    <s v="GB"/>
    <s v="PH"/>
    <s v="IL2"/>
    <n v="1"/>
    <x v="220"/>
    <s v="India"/>
    <s v="SYSTEUR"/>
    <s v="FTE"/>
    <s v="Yogesh Shelgaonkar"/>
    <s v="Tim"/>
  </r>
  <r>
    <s v="COMP_ENG6"/>
    <s v="Vijayanand Purushothaman"/>
    <s v="PCBA Component Life Cycle Analysis"/>
    <s v="Raj"/>
    <s v=""/>
    <s v="N/A"/>
    <s v="LCM"/>
    <s v="CONCEPT"/>
    <s v="Key components &amp; Electronics"/>
    <s v="HPM"/>
    <s v="CC"/>
    <s v="IL3"/>
    <n v="0.2"/>
    <x v="221"/>
    <s v="India"/>
    <s v="SYSTEUR"/>
    <s v="FTE"/>
    <s v="Bhushan Barve"/>
    <s v="Phil"/>
  </r>
  <r>
    <s v="COMP_ENG7"/>
    <s v="Steven Mroch"/>
    <s v="PCBA Component Life Cycle Analysis"/>
    <s v="Nishant"/>
    <s v=""/>
    <s v="N/A"/>
    <s v="LCM"/>
    <s v="CONCEPT"/>
    <s v="Key components &amp; Electronics"/>
    <s v="SRC"/>
    <s v="CC"/>
    <s v="IL3"/>
    <n v="0.2"/>
    <x v="221"/>
    <s v="India"/>
    <s v="SYSTEUR"/>
    <s v="FTE"/>
    <s v="Bhushan Barve"/>
    <s v="Phil"/>
  </r>
  <r>
    <s v="PDTEAM420"/>
    <s v="Srinivas, M.V.D "/>
    <s v="PCBA Health IGTD"/>
    <s v="Phil"/>
    <s v=""/>
    <s v="N/A"/>
    <s v="LCM"/>
    <s v="SOURCING"/>
    <s v="Key components &amp; Electronics"/>
    <s v="IGT-D"/>
    <s v="IGT"/>
    <s v="IL2"/>
    <n v="0.6"/>
    <x v="221"/>
    <s v="India"/>
    <s v="SYSTEUR"/>
    <s v="FTE"/>
    <s v="Bhushan Barve"/>
    <s v="Phil"/>
  </r>
  <r>
    <s v="LCMGBSupport"/>
    <s v="Sushruth Rudrachary"/>
    <s v="LCM shaving and grooming general support"/>
    <s v="Tim"/>
    <s v=""/>
    <s v="N/A"/>
    <s v="LCM"/>
    <s v="CONCEPT"/>
    <s v="Personal Health"/>
    <s v="GB"/>
    <s v="PH"/>
    <s v="IL2"/>
    <n v="1"/>
    <x v="222"/>
    <s v="India"/>
    <s v="SYSTEUR"/>
    <s v="Contingent"/>
    <s v="Adarsh Shrivastava"/>
    <s v="Bokelman"/>
  </r>
  <r>
    <s v="PDTEAM515"/>
    <s v="Avinash Gosavi "/>
    <s v="STET MR C&amp;C Project Support Electrical "/>
    <s v="Phil"/>
    <s v=""/>
    <s v="N/A"/>
    <s v="LCM"/>
    <s v="CONCEPT"/>
    <s v="Key components &amp; Electronics"/>
    <s v="MR"/>
    <s v="PD"/>
    <s v="IL2"/>
    <n v="1"/>
    <x v="223"/>
    <s v="India"/>
    <s v="SYSTEUR"/>
    <s v="Contingent"/>
    <s v="Avinash Gosavi"/>
    <s v="Phil"/>
  </r>
  <r>
    <s v="USM2025"/>
    <s v="Sushruth Rudrachary"/>
    <s v="User Manual Content Creation"/>
    <s v="Tim"/>
    <s v=""/>
    <s v="N/A"/>
    <s v="LCM"/>
    <s v="CONCEPT"/>
    <s v="Personal Health"/>
    <s v="GB"/>
    <s v="PH"/>
    <s v="IL3"/>
    <n v="1"/>
    <x v="224"/>
    <s v="India"/>
    <s v="SYSTEUR"/>
    <s v="Contingent"/>
    <s v="Kamal Singh"/>
    <s v="Bokelman"/>
  </r>
  <r>
    <s v="US-Trans_Funnel Activities"/>
    <s v="NA"/>
    <s v="Funnel/Business case/Technical feasibility"/>
    <s v="All"/>
    <s v=""/>
    <s v="Funnel Activities"/>
    <s v="Funnel Activities"/>
    <s v="Funnel Activities"/>
    <s v="Funnel Activities"/>
    <s v="US-Trans"/>
    <s v="PD"/>
    <s v="IL0"/>
    <n v="0.6"/>
    <x v="225"/>
    <s v="India"/>
    <s v="SYSTEUR"/>
    <s v="FTE"/>
    <s v="Steven Mroch"/>
    <s v="Nishant"/>
  </r>
  <r>
    <s v="39474"/>
    <s v="Steven Mroch"/>
    <s v="Marvel_C5-1, L12-3MVT Cable - Enable Sumitomo Vietnam factory"/>
    <s v="Nishant"/>
    <s v=""/>
    <s v="TCO"/>
    <s v="PRODUCTIVITY"/>
    <s v="TCO"/>
    <s v="Key components &amp; Electronics"/>
    <s v="US-Trans"/>
    <s v="PD"/>
    <s v="IL4"/>
    <n v="0.4"/>
    <x v="225"/>
    <s v="India"/>
    <s v="SYSTEUR"/>
    <s v="FTE"/>
    <s v="Steven Mroch"/>
    <s v="Nishant"/>
  </r>
  <r>
    <s v="PDTEAM313"/>
    <s v="MR Kiran "/>
    <s v="Factory Best PV remediation"/>
    <s v="Phil"/>
    <s v=""/>
    <s v="N/A"/>
    <s v="LCM"/>
    <s v="TCO"/>
    <s v="Mechanical Parts &amp; Assemblies"/>
    <s v="MR"/>
    <s v="PD"/>
    <s v="IL2"/>
    <n v="1"/>
    <x v="226"/>
    <s v="India"/>
    <s v="SYSTEUR"/>
    <s v="FTE"/>
    <s v="Kiran MR"/>
    <s v="Phil"/>
  </r>
  <r>
    <s v="SRC_27112025"/>
    <s v="Steven Mroch"/>
    <s v="Moog Motor Transfer"/>
    <s v="Nishant"/>
    <s v=""/>
    <s v="PROCUREMENT"/>
    <s v="PRODUCTIVITY"/>
    <s v="CONCEPT"/>
    <s v="Key components &amp; Electronics"/>
    <s v="SRC"/>
    <s v="CC"/>
    <s v="IL0"/>
    <n v="0.5"/>
    <x v="227"/>
    <s v="India"/>
    <s v="SYSTEUR"/>
    <s v="FTE"/>
    <s v="Steven Mroch"/>
    <s v="Nishant"/>
  </r>
  <r>
    <s v="SRC_Funnel Activities"/>
    <s v="NA"/>
    <s v="Funnel/Business case/Technical feasibility"/>
    <s v="All"/>
    <s v=""/>
    <s v="Funnel Activities"/>
    <s v="Funnel Activities"/>
    <s v="Funnel Activities"/>
    <s v="Funnel Activities"/>
    <s v="SRC"/>
    <s v="CC"/>
    <s v="IL0"/>
    <n v="0.5"/>
    <x v="227"/>
    <s v="India"/>
    <s v="SYSTEUR"/>
    <s v="FTE"/>
    <s v="Steven Mroch"/>
    <s v="Nishant"/>
  </r>
  <r>
    <s v="LCMGBSupport"/>
    <s v="Sushruth Rudrachary"/>
    <s v="LCM shaving and grooming general support"/>
    <s v="Tim"/>
    <s v=""/>
    <s v="N/A"/>
    <s v="LCM"/>
    <s v="CONCEPT"/>
    <s v="Personal Health"/>
    <s v="GB"/>
    <s v="PH"/>
    <s v="IL2"/>
    <n v="1"/>
    <x v="228"/>
    <s v="India"/>
    <s v="SYSTEUR"/>
    <s v="FTE"/>
    <s v="Adarsh Shrivastava"/>
    <s v="Tim"/>
  </r>
  <r>
    <s v="PD - IC L&amp;A"/>
    <s v="Adrianna"/>
    <s v="PD - IC L&amp;A Allocations"/>
    <s v="Phil"/>
    <s v=""/>
    <s v="N/A"/>
    <s v="L&amp;A"/>
    <s v="L&amp;A"/>
    <s v="N/A"/>
    <s v="IC"/>
    <s v="PD"/>
    <s v="IL3"/>
    <n v="0.2"/>
    <x v="229"/>
    <s v="India"/>
    <s v="SYSTEUR"/>
    <s v="FTE"/>
    <s v="Phil Jenkins"/>
    <s v="Phil"/>
  </r>
  <r>
    <s v="CT/AMI_L&amp;A"/>
    <s v="N/A"/>
    <s v="MISC. ENTRY TO BALANCE WITH RESOURCE DATABASE"/>
    <s v="All"/>
    <s v=""/>
    <s v="N/A"/>
    <s v="L&amp;A"/>
    <s v="L&amp;A"/>
    <s v="L&amp;A"/>
    <s v="CT/AMI"/>
    <s v="PD"/>
    <s v="IL0"/>
    <n v="0.2"/>
    <x v="229"/>
    <s v="India"/>
    <s v="SYSTEUR"/>
    <s v="FTE"/>
    <s v="Phil Jenkins"/>
    <s v="Phil"/>
  </r>
  <r>
    <s v="MR_L&amp;A"/>
    <s v="N/A"/>
    <s v="MISC. ENTRY TO BALANCE WITH RESOURCE DATABASE"/>
    <s v="All"/>
    <s v=""/>
    <s v="N/A"/>
    <s v="L&amp;A"/>
    <s v="L&amp;A"/>
    <s v="L&amp;A"/>
    <s v="MR"/>
    <s v="PD"/>
    <s v="IL0"/>
    <n v="0.3"/>
    <x v="229"/>
    <s v="India"/>
    <s v="SYSTEUR"/>
    <s v="FTE"/>
    <s v="Phil Jenkins"/>
    <s v="Phil"/>
  </r>
  <r>
    <s v="DXR_L&amp;A"/>
    <s v="N/A"/>
    <s v="MISC. ENTRY TO BALANCE WITH RESOURCE DATABASE"/>
    <s v="All"/>
    <s v=""/>
    <s v="N/A"/>
    <s v="L&amp;A"/>
    <s v="L&amp;A"/>
    <s v="L&amp;A"/>
    <s v="DXR"/>
    <s v="PD"/>
    <s v="IL0"/>
    <n v="0.3"/>
    <x v="229"/>
    <s v="India"/>
    <s v="SYSTEUR"/>
    <s v="FTE"/>
    <s v="Phil Jenkins"/>
    <s v="Phil"/>
  </r>
  <r>
    <s v="PDTEAM313"/>
    <s v="MR Kiran "/>
    <s v="Factory Best PV remediation"/>
    <s v="Phil"/>
    <s v=""/>
    <s v="N/A"/>
    <s v="LCM"/>
    <s v="TCO"/>
    <s v="Mechanical Parts &amp; Assemblies"/>
    <s v="MR"/>
    <s v="PD"/>
    <s v="IL2"/>
    <n v="1"/>
    <x v="230"/>
    <s v="India"/>
    <s v="SYSTEUR"/>
    <s v="FTE"/>
    <s v="Kiran MR"/>
    <s v="Phil"/>
  </r>
  <r>
    <s v="42094"/>
    <s v="Fred Cai "/>
    <s v="Gust 1.5T Bridge solution coil package"/>
    <s v="Phil"/>
    <s v=""/>
    <s v="PROCUREMENT"/>
    <s v="NPI"/>
    <s v="SOURCING"/>
    <s v="Mechanical Parts &amp; Assemblies"/>
    <s v="MR"/>
    <s v="PD"/>
    <s v="IL2"/>
    <n v="0.7"/>
    <x v="231"/>
    <s v="China"/>
    <s v="SYSTEUR"/>
    <s v="FTE"/>
    <s v="Thomas Liu"/>
    <s v="Phil"/>
  </r>
  <r>
    <s v="41060"/>
    <s v="Fred Cai "/>
    <s v="Gust 3.0T NPI"/>
    <s v="Phil"/>
    <s v=""/>
    <s v="PROCUREMENT"/>
    <s v="PRODUCTIVITY"/>
    <s v="CONCEPT"/>
    <s v="Key components &amp; Electronics"/>
    <s v="MR"/>
    <s v="PD"/>
    <s v="IL1"/>
    <n v="0.3"/>
    <x v="231"/>
    <s v="China"/>
    <s v="SYSTEUR"/>
    <s v="FTE"/>
    <s v="Thomas Liu"/>
    <s v="Phil"/>
  </r>
  <r>
    <s v="ART-India"/>
    <s v="Vijayanand Purushothaman"/>
    <s v="LCM Support for India"/>
    <s v="Raj"/>
    <s v=""/>
    <s v="N/A"/>
    <s v="LCM"/>
    <s v="SOURCING"/>
    <s v="Mechanical Parts &amp; Assemblies"/>
    <s v="IGT-S"/>
    <s v="IGT"/>
    <s v="IL3"/>
    <n v="1"/>
    <x v="232"/>
    <s v="India"/>
    <s v="SYSTEUR"/>
    <s v="FTE"/>
    <s v="Manish Sharma"/>
    <s v="Raj"/>
  </r>
  <r>
    <s v="36654"/>
    <s v="Matt Morse"/>
    <s v="Capture Productivity Savings - PV035 Y-arm mold transfer to Viant"/>
    <s v="Nishant"/>
    <s v=""/>
    <s v="PROCUREMENT"/>
    <s v="PRODUCTIVITY"/>
    <s v="SOURCING"/>
    <s v="Mechanical Parts &amp; Assemblies"/>
    <s v="IGT-D"/>
    <s v="IGT"/>
    <s v="IL3"/>
    <n v="0.2"/>
    <x v="233"/>
    <s v="India"/>
    <s v="SYSTEUR"/>
    <s v="FTE"/>
    <s v="Steven Mroch"/>
    <s v="Nishant"/>
  </r>
  <r>
    <s v="SICR20240822008C"/>
    <s v="Kyle  Undesser"/>
    <s v="SICR20240822008C_Legal name change_ADVANSOURCE BIO"/>
    <s v="Nishant"/>
    <s v=""/>
    <s v="N/A"/>
    <s v="AOS"/>
    <s v="SOURCING"/>
    <s v="Mechanical Parts &amp; Assemblies"/>
    <s v="IGT-D"/>
    <s v="IGT"/>
    <s v="IL5"/>
    <n v="0.2"/>
    <x v="233"/>
    <s v="India"/>
    <s v="SYSTEUR"/>
    <s v="FTE"/>
    <s v="Steven Mroch"/>
    <s v="Nishant"/>
  </r>
  <r>
    <s v="SICR20231024001B"/>
    <s v="Kyle  Undesser"/>
    <s v="SICR20231024001B_Legal name change_METROFORM"/>
    <s v="Nishant"/>
    <s v=""/>
    <s v="N/A"/>
    <s v="LCM"/>
    <s v="SOURCING"/>
    <s v="Mechanical Parts &amp; Assemblies"/>
    <s v="IGT-D"/>
    <s v="IGT"/>
    <s v="IL4"/>
    <n v="0.2"/>
    <x v="233"/>
    <s v="India"/>
    <s v="SYSTEUR"/>
    <s v="FTE"/>
    <s v="Steven Mroch"/>
    <s v="Nishant"/>
  </r>
  <r>
    <s v="23170"/>
    <s v="Matt Morse"/>
    <s v="PV.035 RO Coil Material Change"/>
    <s v="Nishant"/>
    <s v=""/>
    <s v="PROCUREMENT"/>
    <s v="PRODUCTIVITY"/>
    <s v="CONCEPT"/>
    <s v="Mechanical Parts &amp; Assemblies"/>
    <s v="IGT-D"/>
    <s v="IGT"/>
    <s v="IL3"/>
    <n v="0.2"/>
    <x v="233"/>
    <s v="India"/>
    <s v="SYSTEUR"/>
    <s v="FTE"/>
    <s v="Steven Mroch"/>
    <s v="Nishant"/>
  </r>
  <r>
    <s v="33518"/>
    <s v="Matt Morse"/>
    <s v="Luer Resourcing (DGI to LLS)"/>
    <s v="Nishant"/>
    <s v=""/>
    <s v="PROCUREMENT"/>
    <s v="PRODUCTIVITY"/>
    <s v="SOURCING"/>
    <s v="Mechanical Parts &amp; Assemblies"/>
    <s v="IGT-D"/>
    <s v="IGT"/>
    <s v="IL3"/>
    <n v="0.2"/>
    <x v="233"/>
    <s v="India"/>
    <s v="SYSTEUR"/>
    <s v="FTE"/>
    <s v="Steven Mroch"/>
    <s v="Nishant"/>
  </r>
  <r>
    <s v="RfS-SHA20250401870"/>
    <s v="Sushruth Rudrachary"/>
    <s v="New Product Launch Phoenix X9002 10 Japan"/>
    <s v="Tim"/>
    <s v=""/>
    <s v="N/A"/>
    <s v="LCM"/>
    <s v="CONCEPT"/>
    <s v="Personal Health"/>
    <s v="GB"/>
    <s v="PH"/>
    <s v="IL5"/>
    <n v="1"/>
    <x v="234"/>
    <s v="India"/>
    <s v="SYSTEUR"/>
    <s v="FTE"/>
    <s v="Kamal Singh"/>
    <s v="Tim"/>
  </r>
  <r>
    <s v="PDTEAM133"/>
    <s v="Tiger Xiao"/>
    <s v="Nexha NPI"/>
    <s v="Phil"/>
    <s v=""/>
    <s v="N/A"/>
    <s v="NPI"/>
    <s v="CONCEPT"/>
    <s v="Key components &amp; Electronics"/>
    <s v="US-Trans"/>
    <s v="PD"/>
    <s v="IL1"/>
    <n v="1"/>
    <x v="235"/>
    <s v="China"/>
    <s v="SYSTEUR"/>
    <s v="FTE"/>
    <s v="Sam Zhao"/>
    <s v="Phil"/>
  </r>
  <r>
    <s v="CR0110375"/>
    <s v="Charles Moses"/>
    <s v="Design changes for HACB"/>
    <s v="Nishant"/>
    <s v=""/>
    <s v="N/A"/>
    <s v="LCM"/>
    <s v="SOURCING"/>
    <s v="Key components &amp; Electronics"/>
    <s v="US"/>
    <s v="PD"/>
    <s v="IL2"/>
    <n v="1"/>
    <x v="236"/>
    <s v="India"/>
    <s v="SYSTEUR"/>
    <s v="Contingent"/>
    <s v="Bhushan Barve"/>
    <s v="Phil"/>
  </r>
  <r>
    <s v="SYNCIGTS"/>
    <s v="Saravanakumar Palani"/>
    <s v="Synchronize Projects Funnel Maturity"/>
    <s v="Raj"/>
    <s v=""/>
    <s v="N/A"/>
    <s v="LCM"/>
    <s v="CONCEPT"/>
    <s v="Mechanical Parts &amp; Assemblies"/>
    <s v="IGT-S"/>
    <s v="IGT"/>
    <s v="IL0"/>
    <n v="0.4"/>
    <x v="237"/>
    <s v="India"/>
    <s v="SYSTEUR"/>
    <s v="FTE"/>
    <s v="Makarand Dharmadhikari"/>
    <s v="Raj"/>
  </r>
  <r>
    <s v="DOCOMP"/>
    <s v="Saravanakumar Palani"/>
    <s v="3rd Party Compitibilities"/>
    <s v="Raj"/>
    <s v=""/>
    <s v="N/A"/>
    <s v="LCM"/>
    <s v="SOURCING"/>
    <s v="Mechanical Parts &amp; Assemblies"/>
    <s v="IGT-S"/>
    <s v="IGT"/>
    <s v="IL5"/>
    <n v="0.6"/>
    <x v="237"/>
    <s v="India"/>
    <s v="SYSTEUR"/>
    <s v="FTE"/>
    <s v="Makarand Dharmadhikari"/>
    <s v="Raj"/>
  </r>
  <r>
    <s v="PDTEAM421"/>
    <s v="Srinivas, M.V.D "/>
    <s v="STET DXR HW LCM CQ - Mechanical"/>
    <s v="Phil"/>
    <s v=""/>
    <s v="N/A"/>
    <s v="LCM"/>
    <s v="SOURCING"/>
    <s v="Mechanical Parts &amp; Assemblies"/>
    <s v="DXR"/>
    <s v="PD"/>
    <s v="IL2"/>
    <n v="0.4"/>
    <x v="238"/>
    <s v="India"/>
    <s v="SYSTEUR"/>
    <s v="FTE"/>
    <s v="Kulasekhar K"/>
    <s v="Phil"/>
  </r>
  <r>
    <s v="PDTEAM415"/>
    <s v="Srinivas, M.V.D "/>
    <s v="PCBA Health DXR"/>
    <s v="Phil"/>
    <s v=""/>
    <s v="N/A"/>
    <s v="LCM"/>
    <s v="SOURCING"/>
    <s v="Key components &amp; Electronics"/>
    <s v="DXR"/>
    <s v="PD"/>
    <s v="IL2"/>
    <n v="0.4"/>
    <x v="238"/>
    <s v="India"/>
    <s v="SYSTEUR"/>
    <s v="FTE"/>
    <s v="Kulasekhar K"/>
    <s v="Phil"/>
  </r>
  <r>
    <s v="DXR_L&amp;A"/>
    <s v="N/A"/>
    <s v="MISC. ENTRY TO BALANCE WITH RESOURCE DATABASE"/>
    <s v="All"/>
    <s v=""/>
    <s v="N/A"/>
    <s v="L&amp;A"/>
    <s v="L&amp;A"/>
    <s v="L&amp;A"/>
    <s v="DXR"/>
    <s v="PD"/>
    <s v="IL0"/>
    <n v="0.2"/>
    <x v="238"/>
    <s v="India"/>
    <s v="SYSTEUR"/>
    <s v="FTE"/>
    <s v="Kulasekhar K"/>
    <s v="Phil"/>
  </r>
  <r>
    <s v="CAPA 3228745 Spike"/>
    <s v="Saravanakumar Palani"/>
    <s v="verification and validation of MCS monitor assemblty  test with FEA simulation"/>
    <s v="Raj"/>
    <s v=""/>
    <s v="N/A"/>
    <s v="LCM"/>
    <s v="SOURCING"/>
    <s v="Mechanical Parts &amp; Assemblies"/>
    <s v="IGT-S"/>
    <s v="IGT"/>
    <s v="IL5"/>
    <n v="0.5"/>
    <x v="239"/>
    <s v="India"/>
    <s v="SYSTEUR"/>
    <s v="FTE"/>
    <s v="Makarand Dharmadhikari"/>
    <s v="Raj"/>
  </r>
  <r>
    <s v="38253"/>
    <s v="Saravanakumar Palani"/>
    <s v="Re-use of frames_(Europe Scope Phase II)"/>
    <s v="Raj"/>
    <s v=""/>
    <s v="PROCUREMENT"/>
    <s v="PRODUCTIVITY"/>
    <s v="SOURCING"/>
    <s v="Mechanical Parts &amp; Assemblies"/>
    <s v="IGT-S"/>
    <s v="IGT"/>
    <s v="IL3"/>
    <n v="0.5"/>
    <x v="239"/>
    <s v="India"/>
    <s v="SYSTEUR"/>
    <s v="FTE"/>
    <s v="Makarand Dharmadhikari"/>
    <s v="Raj"/>
  </r>
  <r>
    <s v="PJ-026520"/>
    <s v="Sushruth Rudrachary"/>
    <s v="IPL S7/8/9 Sunstone 2022-2023 GL - PDLM (2) Sunstone"/>
    <s v="Tim"/>
    <s v=""/>
    <s v="N/A"/>
    <s v="LCM"/>
    <s v="CONCEPT"/>
    <s v="Personal Health"/>
    <s v="GB"/>
    <s v="PH"/>
    <s v="IL2"/>
    <n v="1"/>
    <x v="240"/>
    <s v="India"/>
    <s v="SYSTEUR"/>
    <s v="FTE"/>
    <s v="Yogesh Shelgaonkar"/>
    <s v="Tim"/>
  </r>
  <r>
    <s v="PJ-028049"/>
    <s v="Sushruth Rudrachary"/>
    <s v="IPL MLD/LCM - High End Technical"/>
    <s v="Tim"/>
    <s v=""/>
    <s v="N/A"/>
    <s v="LCM"/>
    <s v="CONCEPT"/>
    <s v="Personal Health"/>
    <s v="GB"/>
    <s v="PH"/>
    <s v="IL2"/>
    <n v="0.5"/>
    <x v="241"/>
    <s v="India"/>
    <s v="SYSTEUR"/>
    <s v="FTE"/>
    <s v="Pramila Mote"/>
    <s v="Tim"/>
  </r>
  <r>
    <s v="PJ-009562"/>
    <s v="Sushruth Rudrachary"/>
    <s v="1Grooming LcM"/>
    <s v="Tim"/>
    <s v=""/>
    <s v="N/A"/>
    <s v="LCM"/>
    <s v="CONCEPT"/>
    <s v="Personal Health"/>
    <s v="GB"/>
    <s v="PH"/>
    <s v="IL2"/>
    <n v="0.5"/>
    <x v="241"/>
    <s v="India"/>
    <s v="SYSTEUR"/>
    <s v="FTE"/>
    <s v="Pramila Mote"/>
    <s v="Tim"/>
  </r>
  <r>
    <s v="ART-India"/>
    <s v="Vijayanand Purushothaman"/>
    <s v="LCM Support for India"/>
    <s v="Raj"/>
    <s v=""/>
    <s v="N/A"/>
    <s v="LCM"/>
    <s v="SOURCING"/>
    <s v="Mechanical Parts &amp; Assemblies"/>
    <s v="IGT-S"/>
    <s v="IGT"/>
    <s v="IL3"/>
    <n v="1"/>
    <x v="242"/>
    <s v="India"/>
    <s v="SYSTEUR"/>
    <s v="FTE"/>
    <s v="Makarand Dharmadhikari"/>
    <s v="Raj"/>
  </r>
  <r>
    <s v="RfS-SHA20251101986"/>
    <s v="Sushruth Rudrachary_x000a_"/>
    <s v="PO Q3 Q4 2026 Japan and Korea S9, S8"/>
    <s v="Tim"/>
    <s v=""/>
    <s v="N/A"/>
    <s v="LCM"/>
    <s v="SOURCING"/>
    <s v="Key components &amp; Electronics"/>
    <s v="GB"/>
    <s v="PH"/>
    <s v="IL3"/>
    <n v="0.1"/>
    <x v="243"/>
    <s v="India"/>
    <s v="SYSTEUR"/>
    <s v="FTE"/>
    <s v="Ishan Gupta"/>
    <s v="Bokelman"/>
  </r>
  <r>
    <s v="RfS-SHA20251001977"/>
    <s v="Sushruth Rudrachary_x000a_"/>
    <s v="PO S9647-37, SP9XX, X5102_10 CHINA Q4 2026"/>
    <s v="Tim"/>
    <s v=""/>
    <s v="N/A"/>
    <s v="LCM"/>
    <s v="SOURCING"/>
    <s v="Personal Health"/>
    <s v="GB"/>
    <s v="PH"/>
    <s v="IL3"/>
    <n v="0.1"/>
    <x v="243"/>
    <s v="India"/>
    <s v="SYSTEUR"/>
    <s v="FTE"/>
    <s v="Ishan Gupta"/>
    <s v="Bokelman"/>
  </r>
  <r>
    <s v="RfS-SHA20251101987"/>
    <s v="Sushruth Rudrachary_x000a_"/>
    <s v="PO Q4 2026 US SH50, SP9, S9"/>
    <s v="Tim"/>
    <s v=""/>
    <s v="N/A"/>
    <s v="LCM"/>
    <s v="SOURCING"/>
    <s v="Key components &amp; Electronics"/>
    <s v="GB"/>
    <s v="PH"/>
    <s v="IL3"/>
    <n v="0.1"/>
    <x v="243"/>
    <s v="India"/>
    <s v="SYSTEUR"/>
    <s v="FTE"/>
    <s v="Ishan Gupta"/>
    <s v="Bokelman"/>
  </r>
  <r>
    <s v="RfS-SHA20251001970"/>
    <s v="Sushruth Rudrachary_x000a_"/>
    <s v="AW update S7886_84 S7887_ 82 US towards Phoenix packaging platform"/>
    <s v="Tim"/>
    <s v=""/>
    <s v="N/A"/>
    <s v="LCM"/>
    <s v="CONCEPT"/>
    <s v="Mechanical Parts &amp; Assemblies"/>
    <s v="GB"/>
    <s v="PH"/>
    <s v="IL3"/>
    <n v="0.1"/>
    <x v="243"/>
    <s v="India"/>
    <s v="SYSTEUR"/>
    <s v="FTE"/>
    <s v="Ishan Gupta"/>
    <s v="Bokelman"/>
  </r>
  <r>
    <s v="RfS-SHA20251101994"/>
    <s v="Sushruth Rudrachary_x000a_"/>
    <s v="PO Q4 2026, SP98XX - CN &amp; US"/>
    <s v="Tim"/>
    <s v=""/>
    <s v="N/A"/>
    <s v="LCM"/>
    <s v="SOURCING"/>
    <s v="Personal Health"/>
    <s v="GB"/>
    <s v="PH"/>
    <s v="IL3"/>
    <n v="0.1"/>
    <x v="243"/>
    <s v="India"/>
    <s v="SYSTEUR"/>
    <s v="FTE"/>
    <s v="Ishan Gupta"/>
    <s v="Bokelman"/>
  </r>
  <r>
    <s v="RfS-SHA20250901950"/>
    <s v="Sushruth Rudrachary"/>
    <s v="Rfs Transfer TS811 to TS201 and TS818"/>
    <s v="Tim"/>
    <s v=""/>
    <s v="IGM"/>
    <s v="Commercial Innovation"/>
    <s v="Commercial Innovation"/>
    <s v="Personal Health"/>
    <s v="GB"/>
    <s v="PH"/>
    <s v="IL3"/>
    <n v="0.1"/>
    <x v="243"/>
    <s v="India"/>
    <s v="SYSTEUR"/>
    <s v="FTE"/>
    <s v="Ishan Gupta"/>
    <s v="Bokelman"/>
  </r>
  <r>
    <s v="RfS-SHA20250801942"/>
    <s v="Sushruth Rudrachary"/>
    <s v="AW update S5880_81 US to match Phoenix packaging platform"/>
    <s v="Tim"/>
    <s v=""/>
    <s v="N/A"/>
    <s v="LCM"/>
    <s v="CONCEPT"/>
    <s v="Personal Health"/>
    <s v="GB"/>
    <s v="PH"/>
    <s v="IL3"/>
    <n v="0.1"/>
    <x v="243"/>
    <s v="India"/>
    <s v="SYSTEUR"/>
    <s v="FTE"/>
    <s v="Ishan Gupta"/>
    <s v="Bokelman"/>
  </r>
  <r>
    <s v="RfS-SHA20250701930"/>
    <s v="Sushruth Rudrachary"/>
    <s v="RfS - Taiwan packaging recycle marks and registration"/>
    <s v="Tim"/>
    <s v=""/>
    <s v="N/A"/>
    <s v="LCM"/>
    <s v="CONCEPT"/>
    <s v="Personal Health"/>
    <s v="GB"/>
    <s v="PH"/>
    <s v="IL3"/>
    <n v="0.1"/>
    <x v="243"/>
    <s v="India"/>
    <s v="SYSTEUR"/>
    <s v="FTE"/>
    <s v="Ishan Gupta"/>
    <s v="Bokelman"/>
  </r>
  <r>
    <s v="RfS-SHA20250801941"/>
    <s v="Sushruth Rudrachary_x000a_"/>
    <s v="Rfs Process change from Tampo print to ink jet print for Atalas Front panel"/>
    <s v="Tim"/>
    <s v=""/>
    <s v="PROCUREMENT"/>
    <s v="PRODUCTIVITY"/>
    <s v="FCP"/>
    <s v="Mechanical Parts &amp; Assemblies"/>
    <s v="GB"/>
    <s v="PH"/>
    <s v="IL3"/>
    <n v="0.1"/>
    <x v="243"/>
    <s v="India"/>
    <s v="SYSTEUR"/>
    <s v="FTE"/>
    <s v="Ishan Gupta"/>
    <s v="Bokelman"/>
  </r>
  <r>
    <s v="RfS-SHA20250801937"/>
    <s v="Sushruth Rudrachary"/>
    <s v="RfS Obs resolution S9606 US rework for US"/>
    <s v="Tim"/>
    <s v=""/>
    <s v="IGM"/>
    <s v="Commercial Innovation"/>
    <s v="Commercial Innovation"/>
    <s v="Personal Health"/>
    <s v="GB"/>
    <s v="PH"/>
    <s v="IL2"/>
    <n v="0.1"/>
    <x v="243"/>
    <s v="India"/>
    <s v="SYSTEUR"/>
    <s v="FTE"/>
    <s v="Ishan Gupta"/>
    <s v="Bokelman"/>
  </r>
  <r>
    <s v="33632"/>
    <s v="Sushruth Rudrachary"/>
    <s v="Sunstone - Adaptor 2nd source - Iskra+PZH"/>
    <s v="Tim"/>
    <s v=""/>
    <s v="PROCUREMENT"/>
    <s v="PRODUCTIVITY"/>
    <s v="SOURCING"/>
    <s v="Personal Health"/>
    <s v="GB"/>
    <s v="PH"/>
    <s v="IL3"/>
    <n v="0.3"/>
    <x v="244"/>
    <s v="India"/>
    <s v="SYSTEUR"/>
    <s v="FTE"/>
    <s v="Dayal Mirthinti"/>
    <s v="Tim"/>
  </r>
  <r>
    <s v="40662"/>
    <s v="Sushruth Rudrachary"/>
    <s v="Sunstone Trigger Button and attachment PCBA Dual Source"/>
    <s v="Tim"/>
    <s v=""/>
    <s v="PROCUREMENT"/>
    <s v="PRODUCTIVITY"/>
    <s v="SOURCING"/>
    <s v="Key components &amp; Electronics"/>
    <s v="GB"/>
    <s v="PH"/>
    <s v="IL3"/>
    <n v="0.3"/>
    <x v="244"/>
    <s v="India"/>
    <s v="SYSTEUR"/>
    <s v="FTE"/>
    <s v="Dayal Mirthinti"/>
    <s v="Tim"/>
  </r>
  <r>
    <s v="33875"/>
    <s v="Sushruth Rudrachary"/>
    <s v="Sunstone - PCBAs 2nd source + alternative EE"/>
    <s v="Tim"/>
    <s v=""/>
    <s v="PROCUREMENT"/>
    <s v="PRODUCTIVITY"/>
    <s v="SOURCING"/>
    <s v="Personal Health"/>
    <s v="GB"/>
    <s v="PH"/>
    <s v="IL3"/>
    <n v="0.4"/>
    <x v="244"/>
    <s v="India"/>
    <s v="SYSTEUR"/>
    <s v="FTE"/>
    <s v="Dayal Mirthinti"/>
    <s v="Tim"/>
  </r>
  <r>
    <s v="23170"/>
    <s v="Matt Morse"/>
    <s v="PV.035 RO Coil Material Change"/>
    <s v="Nishant"/>
    <s v=""/>
    <s v="PROCUREMENT"/>
    <s v="PRODUCTIVITY"/>
    <s v="CONCEPT"/>
    <s v="Mechanical Parts &amp; Assemblies"/>
    <s v="IGT-D"/>
    <s v="IGT"/>
    <s v="IL3"/>
    <n v="1"/>
    <x v="245"/>
    <s v="India"/>
    <s v="SYSTEUR"/>
    <s v="FTE"/>
    <s v="Satheesh Nair"/>
    <s v="Nishant"/>
  </r>
  <r>
    <s v="IGT-S_L&amp;A"/>
    <s v="N/A"/>
    <s v="MISC. ENTRY TO BALANCE WITH RESOURCE DATABASE"/>
    <s v="All"/>
    <s v=""/>
    <s v="N/A"/>
    <s v="L&amp;A"/>
    <s v="L&amp;A"/>
    <s v="L&amp;A"/>
    <s v="IGT-S"/>
    <s v="IGT"/>
    <s v="IL0"/>
    <n v="1"/>
    <x v="246"/>
    <s v="India"/>
    <s v="SYSTEUR"/>
    <s v="FTE"/>
    <s v="Chinnaraja Pon S"/>
    <s v="Raj"/>
  </r>
  <r>
    <s v="33632"/>
    <s v="Sushruth Rudrachary"/>
    <s v="Sunstone - Adaptor 2nd source - Iskra+PZH"/>
    <s v="Tim"/>
    <s v=""/>
    <s v="PROCUREMENT"/>
    <s v="PRODUCTIVITY"/>
    <s v="SOURCING"/>
    <s v="Personal Health"/>
    <s v="GB"/>
    <s v="PH"/>
    <s v="IL3"/>
    <n v="0.2"/>
    <x v="247"/>
    <s v="India"/>
    <s v="SYSTEUR"/>
    <s v="FTE"/>
    <s v="Sushruth Rudrachary"/>
    <s v="Tim"/>
  </r>
  <r>
    <s v="40662"/>
    <s v="Sushruth Rudrachary"/>
    <s v="Sunstone Trigger Button and attachment PCBA Dual Source"/>
    <s v="Tim"/>
    <s v=""/>
    <s v="PROCUREMENT"/>
    <s v="PRODUCTIVITY"/>
    <s v="SOURCING"/>
    <s v="Key components &amp; Electronics"/>
    <s v="GB"/>
    <s v="PH"/>
    <s v="IL3"/>
    <n v="0.2"/>
    <x v="247"/>
    <s v="India"/>
    <s v="SYSTEUR"/>
    <s v="FTE"/>
    <s v="Sushruth Rudrachary"/>
    <s v="Tim"/>
  </r>
  <r>
    <s v="38776"/>
    <s v="Sushruth Rudrachary"/>
    <s v="Sunstone Adapter redesign"/>
    <s v="Tim"/>
    <s v=""/>
    <s v="PROCUREMENT"/>
    <s v="PRODUCTIVITY"/>
    <s v="CONCEPT"/>
    <s v="Personal Health"/>
    <s v="GB"/>
    <s v="PH"/>
    <s v="IL1"/>
    <n v="0.2"/>
    <x v="247"/>
    <s v="India"/>
    <s v="SYSTEUR"/>
    <s v="FTE"/>
    <s v="Sushruth Rudrachary"/>
    <s v="Tim"/>
  </r>
  <r>
    <s v="33877"/>
    <s v="Sushruth Rudrachary"/>
    <s v="Sunstone - Trigger Coil 2nd source"/>
    <s v="Tim"/>
    <s v=""/>
    <s v="PROCUREMENT"/>
    <s v="PRODUCTIVITY"/>
    <s v="SOURCING"/>
    <s v="Personal Health"/>
    <s v="GB"/>
    <s v="PH"/>
    <s v="IL3"/>
    <n v="0.2"/>
    <x v="247"/>
    <s v="India"/>
    <s v="SYSTEUR"/>
    <s v="FTE"/>
    <s v="Sushruth Rudrachary"/>
    <s v="Tim"/>
  </r>
  <r>
    <s v="33874"/>
    <s v="Sushruth Rudrachary"/>
    <s v="Sunstone - Fan 2nd source"/>
    <s v="Tim"/>
    <s v=""/>
    <s v="PROCUREMENT"/>
    <s v="PRODUCTIVITY"/>
    <s v="SOURCING"/>
    <s v="Personal Health"/>
    <s v="GB"/>
    <s v="PH"/>
    <s v="IL3"/>
    <n v="0.2"/>
    <x v="247"/>
    <s v="India"/>
    <s v="SYSTEUR"/>
    <s v="FTE"/>
    <s v="Sushruth Rudrachary"/>
    <s v="Tim"/>
  </r>
  <r>
    <s v="33508"/>
    <s v="Siddarth Shetty"/>
    <s v="Arctronics De-risking to SFO for Wrist coils family"/>
    <s v="Phil"/>
    <s v=""/>
    <s v="PROCUREMENT"/>
    <s v="PRODUCTIVITY"/>
    <s v="SOURCING"/>
    <s v="Key components &amp; Electronics"/>
    <s v="MR"/>
    <s v="PD"/>
    <s v="IL3"/>
    <n v="1"/>
    <x v="248"/>
    <s v="India"/>
    <s v="SYSTEUR"/>
    <s v="FTE"/>
    <s v="Radhaprasanna Merugu"/>
    <s v="Raj"/>
  </r>
  <r>
    <s v="PCBA Refresh Analysis"/>
    <s v="Sushruth Rudrachary"/>
    <s v="PCBA Refresh Analysis"/>
    <s v="Tim"/>
    <s v=""/>
    <s v="N/A"/>
    <s v="LCM"/>
    <s v="CONCEPT"/>
    <s v="Personal Health"/>
    <s v="GB"/>
    <s v="PH"/>
    <s v="IL3"/>
    <n v="0.2"/>
    <x v="249"/>
    <s v="India"/>
    <s v="SYSTEUR"/>
    <s v="FTE"/>
    <s v="Dayal Mirthinti"/>
    <s v="Tim"/>
  </r>
  <r>
    <s v="GBLCM5"/>
    <s v="Sushruth Rudrachary"/>
    <s v="Windchill CR Support"/>
    <s v="Tim"/>
    <s v=""/>
    <s v="N/A"/>
    <s v="LCM"/>
    <s v="SOURCING"/>
    <s v="Key components &amp; Electronics"/>
    <s v="GB"/>
    <s v="PH"/>
    <s v="IL2"/>
    <n v="0.4"/>
    <x v="249"/>
    <s v="India"/>
    <s v="SYSTEUR"/>
    <s v="FTE"/>
    <s v="Dayal Mirthinti"/>
    <s v="Tim"/>
  </r>
  <r>
    <s v="PJ-006578"/>
    <s v="Sushruth Rudrachary"/>
    <s v="Shaving LcM"/>
    <s v="Tim"/>
    <s v=""/>
    <s v="N/A"/>
    <s v="LCM"/>
    <s v="CONCEPT"/>
    <s v="Personal Health"/>
    <s v="GB"/>
    <s v="PH"/>
    <s v="IL2"/>
    <n v="0.4"/>
    <x v="249"/>
    <s v="India"/>
    <s v="SYSTEUR"/>
    <s v="FTE"/>
    <s v="Dayal Mirthinti"/>
    <s v="Tim"/>
  </r>
  <r>
    <s v="CR116508-5"/>
    <s v="Saurabh Agrawal_x000a_"/>
    <s v="PDLM - Cairo PDLM- DC overlabel- TW"/>
    <s v="Tim"/>
    <s v=""/>
    <s v="N/A"/>
    <s v="LCM"/>
    <s v="CONCEPT"/>
    <s v="Personal Health"/>
    <s v="OHC"/>
    <s v="PH"/>
    <s v="IL5"/>
    <n v="0.4"/>
    <x v="250"/>
    <s v="India"/>
    <s v="SYSTEUR"/>
    <s v="FTE"/>
    <s v="Neeraj Chhabra"/>
    <s v="Tim"/>
  </r>
  <r>
    <s v="CR203988-2"/>
    <s v="Saurabh Agrawal"/>
    <s v="2.5W USA-A AC Adapter Development (Vietnam)"/>
    <s v="Tim"/>
    <s v=""/>
    <s v="N/A"/>
    <s v="LCM"/>
    <s v="CONCEPT"/>
    <s v="Personal Health"/>
    <s v="OHC"/>
    <s v="PH"/>
    <s v="IL3"/>
    <n v="0.2"/>
    <x v="250"/>
    <s v="India"/>
    <s v="SYSTEUR"/>
    <s v="FTE"/>
    <s v="Neeraj Chhabra"/>
    <s v="Tim"/>
  </r>
  <r>
    <s v="CR116508-3"/>
    <s v="Saurabh Agrawal"/>
    <s v="Pharoah TC NA launch"/>
    <s v="Tim"/>
    <s v=""/>
    <s v="N/A"/>
    <s v="LCM"/>
    <s v="CONCEPT"/>
    <s v="Personal Health"/>
    <s v="OHC"/>
    <s v="PH"/>
    <s v="IL5"/>
    <n v="0.4"/>
    <x v="250"/>
    <s v="India"/>
    <s v="SYSTEUR"/>
    <s v="FTE"/>
    <s v="Neeraj Chhabra"/>
    <s v="Tim"/>
  </r>
  <r>
    <s v="PDTEAM421"/>
    <s v="Srinivas, M.V.D "/>
    <s v="STET DXR HW LCM CQ - Mechanical"/>
    <s v="Phil"/>
    <s v=""/>
    <s v="N/A"/>
    <s v="LCM"/>
    <s v="SOURCING"/>
    <s v="Mechanical Parts &amp; Assemblies"/>
    <s v="DXR"/>
    <s v="PD"/>
    <s v="IL2"/>
    <n v="0.5"/>
    <x v="251"/>
    <s v="India"/>
    <s v="SYSTEUR"/>
    <s v="Contingent"/>
    <s v="M.V.D Srinivas"/>
    <s v="Phil"/>
  </r>
  <r>
    <s v="PDTEAM430"/>
    <s v="MVD Srinivas"/>
    <s v="STET DXR Remediation Support"/>
    <s v="Phil"/>
    <s v=""/>
    <s v="N/A"/>
    <s v="LCM"/>
    <s v="SOURCING"/>
    <s v="Mechanical Parts &amp; Assemblies"/>
    <s v="DXR"/>
    <s v="PD"/>
    <s v="IL2"/>
    <n v="0.5"/>
    <x v="251"/>
    <s v="India"/>
    <s v="SYSTEUR"/>
    <s v="Contingent"/>
    <s v="M.V.D Srinivas"/>
    <s v="Phil"/>
  </r>
  <r>
    <s v="28362"/>
    <s v="Steven Mroch"/>
    <s v="General Sustaining"/>
    <s v="Nishant"/>
    <s v=""/>
    <s v="PROCUREMENT"/>
    <s v="LCM"/>
    <s v="SOURCING"/>
    <s v="Mechanical Parts &amp; Assemblies"/>
    <s v="IGT-D"/>
    <s v="IGT"/>
    <s v="IL4"/>
    <n v="1"/>
    <x v="252"/>
    <s v="India"/>
    <s v="SYSTEUR"/>
    <s v="FTE"/>
    <s v="Lalit Subhash"/>
    <m/>
  </r>
  <r>
    <s v="IGT-S_L&amp;A"/>
    <s v="N/A"/>
    <s v="MISC. ENTRY TO BALANCE WITH RESOURCE DATABASE"/>
    <s v="All"/>
    <s v=""/>
    <s v="N/A"/>
    <s v="L&amp;A"/>
    <s v="L&amp;A"/>
    <s v="L&amp;A"/>
    <s v="IGT-S"/>
    <s v="IGT"/>
    <s v="IL0"/>
    <n v="0.65"/>
    <x v="253"/>
    <s v="India"/>
    <s v="SYSTEUR"/>
    <s v="FTE"/>
    <s v="Chinnaraja Pon S"/>
    <s v="Raj"/>
  </r>
  <r>
    <s v="IGT-MoS_L&amp;A"/>
    <s v="N/A"/>
    <s v="MISC. ENTRY TO BALANCE WITH RESOURCE DATABASE"/>
    <s v="All"/>
    <s v=""/>
    <s v="N/A"/>
    <s v="L&amp;A"/>
    <s v="L&amp;A"/>
    <s v="L&amp;A"/>
    <s v="IGT-MoS"/>
    <s v="IGT"/>
    <s v="IL0"/>
    <n v="0.35"/>
    <x v="253"/>
    <s v="India"/>
    <s v="SYSTEUR"/>
    <s v="FTE"/>
    <s v="Chinnaraja Pon S"/>
    <s v="Raj"/>
  </r>
  <r>
    <s v="02MOSLCMSICR"/>
    <s v="Ponkshe, Mihir"/>
    <s v="LCM SICR in IGT-MOS"/>
    <s v="Raj"/>
    <s v=""/>
    <s v="N/A"/>
    <s v="AOS"/>
    <s v="SOURCING"/>
    <s v="Key components &amp; Electronics"/>
    <s v="IGT-MoS"/>
    <s v="IGT"/>
    <s v="IL3"/>
    <n v="1"/>
    <x v="254"/>
    <s v="India"/>
    <s v="SYSTEUR"/>
    <s v="FTE"/>
    <s v="Manish Sharma"/>
    <s v="Raj"/>
  </r>
  <r>
    <s v="VM15 Display"/>
    <s v="Jidhish Sidharthan"/>
    <s v="VM15 Display"/>
    <s v="Nishant"/>
    <s v=""/>
    <s v="N/A"/>
    <s v="NPI"/>
    <s v="CONCEPT"/>
    <s v="Key components &amp; Electronics"/>
    <s v="US"/>
    <s v="PD"/>
    <s v="IL1"/>
    <n v="1"/>
    <x v="255"/>
    <s v="India"/>
    <s v="SYSTEUR"/>
    <s v="FTE"/>
    <s v="Raghavendra Gaonkar"/>
    <s v="Nishant"/>
  </r>
  <r>
    <s v="PDTEAM525"/>
    <s v="MVD Srinivas"/>
    <s v="PCBA - SCOPO UI Redesign"/>
    <s v="Phil"/>
    <s v=""/>
    <s v="N/A"/>
    <s v="LCM"/>
    <s v="SOURCING"/>
    <s v="Key components &amp; Electronics"/>
    <s v="DXR"/>
    <s v="PD"/>
    <s v="IL2"/>
    <n v="1"/>
    <x v="256"/>
    <s v="India"/>
    <s v="SYSTEUR"/>
    <s v="Contingent"/>
    <s v="Bhushan Barve"/>
    <s v="Phil"/>
  </r>
  <r>
    <s v="ART-BEST"/>
    <s v="Vijayanand Purushothaman"/>
    <s v="LCM Support for Best"/>
    <s v="Raj"/>
    <s v=""/>
    <s v="N/A"/>
    <s v="LCM"/>
    <s v="SOURCING"/>
    <s v="Mechanical Parts &amp; Assemblies"/>
    <s v="IGT-S"/>
    <s v="IGT"/>
    <s v="IL3"/>
    <n v="0.3"/>
    <x v="257"/>
    <s v="India"/>
    <s v="SYSTEUR"/>
    <s v="Contingent"/>
    <s v="Vivek Sonagra"/>
    <s v="Raj"/>
  </r>
  <r>
    <s v="ART-India"/>
    <s v="Vijayanand Purushothaman"/>
    <s v="LCM Support for India"/>
    <s v="Raj"/>
    <s v=""/>
    <s v="N/A"/>
    <s v="LCM"/>
    <s v="SOURCING"/>
    <s v="Mechanical Parts &amp; Assemblies"/>
    <s v="IGT-S"/>
    <s v="IGT"/>
    <s v="IL3"/>
    <n v="0.3"/>
    <x v="257"/>
    <s v="India"/>
    <s v="SYSTEUR"/>
    <s v="Contingent"/>
    <s v="Vivek Sonagra"/>
    <s v="Raj"/>
  </r>
  <r>
    <s v="QN reduction 2024"/>
    <s v="Saravanakumar Palani"/>
    <s v="QN reduction for IGT at Best factory"/>
    <s v="Raj"/>
    <s v=""/>
    <s v="N/A"/>
    <s v="CONQ"/>
    <s v="CONQ"/>
    <s v="Mechanical Parts &amp; Assemblies"/>
    <s v="IGT-S"/>
    <s v="IGT"/>
    <s v="IL5"/>
    <n v="0.4"/>
    <x v="257"/>
    <s v="India"/>
    <s v="SYSTEUR"/>
    <s v="Contingent"/>
    <s v="Vivek Sonagra"/>
    <s v="Raj"/>
  </r>
  <r>
    <s v="PDTEAM525"/>
    <s v="MVD Srinivas"/>
    <s v="PCBA - SCOPO UI Redesign"/>
    <s v="Phil"/>
    <s v=""/>
    <s v="N/A"/>
    <s v="LCM"/>
    <s v="SOURCING"/>
    <s v="Key components &amp; Electronics"/>
    <s v="DXR"/>
    <s v="PD"/>
    <s v="IL2"/>
    <n v="1"/>
    <x v="258"/>
    <s v="India"/>
    <s v="SYSTEUR"/>
    <s v="FTE"/>
    <s v="Bhushan Barve"/>
    <s v="Phil"/>
  </r>
  <r>
    <s v="US_US"/>
    <s v="Jidhish Sidharthan"/>
    <s v="US_Shared_Resouce Pool_Mgr"/>
    <s v="Nishant"/>
    <s v=""/>
    <s v="N/A"/>
    <s v="LCM"/>
    <s v="SOURCING"/>
    <s v="Mechanical Parts &amp; Assemblies"/>
    <s v="US"/>
    <s v="PD"/>
    <s v="IL2"/>
    <n v="0.1"/>
    <x v="259"/>
    <s v="India"/>
    <s v="SYSTEUR"/>
    <s v="FTE"/>
    <s v="Jidhish Sidharthan"/>
    <s v="Nishant"/>
  </r>
  <r>
    <s v="US_SRC"/>
    <s v="Jidhish Sidharthan"/>
    <s v="SRC_Shared_Resouce Pool_Mgr"/>
    <s v="Nishant"/>
    <s v=""/>
    <s v="N/A"/>
    <s v="LCM"/>
    <s v="SOURCING"/>
    <s v="Mechanical Parts &amp; Assemblies"/>
    <s v="SRC"/>
    <s v="CC"/>
    <s v="IL2"/>
    <n v="0.1"/>
    <x v="259"/>
    <s v="India"/>
    <s v="SYSTEUR"/>
    <s v="FTE"/>
    <s v="Jidhish Sidharthan"/>
    <s v="Nishant"/>
  </r>
  <r>
    <s v="US_HPM"/>
    <s v="Jidhish Sidharthan"/>
    <s v="HPM_Shared_Resouce Pool_Mgr"/>
    <s v="Nishant"/>
    <s v=""/>
    <s v="N/A"/>
    <s v="LCM"/>
    <s v="SOURCING"/>
    <s v="Mechanical Parts &amp; Assemblies"/>
    <s v="HPM"/>
    <s v="CC"/>
    <s v="IL2"/>
    <n v="0.8"/>
    <x v="259"/>
    <s v="India"/>
    <s v="SYSTEUR"/>
    <s v="FTE"/>
    <s v="Jidhish Sidharthan"/>
    <s v="Nishant"/>
  </r>
  <r>
    <s v="PDTEAM618"/>
    <s v="Damodar Sarnobat"/>
    <s v="STET MR DAS ELECTRICAL"/>
    <s v="Phil"/>
    <s v=""/>
    <s v="N/A"/>
    <s v="LCM"/>
    <s v="TCO"/>
    <s v="Key components &amp; Electronics"/>
    <s v="MR"/>
    <s v="PD"/>
    <s v="IL2"/>
    <n v="0.1"/>
    <x v="260"/>
    <s v="India"/>
    <s v="SYSTEUR"/>
    <s v="FTE"/>
    <s v="Amruta Kulkarni"/>
    <s v="Phil"/>
  </r>
  <r>
    <s v="PDTEAM614"/>
    <s v="Damodar Sarnobat"/>
    <s v="STET MR LCE ELECTRICAL"/>
    <s v="Phil"/>
    <s v=""/>
    <s v="N/A"/>
    <s v="LCM"/>
    <s v="TCO"/>
    <s v="Key components &amp; Electronics"/>
    <s v="MR"/>
    <s v="PD"/>
    <s v="IL2"/>
    <n v="0.9"/>
    <x v="260"/>
    <s v="India"/>
    <s v="SYSTEUR"/>
    <s v="FTE"/>
    <s v="Amruta Kulkarni"/>
    <s v="Phil"/>
  </r>
  <r>
    <s v="23170"/>
    <s v="Matt Morse"/>
    <s v="PV.035 RO Coil Material Change"/>
    <s v="Nishant"/>
    <s v=""/>
    <s v="PROCUREMENT"/>
    <s v="PRODUCTIVITY"/>
    <s v="CONCEPT"/>
    <s v="Mechanical Parts &amp; Assemblies"/>
    <s v="IGT-D"/>
    <s v="IGT"/>
    <s v="IL3"/>
    <n v="0.9"/>
    <x v="261"/>
    <s v="Mexico"/>
    <s v="SYSTEUR"/>
    <s v="FTE"/>
    <s v="Anil C S"/>
    <s v="Tim"/>
  </r>
  <r>
    <s v="34072"/>
    <s v="Matt Morse"/>
    <s v="PLS Alternate Cable Supplier"/>
    <s v="Nishant"/>
    <s v=""/>
    <s v="PROCUREMENT"/>
    <s v="PRODUCTIVITY"/>
    <s v="SOURCING"/>
    <s v="Mechanical Parts &amp; Assemblies"/>
    <s v="IGT-D"/>
    <s v="IGT"/>
    <s v="IL3"/>
    <n v="0.1"/>
    <x v="261"/>
    <s v="Mexico"/>
    <s v="SYSTEUR"/>
    <s v="FTE"/>
    <s v="Anil C S"/>
    <s v="Tim"/>
  </r>
  <r>
    <s v="PDTEAM131"/>
    <s v="Maria Jackson "/>
    <s v="Lumify USB-C Upgrade "/>
    <s v="Phil"/>
    <s v=""/>
    <s v="PROCUREMENT"/>
    <s v="AOS"/>
    <s v="CONCEPT"/>
    <s v="Key components &amp; Electronics"/>
    <s v="US-Trans"/>
    <s v="PD"/>
    <s v="IL2"/>
    <n v="0.8"/>
    <x v="262"/>
    <s v="USA"/>
    <s v="SYSTEUR"/>
    <s v="FTE"/>
    <s v="Phil Jenkins"/>
    <s v="Phil"/>
  </r>
  <r>
    <s v="IPL_T&amp;V_1"/>
    <s v="Sushruth Rudrachary"/>
    <s v="IPL devices – ORT 2024/25"/>
    <s v="Tim"/>
    <s v=""/>
    <s v="N/A"/>
    <s v="LCM"/>
    <s v="CONCEPT"/>
    <s v="Personal Health"/>
    <s v="GB"/>
    <s v="PH"/>
    <s v="IL3"/>
    <n v="0.5"/>
    <x v="263"/>
    <s v="India"/>
    <s v="SYSTEUR"/>
    <s v="FTE"/>
    <s v="Sushruth Rudrachary"/>
    <s v="Tim"/>
  </r>
  <r>
    <s v="IPL_T&amp;V_2"/>
    <s v="Sushruth Rudrachary"/>
    <s v="Homogeneity and Spectrum Improvement"/>
    <s v="Tim"/>
    <s v=""/>
    <s v="N/A"/>
    <s v="LCM"/>
    <s v="CONCEPT"/>
    <s v="Personal Health"/>
    <s v="GB"/>
    <s v="PH"/>
    <s v="IL3"/>
    <n v="0.5"/>
    <x v="263"/>
    <s v="India"/>
    <s v="SYSTEUR"/>
    <s v="FTE"/>
    <s v="Sushruth Rudrachary"/>
    <s v="Tim"/>
  </r>
  <r>
    <s v="36789"/>
    <s v="Fred Cai "/>
    <s v="Cable Localization "/>
    <s v="Phil"/>
    <s v=""/>
    <s v="PROCUREMENT"/>
    <s v="PRODUCTIVITY"/>
    <s v="SOURCING"/>
    <s v="Mechanical Parts &amp; Assemblies"/>
    <s v="IGT-S"/>
    <s v="IGT"/>
    <s v="IL2"/>
    <n v="1"/>
    <x v="264"/>
    <s v="China"/>
    <s v="SYSTEUR"/>
    <s v="FTE"/>
    <s v="Sam Zhao"/>
    <s v="Phil"/>
  </r>
  <r>
    <s v="Events_SRC"/>
    <s v="Jidhish Sidharthan"/>
    <s v="Events_SRC"/>
    <s v="Nishant"/>
    <s v=""/>
    <s v="Events"/>
    <s v="Events"/>
    <s v="Events"/>
    <s v="Events"/>
    <s v="SRC"/>
    <s v="CC"/>
    <s v="IL3"/>
    <n v="0.33"/>
    <x v="265"/>
    <s v="India"/>
    <s v="SYSTEUR"/>
    <s v="FTE"/>
    <s v="Jidhish Sidharthan"/>
    <s v="Nishant"/>
  </r>
  <r>
    <s v="Events_HPM"/>
    <s v="Jidhish Sidharthan"/>
    <s v="Events_HPM"/>
    <s v="Nishant"/>
    <s v=""/>
    <s v="Events"/>
    <s v="Events"/>
    <s v="Events"/>
    <s v="Events"/>
    <s v="HPM"/>
    <s v="CC"/>
    <s v="IL2"/>
    <n v="0.34"/>
    <x v="265"/>
    <s v="India"/>
    <s v="SYSTEUR"/>
    <s v="FTE"/>
    <s v="Jidhish Sidharthan"/>
    <s v="Nishant"/>
  </r>
  <r>
    <s v="Events_US"/>
    <s v="Jidhish Sidharthan"/>
    <s v="Events_US"/>
    <s v="Nishant"/>
    <s v=""/>
    <s v="Events"/>
    <s v="Events"/>
    <s v="Events"/>
    <s v="Events"/>
    <s v="US"/>
    <s v="PD"/>
    <s v="IL3"/>
    <n v="0.33"/>
    <x v="265"/>
    <s v="India"/>
    <s v="SYSTEUR"/>
    <s v="FTE"/>
    <s v="Jidhish Sidharthan"/>
    <s v="Nishant"/>
  </r>
  <r>
    <s v="SYNCIGTS"/>
    <s v="Saravanakumar Palani"/>
    <s v="Synchronize Projects Funnel Maturity"/>
    <s v="Raj"/>
    <s v=""/>
    <s v="N/A"/>
    <s v="LCM"/>
    <s v="CONCEPT"/>
    <s v="Mechanical Parts &amp; Assemblies"/>
    <s v="IGT-S"/>
    <s v="IGT"/>
    <s v="IL0"/>
    <n v="1"/>
    <x v="266"/>
    <s v="India"/>
    <s v="SYSTEUR"/>
    <s v="FTE"/>
    <s v="Anija M"/>
    <s v="Raj"/>
  </r>
  <r>
    <s v="PDTEAM405"/>
    <s v="Kiran MR"/>
    <s v="Factory Pune Process Validation Remediation"/>
    <s v="Phil"/>
    <s v=""/>
    <s v="N/A"/>
    <s v="LCM"/>
    <s v="SOURCING"/>
    <s v="Mechanical Parts &amp; Assemblies"/>
    <s v="IGT-S"/>
    <s v="IGT"/>
    <s v="IL2"/>
    <n v="1"/>
    <x v="267"/>
    <s v="India"/>
    <s v="SYSTEUR"/>
    <s v="Contingent"/>
    <s v="Kiran MR"/>
    <s v="Phil"/>
  </r>
  <r>
    <s v="PDTEAM601"/>
    <s v="Damodar Sarnobat"/>
    <s v="MR Coils Resin Harmonization "/>
    <s v="Phil"/>
    <s v=""/>
    <s v="N/A"/>
    <s v="LCM"/>
    <s v="TCO"/>
    <s v="Mechanical Parts &amp; Assemblies"/>
    <s v="MR"/>
    <s v="PD"/>
    <s v="IL2"/>
    <n v="1"/>
    <x v="268"/>
    <s v="India"/>
    <s v="SYSTEUR"/>
    <s v="FTE"/>
    <s v="Satheesh Nair"/>
    <s v="Nishant"/>
  </r>
  <r>
    <s v="IGT-MoS_L&amp;A"/>
    <s v="N/A"/>
    <s v="MISC. ENTRY TO BALANCE WITH RESOURCE DATABASE"/>
    <s v="All"/>
    <s v=""/>
    <s v="N/A"/>
    <s v="L&amp;A"/>
    <s v="L&amp;A"/>
    <s v="L&amp;A"/>
    <s v="IGT-MoS"/>
    <s v="IGT"/>
    <s v="IL0"/>
    <n v="1"/>
    <x v="269"/>
    <s v="India"/>
    <s v="SYSTEUR"/>
    <s v="FTE"/>
    <s v="Chinnaraja Pon S"/>
    <s v="Raj"/>
  </r>
  <r>
    <s v="Events"/>
    <s v="NA"/>
    <s v="Events/All Hands/Leadership visits"/>
    <s v="All"/>
    <s v=""/>
    <s v="Events"/>
    <s v="Events"/>
    <s v="Events"/>
    <s v="Events"/>
    <s v="Events"/>
    <s v="Events"/>
    <s v="IL0"/>
    <n v="1"/>
    <x v="270"/>
    <s v="China"/>
    <s v="SYSTEUR"/>
    <s v="FTE"/>
    <s v="Sam Zhao"/>
    <s v="Phil"/>
  </r>
  <r>
    <s v="43468"/>
    <s v="Steven Ji"/>
    <s v="Backup Cooling 1.5T"/>
    <s v="Phil"/>
    <s v=""/>
    <s v="PROCUREMENT"/>
    <s v="NPI"/>
    <s v="CONCEPT"/>
    <s v="Medical ODM Markets"/>
    <s v="MR"/>
    <s v="PD"/>
    <s v="IL2"/>
    <n v="0.5"/>
    <x v="271"/>
    <s v="China"/>
    <s v="SYSTEUR"/>
    <s v="FTE"/>
    <s v="Sam Zhao"/>
    <s v="Phil"/>
  </r>
  <r>
    <s v="43466"/>
    <s v="Steven Ji"/>
    <s v="Backup Cooling unit - 1.5T"/>
    <s v="Phil"/>
    <s v=""/>
    <s v="PROCUREMENT"/>
    <s v="NPI"/>
    <s v="CONCEPT"/>
    <s v="Key components &amp; Electronics"/>
    <s v="MR"/>
    <s v="PD"/>
    <s v="IL2"/>
    <n v="0.5"/>
    <x v="271"/>
    <s v="China"/>
    <s v="SYSTEUR"/>
    <s v="FTE"/>
    <s v="Sam Zhao"/>
    <s v="Phil"/>
  </r>
  <r>
    <s v="CARTPDCHPM_1"/>
    <s v="Charles Moses"/>
    <s v="Carts PDC - HPM - Calimero material Fetal Cart"/>
    <s v="Nishant"/>
    <s v=""/>
    <s v="N/A"/>
    <s v="CART PDC"/>
    <s v="CONCEPT"/>
    <s v="Mechanical Parts &amp; Assemblies"/>
    <s v="HPM"/>
    <s v="CC"/>
    <s v="IL1"/>
    <n v="1"/>
    <x v="272"/>
    <s v="India"/>
    <s v="SYSTEUR"/>
    <s v="FTE"/>
    <s v="Charles Moses"/>
    <s v="Nishant"/>
  </r>
  <r>
    <s v="38253"/>
    <s v="Saravanakumar Palani"/>
    <s v="Re-use of frames_(Europe Scope Phase II)"/>
    <s v="Raj"/>
    <s v=""/>
    <s v="PROCUREMENT"/>
    <s v="PRODUCTIVITY"/>
    <s v="SOURCING"/>
    <s v="Mechanical Parts &amp; Assemblies"/>
    <s v="IGT-S"/>
    <s v="IGT"/>
    <s v="IL3"/>
    <n v="0.5"/>
    <x v="273"/>
    <s v="India"/>
    <s v="SYSTEUR"/>
    <s v="FTE"/>
    <s v="Makarand Dharmadhikari"/>
    <s v="Raj"/>
  </r>
  <r>
    <s v="ART-BEST"/>
    <s v="Vijayanand Purushothaman"/>
    <s v="LCM Support for Best"/>
    <s v="Raj"/>
    <s v=""/>
    <s v="N/A"/>
    <s v="LCM"/>
    <s v="SOURCING"/>
    <s v="Mechanical Parts &amp; Assemblies"/>
    <s v="IGT-S"/>
    <s v="IGT"/>
    <s v="IL3"/>
    <n v="0.5"/>
    <x v="273"/>
    <s v="India"/>
    <s v="SYSTEUR"/>
    <s v="FTE"/>
    <s v="Makarand Dharmadhikari"/>
    <s v="Raj"/>
  </r>
  <r>
    <s v="PD32257"/>
    <s v="Charles Moses"/>
    <s v="CTT – Affiniti PN 453561730631 Enclosure, Trigger (CP unlock lever) failures"/>
    <s v="Nishant"/>
    <s v=""/>
    <s v="N/A"/>
    <s v="LCM"/>
    <s v="SOURCING"/>
    <s v="Mechanical Parts &amp; Assemblies"/>
    <s v="US"/>
    <s v="PD"/>
    <s v="IL2"/>
    <n v="1"/>
    <x v="274"/>
    <s v="India"/>
    <s v="SYSTEUR"/>
    <s v="FTE"/>
    <s v="Anand Navalagi"/>
    <s v="Raj"/>
  </r>
  <r>
    <s v="CR0113656"/>
    <s v="Charles Moses"/>
    <s v="SICR20231215006B - NIC EPIQ 453561499174 REV A Brake Pedal Changes&lt;br&gt;"/>
    <s v="Nishant"/>
    <s v=""/>
    <s v="N/A"/>
    <s v="LCM"/>
    <s v="SOURCING"/>
    <s v="Mechanical Parts &amp; Assemblies"/>
    <s v="US"/>
    <s v="PD"/>
    <s v="IL3"/>
    <n v="1"/>
    <x v="275"/>
    <s v="India"/>
    <s v="SYSTEUR"/>
    <s v="FTE"/>
    <s v="Anand Navalagi"/>
    <s v="Raj"/>
  </r>
  <r>
    <s v="IGTS_LCM"/>
    <s v="Saravanakumar Palani_x000a__x000a_"/>
    <s v="IGTS_LCM"/>
    <s v="Raj"/>
    <s v=""/>
    <s v="N/A"/>
    <s v="LCM"/>
    <s v="CONCEPT"/>
    <s v="Mechanical Parts &amp; Assemblies"/>
    <s v="IGT-S"/>
    <s v="IGT"/>
    <s v="IL2"/>
    <n v="1"/>
    <x v="276"/>
    <s v="India"/>
    <s v="SYSTEUR"/>
    <s v="FTE"/>
    <s v="Vijayanand Purushothaman"/>
    <s v="Raj"/>
  </r>
  <r>
    <s v="PJ-028050"/>
    <s v="Sushruth Rudrachary"/>
    <s v="IPL MLD/LCM - Mid End Program"/>
    <s v="Tim"/>
    <s v=""/>
    <s v="N/A"/>
    <s v="LCM"/>
    <s v="CONCEPT"/>
    <s v="Personal Health"/>
    <s v="GB"/>
    <s v="PH"/>
    <s v="IL2"/>
    <n v="1"/>
    <x v="277"/>
    <s v="India"/>
    <s v="SYSTEUR"/>
    <s v="FTE"/>
    <s v="Yogesh Shelgaonkar"/>
    <s v="Tim"/>
  </r>
  <r>
    <s v="PDTEAM543"/>
    <s v="Gourav Parab"/>
    <s v="STET IC - Shakti"/>
    <s v="Phil"/>
    <s v=""/>
    <s v="N/A"/>
    <s v="LCM"/>
    <s v="SOURCING"/>
    <s v="Key components &amp; Electronics"/>
    <s v="IC"/>
    <s v="PD"/>
    <s v="IL2"/>
    <n v="0.1"/>
    <x v="278"/>
    <s v="India"/>
    <s v="SYSTEUR"/>
    <s v="FTE"/>
    <s v="Gourav Krishna Parab"/>
    <s v="Phil"/>
  </r>
  <r>
    <s v="PDTEAM527"/>
    <s v="Gourav Parab"/>
    <s v="STET IC - RSL"/>
    <s v="Phil"/>
    <s v=""/>
    <s v="N/A"/>
    <s v="LCM"/>
    <s v="SOURCING"/>
    <s v="Key components &amp; Electronics"/>
    <s v="IC"/>
    <s v="PD"/>
    <s v="IL2"/>
    <n v="0.2"/>
    <x v="278"/>
    <s v="India"/>
    <s v="SYSTEUR"/>
    <s v="FTE"/>
    <s v="Gourav Krishna Parab"/>
    <s v="Phil"/>
  </r>
  <r>
    <s v="PDTEAM535"/>
    <s v="Gourav Parab"/>
    <s v="Hamburg LCM"/>
    <s v="Phil"/>
    <s v=""/>
    <s v="N/A"/>
    <s v="LCM"/>
    <s v="SOURCING"/>
    <s v="Key components &amp; Electronics"/>
    <s v="IC"/>
    <s v="PD"/>
    <s v="IL2"/>
    <n v="0.4"/>
    <x v="278"/>
    <s v="India"/>
    <s v="SYSTEUR"/>
    <s v="FTE"/>
    <s v="Gourav Krishna Parab"/>
    <s v="Phil"/>
  </r>
  <r>
    <s v="PDTEAM526"/>
    <s v="Gourav Parab"/>
    <s v="STET IC - Pangu"/>
    <s v="Phil"/>
    <s v=""/>
    <s v="N/A"/>
    <s v="LCM"/>
    <s v="SOURCING"/>
    <s v="Key components &amp; Electronics"/>
    <s v="IC"/>
    <s v="PD"/>
    <s v="IL2"/>
    <n v="0.3"/>
    <x v="278"/>
    <s v="India"/>
    <s v="SYSTEUR"/>
    <s v="FTE"/>
    <s v="Gourav Krishna Parab"/>
    <s v="Phil"/>
  </r>
  <r>
    <s v="CR199557"/>
    <s v="Saurabh Agrawal"/>
    <s v="Ontario RFiD Ring assembly line utilization improvement"/>
    <s v="Tim"/>
    <s v=""/>
    <s v="N/A"/>
    <s v="LCM"/>
    <s v="CONCEPT"/>
    <s v="Personal Health"/>
    <s v="OHC"/>
    <s v="PH"/>
    <s v="IL3"/>
    <n v="0.2"/>
    <x v="279"/>
    <s v="India"/>
    <s v="SYSTEUR"/>
    <s v="Contingent"/>
    <s v="Neeraj Chhabra"/>
    <s v="Bokelman"/>
  </r>
  <r>
    <s v="CR116508"/>
    <s v="Saurabh Agrawal"/>
    <s v="Cairo non-charging &amp; Charging travel case for the Cairo 1 &amp; 2 propositions"/>
    <s v="Tim"/>
    <s v=""/>
    <s v="N/A"/>
    <s v="LCM"/>
    <s v="SOURCING"/>
    <s v="Mechanical Parts &amp; Assemblies"/>
    <s v="OHC"/>
    <s v="PH"/>
    <s v="IL5"/>
    <n v="0.3"/>
    <x v="279"/>
    <s v="India"/>
    <s v="SYSTEUR"/>
    <s v="Contingent"/>
    <s v="Neeraj Chhabra"/>
    <s v="Bokelman"/>
  </r>
  <r>
    <s v="CR233622"/>
    <s v="Saurabh Agrawal"/>
    <s v="Mitigation for Supply Restriction from Nexperia Manufacturing"/>
    <s v="Tim"/>
    <s v=""/>
    <s v="N/A"/>
    <s v="LCM"/>
    <s v="SOURCING"/>
    <s v="Personal Health"/>
    <s v="OHC"/>
    <s v="PH"/>
    <s v="IL3"/>
    <n v="0.5"/>
    <x v="279"/>
    <s v="India"/>
    <s v="SYSTEUR"/>
    <s v="Contingent"/>
    <s v="Neeraj Chhabra"/>
    <s v="Bokelman"/>
  </r>
  <r>
    <s v="LCMGBSupport"/>
    <s v="Sushruth Rudrachary"/>
    <s v="LCM shaving and grooming general support"/>
    <s v="Tim"/>
    <s v=""/>
    <s v="N/A"/>
    <s v="LCM"/>
    <s v="CONCEPT"/>
    <s v="Personal Health"/>
    <s v="GB"/>
    <s v="PH"/>
    <s v="IL2"/>
    <n v="1"/>
    <x v="280"/>
    <s v="India"/>
    <s v="SYSTEUR"/>
    <s v="FTE"/>
    <s v="Adarsh Shrivastava"/>
    <s v="Tim"/>
  </r>
  <r>
    <s v="CR237272"/>
    <s v="Saurabh Agrawal"/>
    <s v="Spiti PDLM"/>
    <s v="Tim"/>
    <s v=""/>
    <s v="N/A"/>
    <s v="LCM"/>
    <s v="CONCEPT"/>
    <s v="Mechanical Parts &amp; Assemblies"/>
    <s v="OHC"/>
    <s v="PH"/>
    <s v="IL3"/>
    <n v="0.8"/>
    <x v="281"/>
    <s v="India"/>
    <s v="SYSTEUR"/>
    <s v="FTE"/>
    <s v="Saurabh Agrawal"/>
    <s v="Tim"/>
  </r>
  <r>
    <s v="OHC_Funnel Activities"/>
    <s v="Saurabh Agrawal"/>
    <s v="OHC_Funnel Activities"/>
    <s v="Tim"/>
    <s v=""/>
    <s v="N/A"/>
    <s v="LCM"/>
    <s v="CONCEPT"/>
    <s v="Personal Health"/>
    <s v="OHC"/>
    <s v="PH"/>
    <s v="IL3"/>
    <n v="0.2"/>
    <x v="281"/>
    <s v="India"/>
    <s v="SYSTEUR"/>
    <s v="FTE"/>
    <s v="Saurabh Agrawal"/>
    <s v="Tim"/>
  </r>
  <r>
    <s v="OHC_Training-1"/>
    <s v="NA"/>
    <s v="Trainings"/>
    <s v="All"/>
    <s v=""/>
    <s v="Trainings"/>
    <s v="Trainings"/>
    <s v="Trainings"/>
    <s v="Trainings"/>
    <s v="OHC"/>
    <s v="PH"/>
    <s v="IL0"/>
    <n v="0.1"/>
    <x v="282"/>
    <s v="India"/>
    <s v="SYSTEUR"/>
    <s v="FTE"/>
    <s v="Saurabh Khedkar"/>
    <s v="Tim"/>
  </r>
  <r>
    <s v="CR192500"/>
    <s v="Saurabh Agrawal"/>
    <s v="Mykonos – Anax"/>
    <s v="Tim"/>
    <s v=""/>
    <s v="N/A"/>
    <s v="LCM"/>
    <s v="CONCEPT"/>
    <s v="Personal Health"/>
    <s v="OHC"/>
    <s v="PH"/>
    <s v="IL3"/>
    <n v="0.4"/>
    <x v="282"/>
    <s v="India"/>
    <s v="SYSTEUR"/>
    <s v="FTE"/>
    <s v="Saurabh Khedkar"/>
    <s v="Tim"/>
  </r>
  <r>
    <s v="36516"/>
    <s v="Saurabh Agrawal"/>
    <s v="Marvel: DD 5.0: CAIRO NON-CONNECTED PCBA FCP Improvement"/>
    <s v="Tim"/>
    <s v=""/>
    <s v="PROCUREMENT"/>
    <s v="PRODUCTIVITY"/>
    <s v="CONCEPT"/>
    <s v="Personal Health"/>
    <s v="OHC"/>
    <s v="PH"/>
    <s v="IL3"/>
    <n v="0.3"/>
    <x v="282"/>
    <s v="India"/>
    <s v="SYSTEUR"/>
    <s v="FTE"/>
    <s v="Saurabh Khedkar"/>
    <s v="Tim"/>
  </r>
  <r>
    <s v="CR203988-2"/>
    <s v="Saurabh Agrawal"/>
    <s v="2.5W USA-A AC Adapter Development (Vietnam)"/>
    <s v="Tim"/>
    <s v=""/>
    <s v="N/A"/>
    <s v="LCM"/>
    <s v="CONCEPT"/>
    <s v="Personal Health"/>
    <s v="OHC"/>
    <s v="PH"/>
    <s v="IL3"/>
    <n v="0.2"/>
    <x v="282"/>
    <s v="India"/>
    <s v="SYSTEUR"/>
    <s v="FTE"/>
    <s v="Saurabh Khedkar"/>
    <s v="Tim"/>
  </r>
  <r>
    <s v="36516"/>
    <s v="Saurabh Agrawal"/>
    <s v="Marvel: DD 5.0: CAIRO NON-CONNECTED PCBA FCP Improvement"/>
    <s v="Tim"/>
    <s v=""/>
    <s v="PROCUREMENT"/>
    <s v="PRODUCTIVITY"/>
    <s v="CONCEPT"/>
    <s v="Personal Health"/>
    <s v="OHC"/>
    <s v="PH"/>
    <s v="IL3"/>
    <n v="1"/>
    <x v="283"/>
    <s v="India"/>
    <s v="SYSTEUR"/>
    <s v="FTE"/>
    <s v="Manish Ram Saha"/>
    <m/>
  </r>
  <r>
    <s v="PJ-009562"/>
    <s v="Sushruth Rudrachary"/>
    <s v="1Grooming LcM"/>
    <s v="Tim"/>
    <s v=""/>
    <s v="N/A"/>
    <s v="LCM"/>
    <s v="CONCEPT"/>
    <s v="Personal Health"/>
    <s v="GB"/>
    <s v="PH"/>
    <s v="IL2"/>
    <n v="0.7"/>
    <x v="284"/>
    <s v="India"/>
    <s v="SYSTEUR"/>
    <s v="FTE"/>
    <s v="Yogesh Shelgaonkar"/>
    <s v="Tim"/>
  </r>
  <r>
    <s v="RfS 272677"/>
    <s v="Sushruth Rudrachary"/>
    <s v="REGMEM AMB 554-23055 - EU - Corporate Sustainability Reporting Directive (CSRD - (EU) 2022/2464)"/>
    <s v="Tim"/>
    <s v=""/>
    <s v="N/A"/>
    <s v="LCM"/>
    <s v="CONCEPT"/>
    <s v="Personal Health"/>
    <s v="GB"/>
    <s v="PH"/>
    <s v="IL5"/>
    <n v="0.3"/>
    <x v="284"/>
    <s v="India"/>
    <s v="SYSTEUR"/>
    <s v="FTE"/>
    <s v="Yogesh Shelgaonkar"/>
    <s v="Tim"/>
  </r>
  <r>
    <s v="PD42230"/>
    <s v="Charles Moses"/>
    <s v="Conductive dust falling through screw standoffs"/>
    <s v="Nishant"/>
    <s v=""/>
    <s v="N/A"/>
    <s v="AOS"/>
    <s v="SOURCING"/>
    <s v="Mechanical Parts &amp; Assemblies"/>
    <s v="US"/>
    <s v="PD"/>
    <s v="IL3"/>
    <n v="1"/>
    <x v="285"/>
    <s v="India"/>
    <s v="SYSTEUR"/>
    <s v="FTE"/>
    <s v="Anand Navalagi"/>
    <s v="Raj"/>
  </r>
  <r>
    <s v="PDTEAM601"/>
    <s v="Damodar Sarnobat"/>
    <s v="MR Coils Resin Harmonization "/>
    <s v="Phil"/>
    <s v=""/>
    <s v="N/A"/>
    <s v="LCM"/>
    <s v="TCO"/>
    <s v="Mechanical Parts &amp; Assemblies"/>
    <s v="MR"/>
    <s v="PD"/>
    <s v="IL2"/>
    <n v="1"/>
    <x v="286"/>
    <s v="India"/>
    <s v="SYSTEUR"/>
    <s v="FTE"/>
    <s v="Satheesh Nair"/>
    <s v="Nishant"/>
  </r>
  <r>
    <s v="PDTEAM560"/>
    <s v="Damodar Sarnobat"/>
    <s v="STET CT/AMI-  LCM FRU Resolutions"/>
    <s v="Phil"/>
    <s v=""/>
    <s v="N/A"/>
    <s v="LCM"/>
    <s v="TCO"/>
    <s v="Key components &amp; Electronics"/>
    <s v="CT/AMI"/>
    <s v="PD"/>
    <s v="IL2"/>
    <n v="1"/>
    <x v="287"/>
    <s v="India"/>
    <s v="SYSTEUR"/>
    <s v="Contingent"/>
    <s v="Subhankar Das"/>
    <s v="Phil"/>
  </r>
  <r>
    <s v="CR225608"/>
    <s v="Saurabh Agrawal_x000a_"/>
    <s v="Packaging design refreshment_Global"/>
    <s v="Tim"/>
    <s v=""/>
    <s v="N/A"/>
    <s v="LCM"/>
    <s v="CONCEPT"/>
    <s v="Personal Health"/>
    <s v="OHC"/>
    <s v="PH"/>
    <s v="IL3"/>
    <n v="0.5"/>
    <x v="288"/>
    <s v="India"/>
    <s v="SYSTEUR"/>
    <s v="FTE"/>
    <s v="Saurabh Agrawal"/>
    <s v="Tim"/>
  </r>
  <r>
    <s v="CR237272"/>
    <s v="Saurabh Agrawal"/>
    <s v="Spiti PDLM"/>
    <s v="Tim"/>
    <s v=""/>
    <s v="N/A"/>
    <s v="LCM"/>
    <s v="CONCEPT"/>
    <s v="Mechanical Parts &amp; Assemblies"/>
    <s v="OHC"/>
    <s v="PH"/>
    <s v="IL3"/>
    <n v="0.5"/>
    <x v="288"/>
    <s v="India"/>
    <s v="SYSTEUR"/>
    <s v="FTE"/>
    <s v="Saurabh Agrawal"/>
    <s v="Tim"/>
  </r>
  <r>
    <s v="PDTEAM514"/>
    <s v="Avinash Gosavi "/>
    <s v="STET MR C&amp;C Project Support Electrical "/>
    <s v="Phil"/>
    <s v=""/>
    <s v="N/A"/>
    <s v="LCM"/>
    <s v="CONCEPT"/>
    <s v="Mechanical Parts &amp; Assemblies"/>
    <s v="MR"/>
    <s v="PD"/>
    <s v="IL2"/>
    <n v="0.7"/>
    <x v="289"/>
    <s v="India"/>
    <s v="SYSTEUR"/>
    <s v="Contingent"/>
    <s v="Amruta Kulkarni"/>
    <s v="Phil"/>
  </r>
  <r>
    <s v="PDTEAM608"/>
    <s v="Damodar Sarnobat"/>
    <s v="MR_Nexan Cable Obsolescence-STET"/>
    <s v="Phil"/>
    <s v=""/>
    <s v="N/A"/>
    <s v="LCM"/>
    <s v="TCO"/>
    <s v="Key components &amp; Electronics"/>
    <s v="MR"/>
    <s v="PD"/>
    <s v="IL2"/>
    <n v="0.3"/>
    <x v="289"/>
    <s v="India"/>
    <s v="SYSTEUR"/>
    <s v="Contingent"/>
    <s v="Amruta Kulkarni"/>
    <s v="Phil"/>
  </r>
  <r>
    <s v="OHC_LCM_1"/>
    <s v="Saurabh Agarwal"/>
    <s v="LCM Activities"/>
    <s v="Tim"/>
    <s v=""/>
    <s v="N/A"/>
    <s v="LCM"/>
    <s v="CONCEPT"/>
    <s v="Personal Health"/>
    <s v="OHC"/>
    <s v="PH"/>
    <s v="IL3"/>
    <n v="1"/>
    <x v="290"/>
    <s v="India"/>
    <s v="SYSTEUR"/>
    <s v="FTE"/>
    <s v="Alec Benton"/>
    <s v="Tim"/>
  </r>
  <r>
    <s v="PDTEAM126"/>
    <s v="Nick Oldakowski"/>
    <s v="Vega LP Manifold Industrialization _x000a_"/>
    <s v="Phil"/>
    <s v=""/>
    <s v="N/A"/>
    <s v="NPI"/>
    <s v="TCO"/>
    <s v="Mechanical Parts &amp; Assemblies"/>
    <s v="MR"/>
    <s v="PD"/>
    <s v="IL2"/>
    <n v="0.2"/>
    <x v="291"/>
    <s v="USA"/>
    <s v="SYSTEUR"/>
    <s v="FTE"/>
    <s v="Phil Jenkins"/>
    <s v="Phil"/>
  </r>
  <r>
    <s v="43723"/>
    <s v="Nick Oldakowski"/>
    <s v="Automated Shimming"/>
    <s v="Phil"/>
    <s v=""/>
    <s v="N/A"/>
    <s v="PRODUCTIVITY"/>
    <s v="NON_12NC"/>
    <s v="Mechanical Parts &amp; Assemblies"/>
    <s v="MR"/>
    <s v="PD"/>
    <s v="IL2"/>
    <n v="0.2"/>
    <x v="291"/>
    <s v="USA"/>
    <s v="SYSTEUR"/>
    <s v="FTE"/>
    <s v="Phil Jenkins"/>
    <s v="Phil"/>
  </r>
  <r>
    <s v="43617"/>
    <s v="Nicholas Oldakowski "/>
    <s v="Insourcing Torque Wrench Calibrations "/>
    <s v="Phil"/>
    <s v=""/>
    <s v="N/A"/>
    <s v="PRODUCTIVITY"/>
    <s v="CONCEPT"/>
    <s v="Mechanical Parts &amp; Assemblies"/>
    <s v="MR"/>
    <s v="PD"/>
    <s v="IL2"/>
    <n v="0.1"/>
    <x v="291"/>
    <s v="USA"/>
    <s v="SYSTEUR"/>
    <s v="FTE"/>
    <s v="Phil Jenkins"/>
    <s v="Phil"/>
  </r>
  <r>
    <s v="43227"/>
    <s v="Nicholas Oldakowski "/>
    <s v="BEP to ACV - Rollup Transfer"/>
    <s v="Phil"/>
    <s v=""/>
    <s v="PROCUREMENT"/>
    <s v="AOS"/>
    <s v="SOURCING"/>
    <s v="Mechanical Parts &amp; Assemblies"/>
    <s v="MR"/>
    <s v="PD"/>
    <s v="IL1"/>
    <n v="0.1"/>
    <x v="291"/>
    <s v="USA"/>
    <s v="SYSTEUR"/>
    <s v="FTE"/>
    <s v="Phil Jenkins"/>
    <s v="Phil"/>
  </r>
  <r>
    <s v="43464"/>
    <s v="Nicholas Oldakowski"/>
    <s v="Tariff Mitigation through HTS code change"/>
    <s v="Phil"/>
    <s v=""/>
    <s v="TCO"/>
    <s v="PRODUCTIVITY"/>
    <s v="TCO"/>
    <s v="Mechanical Parts &amp; Assemblies"/>
    <s v="MR"/>
    <s v="PD"/>
    <s v="IL2"/>
    <n v="0.1"/>
    <x v="291"/>
    <s v="USA"/>
    <s v="SYSTEUR"/>
    <s v="FTE"/>
    <s v="Phil Jenkins"/>
    <s v="Phil"/>
  </r>
  <r>
    <s v="37994"/>
    <s v="Nick Oldakowski"/>
    <s v="Accelerated Epoxy Curing"/>
    <s v="Phil"/>
    <s v=""/>
    <s v="TCO"/>
    <s v="PRODUCTIVITY"/>
    <s v="TCO"/>
    <s v="Key components &amp; Electronics"/>
    <s v="MR"/>
    <s v="PD"/>
    <s v="IL2"/>
    <n v="0.3"/>
    <x v="291"/>
    <s v="USA"/>
    <s v="SYSTEUR"/>
    <s v="FTE"/>
    <s v="Phil Jenkins"/>
    <s v="Phil"/>
  </r>
  <r>
    <s v="CR0112051"/>
    <s v="Charles Moses"/>
    <s v="AOS - MOLEX Obsolescence Parts without Replacement"/>
    <s v="Nishant"/>
    <s v=""/>
    <s v="N/A"/>
    <s v="AOS"/>
    <s v="SOURCING"/>
    <s v="Key components &amp; Electronics"/>
    <s v="US"/>
    <s v="PD"/>
    <s v="IL5"/>
    <n v="1"/>
    <x v="292"/>
    <s v="India"/>
    <s v="SYSTEUR"/>
    <s v="FTE"/>
    <s v="Anand Navalagi"/>
    <s v="Raj"/>
  </r>
  <r>
    <s v="SICR20231024001B"/>
    <s v="Kyle  Undesser"/>
    <s v="SICR20231024001B_Legal name change_METROFORM"/>
    <s v="Nishant"/>
    <s v=""/>
    <s v="N/A"/>
    <s v="LCM"/>
    <s v="SOURCING"/>
    <s v="Mechanical Parts &amp; Assemblies"/>
    <s v="IGT-D"/>
    <s v="IGT"/>
    <s v="IL4"/>
    <n v="0.2"/>
    <x v="293"/>
    <s v="India"/>
    <s v="SYSTEUR"/>
    <s v="FTE"/>
    <s v="Lalit Subhash"/>
    <m/>
  </r>
  <r>
    <s v="SICR20250801003B"/>
    <s v="Steven Mroch"/>
    <s v="SONOCO TEQ, LLC_100323819"/>
    <s v="Nishant"/>
    <s v=""/>
    <s v="PROCUREMENT"/>
    <s v="AOS"/>
    <s v="TCO"/>
    <s v="Mechanical Parts &amp; Assemblies"/>
    <s v="IGT-D"/>
    <s v="IGT"/>
    <s v="IL4"/>
    <n v="0.2"/>
    <x v="293"/>
    <s v="India"/>
    <s v="SYSTEUR"/>
    <s v="FTE"/>
    <s v="Lalit Subhash"/>
    <m/>
  </r>
  <r>
    <s v="SICR20250708007B"/>
    <s v="Steven Mroch"/>
    <s v="KATZKE PAPER COMPANY_100323899"/>
    <s v="Nishant"/>
    <s v=""/>
    <s v="PROCUREMENT"/>
    <s v="AOS"/>
    <s v="TCO"/>
    <s v="Mechanical Parts &amp; Assemblies"/>
    <s v="IGT-D"/>
    <s v="IGT"/>
    <s v="IL4"/>
    <n v="0.2"/>
    <x v="293"/>
    <s v="India"/>
    <s v="SYSTEUR"/>
    <s v="FTE"/>
    <s v="Lalit Subhash"/>
    <m/>
  </r>
  <r>
    <s v="CR231737"/>
    <s v="Steven Mroch"/>
    <s v="RACK ROD - Lubricant Addition"/>
    <s v="Nishant"/>
    <s v=""/>
    <s v="PROCUREMENT"/>
    <s v="AOS"/>
    <s v="TCO"/>
    <s v="Mechanical Parts &amp; Assemblies"/>
    <s v="IGT-D"/>
    <s v="IGT"/>
    <s v="IL4"/>
    <n v="0.2"/>
    <x v="293"/>
    <s v="India"/>
    <s v="SYSTEUR"/>
    <s v="FTE"/>
    <s v="Lalit Subhash"/>
    <m/>
  </r>
  <r>
    <s v="35284"/>
    <s v="Matt Morse"/>
    <s v="Omniwire dual sourcing- Grinding"/>
    <s v="Nishant"/>
    <s v=""/>
    <s v="PROCUREMENT"/>
    <s v="PRODUCTIVITY"/>
    <s v="SOURCING"/>
    <s v="Mechanical Parts &amp; Assemblies"/>
    <s v="IGT-D"/>
    <s v="IGT"/>
    <s v="IL2"/>
    <n v="0.2"/>
    <x v="293"/>
    <s v="India"/>
    <s v="SYSTEUR"/>
    <s v="FTE"/>
    <s v="Lalit Subhash"/>
    <m/>
  </r>
  <r>
    <s v="04MOSLCMMAJPROJ"/>
    <s v="Ponkshe, Mihir"/>
    <s v="LCM Major project in IGT-MOS"/>
    <s v="Raj"/>
    <s v=""/>
    <s v="N/A"/>
    <s v="AOS"/>
    <s v="SOURCING"/>
    <s v="Key components &amp; Electronics"/>
    <s v="IGT-MoS"/>
    <s v="IGT"/>
    <s v="IL3"/>
    <n v="1"/>
    <x v="294"/>
    <s v="India"/>
    <s v="SYSTEUR"/>
    <s v="FTE"/>
    <s v="Manish Sharma"/>
    <s v="Raj"/>
  </r>
  <r>
    <s v="PDTEAM525"/>
    <s v="MVD Srinivas"/>
    <s v="PCBA - SCOPO UI Redesign"/>
    <s v="Phil"/>
    <s v=""/>
    <s v="N/A"/>
    <s v="LCM"/>
    <s v="SOURCING"/>
    <s v="Key components &amp; Electronics"/>
    <s v="DXR"/>
    <s v="PD"/>
    <s v="IL2"/>
    <n v="1"/>
    <x v="295"/>
    <s v="India"/>
    <s v="SYSTEUR"/>
    <s v="FTE"/>
    <s v="Bhushan Barve"/>
    <s v="Phil"/>
  </r>
  <r>
    <s v="Long Leave"/>
    <s v="NA"/>
    <s v="Long Medical Leaves/Maternity leave/Sabbatical"/>
    <s v="All"/>
    <s v=""/>
    <s v="Long Leave"/>
    <s v="Long Leave"/>
    <s v="Long Leave"/>
    <s v="Long Leave"/>
    <s v="Long Leave"/>
    <s v="Long Leave"/>
    <s v="IL0"/>
    <n v="1"/>
    <x v="296"/>
    <s v="India"/>
    <s v="SYSTEUR"/>
    <s v="FTE"/>
    <s v="Kiran MR"/>
    <s v="Phil"/>
  </r>
  <r>
    <s v="39613"/>
    <s v="Steven Mroch"/>
    <s v="Cable Portfolio: eL18-4 Cable assembly transfer from Sumitomo Shenzhen to Vietnam"/>
    <s v="Nishant"/>
    <s v=""/>
    <s v="PROCUREMENT"/>
    <s v="PRODUCTIVITY"/>
    <s v="CONCEPT"/>
    <s v="Key components &amp; Electronics"/>
    <s v="US-Trans"/>
    <s v="PD"/>
    <s v="IL2"/>
    <n v="0.5"/>
    <x v="297"/>
    <s v="India"/>
    <s v="SYSTEUR"/>
    <s v="FTE"/>
    <s v="Ganesh Bhat"/>
    <s v="Nishant"/>
  </r>
  <r>
    <s v="39474"/>
    <s v="Steven Mroch"/>
    <s v="Marvel_C5-1, L12-3MVT Cable - Enable Sumitomo Vietnam factory"/>
    <s v="Nishant"/>
    <s v=""/>
    <s v="TCO"/>
    <s v="PRODUCTIVITY"/>
    <s v="TCO"/>
    <s v="Key components &amp; Electronics"/>
    <s v="US-Trans"/>
    <s v="PD"/>
    <s v="IL4"/>
    <n v="0.5"/>
    <x v="297"/>
    <s v="India"/>
    <s v="SYSTEUR"/>
    <s v="FTE"/>
    <s v="Ganesh Bhat"/>
    <s v="Nishant"/>
  </r>
  <r>
    <s v="PDTEAM601"/>
    <s v="Damodar Sarnobat"/>
    <s v="MR Coils Resin Harmonization "/>
    <s v="Phil"/>
    <s v=""/>
    <s v="N/A"/>
    <s v="LCM"/>
    <s v="TCO"/>
    <s v="Mechanical Parts &amp; Assemblies"/>
    <s v="MR"/>
    <s v="PD"/>
    <s v="IL2"/>
    <n v="1"/>
    <x v="298"/>
    <s v="India"/>
    <s v="SYSTEUR"/>
    <s v="FTE"/>
    <s v="Satheesh Nair"/>
    <s v="Nishant"/>
  </r>
  <r>
    <s v="IGTD_L&amp;A (Misc. entry to balance with resource database)"/>
    <s v="Steven Mroch"/>
    <s v="IGTD_L&amp;A (Misc. entry to balance with resource database)"/>
    <s v="Nishant"/>
    <s v=""/>
    <s v="Trainings"/>
    <s v="Trainings"/>
    <s v="NON_12NC"/>
    <s v="Trainings"/>
    <s v="IGT-D"/>
    <s v="IGT"/>
    <s v="IL2"/>
    <n v="0.4"/>
    <x v="299"/>
    <s v="USA"/>
    <s v="SYSTEUR"/>
    <s v="FTE"/>
    <s v="Yadav, A."/>
    <m/>
  </r>
  <r>
    <s v="HPM_L&amp;A"/>
    <s v="N/A"/>
    <s v="MISC. ENTRY TO BALANCE WITH RESOURCE DATABASE"/>
    <s v="All"/>
    <s v=""/>
    <s v="N/A"/>
    <s v="L&amp;A"/>
    <s v="L&amp;A"/>
    <s v="L&amp;A"/>
    <s v="HPM"/>
    <s v="CC"/>
    <s v="IL0"/>
    <n v="0.2"/>
    <x v="299"/>
    <s v="USA"/>
    <s v="SYSTEUR"/>
    <s v="FTE"/>
    <s v="Yadav, A."/>
    <m/>
  </r>
  <r>
    <s v="SRC_L&amp;A"/>
    <s v="N/A"/>
    <s v="MISC. ENTRY TO BALANCE WITH RESOURCE DATABASE"/>
    <s v="All"/>
    <s v=""/>
    <s v="N/A"/>
    <s v="L&amp;A"/>
    <s v="L&amp;A"/>
    <s v="L&amp;A"/>
    <s v="SRC"/>
    <s v="CC"/>
    <s v="IL0"/>
    <n v="0.2"/>
    <x v="299"/>
    <s v="USA"/>
    <s v="SYSTEUR"/>
    <s v="FTE"/>
    <s v="Yadav, A."/>
    <m/>
  </r>
  <r>
    <s v="US_L&amp;A"/>
    <s v="N/A"/>
    <s v="MISC. ENTRY TO BALANCE WITH RESOURCE DATABASE"/>
    <s v="All"/>
    <s v=""/>
    <s v="N/A"/>
    <s v="L&amp;A"/>
    <s v="L&amp;A"/>
    <s v="L&amp;A"/>
    <s v="US"/>
    <s v="PD"/>
    <s v="IL0"/>
    <n v="0.2"/>
    <x v="299"/>
    <s v="USA"/>
    <s v="SYSTEUR"/>
    <s v="FTE"/>
    <s v="Yadav, A."/>
    <m/>
  </r>
  <r>
    <s v="PDTEAM424"/>
    <s v="Srinivas, M.V.D "/>
    <s v="STET DXR HW LCM - Label &amp; Packaging"/>
    <s v="Phil"/>
    <s v=""/>
    <s v="N/A"/>
    <s v="LCM"/>
    <s v="SOURCING"/>
    <s v="Mechanical Parts &amp; Assemblies"/>
    <s v="DXR"/>
    <s v="PD"/>
    <s v="IL2"/>
    <n v="1"/>
    <x v="300"/>
    <s v="India"/>
    <s v="SYSTEUR"/>
    <s v="Contingent"/>
    <s v="M.V.D Srinivas"/>
    <s v="Phil"/>
  </r>
  <r>
    <s v="Saffron"/>
    <s v="Sushruth Rudrachary"/>
    <s v="Project Saffron"/>
    <s v="Tim"/>
    <s v=""/>
    <s v="N/A"/>
    <s v="NPI"/>
    <s v="CONCEPT"/>
    <s v="Personal Health"/>
    <s v="GB"/>
    <s v="PH"/>
    <s v="IL3"/>
    <n v="1"/>
    <x v="301"/>
    <s v="India"/>
    <s v="SYSTEUR"/>
    <s v="FTE"/>
    <s v="Adarsh Shrivastava"/>
    <s v="Tim"/>
  </r>
  <r>
    <s v="CR0112683"/>
    <s v="Charles Moses"/>
    <s v="AOS - TIME Bulkhead 453561997344 Supplier Change"/>
    <s v="Nishant"/>
    <s v=""/>
    <s v="N/A"/>
    <s v="AOS"/>
    <s v="SOURCING"/>
    <s v="Key components &amp; Electronics"/>
    <s v="US"/>
    <s v="PD"/>
    <s v="IL5"/>
    <n v="1"/>
    <x v="302"/>
    <s v="India"/>
    <s v="SYSTEUR"/>
    <s v="FTE"/>
    <s v="Anand Navalagi"/>
    <s v="Raj"/>
  </r>
  <r>
    <s v="NMT Cable Re-design"/>
    <s v="Jidhish Sidharthan"/>
    <s v="NMT Cable Re-design"/>
    <s v="Nishant"/>
    <s v=""/>
    <s v="N/A"/>
    <s v="LCM"/>
    <s v="SOURCING"/>
    <s v="Key components &amp; Electronics"/>
    <s v="HPM"/>
    <s v="CC"/>
    <s v="IL3"/>
    <n v="0.2"/>
    <x v="303"/>
    <s v="India"/>
    <s v="SYSTEUR"/>
    <s v="FTE"/>
    <s v="Jidhish Sidharthan"/>
    <s v="Nishant"/>
  </r>
  <r>
    <s v="30133"/>
    <s v="Jidhish Sidharthan"/>
    <s v="2021_Quasar_New Sumida Transformer with SMT"/>
    <s v="Nishant"/>
    <s v=""/>
    <s v="PROCUREMENT"/>
    <s v="PRODUCTIVITY"/>
    <s v="CONCEPT"/>
    <s v="Key components &amp; Electronics"/>
    <s v="HPM"/>
    <s v="CC"/>
    <s v="IL2"/>
    <n v="0.1"/>
    <x v="303"/>
    <s v="India"/>
    <s v="SYSTEUR"/>
    <s v="FTE"/>
    <s v="Jidhish Sidharthan"/>
    <s v="Nishant"/>
  </r>
  <r>
    <s v="35929"/>
    <s v="Jidhish Sidharthan"/>
    <s v="Alternative vendor for UPS"/>
    <s v="Nishant"/>
    <s v=""/>
    <s v="PROCUREMENT"/>
    <s v="PRODUCTIVITY"/>
    <s v="SOURCING"/>
    <s v="Medical ODM Markets"/>
    <s v="HPM"/>
    <s v="CC"/>
    <s v="IL3"/>
    <n v="0.2"/>
    <x v="303"/>
    <s v="India"/>
    <s v="SYSTEUR"/>
    <s v="FTE"/>
    <s v="Jidhish Sidharthan"/>
    <s v="Nishant"/>
  </r>
  <r>
    <s v="33356"/>
    <s v="Jidhish Sidharthan"/>
    <s v="Phoenix power supply resourcing"/>
    <s v="Nishant"/>
    <s v=""/>
    <s v="PROCUREMENT"/>
    <s v="PRODUCTIVITY"/>
    <s v="SOURCING"/>
    <s v="Key components &amp; Electronics"/>
    <s v="HPM"/>
    <s v="CC"/>
    <s v="IL3"/>
    <n v="0.5"/>
    <x v="303"/>
    <s v="India"/>
    <s v="SYSTEUR"/>
    <s v="FTE"/>
    <s v="Jidhish Sidharthan"/>
    <s v="Nishant"/>
  </r>
  <r>
    <s v="PDTEAM621"/>
    <s v="Damodar Sarnobat"/>
    <s v="STET MR COILS SICR EOL/ MATERIAL CHANGE "/>
    <s v="Phil"/>
    <s v=""/>
    <s v="N/A"/>
    <s v="LCM"/>
    <s v="TCO"/>
    <s v="Key components &amp; Electronics"/>
    <s v="MR"/>
    <s v="PD"/>
    <s v="IL2"/>
    <n v="0.2"/>
    <x v="304"/>
    <s v="India"/>
    <s v="SYSTEUR"/>
    <s v="FTE"/>
    <s v="Avinash Gosavi"/>
    <s v="Phil"/>
  </r>
  <r>
    <s v="33973"/>
    <s v="Vijay Purushothaman"/>
    <s v="Nicolet Plastic Parts localization to LCC- Derisking"/>
    <s v="Phil"/>
    <s v=""/>
    <s v="PROCUREMENT"/>
    <s v="PRODUCTIVITY"/>
    <s v="SOURCING"/>
    <s v="Mechanical Parts &amp; Assemblies"/>
    <s v="MR"/>
    <s v="PD"/>
    <s v="IL3"/>
    <n v="0.8"/>
    <x v="304"/>
    <s v="India"/>
    <s v="SYSTEUR"/>
    <s v="FTE"/>
    <s v="Avinash Gosavi"/>
    <s v="Phil"/>
  </r>
  <r>
    <s v="PV - Remediation"/>
    <s v="Sanjeev Kumar"/>
    <s v="Process Validation remediation for IGTS BU"/>
    <s v="Tim"/>
    <s v=""/>
    <s v="N/A"/>
    <s v="LCM"/>
    <s v="CONCEPT"/>
    <s v="Mechanical Parts &amp; Assemblies"/>
    <s v="IGT-S"/>
    <s v="IGT"/>
    <s v="IL3"/>
    <n v="1"/>
    <x v="305"/>
    <s v="India"/>
    <s v="SYSTEUR"/>
    <s v="FTE"/>
    <s v="Sanjeev Kumar"/>
    <s v="Tim"/>
  </r>
  <r>
    <s v="PDTEAM127"/>
    <s v="Noah H"/>
    <s v="Vega MHX Industrialization "/>
    <s v="Phil"/>
    <s v=""/>
    <s v="N/A"/>
    <s v="NPI"/>
    <s v="TCO"/>
    <s v="Mechanical Parts &amp; Assemblies"/>
    <s v="MR"/>
    <s v="PD"/>
    <s v="IL2"/>
    <n v="0.2"/>
    <x v="306"/>
    <s v="USA"/>
    <s v="SYSTEUR"/>
    <s v="FTE"/>
    <s v="Phil Jenkins"/>
    <s v="Phil"/>
  </r>
  <r>
    <s v="39681"/>
    <s v="Noah Hugunine "/>
    <s v="Redesign Ring Frames to Studs - 1.5T &amp; 3.0T"/>
    <s v="Phil"/>
    <s v=""/>
    <s v="TCO"/>
    <s v="NPI"/>
    <s v="CONCEPT"/>
    <s v="Mechanical Parts &amp; Assemblies"/>
    <s v="MR"/>
    <s v="PD"/>
    <s v="IL1"/>
    <n v="0.2"/>
    <x v="306"/>
    <s v="USA"/>
    <s v="SYSTEUR"/>
    <s v="FTE"/>
    <s v="Phil Jenkins"/>
    <s v="Phil"/>
  </r>
  <r>
    <s v="39725"/>
    <s v="Adrianna Davis"/>
    <s v="Alternative Sources for Vega"/>
    <s v="Phil"/>
    <s v=""/>
    <s v="PROCUREMENT"/>
    <s v="PRODUCTIVITY"/>
    <s v="SOURCING"/>
    <s v="Mechanical Parts &amp; Assemblies"/>
    <s v="MR"/>
    <s v="PD"/>
    <s v="IL2"/>
    <n v="0.1"/>
    <x v="306"/>
    <s v="USA"/>
    <s v="SYSTEUR"/>
    <s v="FTE"/>
    <s v="Phil Jenkins"/>
    <s v="Phil"/>
  </r>
  <r>
    <s v="39450"/>
    <s v="Noah H. "/>
    <s v="RIO - Resource Burst Disk from Fastenal (Fike) to BS&amp;B"/>
    <s v="Phil"/>
    <s v=""/>
    <s v="PROCUREMENT"/>
    <s v="PRODUCTIVITY"/>
    <s v="SOURCING"/>
    <s v="Mechanical Parts &amp; Assemblies"/>
    <s v="MR"/>
    <s v="PD"/>
    <s v="IL2"/>
    <n v="0.2"/>
    <x v="306"/>
    <s v="USA"/>
    <s v="SYSTEUR"/>
    <s v="FTE"/>
    <s v="Phil Jenkins"/>
    <s v="Phil"/>
  </r>
  <r>
    <s v="LCMGBSupport"/>
    <s v="Sushruth Rudrachary"/>
    <s v="LCM shaving and grooming general support"/>
    <s v="Tim"/>
    <s v=""/>
    <s v="N/A"/>
    <s v="LCM"/>
    <s v="CONCEPT"/>
    <s v="Personal Health"/>
    <s v="GB"/>
    <s v="PH"/>
    <s v="IL2"/>
    <n v="1"/>
    <x v="307"/>
    <s v="India"/>
    <s v="SYSTEUR"/>
    <s v="FTE"/>
    <s v="Adarsh Shrivastava"/>
    <s v="Tim"/>
  </r>
  <r>
    <s v="IGTS_LCM"/>
    <s v="Saravanakumar Palani_x000a__x000a_"/>
    <s v="IGTS_LCM"/>
    <s v="Raj"/>
    <s v=""/>
    <s v="N/A"/>
    <s v="LCM"/>
    <s v="CONCEPT"/>
    <s v="Mechanical Parts &amp; Assemblies"/>
    <s v="IGT-S"/>
    <s v="IGT"/>
    <s v="IL2"/>
    <n v="1"/>
    <x v="308"/>
    <s v="India"/>
    <s v="SYSTEUR"/>
    <s v="FTE"/>
    <s v="Makarand Dharmadhikari"/>
    <s v="Raj"/>
  </r>
  <r>
    <s v="ART-India"/>
    <s v="Vijayanand Purushothaman"/>
    <s v="LCM Support for India"/>
    <s v="Raj"/>
    <s v=""/>
    <s v="N/A"/>
    <s v="LCM"/>
    <s v="SOURCING"/>
    <s v="Mechanical Parts &amp; Assemblies"/>
    <s v="IGT-S"/>
    <s v="IGT"/>
    <s v="IL3"/>
    <n v="1"/>
    <x v="309"/>
    <s v="India"/>
    <s v="SYSTEUR"/>
    <s v="Contingent"/>
    <s v="Manish Sharma"/>
    <s v="Raj"/>
  </r>
  <r>
    <s v="EC_Funnel Activities"/>
    <s v="NA"/>
    <s v="Funnel/Business case/Technical feasibility"/>
    <s v="All"/>
    <s v=""/>
    <s v="Funnel Activities"/>
    <s v="Funnel Activities"/>
    <s v="Funnel Activities"/>
    <s v="Funnel Activities"/>
    <s v="EC"/>
    <s v="CC"/>
    <s v="IL0"/>
    <n v="1"/>
    <x v="310"/>
    <s v="India"/>
    <s v="SYSTEUR"/>
    <s v="FTE"/>
    <s v="Jidhish Sidharthan"/>
    <s v="Nishant"/>
  </r>
  <r>
    <s v="36928"/>
    <s v="Vijayanand Purushothaman"/>
    <s v="PCBA Refresh - 451220111952 - 451213456002 - Bucky Unit 3 digital (f. PX4343RC)-White"/>
    <s v="Phil"/>
    <s v=""/>
    <s v="N/A"/>
    <s v="LCM"/>
    <s v="CONCEPT"/>
    <s v="Key components &amp; Electronics"/>
    <s v="DXR"/>
    <s v="PD"/>
    <s v="IL5"/>
    <n v="0.5"/>
    <x v="311"/>
    <s v="India"/>
    <s v="SYSTEUR"/>
    <s v="FTE"/>
    <s v="Suyash Shastri"/>
    <s v="Phil"/>
  </r>
  <r>
    <s v="DXR_Training-1"/>
    <s v="NA"/>
    <s v="Trainings"/>
    <s v="All"/>
    <s v=""/>
    <s v="Trainings"/>
    <s v="Trainings"/>
    <s v="Trainings"/>
    <s v="Trainings"/>
    <s v="DXR"/>
    <s v="PD"/>
    <s v="IL0"/>
    <n v="0.2"/>
    <x v="311"/>
    <s v="India"/>
    <s v="SYSTEUR"/>
    <s v="FTE"/>
    <s v="Suyash Shastri"/>
    <s v="Phil"/>
  </r>
  <r>
    <s v="PDTEAM415"/>
    <s v="Srinivas, M.V.D "/>
    <s v="PCBA Health DXR"/>
    <s v="Phil"/>
    <s v=""/>
    <s v="N/A"/>
    <s v="LCM"/>
    <s v="SOURCING"/>
    <s v="Key components &amp; Electronics"/>
    <s v="DXR"/>
    <s v="PD"/>
    <s v="IL2"/>
    <n v="0.3"/>
    <x v="311"/>
    <s v="India"/>
    <s v="SYSTEUR"/>
    <s v="FTE"/>
    <s v="Suyash Shastri"/>
    <s v="Phil"/>
  </r>
  <r>
    <s v="PDTEAM405"/>
    <s v="Kiran MR"/>
    <s v="Factory Pune Process Validation Remediation"/>
    <s v="Phil"/>
    <s v=""/>
    <s v="N/A"/>
    <s v="LCM"/>
    <s v="SOURCING"/>
    <s v="Mechanical Parts &amp; Assemblies"/>
    <s v="IGT-S"/>
    <s v="IGT"/>
    <s v="IL2"/>
    <n v="1"/>
    <x v="312"/>
    <s v="India"/>
    <s v="SYSTEUR"/>
    <s v="FTE"/>
    <s v="Kiran MR"/>
    <s v="Phil"/>
  </r>
  <r>
    <s v="RfS 276454"/>
    <s v="Suraj Ramchandani"/>
    <s v="RIVER - NAR Eureka 2K PO"/>
    <s v="Tim"/>
    <s v=""/>
    <s v="N/A"/>
    <s v="LCM"/>
    <s v="SOURCING"/>
    <s v="Personal Health"/>
    <s v="MCC"/>
    <s v="PH"/>
    <s v="IL2"/>
    <n v="0.15"/>
    <x v="313"/>
    <s v="India"/>
    <s v="SYSTEUR"/>
    <s v="FTE"/>
    <s v="Tim Bokelman"/>
    <s v="Tim"/>
  </r>
  <r>
    <s v="RfS 258727"/>
    <s v="Suraj Ramchandani"/>
    <s v="Milk bag rebranding"/>
    <s v="Tim"/>
    <s v=""/>
    <s v="N/A"/>
    <s v="LCM"/>
    <s v="CONCEPT"/>
    <s v="Personal Health"/>
    <s v="MCC"/>
    <s v="PH"/>
    <s v="IL5"/>
    <n v="0.2"/>
    <x v="313"/>
    <s v="India"/>
    <s v="SYSTEUR"/>
    <s v="FTE"/>
    <s v="Tim Bokelman"/>
    <s v="Tim"/>
  </r>
  <r>
    <s v="RfS 276454"/>
    <s v="Suraj Ramchandani"/>
    <s v="RIVER - NAR Eureka 2K PO"/>
    <s v="Tim"/>
    <s v=""/>
    <s v="N/A"/>
    <s v="LCM"/>
    <s v="SOURCING"/>
    <s v="Personal Health"/>
    <s v="MCC"/>
    <s v="PH"/>
    <s v="IL2"/>
    <n v="0.2"/>
    <x v="313"/>
    <s v="India"/>
    <s v="SYSTEUR"/>
    <s v="FTE"/>
    <s v="Tim Bokelman"/>
    <s v="Tim"/>
  </r>
  <r>
    <s v="RfS 276927"/>
    <s v="Suraj Ramchandani"/>
    <s v="AMB554-25019 China RoHS update, 4 new restricted substance - Eureka &amp; Daisy EBP"/>
    <s v="Tim"/>
    <s v=""/>
    <s v="N/A"/>
    <s v="LCM"/>
    <s v="CONCEPT"/>
    <s v="Personal Health"/>
    <s v="MCC"/>
    <s v="PH"/>
    <s v="IL5"/>
    <n v="0.1"/>
    <x v="313"/>
    <s v="India"/>
    <s v="SYSTEUR"/>
    <s v="FTE"/>
    <s v="Tim Bokelman"/>
    <s v="Tim"/>
  </r>
  <r>
    <s v="RfS 277615"/>
    <s v="Suraj Ramchandani"/>
    <s v="Daisy EBP - Household - ANZ"/>
    <s v="Tim"/>
    <s v=""/>
    <s v="IGM"/>
    <s v="Commercial Innovation"/>
    <s v="Commercial Innovation"/>
    <s v="Personal Health"/>
    <s v="MCC"/>
    <s v="PH"/>
    <s v="IL5"/>
    <n v="0.25"/>
    <x v="313"/>
    <s v="India"/>
    <s v="SYSTEUR"/>
    <s v="FTE"/>
    <s v="Tim Bokelman"/>
    <s v="Tim"/>
  </r>
  <r>
    <s v="RfS 278222"/>
    <s v="Suraj Ramchandani_x000a_"/>
    <s v="Nexperia Shortage Eureka, Vera PCBAs"/>
    <s v="Tim"/>
    <s v=""/>
    <s v="N/A"/>
    <s v="LCM"/>
    <s v="SOURCING"/>
    <s v="Key components &amp; Electronics"/>
    <s v="MCC"/>
    <s v="PH"/>
    <s v="IL5"/>
    <n v="0.25"/>
    <x v="313"/>
    <s v="India"/>
    <s v="SYSTEUR"/>
    <s v="FTE"/>
    <s v="Tim Bokelman"/>
    <s v="Tim"/>
  </r>
  <r>
    <s v="01MOSLCMCR"/>
    <s v="Ponkshe, Mihir"/>
    <s v="LCM CR in IGT- MOS"/>
    <s v="Raj"/>
    <s v=""/>
    <s v="N/A"/>
    <s v="AOS"/>
    <s v="SOURCING"/>
    <s v="Key components &amp; Electronics"/>
    <s v="IGT-MoS"/>
    <s v="IGT"/>
    <s v="IL3"/>
    <n v="0.5"/>
    <x v="314"/>
    <s v="India"/>
    <s v="SYSTEUR"/>
    <s v="FTE"/>
    <s v="Mihir Ponkshe"/>
    <s v="Raj"/>
  </r>
  <r>
    <s v="01MOSLCMCR"/>
    <s v="Ponkshe, Mihir"/>
    <s v="LCM CR in IGT- MOS"/>
    <s v="Raj"/>
    <s v=""/>
    <s v="N/A"/>
    <s v="AOS"/>
    <s v="SOURCING"/>
    <s v="Key components &amp; Electronics"/>
    <s v="IGT-MoS"/>
    <s v="IGT"/>
    <s v="IL3"/>
    <n v="0.5"/>
    <x v="314"/>
    <s v="India"/>
    <s v="SYSTEUR"/>
    <s v="FTE"/>
    <s v="Mihir Ponkshe"/>
    <s v="Raj"/>
  </r>
  <r>
    <s v="41142"/>
    <s v="Sushruth Rudrachary"/>
    <s v="2nd source PCBA supplier BT3 - Elin DfX Workshop 2025 BT1/BT3"/>
    <s v="Tim"/>
    <s v=""/>
    <s v="PROCUREMENT"/>
    <s v="PRODUCTIVITY"/>
    <s v="CONCEPT"/>
    <s v="Personal Health"/>
    <s v="GB"/>
    <s v="PH"/>
    <s v="IL3"/>
    <n v="0.2"/>
    <x v="315"/>
    <s v="India"/>
    <s v="SYSTEUR"/>
    <s v="FTE"/>
    <s v="Dayal Mirthinti"/>
    <s v="Tim"/>
  </r>
  <r>
    <s v="PCBA Refresh Analysis"/>
    <s v="Sushruth Rudrachary"/>
    <s v="PCBA Refresh Analysis"/>
    <s v="Tim"/>
    <s v=""/>
    <s v="N/A"/>
    <s v="LCM"/>
    <s v="CONCEPT"/>
    <s v="Personal Health"/>
    <s v="GB"/>
    <s v="PH"/>
    <s v="IL3"/>
    <n v="0.2"/>
    <x v="315"/>
    <s v="India"/>
    <s v="SYSTEUR"/>
    <s v="FTE"/>
    <s v="Dayal Mirthinti"/>
    <s v="Tim"/>
  </r>
  <r>
    <s v="GB_Funnel Activities"/>
    <s v="NA"/>
    <s v="Funnel/Business case/Technical feasibility"/>
    <s v="All"/>
    <s v=""/>
    <s v="Funnel Activities"/>
    <s v="Funnel Activities"/>
    <s v="Funnel Activities"/>
    <s v="Funnel Activities"/>
    <s v="GB"/>
    <s v="PH"/>
    <s v="IL0"/>
    <n v="0.6"/>
    <x v="315"/>
    <s v="India"/>
    <s v="SYSTEUR"/>
    <s v="FTE"/>
    <s v="Dayal Mirthinti"/>
    <s v="Tim"/>
  </r>
  <r>
    <s v="31799"/>
    <s v="Jidhish Sidharthan"/>
    <s v="Jupiter Project Phase 2"/>
    <s v="Nishant"/>
    <s v=""/>
    <s v="PROCUREMENT"/>
    <s v="PRODUCTIVITY"/>
    <s v="SOURCING"/>
    <s v="Mechanical Parts &amp; Assemblies"/>
    <s v="HPM"/>
    <s v="CC"/>
    <s v="IL3"/>
    <n v="0.5"/>
    <x v="316"/>
    <s v="India"/>
    <s v="SYSTEUR"/>
    <s v="FTE"/>
    <s v="Jidhish Sidharthan"/>
    <s v="Nishant"/>
  </r>
  <r>
    <s v="37018"/>
    <s v="Jidhish Sidharthan"/>
    <s v="Transfer of Capnography Products from Philips Shenzen Facility to Nextphase Mexico"/>
    <s v="Nishant"/>
    <s v=""/>
    <s v="PROCUREMENT"/>
    <s v="PRODUCTIVITY"/>
    <s v="SOURCING"/>
    <s v="Mechanical Parts &amp; Assemblies"/>
    <s v="HPM"/>
    <s v="CC"/>
    <s v="IL0"/>
    <n v="0.5"/>
    <x v="316"/>
    <s v="India"/>
    <s v="SYSTEUR"/>
    <s v="FTE"/>
    <s v="Jidhish Sidharthan"/>
    <s v="Nishant"/>
  </r>
  <r>
    <s v="42069"/>
    <s v="Charles Moses"/>
    <s v="Ultrasound FRU direct buy project(was supported by Bothell) for SPS due to Samba transfer"/>
    <s v="Nishant"/>
    <s v=""/>
    <s v="PROCUREMENT"/>
    <s v="PRODUCTIVITY"/>
    <s v="SOURCING"/>
    <s v="Repair Centers &amp; Service Parts"/>
    <s v="US"/>
    <s v="PD"/>
    <s v="IL3"/>
    <n v="1"/>
    <x v="317"/>
    <s v="India"/>
    <s v="SYSTEUR"/>
    <s v="FTE"/>
    <s v="Subhankar Das"/>
    <s v="Phil"/>
  </r>
  <r>
    <s v="ART-India"/>
    <s v="Vijayanand Purushothaman"/>
    <s v="LCM Support for India"/>
    <s v="Raj"/>
    <s v=""/>
    <s v="N/A"/>
    <s v="LCM"/>
    <s v="SOURCING"/>
    <s v="Mechanical Parts &amp; Assemblies"/>
    <s v="IGT-S"/>
    <s v="IGT"/>
    <s v="IL3"/>
    <n v="1"/>
    <x v="318"/>
    <s v="India"/>
    <s v="SYSTEUR"/>
    <s v="FTE"/>
    <s v="Manish Sharma"/>
    <s v="Raj"/>
  </r>
  <r>
    <s v="PDTEAM624"/>
    <s v="Damodar Sarnobat"/>
    <s v="STET MR COILS SICR MANUFACTURING SITE/PRODUCT LOCATION CHANGE "/>
    <s v="Phil"/>
    <s v=""/>
    <s v="N/A"/>
    <s v="LCM"/>
    <s v="TCO"/>
    <s v="Mechanical Parts &amp; Assemblies"/>
    <s v="MR"/>
    <s v="PD"/>
    <s v="IL2"/>
    <n v="0.5"/>
    <x v="319"/>
    <s v="India"/>
    <s v="SYSTEUR"/>
    <s v="FTE"/>
    <s v="Radhaprasanna Merugu"/>
    <s v="Raj"/>
  </r>
  <r>
    <s v="PDTEAM625"/>
    <s v="Damodar Sarnobat"/>
    <s v="STET MR COILS SICR QUALITY IMPROVEMENT "/>
    <s v="Phil"/>
    <s v=""/>
    <s v="N/A"/>
    <s v="LCM"/>
    <s v="TCO"/>
    <s v="Mechanical Parts &amp; Assemblies"/>
    <s v="MR"/>
    <s v="PD"/>
    <s v="IL2"/>
    <n v="0.5"/>
    <x v="319"/>
    <s v="India"/>
    <s v="SYSTEUR"/>
    <s v="FTE"/>
    <s v="Radhaprasanna Merugu"/>
    <s v="Raj"/>
  </r>
  <r>
    <s v="29164"/>
    <s v="Ganesh "/>
    <s v="Razor Backing Simplification"/>
    <s v="Nishant"/>
    <s v=""/>
    <s v="PROCUREMENT"/>
    <s v="PRODUCTIVITY"/>
    <s v="CONCEPT"/>
    <s v="Key components &amp; Electronics"/>
    <s v="US-Trans"/>
    <s v="PD"/>
    <s v="IL3"/>
    <n v="0.5"/>
    <x v="320"/>
    <s v="USA"/>
    <s v="SYSTEUR"/>
    <s v="FTE"/>
    <s v="Steven Mroch"/>
    <s v="Nishant"/>
  </r>
  <r>
    <s v="28102"/>
    <s v="Steven Mroch"/>
    <s v="Marvel_Razor Backing Simplification"/>
    <s v="Nishant"/>
    <s v=""/>
    <s v="PROCUREMENT"/>
    <s v="PRODUCTIVITY"/>
    <s v="CONCEPT"/>
    <s v="Mechanical Parts &amp; Assemblies"/>
    <s v="US-Trans"/>
    <s v="PD"/>
    <s v="IL4"/>
    <n v="0.5"/>
    <x v="320"/>
    <s v="USA"/>
    <s v="SYSTEUR"/>
    <s v="FTE"/>
    <s v="Steven Mroch"/>
    <s v="Nishant"/>
  </r>
  <r>
    <s v="HPM_Labelling_09122205"/>
    <s v="Jidhish Sidharthan_x000a_"/>
    <s v="HPM Labelling support "/>
    <s v="Nishant"/>
    <s v=""/>
    <s v="N/A"/>
    <s v="LCM"/>
    <s v="SOURCING"/>
    <s v="All"/>
    <s v="HPM"/>
    <s v="CC"/>
    <s v="IL3"/>
    <n v="1"/>
    <x v="321"/>
    <s v="India"/>
    <s v="SYSTEUR"/>
    <s v="FTE"/>
    <s v="Manoj Verma"/>
    <s v="Nishant"/>
  </r>
  <r>
    <s v="PV - Remediation"/>
    <s v="Sanjeev Kumar"/>
    <s v="Process Validation remediation for IGTS BU"/>
    <s v="Tim"/>
    <s v=""/>
    <s v="N/A"/>
    <s v="LCM"/>
    <s v="CONCEPT"/>
    <s v="Mechanical Parts &amp; Assemblies"/>
    <s v="IGT-S"/>
    <s v="IGT"/>
    <s v="IL3"/>
    <n v="1"/>
    <x v="322"/>
    <s v="India"/>
    <s v="SYSTEUR"/>
    <s v="Contingent"/>
    <s v="Sanjeev Kumar"/>
    <s v="Bokelman"/>
  </r>
  <r>
    <s v="CONQ_CY2024_20"/>
    <s v="Sanjeev Kumar"/>
    <s v="Rhenus warehouse damages"/>
    <s v="Tim"/>
    <s v=""/>
    <s v="N/A"/>
    <s v="CONQ"/>
    <s v="CONQ"/>
    <s v="Mechanical Parts &amp; Assemblies"/>
    <s v="IGT-S"/>
    <s v="IGT"/>
    <s v="IL3"/>
    <n v="0.1"/>
    <x v="323"/>
    <s v="Poland"/>
    <s v="SYSTEUR"/>
    <s v="FTE"/>
    <s v="Anil C S"/>
    <s v="Tim"/>
  </r>
  <r>
    <s v="CAPA-4200943"/>
    <s v="Sanjeev Kumar"/>
    <s v="STET Funnel Project Title Implementation of plating specification through multiple CR at respective supplier to prevent rust"/>
    <s v="Tim"/>
    <s v=""/>
    <s v="N/A"/>
    <s v="CONQ"/>
    <s v="CONQ"/>
    <s v="Mechanical Parts &amp; Assemblies"/>
    <s v="IGT-S"/>
    <s v="IGT"/>
    <s v="IL3"/>
    <n v="0.2"/>
    <x v="323"/>
    <s v="Poland"/>
    <s v="SYSTEUR"/>
    <s v="FTE"/>
    <s v="Anil C S"/>
    <s v="Tim"/>
  </r>
  <r>
    <s v="38793"/>
    <s v="Saravanakumar Palani"/>
    <s v="Zollner Exit  - Cabinet cover transfer to LTI"/>
    <s v="Raj"/>
    <s v=""/>
    <s v="PROCUREMENT"/>
    <s v="PRODUCTIVITY"/>
    <s v="SOURCING"/>
    <s v="Mechanical Parts &amp; Assemblies"/>
    <s v="IGT-S"/>
    <s v="IGT"/>
    <s v="IL3"/>
    <n v="0.3"/>
    <x v="323"/>
    <s v="Poland"/>
    <s v="SYSTEUR"/>
    <s v="FTE"/>
    <s v="Anil C S"/>
    <s v="Tim"/>
  </r>
  <r>
    <s v="CONQ_CY2023_04"/>
    <s v="Sanjeev Kumar"/>
    <s v="Best Transportation issues"/>
    <s v="Tim"/>
    <s v=""/>
    <s v="N/A"/>
    <s v="CONQ"/>
    <s v="CONQ"/>
    <s v="Mechanical Parts &amp; Assemblies"/>
    <s v="MR"/>
    <s v="PD"/>
    <s v="IL3"/>
    <n v="0.4"/>
    <x v="323"/>
    <s v="Poland"/>
    <s v="SYSTEUR"/>
    <s v="FTE"/>
    <s v="Anil C S"/>
    <s v="Tim"/>
  </r>
  <r>
    <s v="IGT-S_L&amp;A"/>
    <s v="N/A"/>
    <s v="MISC. ENTRY TO BALANCE WITH RESOURCE DATABASE"/>
    <s v="All"/>
    <s v=""/>
    <s v="N/A"/>
    <s v="L&amp;A"/>
    <s v="L&amp;A"/>
    <s v="L&amp;A"/>
    <s v="IGT-S"/>
    <s v="IGT"/>
    <s v="IL0"/>
    <n v="0.6"/>
    <x v="324"/>
    <s v="India"/>
    <s v="SYSTEUR"/>
    <s v="FTE"/>
    <s v="Yadav, A."/>
    <m/>
  </r>
  <r>
    <s v="L&amp;A"/>
    <s v="N/A"/>
    <s v="MISC. ENTRY TO BALANCE WITH RESOURCE DATABASE"/>
    <s v="All"/>
    <s v=""/>
    <s v="N/A"/>
    <s v="L&amp;A"/>
    <s v="L&amp;A"/>
    <s v="L&amp;A"/>
    <s v="L&amp;A"/>
    <s v="L&amp;A"/>
    <s v="IL3"/>
    <n v="0.2"/>
    <x v="324"/>
    <s v="India"/>
    <s v="SYSTEUR"/>
    <s v="FTE"/>
    <s v="Yadav, A."/>
    <m/>
  </r>
  <r>
    <s v="IGT-MoS_L&amp;A"/>
    <s v="N/A"/>
    <s v="MISC. ENTRY TO BALANCE WITH RESOURCE DATABASE"/>
    <s v="All"/>
    <s v=""/>
    <s v="N/A"/>
    <s v="L&amp;A"/>
    <s v="L&amp;A"/>
    <s v="L&amp;A"/>
    <s v="IGT-MoS"/>
    <s v="IGT"/>
    <s v="IL0"/>
    <n v="0.2"/>
    <x v="324"/>
    <s v="India"/>
    <s v="SYSTEUR"/>
    <s v="FTE"/>
    <s v="Yadav, A."/>
    <m/>
  </r>
  <r>
    <s v="RTC-HSH20251200744"/>
    <s v="Sushruth Rudrachary_x000a_"/>
    <s v="Launch of QP2824/10 in Korea"/>
    <s v="Tim"/>
    <s v=""/>
    <s v="IGM"/>
    <s v="Commercial Innovation"/>
    <s v="Commercial Innovation"/>
    <s v="Personal Health"/>
    <s v="GB"/>
    <s v="PH"/>
    <s v="IL3"/>
    <n v="0.1"/>
    <x v="325"/>
    <s v="India"/>
    <s v="SYSTEUR"/>
    <s v="FTE"/>
    <s v="Ishan Gupta"/>
    <s v="Tim"/>
  </r>
  <r>
    <s v="RTC-GRO20251101693"/>
    <s v="Sushruth Rudrachary_x000a_"/>
    <s v="Reg mem AMB554-25066 warranty leaflet online"/>
    <s v="Tim"/>
    <s v=""/>
    <s v="N/A"/>
    <s v="LCM"/>
    <s v="CONCEPT"/>
    <s v="Personal Health"/>
    <s v="GB"/>
    <s v="PH"/>
    <s v="IL2"/>
    <n v="0.1"/>
    <x v="325"/>
    <s v="India"/>
    <s v="SYSTEUR"/>
    <s v="FTE"/>
    <s v="Ishan Gupta"/>
    <s v="Tim"/>
  </r>
  <r>
    <s v="Training - 1"/>
    <s v="NA"/>
    <s v="Trainings - QMS"/>
    <s v="All"/>
    <s v=""/>
    <s v="Trainings"/>
    <s v="Trainings"/>
    <s v="Trainings"/>
    <s v="Trainings"/>
    <s v="Trainings"/>
    <s v="Trainings"/>
    <s v="IL2"/>
    <n v="0.1"/>
    <x v="325"/>
    <s v="India"/>
    <s v="SYSTEUR"/>
    <s v="FTE"/>
    <s v="Ishan Gupta"/>
    <s v="Tim"/>
  </r>
  <r>
    <s v="Training - 2"/>
    <s v="NA"/>
    <s v="Trainings - Technical"/>
    <s v="All"/>
    <s v=""/>
    <s v="Trainings"/>
    <s v="Trainings"/>
    <s v="Trainings"/>
    <s v="Trainings"/>
    <s v="Trainings"/>
    <s v="Trainings"/>
    <s v="IL0"/>
    <n v="0.3"/>
    <x v="325"/>
    <s v="India"/>
    <s v="SYSTEUR"/>
    <s v="FTE"/>
    <s v="Ishan Gupta"/>
    <s v="Tim"/>
  </r>
  <r>
    <s v="RTC-GRO20260101695"/>
    <s v="Sushruth Rudrachary_x000a_"/>
    <s v="Hair Clipper ranges phase-out"/>
    <s v="Tim"/>
    <s v=""/>
    <s v="N/A"/>
    <s v="LCM"/>
    <s v="CONCEPT"/>
    <s v="Personal Health"/>
    <s v="GB"/>
    <s v="PH"/>
    <s v="IL2"/>
    <n v="0.1"/>
    <x v="325"/>
    <s v="India"/>
    <s v="SYSTEUR"/>
    <s v="FTE"/>
    <s v="Ishan Gupta"/>
    <s v="Tim"/>
  </r>
  <r>
    <s v="RTC-GRO20260101701"/>
    <s v="Sushruth Rudrachary_x000a_"/>
    <s v="NT Walmart US AW update"/>
    <s v="Tim"/>
    <s v=""/>
    <s v="N/A"/>
    <s v="LCM"/>
    <s v="CONCEPT"/>
    <s v="Personal Health"/>
    <s v="GB"/>
    <s v="PH"/>
    <s v="IL2"/>
    <n v="0.1"/>
    <x v="325"/>
    <s v="India"/>
    <s v="SYSTEUR"/>
    <s v="FTE"/>
    <s v="Ishan Gupta"/>
    <s v="Tim"/>
  </r>
  <r>
    <s v="OHC_Long Leave"/>
    <s v="NA"/>
    <s v="Long Medical Leaves/Maternity leave/Sabbatical"/>
    <s v="All"/>
    <s v=""/>
    <s v="Long Leave"/>
    <s v="Long Leave"/>
    <s v="Long Leave"/>
    <s v="Long Leave"/>
    <s v="OHC"/>
    <s v="PH"/>
    <s v="IL0"/>
    <n v="1"/>
    <x v="326"/>
    <s v="India"/>
    <s v="SYSTEUR"/>
    <s v="FTE"/>
    <s v="Pramila Mote"/>
    <s v="Tim"/>
  </r>
  <r>
    <s v="RfS 274661"/>
    <s v="Sushruth Rudrachary"/>
    <s v="REGMEM AMB 554-24036 - EU - Timber Regulations (EUTR) and SUS-082 Sustainability standard for timber and timber products"/>
    <s v="Tim"/>
    <s v=""/>
    <s v="N/A"/>
    <s v="LCM"/>
    <s v="CONCEPT"/>
    <s v="Personal Health"/>
    <s v="GB"/>
    <s v="PH"/>
    <s v="IL5"/>
    <n v="1"/>
    <x v="327"/>
    <s v="India"/>
    <s v="SYSTEUR"/>
    <s v="FTE"/>
    <s v="Kamal Singh"/>
    <s v="Tim"/>
  </r>
  <r>
    <s v="OHC_Training-1"/>
    <s v="NA"/>
    <s v="Trainings"/>
    <s v="All"/>
    <s v=""/>
    <s v="Trainings"/>
    <s v="Trainings"/>
    <s v="Trainings"/>
    <s v="Trainings"/>
    <s v="OHC"/>
    <s v="PH"/>
    <s v="IL0"/>
    <n v="0.1"/>
    <x v="328"/>
    <s v="India"/>
    <s v="SYSTEUR"/>
    <s v="FTE"/>
    <s v="Saurabh Khedkar"/>
    <s v="Tim"/>
  </r>
  <r>
    <s v="CR228315"/>
    <s v="Saurabh Agrawal_x000a_"/>
    <s v="PTB VS, PIE Charger Non-Compliance Mitigation (Lead)"/>
    <s v="Tim"/>
    <s v=""/>
    <s v="N/A"/>
    <s v="LCM"/>
    <s v="CONCEPT"/>
    <s v="Personal Health"/>
    <s v="OHC"/>
    <s v="PH"/>
    <s v="IL3"/>
    <n v="0.15"/>
    <x v="328"/>
    <s v="India"/>
    <s v="SYSTEUR"/>
    <s v="FTE"/>
    <s v="Saurabh Khedkar"/>
    <s v="Tim"/>
  </r>
  <r>
    <s v="39641"/>
    <s v="Saurabh Agrawal"/>
    <s v="Marvel: Cairo Connected E-Components Optimization"/>
    <s v="Tim"/>
    <s v=""/>
    <s v="PROCUREMENT"/>
    <s v="PRODUCTIVITY"/>
    <s v="SOURCING"/>
    <s v="Personal Health"/>
    <s v="OHC"/>
    <s v="PH"/>
    <s v="IL3"/>
    <n v="0.4"/>
    <x v="328"/>
    <s v="India"/>
    <s v="SYSTEUR"/>
    <s v="FTE"/>
    <s v="Saurabh Khedkar"/>
    <s v="Tim"/>
  </r>
  <r>
    <s v="41430"/>
    <s v="Saurabh Agrawal"/>
    <s v="DD6.0: Multi-Source Piggy Nose Cable for OHC CR215860"/>
    <s v="Tim"/>
    <s v=""/>
    <s v="PROCUREMENT"/>
    <s v="PRODUCTIVITY"/>
    <s v="SOURCING"/>
    <s v="Personal Health"/>
    <s v="OHC"/>
    <s v="PH"/>
    <s v="IL5"/>
    <n v="0.2"/>
    <x v="328"/>
    <s v="India"/>
    <s v="SYSTEUR"/>
    <s v="FTE"/>
    <s v="Saurabh Khedkar"/>
    <s v="Tim"/>
  </r>
  <r>
    <s v="CR228316"/>
    <s v="Saurabh Agrawal_x000a_"/>
    <s v="PTB VS, PIE Charger Non-Compliance Mitigation (Antimony Oxide)"/>
    <s v="Tim"/>
    <s v=""/>
    <s v="N/A"/>
    <s v="LCM"/>
    <s v="CONCEPT"/>
    <s v="Personal Health"/>
    <s v="OHC"/>
    <s v="PH"/>
    <s v="IL3"/>
    <n v="0.15"/>
    <x v="328"/>
    <s v="India"/>
    <s v="SYSTEUR"/>
    <s v="FTE"/>
    <s v="Saurabh Khedkar"/>
    <s v="Tim"/>
  </r>
  <r>
    <s v="OHC_LCM_1"/>
    <s v="Saurabh Agarwal"/>
    <s v="LCM Activities"/>
    <s v="Tim"/>
    <s v=""/>
    <s v="N/A"/>
    <s v="LCM"/>
    <s v="CONCEPT"/>
    <s v="Personal Health"/>
    <s v="OHC"/>
    <s v="PH"/>
    <s v="IL3"/>
    <n v="1"/>
    <x v="329"/>
    <s v="India"/>
    <s v="SYSTEUR"/>
    <s v="FTE"/>
    <s v="Amol Ravindra Balkawade"/>
    <s v="Raj"/>
  </r>
  <r>
    <s v="PDTEAM432"/>
    <s v="MVD Srinivas"/>
    <s v="STET DXR Synchronization"/>
    <s v="Phil"/>
    <s v=""/>
    <s v="PROCUREMENT"/>
    <s v="LCM"/>
    <s v="SOURCING"/>
    <s v="Key components &amp; Electronics"/>
    <s v="DXR"/>
    <s v="PD"/>
    <s v="IL2"/>
    <n v="0.9"/>
    <x v="330"/>
    <s v="India"/>
    <s v="SYSTEUR"/>
    <s v="Contingent"/>
    <s v="Karthik Ramamurthy"/>
    <s v="Phil"/>
  </r>
  <r>
    <s v="PDTEAM424"/>
    <s v="Srinivas, M.V.D "/>
    <s v="STET DXR HW LCM - Label &amp; Packaging"/>
    <s v="Phil"/>
    <s v=""/>
    <s v="N/A"/>
    <s v="LCM"/>
    <s v="SOURCING"/>
    <s v="Mechanical Parts &amp; Assemblies"/>
    <s v="DXR"/>
    <s v="PD"/>
    <s v="IL2"/>
    <n v="0.1"/>
    <x v="330"/>
    <s v="India"/>
    <s v="SYSTEUR"/>
    <s v="Contingent"/>
    <s v="Karthik Ramamurthy"/>
    <s v="Phil"/>
  </r>
  <r>
    <s v="PDTEAM421"/>
    <s v="Srinivas, M.V.D "/>
    <s v="STET DXR HW LCM CQ - Mechanical"/>
    <s v="Phil"/>
    <s v=""/>
    <s v="N/A"/>
    <s v="LCM"/>
    <s v="SOURCING"/>
    <s v="Mechanical Parts &amp; Assemblies"/>
    <s v="DXR"/>
    <s v="PD"/>
    <s v="IL2"/>
    <n v="1"/>
    <x v="331"/>
    <s v="India"/>
    <s v="SYSTEUR"/>
    <s v="Contingent"/>
    <s v="M.V.D Srinivas"/>
    <s v="Phil"/>
  </r>
  <r>
    <s v="DCR#14087"/>
    <s v="Steven Mroch"/>
    <s v="Galemed Update to their MDR Certified label"/>
    <s v="Nishant"/>
    <s v=""/>
    <s v="N/A"/>
    <s v="LCM"/>
    <s v="NON_12NC"/>
    <s v="Mechanical Parts &amp; Assemblies"/>
    <s v="SRC"/>
    <s v="CC"/>
    <s v="IL5"/>
    <n v="0.2"/>
    <x v="332"/>
    <s v="India"/>
    <s v="SYSTEUR"/>
    <s v="Contingent"/>
    <s v="Krishna Prasad"/>
    <s v="Nishant"/>
  </r>
  <r>
    <s v="DCR#14599"/>
    <s v="Steve_x000a_"/>
    <s v="New Source for 1019689 - SGM Cannula Barb"/>
    <s v="Nishant"/>
    <s v=""/>
    <s v="N/A"/>
    <s v="LCM"/>
    <s v="TCO"/>
    <s v="Mechanical Parts &amp; Assemblies"/>
    <s v="SRC"/>
    <s v="CC"/>
    <s v="IL3"/>
    <n v="0.2"/>
    <x v="332"/>
    <s v="India"/>
    <s v="SYSTEUR"/>
    <s v="Contingent"/>
    <s v="Krishna Prasad"/>
    <s v="Nishant"/>
  </r>
  <r>
    <s v="DCR#20639"/>
    <s v="Steven Mroch"/>
    <s v="WILAmed Circuits Polybag Specification Update - complementing DCR 20395"/>
    <s v="Nishant"/>
    <s v=""/>
    <s v="N/A"/>
    <s v="LCM"/>
    <s v="NON_12NC"/>
    <s v="Medical ODM Markets"/>
    <s v="SRC"/>
    <s v="CC"/>
    <s v="IL3"/>
    <n v="0.2"/>
    <x v="332"/>
    <s v="India"/>
    <s v="SYSTEUR"/>
    <s v="Contingent"/>
    <s v="Krishna Prasad"/>
    <s v="Nishant"/>
  </r>
  <r>
    <s v="DCR#20639"/>
    <s v="Steven Mroch"/>
    <s v="WILAmed Circuits Polybag Specification Update - complementing DCR 20395"/>
    <s v="Nishant"/>
    <s v=""/>
    <s v="N/A"/>
    <s v="LCM"/>
    <s v="NON_12NC"/>
    <s v="Medical ODM Markets"/>
    <s v="SRC"/>
    <s v="CC"/>
    <s v="IL3"/>
    <n v="0.2"/>
    <x v="332"/>
    <s v="India"/>
    <s v="SYSTEUR"/>
    <s v="Contingent"/>
    <s v="Krishna Prasad"/>
    <s v="Nishant"/>
  </r>
  <r>
    <s v="DCR#20308"/>
    <s v="Steven Mroch"/>
    <s v="Design Change for 1047905 - MMV, Oxygen Input Quick Connect, Bod"/>
    <s v="Nishant"/>
    <s v=""/>
    <s v="N/A"/>
    <s v="LCM"/>
    <s v="NON_12NC"/>
    <s v="Mechanical Parts &amp; Assemblies"/>
    <s v="SRC"/>
    <s v="CC"/>
    <s v="IL3"/>
    <n v="0.2"/>
    <x v="332"/>
    <s v="India"/>
    <s v="SYSTEUR"/>
    <s v="Contingent"/>
    <s v="Krishna Prasad"/>
    <s v="Nishant"/>
  </r>
  <r>
    <s v="CR199557"/>
    <s v="Saurabh Agrawal"/>
    <s v="Ontario RFiD Ring assembly line utilization improvement"/>
    <s v="Tim"/>
    <s v=""/>
    <s v="N/A"/>
    <s v="LCM"/>
    <s v="CONCEPT"/>
    <s v="Personal Health"/>
    <s v="OHC"/>
    <s v="PH"/>
    <s v="IL3"/>
    <n v="0.25"/>
    <x v="333"/>
    <s v="India"/>
    <s v="SYSTEUR"/>
    <s v="FTE"/>
    <s v="Saurabh Agrawal"/>
    <s v="Tim"/>
  </r>
  <r>
    <s v="CR205871"/>
    <s v="Saurabh Agrawal"/>
    <s v="Launch of Sonicare for Kids 2 new handles in EU region"/>
    <s v="Tim"/>
    <s v=""/>
    <s v="IGM"/>
    <s v="Commercial Innovation"/>
    <s v="Commercial Innovation"/>
    <s v="Personal Health"/>
    <s v="OHC"/>
    <s v="PH"/>
    <s v="IL5"/>
    <n v="0.25"/>
    <x v="333"/>
    <s v="India"/>
    <s v="SYSTEUR"/>
    <s v="FTE"/>
    <s v="Saurabh Agrawal"/>
    <s v="Tim"/>
  </r>
  <r>
    <s v="CR203988-2"/>
    <s v="Saurabh Agrawal"/>
    <s v="2.5W USA-A AC Adapter Development (Vietnam)"/>
    <s v="Tim"/>
    <s v=""/>
    <s v="N/A"/>
    <s v="LCM"/>
    <s v="CONCEPT"/>
    <s v="Personal Health"/>
    <s v="OHC"/>
    <s v="PH"/>
    <s v="IL3"/>
    <n v="0.25"/>
    <x v="333"/>
    <s v="India"/>
    <s v="SYSTEUR"/>
    <s v="FTE"/>
    <s v="Saurabh Agrawal"/>
    <s v="Tim"/>
  </r>
  <r>
    <s v="CR231539"/>
    <s v="Saurabh Agrawal_x000a_"/>
    <s v="CB Test Reports updates for WAA1001, WAA2001, and WAC1001 to Latest Standard Editions"/>
    <s v="Tim"/>
    <s v=""/>
    <s v="N/A"/>
    <s v="LCM"/>
    <s v="CONCEPT"/>
    <s v="Personal Health"/>
    <s v="OHC"/>
    <s v="PH"/>
    <s v="IL2"/>
    <n v="0.25"/>
    <x v="333"/>
    <s v="India"/>
    <s v="SYSTEUR"/>
    <s v="FTE"/>
    <s v="Saurabh Agrawal"/>
    <s v="Tim"/>
  </r>
  <r>
    <s v="CR222460"/>
    <s v="Saurabh Agrawal"/>
    <s v="IPX7 Device Labeling per IEC 60335-12020 clause 7.1"/>
    <s v="Tim"/>
    <s v=""/>
    <s v="N/A"/>
    <s v="LCM"/>
    <s v="CONCEPT"/>
    <s v="Personal Health"/>
    <s v="OHC"/>
    <s v="PH"/>
    <s v="IL5"/>
    <n v="0.1"/>
    <x v="334"/>
    <s v="India"/>
    <s v="SYSTEUR"/>
    <s v="FTE"/>
    <s v="Saurabh khedkar"/>
    <s v="Tim"/>
  </r>
  <r>
    <s v="CR233622"/>
    <s v="Saurabh Agrawal"/>
    <s v="Mitigation for Supply Restriction from Nexperia Manufacturing"/>
    <s v="Tim"/>
    <s v=""/>
    <s v="N/A"/>
    <s v="LCM"/>
    <s v="SOURCING"/>
    <s v="Personal Health"/>
    <s v="OHC"/>
    <s v="PH"/>
    <s v="IL3"/>
    <n v="0.2"/>
    <x v="334"/>
    <s v="India"/>
    <s v="SYSTEUR"/>
    <s v="FTE"/>
    <s v="Saurabh khedkar"/>
    <s v="Tim"/>
  </r>
  <r>
    <s v="CR231539"/>
    <s v="Saurabh Agrawal_x000a_"/>
    <s v="CB Test Reports updates for WAA1001, WAA2001, and WAC1001 to Latest Standard Editions"/>
    <s v="Tim"/>
    <s v=""/>
    <s v="N/A"/>
    <s v="LCM"/>
    <s v="CONCEPT"/>
    <s v="Personal Health"/>
    <s v="OHC"/>
    <s v="PH"/>
    <s v="IL2"/>
    <n v="0.2"/>
    <x v="334"/>
    <s v="India"/>
    <s v="SYSTEUR"/>
    <s v="FTE"/>
    <s v="Saurabh khedkar"/>
    <s v="Tim"/>
  </r>
  <r>
    <s v="OHC_Training-1"/>
    <s v="NA"/>
    <s v="Trainings"/>
    <s v="All"/>
    <s v=""/>
    <s v="Trainings"/>
    <s v="Trainings"/>
    <s v="Trainings"/>
    <s v="Trainings"/>
    <s v="OHC"/>
    <s v="PH"/>
    <s v="IL0"/>
    <n v="0.1"/>
    <x v="334"/>
    <s v="India"/>
    <s v="SYSTEUR"/>
    <s v="FTE"/>
    <s v="Saurabh khedkar"/>
    <s v="Tim"/>
  </r>
  <r>
    <s v="CR223796"/>
    <s v="Saurabh Agrawal"/>
    <s v="Replacement of Apus Seal with Paptic material &quot;Perdix HS"/>
    <s v="Tim"/>
    <s v=""/>
    <s v="N/A"/>
    <s v="LCM"/>
    <s v="CONCEPT"/>
    <s v="Personal Health"/>
    <s v="OHC"/>
    <s v="PH"/>
    <s v="IL5"/>
    <n v="0.2"/>
    <x v="334"/>
    <s v="India"/>
    <s v="SYSTEUR"/>
    <s v="FTE"/>
    <s v="Saurabh khedkar"/>
    <s v="Tim"/>
  </r>
  <r>
    <s v="CR116508"/>
    <s v="Saurabh Agrawal"/>
    <s v="Cairo non-charging &amp; Charging travel case for the Cairo 1 &amp; 2 propositions"/>
    <s v="Tim"/>
    <s v=""/>
    <s v="N/A"/>
    <s v="LCM"/>
    <s v="SOURCING"/>
    <s v="Mechanical Parts &amp; Assemblies"/>
    <s v="OHC"/>
    <s v="PH"/>
    <s v="IL5"/>
    <n v="0.2"/>
    <x v="334"/>
    <s v="India"/>
    <s v="SYSTEUR"/>
    <s v="FTE"/>
    <s v="Saurabh khedkar"/>
    <s v="Tim"/>
  </r>
  <r>
    <s v="ART-India"/>
    <s v="Vijayanand Purushothaman"/>
    <s v="LCM Support for India"/>
    <s v="Raj"/>
    <s v=""/>
    <s v="N/A"/>
    <s v="LCM"/>
    <s v="SOURCING"/>
    <s v="Mechanical Parts &amp; Assemblies"/>
    <s v="IGT-S"/>
    <s v="IGT"/>
    <s v="IL3"/>
    <n v="1"/>
    <x v="335"/>
    <s v="India"/>
    <s v="SYSTEUR"/>
    <s v="FTE"/>
    <s v="Makarand Dharmadhikari"/>
    <s v="Raj"/>
  </r>
  <r>
    <s v="PDTEAM560"/>
    <s v="Damodar Sarnobat"/>
    <s v="STET CT/AMI-  LCM FRU Resolutions"/>
    <s v="Phil"/>
    <s v=""/>
    <s v="N/A"/>
    <s v="LCM"/>
    <s v="TCO"/>
    <s v="Key components &amp; Electronics"/>
    <s v="CT/AMI"/>
    <s v="PD"/>
    <s v="IL2"/>
    <n v="1"/>
    <x v="336"/>
    <s v="India"/>
    <s v="SYSTEUR"/>
    <s v="FTE"/>
    <s v="Subhankar Das"/>
    <s v="Phil"/>
  </r>
  <r>
    <s v="ART-India"/>
    <s v="Vijayanand Purushothaman"/>
    <s v="LCM Support for India"/>
    <s v="Raj"/>
    <s v=""/>
    <s v="N/A"/>
    <s v="LCM"/>
    <s v="SOURCING"/>
    <s v="Mechanical Parts &amp; Assemblies"/>
    <s v="IGT-S"/>
    <s v="IGT"/>
    <s v="IL3"/>
    <n v="1"/>
    <x v="337"/>
    <s v="India"/>
    <s v="SYSTEUR"/>
    <s v="FTE"/>
    <s v="Manish Sharma"/>
    <s v="Raj"/>
  </r>
  <r>
    <s v="38100"/>
    <s v="Jidhish Sidharthan"/>
    <s v="A2K_Alternate supplier for control panel"/>
    <s v="Nishant"/>
    <s v=""/>
    <s v="PROCUREMENT"/>
    <s v="PRODUCTIVITY"/>
    <s v="CONCEPT"/>
    <s v="Key components &amp; Electronics"/>
    <s v="US"/>
    <s v="PD"/>
    <s v="IL3"/>
    <n v="0.9"/>
    <x v="338"/>
    <s v="India"/>
    <s v="SYSTEUR"/>
    <s v="FTE"/>
    <s v="Manoj Verma"/>
    <s v="Nishant"/>
  </r>
  <r>
    <s v="HPM_Sustaining_Monitoring_09122205"/>
    <s v="Jidhish Sidharthan_x000a_"/>
    <s v="HPM Sustaining Projects support - Monitoring"/>
    <s v="Nishant"/>
    <s v=""/>
    <s v="N/A"/>
    <s v="LCM"/>
    <s v="SOURCING"/>
    <s v="All"/>
    <s v="HPM"/>
    <s v="CC"/>
    <s v="IL3"/>
    <n v="0.1"/>
    <x v="338"/>
    <s v="India"/>
    <s v="SYSTEUR"/>
    <s v="FTE"/>
    <s v="Manoj Verma"/>
    <s v="Nishant"/>
  </r>
  <r>
    <s v="PDTEAM619"/>
    <s v="Damodar Sarnobat"/>
    <s v="STET MR LCE PROJECT SUPPORT MECHANICAL "/>
    <s v="Phil"/>
    <s v=""/>
    <s v="N/A"/>
    <s v="LCM"/>
    <s v="TCO"/>
    <s v="Mechanical Parts &amp; Assemblies"/>
    <s v="MR"/>
    <s v="PD"/>
    <s v="IL2"/>
    <n v="1"/>
    <x v="339"/>
    <s v="India"/>
    <s v="SYSTEUR"/>
    <s v="FTE"/>
    <s v="Avinash Gosavi"/>
    <s v="Phil"/>
  </r>
  <r>
    <s v="HPM_Labelling_09122205"/>
    <s v="Jidhish Sidharthan_x000a_"/>
    <s v="HPM Labelling support "/>
    <s v="Nishant"/>
    <s v=""/>
    <s v="N/A"/>
    <s v="LCM"/>
    <s v="SOURCING"/>
    <s v="All"/>
    <s v="HPM"/>
    <s v="CC"/>
    <s v="IL3"/>
    <n v="1"/>
    <x v="340"/>
    <s v="India"/>
    <s v="SYSTEUR"/>
    <s v="Contingent"/>
    <s v="Manoj Verma "/>
    <s v="Nishant"/>
  </r>
  <r>
    <s v="33510"/>
    <s v="Siddarth Shetty"/>
    <s v="Arctronics De-risking to SFO for Breast coils family"/>
    <s v="Phil"/>
    <s v=""/>
    <s v="PROCUREMENT"/>
    <s v="PRODUCTIVITY"/>
    <s v="SOURCING"/>
    <s v="Key components &amp; Electronics"/>
    <s v="MR"/>
    <s v="PD"/>
    <s v="IL3"/>
    <n v="1"/>
    <x v="341"/>
    <s v="India"/>
    <s v="SYSTEUR"/>
    <s v="FTE"/>
    <s v="Radhaprasanna Merugu"/>
    <s v="Raj"/>
  </r>
  <r>
    <s v="Training - 2"/>
    <s v="NA"/>
    <s v="Trainings - Technical"/>
    <s v="All"/>
    <s v=""/>
    <s v="Trainings"/>
    <s v="Trainings"/>
    <s v="Trainings"/>
    <s v="Trainings"/>
    <s v="Trainings"/>
    <s v="Trainings"/>
    <s v="IL0"/>
    <n v="0.2"/>
    <x v="342"/>
    <s v="India"/>
    <s v="SYSTEUR"/>
    <s v="FTE"/>
    <s v="Ishan Gupta"/>
    <s v="Tim"/>
  </r>
  <r>
    <s v="RfS 275964"/>
    <s v="Sushruth Rudrachary"/>
    <s v="REGMEM AMB 554-24064 -Mexico – Importer address &amp; consumer call center telephone number correction"/>
    <s v="Tim"/>
    <s v=""/>
    <s v="N/A"/>
    <s v="LCM"/>
    <s v="CONCEPT"/>
    <s v="Personal Health"/>
    <s v="GB"/>
    <s v="PH"/>
    <s v="IL3"/>
    <n v="0.1"/>
    <x v="342"/>
    <s v="India"/>
    <s v="SYSTEUR"/>
    <s v="FTE"/>
    <s v="Ishan Gupta"/>
    <s v="Tim"/>
  </r>
  <r>
    <s v="RfS 278704"/>
    <s v="Sushruth Rudrachary"/>
    <s v="Improve A-box sealing (Iskra, Videoton and Zhuhai)"/>
    <s v="Tim"/>
    <s v=""/>
    <s v="N/A"/>
    <s v="LCM"/>
    <s v="CONCEPT"/>
    <s v="Personal Health"/>
    <s v="GB"/>
    <s v="PH"/>
    <s v="IL1"/>
    <n v="0.1"/>
    <x v="342"/>
    <s v="India"/>
    <s v="SYSTEUR"/>
    <s v="FTE"/>
    <s v="Ishan Gupta"/>
    <s v="Tim"/>
  </r>
  <r>
    <s v="Training - 1"/>
    <s v="NA"/>
    <s v="Trainings - QMS"/>
    <s v="All"/>
    <s v=""/>
    <s v="Trainings"/>
    <s v="Trainings"/>
    <s v="Trainings"/>
    <s v="Trainings"/>
    <s v="Trainings"/>
    <s v="Trainings"/>
    <s v="IL2"/>
    <n v="0.2"/>
    <x v="342"/>
    <s v="India"/>
    <s v="SYSTEUR"/>
    <s v="FTE"/>
    <s v="Ishan Gupta"/>
    <s v="Tim"/>
  </r>
  <r>
    <s v="RfS 278796"/>
    <s v="Sushruth Rudrachary"/>
    <s v="Remove alternative of Yageo /SR1206JR-7T470RL"/>
    <s v="Tim"/>
    <s v=""/>
    <s v="N/A"/>
    <s v="LCM"/>
    <s v="CONCEPT"/>
    <s v="Personal Health"/>
    <s v="GB"/>
    <s v="PH"/>
    <s v="IL1"/>
    <n v="0.1"/>
    <x v="342"/>
    <s v="India"/>
    <s v="SYSTEUR"/>
    <s v="FTE"/>
    <s v="Ishan Gupta"/>
    <s v="Tim"/>
  </r>
  <r>
    <s v="RfS 275021"/>
    <s v="Sushruth Rudrachary"/>
    <s v="AVC: SICR20240624004B - Change the wafer size of driver IC of the fan"/>
    <s v="Tim"/>
    <s v=""/>
    <s v="N/A"/>
    <s v="LCM"/>
    <s v="CONCEPT"/>
    <s v="Personal Health"/>
    <s v="GB"/>
    <s v="PH"/>
    <s v="IL1"/>
    <n v="0.1"/>
    <x v="342"/>
    <s v="India"/>
    <s v="SYSTEUR"/>
    <s v="FTE"/>
    <s v="Ishan Gupta"/>
    <s v="Tim"/>
  </r>
  <r>
    <s v="ART-BEST"/>
    <s v="Vijayanand Purushothaman"/>
    <s v="LCM Support for Best"/>
    <s v="Raj"/>
    <s v=""/>
    <s v="N/A"/>
    <s v="LCM"/>
    <s v="SOURCING"/>
    <s v="Mechanical Parts &amp; Assemblies"/>
    <s v="IGT-S"/>
    <s v="IGT"/>
    <s v="IL3"/>
    <n v="0.7"/>
    <x v="343"/>
    <s v="India"/>
    <s v="SYSTEUR"/>
    <s v="Contingent"/>
    <s v="Makarand Dharmadhikari"/>
    <s v="Raj"/>
  </r>
  <r>
    <s v="IGTS Data Sustainability"/>
    <s v="Saravanakumar Palani"/>
    <s v="IGTS Data Sustainability Project (CSRD)"/>
    <s v="Raj"/>
    <s v=""/>
    <s v="N/A"/>
    <s v="LCM"/>
    <s v="SOURCING"/>
    <s v="Mechanical Parts &amp; Assemblies"/>
    <s v="IGT-S"/>
    <s v="IGT"/>
    <s v="IL3"/>
    <n v="0.3"/>
    <x v="343"/>
    <s v="India"/>
    <s v="SYSTEUR"/>
    <s v="Contingent"/>
    <s v="Makarand Dharmadhikari"/>
    <s v="Raj"/>
  </r>
  <r>
    <s v="HPM_Funnel Activities"/>
    <s v="NA"/>
    <s v="Funnel/Business case/Technical feasibility"/>
    <s v="All"/>
    <s v=""/>
    <s v="Funnel Activities"/>
    <s v="Funnel Activities"/>
    <s v="Funnel Activities"/>
    <s v="Funnel Activities"/>
    <s v="HPM"/>
    <s v="CC"/>
    <s v="IL0"/>
    <n v="1"/>
    <x v="344"/>
    <s v="India"/>
    <s v="SYSTEUR"/>
    <s v="FTE"/>
    <s v="Raghavendra Gaonkar"/>
    <s v="Nishant"/>
  </r>
  <r>
    <s v="CARTPDCHPM_1"/>
    <s v="Charles Moses"/>
    <s v="Carts PDC - HPM - Calimero material Fetal Cart"/>
    <s v="Nishant"/>
    <s v=""/>
    <s v="N/A"/>
    <s v="CART PDC"/>
    <s v="CONCEPT"/>
    <s v="Mechanical Parts &amp; Assemblies"/>
    <s v="HPM"/>
    <s v="CC"/>
    <s v="IL1"/>
    <n v="1"/>
    <x v="345"/>
    <s v="India"/>
    <s v="SYSTEUR"/>
    <s v="Contingent"/>
    <s v="Charles Moses"/>
    <s v="Nishant"/>
  </r>
  <r>
    <s v="PDTEAM528"/>
    <s v="Gourav Parab"/>
    <s v="STET IC_ PCBA-LCA"/>
    <s v="Phil"/>
    <s v=""/>
    <s v="N/A"/>
    <s v="LCM"/>
    <s v="SOURCING"/>
    <s v="Key components &amp; Electronics"/>
    <s v="IC"/>
    <s v="PD"/>
    <s v="IL2"/>
    <n v="0.3"/>
    <x v="346"/>
    <s v="India"/>
    <s v="SYSTEUR"/>
    <s v="FTE"/>
    <s v="Gourav Krishna Parab"/>
    <s v="Phil"/>
  </r>
  <r>
    <s v="PDTEAM535"/>
    <s v="Gourav Parab"/>
    <s v="Hamburg LCM"/>
    <s v="Phil"/>
    <s v=""/>
    <s v="N/A"/>
    <s v="LCM"/>
    <s v="SOURCING"/>
    <s v="Key components &amp; Electronics"/>
    <s v="IC"/>
    <s v="PD"/>
    <s v="IL2"/>
    <n v="0.5"/>
    <x v="346"/>
    <s v="India"/>
    <s v="SYSTEUR"/>
    <s v="FTE"/>
    <s v="Gourav Krishna Parab"/>
    <s v="Phil"/>
  </r>
  <r>
    <s v="PDTEAM526"/>
    <s v="Gourav Parab"/>
    <s v="STET IC - Pangu"/>
    <s v="Phil"/>
    <s v=""/>
    <s v="N/A"/>
    <s v="LCM"/>
    <s v="SOURCING"/>
    <s v="Key components &amp; Electronics"/>
    <s v="IC"/>
    <s v="PD"/>
    <s v="IL2"/>
    <n v="0.2"/>
    <x v="346"/>
    <s v="India"/>
    <s v="SYSTEUR"/>
    <s v="FTE"/>
    <s v="Gourav Krishna Parab"/>
    <s v="Phil"/>
  </r>
  <r>
    <s v="ART-India"/>
    <s v="Vijayanand Purushothaman"/>
    <s v="LCM Support for India"/>
    <s v="Raj"/>
    <s v=""/>
    <s v="N/A"/>
    <s v="LCM"/>
    <s v="SOURCING"/>
    <s v="Mechanical Parts &amp; Assemblies"/>
    <s v="IGT-S"/>
    <s v="IGT"/>
    <s v="IL3"/>
    <n v="1"/>
    <x v="347"/>
    <s v="India"/>
    <s v="SYSTEUR"/>
    <s v="FTE"/>
    <s v="Manish Sharma"/>
    <s v="Raj"/>
  </r>
  <r>
    <s v="PJ-028049"/>
    <s v="Sushruth Rudrachary"/>
    <s v="IPL MLD/LCM - High End Technical"/>
    <s v="Tim"/>
    <s v=""/>
    <s v="N/A"/>
    <s v="LCM"/>
    <s v="CONCEPT"/>
    <s v="Personal Health"/>
    <s v="GB"/>
    <s v="PH"/>
    <s v="IL2"/>
    <n v="0.5"/>
    <x v="348"/>
    <s v="India"/>
    <s v="SYSTEUR"/>
    <s v="FTE"/>
    <s v="Pramila Mote"/>
    <s v="Tim"/>
  </r>
  <r>
    <s v="PJ-009562"/>
    <s v="Sushruth Rudrachary"/>
    <s v="1Grooming LcM"/>
    <s v="Tim"/>
    <s v=""/>
    <s v="N/A"/>
    <s v="LCM"/>
    <s v="CONCEPT"/>
    <s v="Personal Health"/>
    <s v="GB"/>
    <s v="PH"/>
    <s v="IL2"/>
    <n v="0.5"/>
    <x v="348"/>
    <s v="India"/>
    <s v="SYSTEUR"/>
    <s v="FTE"/>
    <s v="Pramila Mote"/>
    <s v="Tim"/>
  </r>
  <r>
    <s v="37995"/>
    <s v="Steven Mroch"/>
    <s v="Extrusions, Strategic Sourcing, Vesta - CR, Phase 1"/>
    <s v="Nishant"/>
    <s v=""/>
    <s v="PROCUREMENT"/>
    <s v="PRODUCTIVITY"/>
    <s v="SOURCING"/>
    <s v="Mechanical Parts &amp; Assemblies"/>
    <s v="IGT-D"/>
    <s v="IGT"/>
    <s v="IL3"/>
    <n v="0.3"/>
    <x v="349"/>
    <s v="India"/>
    <s v="SYSTEUR"/>
    <s v="FTE"/>
    <s v="Steven Mroch"/>
    <s v="Nishant"/>
  </r>
  <r>
    <s v="35284"/>
    <s v="Matt Morse"/>
    <s v="Omniwire dual sourcing- Grinding"/>
    <s v="Nishant"/>
    <s v=""/>
    <s v="PROCUREMENT"/>
    <s v="PRODUCTIVITY"/>
    <s v="SOURCING"/>
    <s v="Mechanical Parts &amp; Assemblies"/>
    <s v="IGT-D"/>
    <s v="IGT"/>
    <s v="IL2"/>
    <n v="0.1"/>
    <x v="349"/>
    <s v="India"/>
    <s v="SYSTEUR"/>
    <s v="FTE"/>
    <s v="Steven Mroch"/>
    <s v="Nishant"/>
  </r>
  <r>
    <s v="23170"/>
    <s v="Matt Morse"/>
    <s v="PV.035 RO Coil Material Change"/>
    <s v="Nishant"/>
    <s v=""/>
    <s v="PROCUREMENT"/>
    <s v="PRODUCTIVITY"/>
    <s v="CONCEPT"/>
    <s v="Mechanical Parts &amp; Assemblies"/>
    <s v="IGT-D"/>
    <s v="IGT"/>
    <s v="IL3"/>
    <n v="0.6"/>
    <x v="349"/>
    <s v="India"/>
    <s v="SYSTEUR"/>
    <s v="FTE"/>
    <s v="Steven Mroch"/>
    <s v="Nishant"/>
  </r>
  <r>
    <s v="CR222460"/>
    <s v="Saurabh Agrawal"/>
    <s v="IPX7 Device Labeling per IEC 60335-12020 clause 7.1"/>
    <s v="Tim"/>
    <s v=""/>
    <s v="N/A"/>
    <s v="LCM"/>
    <s v="CONCEPT"/>
    <s v="Personal Health"/>
    <s v="OHC"/>
    <s v="PH"/>
    <s v="IL5"/>
    <n v="0.2"/>
    <x v="350"/>
    <s v="India"/>
    <s v="SYSTEUR"/>
    <s v="FTE"/>
    <s v="Saurabh Agrawal"/>
    <s v="Tim"/>
  </r>
  <r>
    <s v="CR155689"/>
    <s v="Saurabh Agrawal"/>
    <s v="Ballcup Resin change"/>
    <s v="Tim"/>
    <s v=""/>
    <s v="N/A"/>
    <s v="LCM"/>
    <s v="CONCEPT"/>
    <s v="Mechanical Parts &amp; Assemblies"/>
    <s v="OHC"/>
    <s v="PH"/>
    <s v="IL5"/>
    <n v="0.2"/>
    <x v="350"/>
    <s v="India"/>
    <s v="SYSTEUR"/>
    <s v="FTE"/>
    <s v="Saurabh Agrawal"/>
    <s v="Tim"/>
  </r>
  <r>
    <s v="CR231539"/>
    <s v="Saurabh Agrawal_x000a_"/>
    <s v="CB Test Reports updates for WAA1001, WAA2001, and WAC1001 to Latest Standard Editions"/>
    <s v="Tim"/>
    <s v=""/>
    <s v="N/A"/>
    <s v="LCM"/>
    <s v="CONCEPT"/>
    <s v="Personal Health"/>
    <s v="OHC"/>
    <s v="PH"/>
    <s v="IL2"/>
    <n v="0.3"/>
    <x v="350"/>
    <s v="India"/>
    <s v="SYSTEUR"/>
    <s v="FTE"/>
    <s v="Saurabh Agrawal"/>
    <s v="Tim"/>
  </r>
  <r>
    <s v="CR093221"/>
    <s v="Saurabh Agrawal"/>
    <s v="Yangzee -Pump Crack Issue RCA"/>
    <s v="Tim"/>
    <s v=""/>
    <s v="N/A"/>
    <s v="LCM"/>
    <s v="CONCEPT"/>
    <s v="Personal Health"/>
    <s v="OHC"/>
    <s v="PH"/>
    <s v="IL3"/>
    <n v="0.3"/>
    <x v="350"/>
    <s v="India"/>
    <s v="SYSTEUR"/>
    <s v="FTE"/>
    <s v="Saurabh Agrawal"/>
    <s v="Tim"/>
  </r>
  <r>
    <s v="Infinity"/>
    <s v="Sushruth Rudrachary"/>
    <s v="Project Infinity"/>
    <s v="Tim"/>
    <s v=""/>
    <s v="N/A"/>
    <s v="NPI"/>
    <s v="CONCEPT"/>
    <s v="Personal Health"/>
    <s v="GB"/>
    <s v="PH"/>
    <s v="IL2"/>
    <n v="1"/>
    <x v="351"/>
    <s v="India"/>
    <s v="SYSTEUR"/>
    <s v="FTE"/>
    <s v="Adarsh Shrivastava"/>
    <s v="Tim"/>
  </r>
  <r>
    <s v="31575"/>
    <s v="Vijayanand Purushothaman"/>
    <s v="Sheet metal &amp; Casting parts localisation from Gainesville supplier base to India."/>
    <s v="Phil"/>
    <s v=""/>
    <s v="PROCUREMENT"/>
    <s v="PRODUCTIVITY"/>
    <s v="SOURCING"/>
    <s v="Mechanical Parts &amp; Assemblies"/>
    <s v="MR"/>
    <s v="PD"/>
    <s v="IL3"/>
    <n v="0.35"/>
    <x v="352"/>
    <s v="India"/>
    <s v="SYSTEUR"/>
    <s v="FTE"/>
    <s v="Satheesh Nair"/>
    <s v="Nishant"/>
  </r>
  <r>
    <s v="35567"/>
    <s v="Vijay Purushothaman"/>
    <s v="Labels phase 2 (Total) transfer"/>
    <s v="Phil"/>
    <s v=""/>
    <s v="PROCUREMENT"/>
    <s v="PRODUCTIVITY"/>
    <s v="SOURCING"/>
    <s v="Mechanical Parts &amp; Assemblies"/>
    <s v="MR"/>
    <s v="PD"/>
    <s v="IL3"/>
    <n v="0.5"/>
    <x v="352"/>
    <s v="India"/>
    <s v="SYSTEUR"/>
    <s v="FTE"/>
    <s v="Satheesh Nair"/>
    <s v="Nishant"/>
  </r>
  <r>
    <s v="32257"/>
    <s v="Vijayanand Purushothaman"/>
    <s v="NYX Albany parts transfer"/>
    <s v="Phil"/>
    <s v=""/>
    <s v="PROCUREMENT"/>
    <s v="PRODUCTIVITY"/>
    <s v="SOURCING"/>
    <s v="Mechanical Parts &amp; Assemblies"/>
    <s v="MR"/>
    <s v="PD"/>
    <s v="IL3"/>
    <n v="0.15"/>
    <x v="352"/>
    <s v="India"/>
    <s v="SYSTEUR"/>
    <s v="FTE"/>
    <s v="Satheesh Nair"/>
    <s v="Nishant"/>
  </r>
  <r>
    <s v="37521"/>
    <s v="Fred Cai "/>
    <s v="ING&amp;BB Moog slipring drum and brush block EOL resource to NBG_Derisk "/>
    <s v="Phil"/>
    <s v=""/>
    <s v="PROCUREMENT"/>
    <s v="AOS"/>
    <s v="SOURCING"/>
    <s v="Mechanical Parts &amp; Assemblies"/>
    <s v="CT/AMI"/>
    <s v="PD"/>
    <s v="IL3"/>
    <n v="0.5"/>
    <x v="353"/>
    <s v="China"/>
    <s v="SYSTEUR"/>
    <s v="FTE"/>
    <s v="Sam Zhao"/>
    <s v="Phil"/>
  </r>
  <r>
    <s v="37101"/>
    <s v="Fred Cai"/>
    <s v="Incisive 5G Slipring 2nd source to NBG_Tiger"/>
    <s v="Phil"/>
    <s v=""/>
    <s v="PROCUREMENT"/>
    <s v="PRODUCTIVITY"/>
    <s v="CONCEPT"/>
    <s v="Mechanical Parts &amp; Assemblies"/>
    <s v="CT/AMI"/>
    <s v="PD"/>
    <s v="IL2"/>
    <n v="0.5"/>
    <x v="353"/>
    <s v="China"/>
    <s v="SYSTEUR"/>
    <s v="FTE"/>
    <s v="Sam Zhao"/>
    <s v="Phil"/>
  </r>
  <r>
    <s v="33508"/>
    <s v="Siddarth Shetty"/>
    <s v="Arctronics De-risking to SFO for Wrist coils family"/>
    <s v="Phil"/>
    <s v=""/>
    <s v="PROCUREMENT"/>
    <s v="PRODUCTIVITY"/>
    <s v="SOURCING"/>
    <s v="Key components &amp; Electronics"/>
    <s v="MR"/>
    <s v="PD"/>
    <s v="IL3"/>
    <n v="0.2"/>
    <x v="354"/>
    <s v="India"/>
    <s v="SYSTEUR"/>
    <s v="FTE"/>
    <s v="Avinash Gosavi"/>
    <s v="Phil"/>
  </r>
  <r>
    <s v="33509"/>
    <s v="Siddarth Shetty"/>
    <s v="Arctronics De-risking to SFO for Flex coils family"/>
    <s v="Phil"/>
    <s v=""/>
    <s v="PROCUREMENT"/>
    <s v="PRODUCTIVITY"/>
    <s v="SOURCING"/>
    <s v="Key components &amp; Electronics"/>
    <s v="MR"/>
    <s v="PD"/>
    <s v="IL3"/>
    <n v="0.2"/>
    <x v="354"/>
    <s v="India"/>
    <s v="SYSTEUR"/>
    <s v="FTE"/>
    <s v="Avinash Gosavi"/>
    <s v="Phil"/>
  </r>
  <r>
    <s v="PDTEAM621"/>
    <s v="Damodar Sarnobat"/>
    <s v="STET MR COILS SICR EOL/ MATERIAL CHANGE "/>
    <s v="Phil"/>
    <s v=""/>
    <s v="N/A"/>
    <s v="LCM"/>
    <s v="TCO"/>
    <s v="Key components &amp; Electronics"/>
    <s v="MR"/>
    <s v="PD"/>
    <s v="IL2"/>
    <n v="0.1"/>
    <x v="354"/>
    <s v="India"/>
    <s v="SYSTEUR"/>
    <s v="FTE"/>
    <s v="Avinash Gosavi"/>
    <s v="Phil"/>
  </r>
  <r>
    <s v="PDTEAM622"/>
    <s v="Damodar Sarnobat"/>
    <s v="STET MR COILS SICR DESIGN/SPECIFICATION CHANGE "/>
    <s v="Phil"/>
    <s v=""/>
    <s v="N/A"/>
    <s v="LCM"/>
    <s v="TCO"/>
    <s v="Mechanical Parts &amp; Assemblies"/>
    <s v="MR"/>
    <s v="PD"/>
    <s v="IL2"/>
    <n v="0.1"/>
    <x v="354"/>
    <s v="India"/>
    <s v="SYSTEUR"/>
    <s v="FTE"/>
    <s v="Avinash Gosavi"/>
    <s v="Phil"/>
  </r>
  <r>
    <s v="PDTEAM624"/>
    <s v="Damodar Sarnobat"/>
    <s v="STET MR COILS SICR MANUFACTURING SITE/PRODUCT LOCATION CHANGE "/>
    <s v="Phil"/>
    <s v=""/>
    <s v="N/A"/>
    <s v="LCM"/>
    <s v="TCO"/>
    <s v="Mechanical Parts &amp; Assemblies"/>
    <s v="MR"/>
    <s v="PD"/>
    <s v="IL2"/>
    <n v="0.1"/>
    <x v="354"/>
    <s v="India"/>
    <s v="SYSTEUR"/>
    <s v="FTE"/>
    <s v="Avinash Gosavi"/>
    <s v="Phil"/>
  </r>
  <r>
    <s v="PDTEAM625"/>
    <s v="Damodar Sarnobat"/>
    <s v="STET MR COILS SICR QUALITY IMPROVEMENT "/>
    <s v="Phil"/>
    <s v=""/>
    <s v="N/A"/>
    <s v="LCM"/>
    <s v="TCO"/>
    <s v="Mechanical Parts &amp; Assemblies"/>
    <s v="MR"/>
    <s v="PD"/>
    <s v="IL2"/>
    <n v="0.1"/>
    <x v="354"/>
    <s v="India"/>
    <s v="SYSTEUR"/>
    <s v="FTE"/>
    <s v="Avinash Gosavi"/>
    <s v="Phil"/>
  </r>
  <r>
    <s v="PDTEAM626"/>
    <s v="Damodar Sarnobat "/>
    <s v="STET MR COILS SICR PROCESS CHANGE "/>
    <s v="Phil"/>
    <s v=""/>
    <s v="N/A"/>
    <s v="LCM"/>
    <s v="TCO"/>
    <s v="Mechanical Parts &amp; Assemblies"/>
    <s v="MR"/>
    <s v="PD"/>
    <s v="IL2"/>
    <n v="0.1"/>
    <x v="354"/>
    <s v="India"/>
    <s v="SYSTEUR"/>
    <s v="FTE"/>
    <s v="Avinash Gosavi"/>
    <s v="Phil"/>
  </r>
  <r>
    <s v="PDTEAM623"/>
    <s v="Damodar Sarnobat"/>
    <s v="STET MR COILS SICR DOCUMENTATION/CLERICAL CHANGE "/>
    <s v="Phil"/>
    <s v=""/>
    <s v="N/A"/>
    <s v="LCM"/>
    <s v="TCO"/>
    <s v="Mechanical Parts &amp; Assemblies"/>
    <s v="MR"/>
    <s v="PD"/>
    <s v="IL2"/>
    <n v="0.1"/>
    <x v="354"/>
    <s v="India"/>
    <s v="SYSTEUR"/>
    <s v="FTE"/>
    <s v="Avinash Gosavi"/>
    <s v="Phil"/>
  </r>
  <r>
    <s v="VM15 Display"/>
    <s v="Jidhish Sidharthan"/>
    <s v="VM15 Display"/>
    <s v="Nishant"/>
    <s v=""/>
    <s v="N/A"/>
    <s v="NPI"/>
    <s v="CONCEPT"/>
    <s v="Key components &amp; Electronics"/>
    <s v="US"/>
    <s v="PD"/>
    <s v="IL1"/>
    <n v="0.5"/>
    <x v="355"/>
    <s v="India"/>
    <s v="SYSTEUR"/>
    <s v="FTE"/>
    <s v="Jidhish Sidharthan"/>
    <s v="Nishant"/>
  </r>
  <r>
    <s v="VM14 Display"/>
    <s v="Jidhish Sidharthan"/>
    <s v="VM14 Display"/>
    <s v="Nishant"/>
    <s v=""/>
    <s v="N/A"/>
    <s v="NPI"/>
    <s v="CONCEPT"/>
    <s v="Key components &amp; Electronics"/>
    <s v="US"/>
    <s v="PD"/>
    <s v="IL1"/>
    <n v="0.5"/>
    <x v="355"/>
    <s v="India"/>
    <s v="SYSTEUR"/>
    <s v="FTE"/>
    <s v="Jidhish Sidharthan"/>
    <s v="Nishant"/>
  </r>
  <r>
    <s v="38924"/>
    <s v="Steven Mroch"/>
    <s v="S&amp;RC SOC 5L inorganic"/>
    <s v="Nishant"/>
    <s v=""/>
    <s v="PROCUREMENT"/>
    <s v="PRODUCTIVITY"/>
    <s v="CONCEPT"/>
    <s v="Mechanical Parts &amp; Assemblies"/>
    <s v="SRC"/>
    <s v="CC"/>
    <s v="IL5"/>
    <n v="0.5"/>
    <x v="356"/>
    <s v="India"/>
    <s v="SYSTEUR"/>
    <s v="FTE"/>
    <s v="Ganesh Bhat"/>
    <s v="Nishant"/>
  </r>
  <r>
    <s v="DCR 21073"/>
    <s v="Steven Mroch"/>
    <s v="Oxygenate 5 Filter CSS Corrections suggested by Warehousing and Ordering team"/>
    <s v="Nishant"/>
    <s v=""/>
    <s v="N/A"/>
    <s v="LCM"/>
    <s v="TCO"/>
    <s v="Mechanical Parts &amp; Assemblies"/>
    <s v="SRC"/>
    <s v="CC"/>
    <s v="IL5"/>
    <n v="0.5"/>
    <x v="356"/>
    <s v="India"/>
    <s v="SYSTEUR"/>
    <s v="FTE"/>
    <s v="Ganesh Bhat"/>
    <s v="Nishant"/>
  </r>
  <r>
    <s v="PDTEAM548"/>
    <s v="Kiran MR"/>
    <s v="Factory Pune Process Validation Remediation - RF Coils "/>
    <s v="Phil"/>
    <s v=""/>
    <s v="N/A"/>
    <s v="LCM"/>
    <s v="NON_12NC"/>
    <s v="Mechanical Parts &amp; Assemblies"/>
    <s v="MR"/>
    <s v="PD"/>
    <s v="IL2"/>
    <n v="1"/>
    <x v="357"/>
    <s v="India"/>
    <s v="SYSTEUR"/>
    <s v="Contingent"/>
    <s v="Kiran MR"/>
    <s v="Phil"/>
  </r>
  <r>
    <s v="PJ-006578"/>
    <s v="Sushruth Rudrachary"/>
    <s v="Shaving LcM"/>
    <s v="Tim"/>
    <s v=""/>
    <s v="N/A"/>
    <s v="LCM"/>
    <s v="CONCEPT"/>
    <s v="Personal Health"/>
    <s v="GB"/>
    <s v="PH"/>
    <s v="IL2"/>
    <n v="1"/>
    <x v="358"/>
    <s v="India"/>
    <s v="SYSTEUR"/>
    <s v="FTE"/>
    <s v="Venkatasubramanian Kallagam Swaminathan"/>
    <m/>
  </r>
  <r>
    <s v="ART-India"/>
    <s v="Vijayanand Purushothaman"/>
    <s v="LCM Support for India"/>
    <s v="Raj"/>
    <s v=""/>
    <s v="N/A"/>
    <s v="LCM"/>
    <s v="SOURCING"/>
    <s v="Mechanical Parts &amp; Assemblies"/>
    <s v="IGT-S"/>
    <s v="IGT"/>
    <s v="IL3"/>
    <n v="1"/>
    <x v="359"/>
    <s v="India"/>
    <s v="SYSTEUR"/>
    <s v="Contingent"/>
    <s v="Manish Sharma"/>
    <s v="Raj"/>
  </r>
  <r>
    <s v="ART-BEST"/>
    <s v="Vijayanand Purushothaman"/>
    <s v="LCM Support for Best"/>
    <s v="Raj"/>
    <s v=""/>
    <s v="N/A"/>
    <s v="LCM"/>
    <s v="SOURCING"/>
    <s v="Mechanical Parts &amp; Assemblies"/>
    <s v="IGT-S"/>
    <s v="IGT"/>
    <s v="IL3"/>
    <n v="1"/>
    <x v="360"/>
    <s v="India"/>
    <s v="SYSTEUR"/>
    <s v="Contingent"/>
    <s v="Makarand Dharmadhikari"/>
    <s v="Raj"/>
  </r>
  <r>
    <s v="ART-BEST"/>
    <s v="Vijayanand Purushothaman"/>
    <s v="LCM Support for Best"/>
    <s v="Raj"/>
    <s v=""/>
    <s v="N/A"/>
    <s v="LCM"/>
    <s v="SOURCING"/>
    <s v="Mechanical Parts &amp; Assemblies"/>
    <s v="IGT-S"/>
    <s v="IGT"/>
    <s v="IL3"/>
    <n v="1"/>
    <x v="361"/>
    <s v="India"/>
    <s v="SYSTEUR"/>
    <s v="FTE"/>
    <s v="Makarand Dharmadhikari"/>
    <s v="Raj"/>
  </r>
  <r>
    <s v="CR237272"/>
    <s v="Saurabh Agrawal"/>
    <s v="Spiti PDLM"/>
    <s v="Tim"/>
    <s v=""/>
    <s v="N/A"/>
    <s v="LCM"/>
    <s v="CONCEPT"/>
    <s v="Mechanical Parts &amp; Assemblies"/>
    <s v="OHC"/>
    <s v="PH"/>
    <s v="IL3"/>
    <n v="1"/>
    <x v="362"/>
    <s v="India"/>
    <s v="SYSTEUR"/>
    <s v="FTE"/>
    <s v="Neeraj Chhabra"/>
    <s v="Tim"/>
  </r>
  <r>
    <s v="PJ-028050"/>
    <s v="Sushruth Rudrachary"/>
    <s v="IPL MLD/LCM - Mid End Program"/>
    <s v="Tim"/>
    <s v=""/>
    <s v="N/A"/>
    <s v="LCM"/>
    <s v="CONCEPT"/>
    <s v="Personal Health"/>
    <s v="GB"/>
    <s v="PH"/>
    <s v="IL2"/>
    <n v="1"/>
    <x v="363"/>
    <s v="India"/>
    <s v="SYSTEUR"/>
    <s v="FTE"/>
    <s v="Yogesh Shelgaonkar"/>
    <s v="Tim"/>
  </r>
  <r>
    <s v="PDTEAM548"/>
    <s v="Kiran MR"/>
    <s v="Factory Pune Process Validation Remediation - RF Coils "/>
    <s v="Phil"/>
    <s v=""/>
    <s v="N/A"/>
    <s v="LCM"/>
    <s v="NON_12NC"/>
    <s v="Mechanical Parts &amp; Assemblies"/>
    <s v="MR"/>
    <s v="PD"/>
    <s v="IL2"/>
    <n v="1"/>
    <x v="364"/>
    <s v="India"/>
    <s v="SYSTEUR"/>
    <s v="Contingent"/>
    <s v="Kiran MR"/>
    <s v="Phil"/>
  </r>
  <r>
    <s v="PDTEAM432"/>
    <s v="MVD Srinivas"/>
    <s v="STET DXR Synchronization"/>
    <s v="Phil"/>
    <s v=""/>
    <s v="PROCUREMENT"/>
    <s v="LCM"/>
    <s v="SOURCING"/>
    <s v="Key components &amp; Electronics"/>
    <s v="DXR"/>
    <s v="PD"/>
    <s v="IL2"/>
    <n v="1"/>
    <x v="365"/>
    <s v="India"/>
    <s v="SYSTEUR"/>
    <s v="FTE"/>
    <s v="M.V.D Srinivas"/>
    <s v="Phil"/>
  </r>
  <r>
    <s v="PDTEAM411"/>
    <s v="Gourav Parab"/>
    <s v="STET Lab management"/>
    <s v="Phil"/>
    <s v=""/>
    <s v="N/A"/>
    <s v="LCM"/>
    <s v="SOURCING"/>
    <s v="Key components &amp; Electronics"/>
    <s v="MR"/>
    <s v="PD"/>
    <s v="IL2"/>
    <n v="1"/>
    <x v="366"/>
    <s v="India"/>
    <s v="SYSTEUR"/>
    <s v="Contingent"/>
    <s v="Gourav Krishna Parab"/>
    <s v="Phil"/>
  </r>
  <r>
    <s v="CARTPDCUS4"/>
    <s v="Charles Moses"/>
    <s v="Carts PDC-Ultrasound iMAMA Lumify Rollstand"/>
    <s v="Nishant"/>
    <s v=""/>
    <s v="N/A"/>
    <s v="CART PDC"/>
    <s v="CONCEPT"/>
    <s v="Mechanical Parts &amp; Assemblies"/>
    <s v="US"/>
    <s v="PD"/>
    <s v="IL1"/>
    <n v="1"/>
    <x v="367"/>
    <s v="India"/>
    <s v="SYSTEUR"/>
    <s v="FTE"/>
    <s v="Charles Moses"/>
    <s v="Nishant"/>
  </r>
  <r>
    <s v="33972"/>
    <s v="Vijayanand Purushothaman"/>
    <s v="Plastic machining phase 3"/>
    <s v="Phil"/>
    <s v=""/>
    <s v="PROCUREMENT"/>
    <s v="PRODUCTIVITY"/>
    <s v="SOURCING"/>
    <s v="Mechanical Parts &amp; Assemblies"/>
    <s v="MR"/>
    <s v="PD"/>
    <s v="IL5"/>
    <n v="0.1"/>
    <x v="368"/>
    <s v="India"/>
    <s v="SYSTEUR"/>
    <s v="FTE"/>
    <s v="Damodar Sarnobat"/>
    <s v="Phil"/>
  </r>
  <r>
    <s v="PDTEAM601"/>
    <s v="Damodar Sarnobat"/>
    <s v="MR Coils Resin Harmonization "/>
    <s v="Phil"/>
    <s v=""/>
    <s v="N/A"/>
    <s v="LCM"/>
    <s v="TCO"/>
    <s v="Mechanical Parts &amp; Assemblies"/>
    <s v="MR"/>
    <s v="PD"/>
    <s v="IL2"/>
    <n v="0.9"/>
    <x v="368"/>
    <s v="India"/>
    <s v="SYSTEUR"/>
    <s v="FTE"/>
    <s v="Damodar Sarnobat"/>
    <s v="Phil"/>
  </r>
  <r>
    <s v="23596"/>
    <s v="Saurabh Agrawal"/>
    <s v="Zoom Lamp -- Shift supplier of PCBA from MSD to Preferred"/>
    <s v="Tim"/>
    <s v=""/>
    <s v="PROCUREMENT"/>
    <s v="PRODUCTIVITY"/>
    <s v="SOURCING"/>
    <s v="Key components &amp; Electronics"/>
    <s v="OHC"/>
    <s v="PH"/>
    <s v="IL3"/>
    <n v="0.05"/>
    <x v="369"/>
    <s v="India"/>
    <s v="SYSTEUR"/>
    <s v="FTE"/>
    <s v="Sanjeev Kumar"/>
    <s v="Tim"/>
  </r>
  <r>
    <s v="41430"/>
    <s v="Saurabh Agrawal"/>
    <s v="DD6.0: Multi-Source Piggy Nose Cable for OHC CR215860"/>
    <s v="Tim"/>
    <s v=""/>
    <s v="PROCUREMENT"/>
    <s v="PRODUCTIVITY"/>
    <s v="SOURCING"/>
    <s v="Personal Health"/>
    <s v="OHC"/>
    <s v="PH"/>
    <s v="IL5"/>
    <n v="0.1"/>
    <x v="369"/>
    <s v="India"/>
    <s v="SYSTEUR"/>
    <s v="FTE"/>
    <s v="Sanjeev Kumar"/>
    <s v="Tim"/>
  </r>
  <r>
    <s v="36516"/>
    <s v="Saurabh Agrawal"/>
    <s v="Marvel: DD 5.0: CAIRO NON-CONNECTED PCBA FCP Improvement"/>
    <s v="Tim"/>
    <s v=""/>
    <s v="PROCUREMENT"/>
    <s v="PRODUCTIVITY"/>
    <s v="CONCEPT"/>
    <s v="Personal Health"/>
    <s v="OHC"/>
    <s v="PH"/>
    <s v="IL3"/>
    <n v="0.05"/>
    <x v="369"/>
    <s v="India"/>
    <s v="SYSTEUR"/>
    <s v="FTE"/>
    <s v="Sanjeev Kumar"/>
    <s v="Tim"/>
  </r>
  <r>
    <s v="CR203988-2"/>
    <s v="Saurabh Agrawal"/>
    <s v="2.5W USA-A AC Adapter Development (Vietnam)"/>
    <s v="Tim"/>
    <s v=""/>
    <s v="N/A"/>
    <s v="LCM"/>
    <s v="CONCEPT"/>
    <s v="Personal Health"/>
    <s v="OHC"/>
    <s v="PH"/>
    <s v="IL3"/>
    <n v="0.1"/>
    <x v="369"/>
    <s v="India"/>
    <s v="SYSTEUR"/>
    <s v="FTE"/>
    <s v="Sanjeev Kumar"/>
    <s v="Tim"/>
  </r>
  <r>
    <s v="CR230080"/>
    <s v="Saurabh Agrawal_x000a_"/>
    <s v="WHT_ID VS Introducing Risun as Second Source for F1 and F2 Nozzles"/>
    <s v="Tim"/>
    <s v=""/>
    <s v="N/A"/>
    <s v="LCM"/>
    <s v="CONCEPT"/>
    <s v="Personal Health"/>
    <s v="OHC"/>
    <s v="PH"/>
    <s v="IL3"/>
    <n v="0.05"/>
    <x v="369"/>
    <s v="India"/>
    <s v="SYSTEUR"/>
    <s v="FTE"/>
    <s v="Sanjeev Kumar"/>
    <s v="Tim"/>
  </r>
  <r>
    <s v="CR233622"/>
    <s v="Saurabh Agrawal"/>
    <s v="Mitigation for Supply Restriction from Nexperia Manufacturing"/>
    <s v="Tim"/>
    <s v=""/>
    <s v="N/A"/>
    <s v="LCM"/>
    <s v="SOURCING"/>
    <s v="Personal Health"/>
    <s v="OHC"/>
    <s v="PH"/>
    <s v="IL3"/>
    <n v="0.2"/>
    <x v="369"/>
    <s v="India"/>
    <s v="SYSTEUR"/>
    <s v="FTE"/>
    <s v="Sanjeev Kumar"/>
    <s v="Tim"/>
  </r>
  <r>
    <s v="28347"/>
    <s v="Saurabh Agrawal"/>
    <s v="Dual Sourcing – Unip Syringes"/>
    <s v="Tim"/>
    <s v=""/>
    <s v="N/A"/>
    <s v="AOS"/>
    <s v="SOURCING"/>
    <s v="Mechanical Parts &amp; Assemblies"/>
    <s v="OHC"/>
    <s v="PH"/>
    <s v="IL3"/>
    <n v="0.2"/>
    <x v="369"/>
    <s v="India"/>
    <s v="SYSTEUR"/>
    <s v="FTE"/>
    <s v="Sanjeev Kumar"/>
    <s v="Tim"/>
  </r>
  <r>
    <s v="29839"/>
    <s v="Saurabh Agrawal"/>
    <s v="Dual Source Tube Bending -- Boom and Mast Assembly OHC"/>
    <s v="Tim"/>
    <s v=""/>
    <s v="PROCUREMENT"/>
    <s v="AOS"/>
    <s v="SOURCING"/>
    <s v="Mechanical Parts &amp; Assemblies"/>
    <s v="OHC"/>
    <s v="PH"/>
    <s v="IL3"/>
    <n v="0.2"/>
    <x v="369"/>
    <s v="India"/>
    <s v="SYSTEUR"/>
    <s v="FTE"/>
    <s v="Sanjeev Kumar"/>
    <s v="Tim"/>
  </r>
  <r>
    <s v="CR228315"/>
    <s v="Saurabh Agrawal_x000a_"/>
    <s v="PTB VS, PIE Charger Non-Compliance Mitigation (Lead)"/>
    <s v="Tim"/>
    <s v=""/>
    <s v="N/A"/>
    <s v="LCM"/>
    <s v="CONCEPT"/>
    <s v="Personal Health"/>
    <s v="OHC"/>
    <s v="PH"/>
    <s v="IL3"/>
    <n v="0.05"/>
    <x v="369"/>
    <s v="India"/>
    <s v="SYSTEUR"/>
    <s v="FTE"/>
    <s v="Sanjeev Kumar"/>
    <s v="Tim"/>
  </r>
  <r>
    <s v="PJ-006578"/>
    <s v="Sushruth Rudrachary"/>
    <s v="Shaving LcM"/>
    <s v="Tim"/>
    <s v=""/>
    <s v="N/A"/>
    <s v="LCM"/>
    <s v="CONCEPT"/>
    <s v="Personal Health"/>
    <s v="GB"/>
    <s v="PH"/>
    <s v="IL2"/>
    <n v="0.5"/>
    <x v="370"/>
    <s v="India"/>
    <s v="SYSTEUR"/>
    <s v="FTE"/>
    <s v="Yogesh Shelgaonkar"/>
    <s v="Tim"/>
  </r>
  <r>
    <s v="PJ-028050"/>
    <s v="Sushruth Rudrachary"/>
    <s v="IPL MLD/LCM - Mid End Program"/>
    <s v="Tim"/>
    <s v=""/>
    <s v="N/A"/>
    <s v="LCM"/>
    <s v="CONCEPT"/>
    <s v="Personal Health"/>
    <s v="GB"/>
    <s v="PH"/>
    <s v="IL2"/>
    <n v="0.3"/>
    <x v="370"/>
    <s v="India"/>
    <s v="SYSTEUR"/>
    <s v="FTE"/>
    <s v="Yogesh Shelgaonkar"/>
    <s v="Tim"/>
  </r>
  <r>
    <s v="PJ-026520"/>
    <s v="Sushruth Rudrachary"/>
    <s v="IPL S7/8/9 Sunstone 2022-2023 GL - PDLM (2) Sunstone"/>
    <s v="Tim"/>
    <s v=""/>
    <s v="N/A"/>
    <s v="LCM"/>
    <s v="CONCEPT"/>
    <s v="Personal Health"/>
    <s v="GB"/>
    <s v="PH"/>
    <s v="IL2"/>
    <n v="0.2"/>
    <x v="370"/>
    <s v="India"/>
    <s v="SYSTEUR"/>
    <s v="FTE"/>
    <s v="Yogesh Shelgaonkar"/>
    <s v="Tim"/>
  </r>
  <r>
    <s v="US_TRANS_LCM0001"/>
    <s v="Steven Mroch"/>
    <s v="US_TRANS_LCM"/>
    <s v="Nishant"/>
    <s v=""/>
    <s v="N/A"/>
    <s v="LCM"/>
    <s v="SOURCING"/>
    <s v="Mechanical Parts &amp; Assemblies"/>
    <s v="US-Trans"/>
    <s v="PD"/>
    <s v="IL3"/>
    <n v="0.8"/>
    <x v="371"/>
    <s v="India"/>
    <s v="SYSTEUR"/>
    <s v="FTE"/>
    <s v="Krishna Prasad K"/>
    <m/>
  </r>
  <r>
    <s v="DCR#14157"/>
    <s v="Steven Mroch"/>
    <s v="1068991 Spine Manifold Drawing Updates"/>
    <s v="Nishant"/>
    <s v=""/>
    <s v="N/A"/>
    <s v="LCM"/>
    <s v="SOURCING"/>
    <s v="Mechanical Parts &amp; Assemblies"/>
    <s v="SRC"/>
    <s v="CC"/>
    <s v="IL2"/>
    <n v="0.2"/>
    <x v="371"/>
    <s v="India"/>
    <s v="SYSTEUR"/>
    <s v="FTE"/>
    <s v="Krishna Prasad K"/>
    <m/>
  </r>
  <r>
    <s v="CR222460"/>
    <s v="Saurabh Agrawal"/>
    <s v="IPX7 Device Labeling per IEC 60335-12020 clause 7.1"/>
    <s v="Tim"/>
    <s v=""/>
    <s v="N/A"/>
    <s v="LCM"/>
    <s v="CONCEPT"/>
    <s v="Personal Health"/>
    <s v="OHC"/>
    <s v="PH"/>
    <s v="IL5"/>
    <n v="0.3"/>
    <x v="372"/>
    <s v="India"/>
    <s v="SYSTEUR"/>
    <s v="Contingent"/>
    <s v="Pramila Mote"/>
    <s v="Bokelman"/>
  </r>
  <r>
    <s v="CR231539"/>
    <s v="Saurabh Agrawal_x000a_"/>
    <s v="CB Test Reports updates for WAA1001, WAA2001, and WAC1001 to Latest Standard Editions"/>
    <s v="Tim"/>
    <s v=""/>
    <s v="N/A"/>
    <s v="LCM"/>
    <s v="CONCEPT"/>
    <s v="Personal Health"/>
    <s v="OHC"/>
    <s v="PH"/>
    <s v="IL2"/>
    <n v="0.3"/>
    <x v="372"/>
    <s v="India"/>
    <s v="SYSTEUR"/>
    <s v="Contingent"/>
    <s v="Pramila Mote"/>
    <s v="Bokelman"/>
  </r>
  <r>
    <s v="CR231540"/>
    <s v="Saurabh Agrawal_x000a_"/>
    <s v="Cairo Travel Case ZC Repeat Molds V1"/>
    <s v="Tim"/>
    <s v=""/>
    <s v="N/A"/>
    <s v="LCM"/>
    <s v="CONCEPT"/>
    <s v="Personal Health"/>
    <s v="OHC"/>
    <s v="PH"/>
    <s v="IL2"/>
    <n v="0.4"/>
    <x v="372"/>
    <s v="India"/>
    <s v="SYSTEUR"/>
    <s v="Contingent"/>
    <s v="Pramila Mote"/>
    <s v="Bokelman"/>
  </r>
  <r>
    <s v="PDTEAM560"/>
    <s v="Damodar Sarnobat"/>
    <s v="STET CT/AMI-  LCM FRU Resolutions"/>
    <s v="Phil"/>
    <s v=""/>
    <s v="N/A"/>
    <s v="LCM"/>
    <s v="TCO"/>
    <s v="Key components &amp; Electronics"/>
    <s v="CT/AMI"/>
    <s v="PD"/>
    <s v="IL2"/>
    <n v="1"/>
    <x v="373"/>
    <s v="India"/>
    <s v="SYSTEUR"/>
    <s v="Contingent"/>
    <s v="Subhankar Das"/>
    <s v="Phil"/>
  </r>
  <r>
    <s v="Cinamon"/>
    <s v="Sushruth Rudrachary"/>
    <s v="Project Cinamon"/>
    <s v="Tim"/>
    <s v=""/>
    <s v="N/A"/>
    <s v="NPI"/>
    <s v="CONCEPT"/>
    <s v="Personal Health"/>
    <s v="GB"/>
    <s v="PH"/>
    <s v="IL3"/>
    <n v="1"/>
    <x v="374"/>
    <s v="India"/>
    <s v="SYSTEUR"/>
    <s v="Contingent"/>
    <s v="Adarsh Shrivastava"/>
    <s v="Bokelman"/>
  </r>
  <r>
    <s v="32257"/>
    <s v="Vijayanand Purushothaman"/>
    <s v="NYX Albany parts transfer"/>
    <s v="Phil"/>
    <s v=""/>
    <s v="PROCUREMENT"/>
    <s v="PRODUCTIVITY"/>
    <s v="SOURCING"/>
    <s v="Mechanical Parts &amp; Assemblies"/>
    <s v="MR"/>
    <s v="PD"/>
    <s v="IL3"/>
    <n v="1"/>
    <x v="375"/>
    <s v="India"/>
    <s v="SYSTEUR"/>
    <s v="FTE"/>
    <s v="Damodar Sarnobat"/>
    <s v="Phil"/>
  </r>
  <r>
    <s v="CR0109069"/>
    <s v="Charles Moses_x000a_"/>
    <s v="Update the Harmony ACB board with a new boot FPGA image."/>
    <s v="Nishant"/>
    <s v=""/>
    <s v="N/A"/>
    <s v="LCM"/>
    <s v="SOURCING"/>
    <s v="Key components &amp; Electronics"/>
    <s v="US"/>
    <s v="PD"/>
    <s v="IL2"/>
    <n v="1"/>
    <x v="376"/>
    <s v="India"/>
    <s v="SYSTEUR"/>
    <s v="FTE"/>
    <s v="Anand Navalagi"/>
    <s v="Raj"/>
  </r>
  <r>
    <s v="04MOSLCMMAJPROJ"/>
    <s v="Ponkshe, Mihir"/>
    <s v="LCM Major project in IGT-MOS"/>
    <s v="Raj"/>
    <s v=""/>
    <s v="N/A"/>
    <s v="AOS"/>
    <s v="SOURCING"/>
    <s v="Key components &amp; Electronics"/>
    <s v="IGT-MoS"/>
    <s v="IGT"/>
    <s v="IL3"/>
    <n v="1"/>
    <x v="377"/>
    <s v="India"/>
    <s v="SYSTEUR"/>
    <s v="FTE"/>
    <s v="Manish Sharma"/>
    <s v="Raj"/>
  </r>
  <r>
    <s v="PDTEAM309"/>
    <s v="Kiran MR"/>
    <s v="STET Pkg COE U/S- Packaging LCM"/>
    <s v="Phil"/>
    <s v=""/>
    <s v="N/A"/>
    <s v="LCM"/>
    <s v="SOURCING"/>
    <s v="Mechanical Parts &amp; Assemblies"/>
    <s v="US"/>
    <s v="PD"/>
    <s v="IL2"/>
    <n v="0.5"/>
    <x v="378"/>
    <s v="India"/>
    <s v="SYSTEUR"/>
    <s v="Contingent"/>
    <s v="Kiran MR"/>
    <s v="Phil"/>
  </r>
  <r>
    <s v="PDTEAM424"/>
    <s v="Srinivas, M.V.D "/>
    <s v="STET DXR HW LCM - Label &amp; Packaging"/>
    <s v="Phil"/>
    <s v=""/>
    <s v="N/A"/>
    <s v="LCM"/>
    <s v="SOURCING"/>
    <s v="Mechanical Parts &amp; Assemblies"/>
    <s v="DXR"/>
    <s v="PD"/>
    <s v="IL2"/>
    <n v="0.5"/>
    <x v="378"/>
    <s v="India"/>
    <s v="SYSTEUR"/>
    <s v="Contingent"/>
    <s v="Kiran MR"/>
    <s v="Phil"/>
  </r>
  <r>
    <s v="HPM_Sustaining_Monitoring_09122205"/>
    <s v="Jidhish Sidharthan_x000a_"/>
    <s v="HPM Sustaining Projects support - Monitoring"/>
    <s v="Nishant"/>
    <s v=""/>
    <s v="N/A"/>
    <s v="LCM"/>
    <s v="SOURCING"/>
    <s v="All"/>
    <s v="HPM"/>
    <s v="CC"/>
    <s v="IL3"/>
    <n v="0.5"/>
    <x v="379"/>
    <s v="India"/>
    <s v="SYSTEUR"/>
    <s v="FTE"/>
    <s v="Manoj Verma"/>
    <s v="Nishant"/>
  </r>
  <r>
    <s v="HPM_Sustaining_MRPC_09122205"/>
    <s v="Jidhish Sidharthan_x000a_"/>
    <s v="HPM Sustaining Projects support - MRPC"/>
    <s v="Nishant"/>
    <s v=""/>
    <s v="N/A"/>
    <s v="LCM"/>
    <s v="SOURCING"/>
    <s v="All"/>
    <s v="HPM"/>
    <s v="CC"/>
    <s v="IL3"/>
    <n v="0.5"/>
    <x v="379"/>
    <s v="India"/>
    <s v="SYSTEUR"/>
    <s v="FTE"/>
    <s v="Manoj Verma"/>
    <s v="Nishant"/>
  </r>
  <r>
    <s v="PJ-028051"/>
    <s v="Sushruth Rudrachary"/>
    <s v="IPL MLD/LCM - Mid End Technical"/>
    <s v="Tim"/>
    <s v=""/>
    <s v="N/A"/>
    <s v="LCM"/>
    <s v="CONCEPT"/>
    <s v="Personal Health"/>
    <s v="GB"/>
    <s v="PH"/>
    <s v="IL2"/>
    <n v="0.8"/>
    <x v="380"/>
    <s v="India"/>
    <s v="SYSTEUR"/>
    <s v="Contingent"/>
    <s v="Yogesh Shelgaonkar"/>
    <s v="Bokelman"/>
  </r>
  <r>
    <s v="RfS 272677"/>
    <s v="Sushruth Rudrachary"/>
    <s v="REGMEM AMB 554-23055 - EU - Corporate Sustainability Reporting Directive (CSRD - (EU) 2022/2464)"/>
    <s v="Tim"/>
    <s v=""/>
    <s v="N/A"/>
    <s v="LCM"/>
    <s v="CONCEPT"/>
    <s v="Personal Health"/>
    <s v="GB"/>
    <s v="PH"/>
    <s v="IL5"/>
    <n v="0.2"/>
    <x v="380"/>
    <s v="India"/>
    <s v="SYSTEUR"/>
    <s v="Contingent"/>
    <s v="Yogesh Shelgaonkar"/>
    <s v="Bokelman"/>
  </r>
  <r>
    <s v="ART-BEST"/>
    <s v="Vijayanand Purushothaman"/>
    <s v="LCM Support for Best"/>
    <s v="Raj"/>
    <s v=""/>
    <s v="N/A"/>
    <s v="LCM"/>
    <s v="SOURCING"/>
    <s v="Mechanical Parts &amp; Assemblies"/>
    <s v="IGT-S"/>
    <s v="IGT"/>
    <s v="IL3"/>
    <n v="1"/>
    <x v="381"/>
    <s v="India"/>
    <s v="SYSTEUR"/>
    <s v="Contingent"/>
    <s v="Makarand Dharmadhikari"/>
    <s v="Raj"/>
  </r>
  <r>
    <s v="IGTS_LCM"/>
    <s v="Saravanakumar Palani_x000a__x000a_"/>
    <s v="IGTS_LCM"/>
    <s v="Raj"/>
    <s v=""/>
    <s v="N/A"/>
    <s v="LCM"/>
    <s v="CONCEPT"/>
    <s v="Mechanical Parts &amp; Assemblies"/>
    <s v="IGT-S"/>
    <s v="IGT"/>
    <s v="IL2"/>
    <n v="1"/>
    <x v="382"/>
    <s v="India"/>
    <s v="SYSTEUR"/>
    <s v="FTE"/>
    <s v="Anija M"/>
    <s v="Raj"/>
  </r>
  <r>
    <s v="CR234283"/>
    <s v="Steven Mroch"/>
    <s v="Controlled Molding Dome Transfer Project"/>
    <s v="Nishant"/>
    <s v=""/>
    <s v="PROCUREMENT"/>
    <s v="AOS"/>
    <s v="SOURCING"/>
    <s v="Mechanical Parts &amp; Assemblies"/>
    <s v="US-Trans"/>
    <s v="PD"/>
    <s v="IL3"/>
    <n v="0.25"/>
    <x v="383"/>
    <s v="India"/>
    <s v="SYSTEUR"/>
    <s v="FTE"/>
    <s v="Ganesh Bhat"/>
    <s v="Nishant"/>
  </r>
  <r>
    <s v="CR233724"/>
    <s v="Steven Mroch"/>
    <s v="Controlled Molding Doppler Transfer Project"/>
    <s v="Nishant"/>
    <s v=""/>
    <s v="PROCUREMENT"/>
    <s v="AOS"/>
    <s v="SOURCING"/>
    <s v="Mechanical Parts &amp; Assemblies"/>
    <s v="US-Trans"/>
    <s v="PD"/>
    <s v="IL3"/>
    <n v="0.25"/>
    <x v="383"/>
    <s v="India"/>
    <s v="SYSTEUR"/>
    <s v="FTE"/>
    <s v="Ganesh Bhat"/>
    <s v="Nishant"/>
  </r>
  <r>
    <s v="DCR 20760"/>
    <s v="Steven Mroch"/>
    <s v="RICR Paper Products - Grupo Vargas  Sourcing Paper in China"/>
    <s v="Nishant"/>
    <s v=""/>
    <s v="PROCUREMENT"/>
    <s v="PRODUCTIVITY"/>
    <s v="SOURCING"/>
    <s v="Mechanical Parts &amp; Assemblies"/>
    <s v="SRC"/>
    <s v="CC"/>
    <s v="IL3"/>
    <n v="0.25"/>
    <x v="383"/>
    <s v="India"/>
    <s v="SYSTEUR"/>
    <s v="FTE"/>
    <s v="Ganesh Bhat"/>
    <s v="Nishant"/>
  </r>
  <r>
    <s v="DCR 14088"/>
    <s v="Steven Mroch"/>
    <s v="AF541 Flapper Auto De-molding"/>
    <s v="Nishant"/>
    <s v=""/>
    <s v="N/A"/>
    <s v="LCM"/>
    <s v="TCO"/>
    <s v="Mechanical Parts &amp; Assemblies"/>
    <s v="SRC"/>
    <s v="CC"/>
    <s v="IL3"/>
    <n v="0.25"/>
    <x v="383"/>
    <s v="India"/>
    <s v="SYSTEUR"/>
    <s v="FTE"/>
    <s v="Ganesh Bhat"/>
    <s v="Nishant"/>
  </r>
  <r>
    <s v="L&amp;A"/>
    <s v="N/A"/>
    <s v="MISC. ENTRY TO BALANCE WITH RESOURCE DATABASE"/>
    <s v="All"/>
    <s v=""/>
    <s v="N/A"/>
    <s v="L&amp;A"/>
    <s v="L&amp;A"/>
    <s v="L&amp;A"/>
    <s v="L&amp;A"/>
    <s v="L&amp;A"/>
    <s v="IL3"/>
    <n v="1"/>
    <x v="384"/>
    <s v="India"/>
    <s v="SYSTEUR"/>
    <s v="FTE"/>
    <s v="Krishnaraj Kalghatgi"/>
    <s v="Phil"/>
  </r>
  <r>
    <s v="09MOSBUDEDICATED"/>
    <s v="Ponkshe, Mihir"/>
    <s v="IGT MOS BU dedicated projects support"/>
    <s v="Raj"/>
    <s v=""/>
    <s v="N/A"/>
    <s v="LCM"/>
    <s v="SOURCING"/>
    <s v="Key components &amp; Electronics"/>
    <s v="IGT-MoS"/>
    <s v="IGT"/>
    <s v="IL3"/>
    <n v="1"/>
    <x v="385"/>
    <s v="India"/>
    <s v="SYSTEUR"/>
    <s v="FTE"/>
    <s v="Mihir Ponkshe "/>
    <s v="Raj"/>
  </r>
  <r>
    <s v="RfS-SHA20260102014"/>
    <s v="Sushruth Rudrachary_x000a_"/>
    <s v="RfS - AMB 554-26004 - Chili - Res. No. 73 - SUBTEL"/>
    <s v="Tim"/>
    <s v=""/>
    <s v="N/A"/>
    <s v="LCM"/>
    <s v="CONCEPT"/>
    <s v="Personal Health"/>
    <s v="GB"/>
    <s v="PH"/>
    <s v="IL4"/>
    <n v="0.2"/>
    <x v="386"/>
    <s v="India"/>
    <s v="SYSTEUR"/>
    <s v="FTE"/>
    <s v="Ishan Gupta"/>
    <s v="Tim"/>
  </r>
  <r>
    <s v="RfS-SHA20260102017"/>
    <s v="Sushruth Rudrachary_x000a_"/>
    <s v="RfS - CBEC HK - 7 Phoenix SKU's"/>
    <s v="Tim"/>
    <s v=""/>
    <s v="IGM"/>
    <s v="Commercial Innovation"/>
    <s v="Commercial Innovation"/>
    <s v="Personal Health"/>
    <s v="GB"/>
    <s v="PH"/>
    <s v="IL3"/>
    <n v="0.2"/>
    <x v="386"/>
    <s v="India"/>
    <s v="SYSTEUR"/>
    <s v="FTE"/>
    <s v="Ishan Gupta"/>
    <s v="Tim"/>
  </r>
  <r>
    <s v="RfS-SHA20260102011"/>
    <s v="Sushruth Rudrachary_x000a_"/>
    <s v="Change of product tradename and part description - Planet Asia"/>
    <s v="Tim"/>
    <s v=""/>
    <s v="N/A"/>
    <s v="LCM"/>
    <s v="CONCEPT"/>
    <s v="Personal Health"/>
    <s v="GB"/>
    <s v="PH"/>
    <s v="IL2"/>
    <n v="0.1"/>
    <x v="386"/>
    <s v="India"/>
    <s v="SYSTEUR"/>
    <s v="FTE"/>
    <s v="Ishan Gupta"/>
    <s v="Tim"/>
  </r>
  <r>
    <s v="RfS-SHA20250801946"/>
    <s v="Sushruth Rudrachary"/>
    <s v="New product launch CC16 for US"/>
    <s v="Tim"/>
    <s v=""/>
    <s v="IGM"/>
    <s v="Commercial Innovation"/>
    <s v="Commercial Innovation"/>
    <s v="Personal Health"/>
    <s v="GB"/>
    <s v="PH"/>
    <s v="IL2"/>
    <n v="0.2"/>
    <x v="386"/>
    <s v="India"/>
    <s v="SYSTEUR"/>
    <s v="FTE"/>
    <s v="Ishan Gupta"/>
    <s v="Tim"/>
  </r>
  <r>
    <s v="RfS-SHA20250901967"/>
    <s v="Sushruth Rudrachary"/>
    <s v="REUSE LAUNCH CC12_50 for Turkey"/>
    <s v="Tim"/>
    <s v=""/>
    <s v="IGM"/>
    <s v="Commercial Innovation"/>
    <s v="Commercial Innovation"/>
    <s v="Personal Health"/>
    <s v="GB"/>
    <s v="PH"/>
    <s v="IL5"/>
    <n v="0.15"/>
    <x v="386"/>
    <s v="India"/>
    <s v="SYSTEUR"/>
    <s v="FTE"/>
    <s v="Ishan Gupta"/>
    <s v="Tim"/>
  </r>
  <r>
    <s v="RfS-SHA20250901960"/>
    <s v="Sushruth Rudrachary"/>
    <s v="New Product Launch to Korea S7886_10"/>
    <s v="Tim"/>
    <s v=""/>
    <s v="IGM"/>
    <s v="Commercial Innovation"/>
    <s v="Commercial Innovation"/>
    <s v="Personal Health"/>
    <s v="GB"/>
    <s v="PH"/>
    <s v="IL5"/>
    <n v="0.15"/>
    <x v="386"/>
    <s v="India"/>
    <s v="SYSTEUR"/>
    <s v="FTE"/>
    <s v="Ishan Gupta"/>
    <s v="Tim"/>
  </r>
  <r>
    <s v="PDTEAM626"/>
    <s v="Damodar Sarnobat "/>
    <s v="STET MR COILS SICR PROCESS CHANGE "/>
    <s v="Phil"/>
    <s v=""/>
    <s v="N/A"/>
    <s v="LCM"/>
    <s v="TCO"/>
    <s v="Mechanical Parts &amp; Assemblies"/>
    <s v="MR"/>
    <s v="PD"/>
    <s v="IL2"/>
    <n v="0.2"/>
    <x v="387"/>
    <s v="India"/>
    <s v="SYSTEUR"/>
    <s v="FTE"/>
    <s v="Avinash Gosavi"/>
    <s v="Phil"/>
  </r>
  <r>
    <s v="PDTEAM621"/>
    <s v="Damodar Sarnobat"/>
    <s v="STET MR COILS SICR EOL/ MATERIAL CHANGE "/>
    <s v="Phil"/>
    <s v=""/>
    <s v="N/A"/>
    <s v="LCM"/>
    <s v="TCO"/>
    <s v="Key components &amp; Electronics"/>
    <s v="MR"/>
    <s v="PD"/>
    <s v="IL2"/>
    <n v="0.5"/>
    <x v="387"/>
    <s v="India"/>
    <s v="SYSTEUR"/>
    <s v="FTE"/>
    <s v="Avinash Gosavi"/>
    <s v="Phil"/>
  </r>
  <r>
    <s v="PDTEAM622"/>
    <s v="Damodar Sarnobat"/>
    <s v="STET MR COILS SICR DESIGN/SPECIFICATION CHANGE "/>
    <s v="Phil"/>
    <s v=""/>
    <s v="N/A"/>
    <s v="LCM"/>
    <s v="TCO"/>
    <s v="Mechanical Parts &amp; Assemblies"/>
    <s v="MR"/>
    <s v="PD"/>
    <s v="IL2"/>
    <n v="0.3"/>
    <x v="387"/>
    <s v="India"/>
    <s v="SYSTEUR"/>
    <s v="FTE"/>
    <s v="Avinash Gosavi"/>
    <s v="Phil"/>
  </r>
  <r>
    <s v="34037"/>
    <s v="Fred Cai"/>
    <s v="Billy-Gradient Amp 1.6MVA"/>
    <s v="Phil"/>
    <s v=""/>
    <s v="PROCUREMENT"/>
    <s v="PRODUCTIVITY"/>
    <s v="CONCEPT"/>
    <s v="Key components &amp; Electronics"/>
    <s v="MR"/>
    <s v="PD"/>
    <s v="IL3"/>
    <n v="1"/>
    <x v="388"/>
    <s v="China"/>
    <s v="SYSTEUR"/>
    <s v="FTE"/>
    <s v="Sam Zhao"/>
    <s v="Phil"/>
  </r>
  <r>
    <s v="PJ-028050"/>
    <s v="Sushruth Rudrachary"/>
    <s v="IPL MLD/LCM - Mid End Program"/>
    <s v="Tim"/>
    <s v=""/>
    <s v="N/A"/>
    <s v="LCM"/>
    <s v="CONCEPT"/>
    <s v="Personal Health"/>
    <s v="GB"/>
    <s v="PH"/>
    <s v="IL2"/>
    <n v="1"/>
    <x v="389"/>
    <s v="India"/>
    <s v="SYSTEUR"/>
    <s v="Contingent"/>
    <s v="Yogesh Shelgaonkar"/>
    <s v="Bokelman"/>
  </r>
  <r>
    <s v="PDTEAM550"/>
    <s v="Gourav Parab"/>
    <s v="RSL Automation "/>
    <s v="Phil"/>
    <s v=""/>
    <s v="N/A"/>
    <s v="PRODUCTIVITY"/>
    <s v="NON_12NC"/>
    <s v="Key components &amp; Electronics"/>
    <s v="IC"/>
    <s v="PD"/>
    <s v="IL2"/>
    <n v="1"/>
    <x v="390"/>
    <s v="India"/>
    <s v="SYSTEUR"/>
    <s v="Contingent"/>
    <s v="Gourav Krishna Parab"/>
    <s v="Phil"/>
  </r>
  <r>
    <s v="ART-India"/>
    <s v="Vijayanand Purushothaman"/>
    <s v="LCM Support for India"/>
    <s v="Raj"/>
    <s v=""/>
    <s v="N/A"/>
    <s v="LCM"/>
    <s v="SOURCING"/>
    <s v="Mechanical Parts &amp; Assemblies"/>
    <s v="IGT-S"/>
    <s v="IGT"/>
    <s v="IL3"/>
    <n v="1"/>
    <x v="391"/>
    <s v="India"/>
    <s v="SYSTEUR"/>
    <s v="FTE"/>
    <s v="Makarand Dharmadhikari"/>
    <s v="Raj"/>
  </r>
  <r>
    <s v="36944"/>
    <s v="Vijayanand Purushothaman"/>
    <s v="CSM DC axis controller"/>
    <s v="Phil"/>
    <s v=""/>
    <s v="PROCUREMENT"/>
    <s v="PRODUCTIVITY"/>
    <s v="CONCEPT"/>
    <s v="Key components &amp; Electronics"/>
    <s v="DXR"/>
    <s v="PD"/>
    <s v="IL2"/>
    <n v="1"/>
    <x v="392"/>
    <s v="India"/>
    <s v="SYSTEUR"/>
    <s v="Contingent"/>
    <s v="Bhushan Barve"/>
    <s v="Phil"/>
  </r>
  <r>
    <s v="08MOSLCMTESTENGG"/>
    <s v="Ponkshe, Mihir"/>
    <s v="LCM testing activities  in IGT-MOS"/>
    <s v="Raj"/>
    <s v=""/>
    <s v="N/A"/>
    <s v="LCM"/>
    <s v="SOURCING"/>
    <s v="Key components &amp; Electronics"/>
    <s v="IGT-MoS"/>
    <s v="IGT"/>
    <s v="IL3"/>
    <n v="1"/>
    <x v="393"/>
    <s v="India"/>
    <s v="SYSTEUR"/>
    <s v="FTE"/>
    <s v="Manish Sharma"/>
    <s v="Raj"/>
  </r>
  <r>
    <s v="CS-2025-137"/>
    <s v="Kulasekhar (KK)_x000a_"/>
    <s v="Proscribe to TSM repl kit patient table"/>
    <s v="Raj"/>
    <s v=""/>
    <s v="TCO"/>
    <s v="PRODUCTIVITY"/>
    <s v="CONCEPT"/>
    <s v="Mechanical Parts &amp; Assemblies"/>
    <s v="IGT-S"/>
    <s v="IGT"/>
    <s v="IL1"/>
    <n v="0.2"/>
    <x v="394"/>
    <s v="India"/>
    <s v="SYSTEUR"/>
    <s v="Contingent"/>
    <s v="Dipti Ghatge"/>
    <s v="Nishant"/>
  </r>
  <r>
    <s v="CS-2023-032"/>
    <s v="Saravanakumar Palani_x000a_"/>
    <s v="CMOS battery - Proactive replacement as part of FCO in the field "/>
    <s v="Raj"/>
    <s v=""/>
    <s v="TCO"/>
    <s v="PRODUCTIVITY"/>
    <s v="CONCEPT"/>
    <s v="Mechanical Parts &amp; Assemblies"/>
    <s v="IGT-S"/>
    <s v="IGT"/>
    <s v="IL4"/>
    <n v="0.2"/>
    <x v="394"/>
    <s v="India"/>
    <s v="SYSTEUR"/>
    <s v="Contingent"/>
    <s v="Dipti Ghatge"/>
    <s v="Nishant"/>
  </r>
  <r>
    <s v="CS-2025-110"/>
    <s v="Vivek Sonagra"/>
    <s v="Grayhill Shenzhen – Internal Transfer of IGTS products"/>
    <s v="Raj"/>
    <s v=""/>
    <s v="PROCUREMENT"/>
    <s v="PRODUCTIVITY"/>
    <s v="SOURCING"/>
    <s v="Mechanical Parts &amp; Assemblies"/>
    <s v="IGT-S"/>
    <s v="IGT"/>
    <s v="IL1"/>
    <n v="0.1"/>
    <x v="394"/>
    <s v="India"/>
    <s v="SYSTEUR"/>
    <s v="Contingent"/>
    <s v="Dipti Ghatge"/>
    <s v="Nishant"/>
  </r>
  <r>
    <s v="CS-2022-002"/>
    <s v="Saravanakumar Palani"/>
    <s v="Azurion control modules quality improvement project"/>
    <s v="Raj"/>
    <s v=""/>
    <s v="TCO"/>
    <s v="PRODUCTIVITY"/>
    <s v="CONCEPT"/>
    <s v="Mechanical Parts &amp; Assemblies"/>
    <s v="IGT-S"/>
    <s v="IGT"/>
    <s v="IL0"/>
    <n v="0.1"/>
    <x v="394"/>
    <s v="India"/>
    <s v="SYSTEUR"/>
    <s v="Contingent"/>
    <s v="Dipti Ghatge"/>
    <s v="Nishant"/>
  </r>
  <r>
    <s v="CS-2026-034"/>
    <s v="Vivek Sonagra"/>
    <s v="Control module belly bar improvement project"/>
    <s v="Raj"/>
    <s v=""/>
    <s v="PROCUREMENT"/>
    <s v="PRODUCTIVITY"/>
    <s v="SOURCING"/>
    <s v="Mechanical Parts &amp; Assemblies"/>
    <s v="IGT-S"/>
    <s v="IGT"/>
    <s v="IL4"/>
    <n v="0.1"/>
    <x v="394"/>
    <s v="India"/>
    <s v="SYSTEUR"/>
    <s v="Contingent"/>
    <s v="Dipti Ghatge"/>
    <s v="Nishant"/>
  </r>
  <r>
    <s v="CS-2026-041"/>
    <s v="Vivek Sonagra"/>
    <s v="GEO PC FCO 7.2"/>
    <s v="Raj"/>
    <s v=""/>
    <s v="PROCUREMENT"/>
    <s v="PRODUCTIVITY"/>
    <s v="SOURCING"/>
    <s v="Mechanical Parts &amp; Assemblies"/>
    <s v="IGT-S"/>
    <s v="IGT"/>
    <s v="IL4"/>
    <n v="0.1"/>
    <x v="394"/>
    <s v="India"/>
    <s v="SYSTEUR"/>
    <s v="Contingent"/>
    <s v="Dipti Ghatge"/>
    <s v="Nishant"/>
  </r>
  <r>
    <s v="CS-2026-040"/>
    <s v="Vivek Sonagra"/>
    <s v="GEO PC FCO 8.1"/>
    <s v="Raj"/>
    <s v=""/>
    <s v="PROCUREMENT"/>
    <s v="PRODUCTIVITY"/>
    <s v="SOURCING"/>
    <s v="Mechanical Parts &amp; Assemblies"/>
    <s v="IGT-S"/>
    <s v="IGT"/>
    <s v="IL4"/>
    <n v="0.1"/>
    <x v="394"/>
    <s v="India"/>
    <s v="SYSTEUR"/>
    <s v="Contingent"/>
    <s v="Dipti Ghatge"/>
    <s v="Nishant"/>
  </r>
  <r>
    <s v="CS-2026-035"/>
    <s v="Vivek Sonagra"/>
    <s v="PC NPF (no problem found) reduction project"/>
    <s v="Raj"/>
    <s v=""/>
    <s v="PROCUREMENT"/>
    <s v="PRODUCTIVITY"/>
    <s v="SOURCING"/>
    <s v="Mechanical Parts &amp; Assemblies"/>
    <s v="IGT-S"/>
    <s v="IGT"/>
    <s v="IL0"/>
    <n v="0.1"/>
    <x v="394"/>
    <s v="India"/>
    <s v="SYSTEUR"/>
    <s v="Contingent"/>
    <s v="Dipti Ghatge"/>
    <s v="Nishant"/>
  </r>
  <r>
    <s v="09MOSBUDEDICATED"/>
    <s v="Ponkshe, Mihir"/>
    <s v="IGT MOS BU dedicated projects support"/>
    <s v="Raj"/>
    <s v=""/>
    <s v="N/A"/>
    <s v="LCM"/>
    <s v="SOURCING"/>
    <s v="Key components &amp; Electronics"/>
    <s v="IGT-MoS"/>
    <s v="IGT"/>
    <s v="IL3"/>
    <n v="1"/>
    <x v="395"/>
    <s v="India"/>
    <s v="SYSTEUR"/>
    <s v="Contingent"/>
    <s v="Manish Sharma"/>
    <s v="Raj"/>
  </r>
  <r>
    <s v="38924"/>
    <s v="Steven Mroch"/>
    <s v="S&amp;RC SOC 5L inorganic"/>
    <s v="Nishant"/>
    <s v=""/>
    <s v="PROCUREMENT"/>
    <s v="PRODUCTIVITY"/>
    <s v="CONCEPT"/>
    <s v="Mechanical Parts &amp; Assemblies"/>
    <s v="SRC"/>
    <s v="CC"/>
    <s v="IL5"/>
    <n v="0.5"/>
    <x v="396"/>
    <s v="India"/>
    <s v="SYSTEUR"/>
    <s v="FTE"/>
    <s v="Ganesh Bhat"/>
    <s v="Nishant"/>
  </r>
  <r>
    <s v="DCR#13696"/>
    <s v="Steven Mroch"/>
    <s v="Design Transfer of 1074880 BATTERY ASSEMBLY,E2 "/>
    <s v="Nishant"/>
    <s v=""/>
    <s v="N/A"/>
    <s v="LCM"/>
    <s v="SOURCING"/>
    <s v="Mechanical Parts &amp; Assemblies"/>
    <s v="SRC"/>
    <s v="CC"/>
    <s v="IL3"/>
    <n v="0.5"/>
    <x v="396"/>
    <s v="India"/>
    <s v="SYSTEUR"/>
    <s v="FTE"/>
    <s v="Ganesh Bhat"/>
    <s v="Nishant"/>
  </r>
  <r>
    <s v="PDTEAM424"/>
    <s v="Srinivas, M.V.D "/>
    <s v="STET DXR HW LCM - Label &amp; Packaging"/>
    <s v="Phil"/>
    <s v=""/>
    <s v="N/A"/>
    <s v="LCM"/>
    <s v="SOURCING"/>
    <s v="Mechanical Parts &amp; Assemblies"/>
    <s v="DXR"/>
    <s v="PD"/>
    <s v="IL2"/>
    <n v="1"/>
    <x v="397"/>
    <s v="India"/>
    <s v="SYSTEUR"/>
    <s v="FTE"/>
    <s v="M.V.D Srinivas"/>
    <s v="Phil"/>
  </r>
  <r>
    <s v="PDTEAM619"/>
    <s v="Damodar Sarnobat"/>
    <s v="STET MR LCE PROJECT SUPPORT MECHANICAL "/>
    <s v="Phil"/>
    <s v=""/>
    <s v="N/A"/>
    <s v="LCM"/>
    <s v="TCO"/>
    <s v="Mechanical Parts &amp; Assemblies"/>
    <s v="MR"/>
    <s v="PD"/>
    <s v="IL2"/>
    <n v="1"/>
    <x v="398"/>
    <s v="India"/>
    <s v="SYSTEUR"/>
    <s v="FTE"/>
    <s v="Avinash Gosavi"/>
    <s v="Phil"/>
  </r>
  <r>
    <s v="CR0115642"/>
    <s v="Charles Moses"/>
    <s v="Affiniti HLA Configuration Creation"/>
    <s v="Nishant"/>
    <s v=""/>
    <s v="N/A"/>
    <s v="LCM"/>
    <s v="SOURCING"/>
    <s v="Mechanical Parts &amp; Assemblies"/>
    <s v="US"/>
    <s v="PD"/>
    <s v="IL3"/>
    <n v="1"/>
    <x v="399"/>
    <s v="India"/>
    <s v="SYSTEUR"/>
    <s v="FTE"/>
    <s v="Anand Navalagi"/>
    <s v="Raj"/>
  </r>
  <r>
    <s v="PDTEAM560"/>
    <s v="Damodar Sarnobat"/>
    <s v="STET CT/AMI-  LCM FRU Resolutions"/>
    <s v="Phil"/>
    <s v=""/>
    <s v="N/A"/>
    <s v="LCM"/>
    <s v="TCO"/>
    <s v="Key components &amp; Electronics"/>
    <s v="CT/AMI"/>
    <s v="PD"/>
    <s v="IL2"/>
    <n v="1"/>
    <x v="400"/>
    <s v="India"/>
    <s v="SYSTEUR"/>
    <s v="Contingent"/>
    <s v="Subhankar Das"/>
    <s v="Phil"/>
  </r>
  <r>
    <s v="PDTEAM308"/>
    <s v="Kiran MR"/>
    <s v="STET Pkg COE U/S- NPI Packaging Support"/>
    <s v="Phil"/>
    <s v=""/>
    <s v="N/A"/>
    <s v="LCM"/>
    <s v="SOURCING"/>
    <s v="Mechanical Parts &amp; Assemblies"/>
    <s v="US"/>
    <s v="PD"/>
    <s v="IL2"/>
    <n v="0.5"/>
    <x v="401"/>
    <s v="India"/>
    <s v="SYSTEUR"/>
    <s v="FTE"/>
    <s v="Kiran MR"/>
    <s v="Phil"/>
  </r>
  <r>
    <s v="PDTEAM309"/>
    <s v="Kiran MR"/>
    <s v="STET Pkg COE U/S- Packaging LCM"/>
    <s v="Phil"/>
    <s v=""/>
    <s v="N/A"/>
    <s v="LCM"/>
    <s v="SOURCING"/>
    <s v="Mechanical Parts &amp; Assemblies"/>
    <s v="US"/>
    <s v="PD"/>
    <s v="IL2"/>
    <n v="0.5"/>
    <x v="401"/>
    <s v="India"/>
    <s v="SYSTEUR"/>
    <s v="FTE"/>
    <s v="Kiran MR"/>
    <s v="Phil"/>
  </r>
  <r>
    <s v="LCMGBSupport"/>
    <s v="Sushruth Rudrachary"/>
    <s v="LCM shaving and grooming general support"/>
    <s v="Tim"/>
    <s v=""/>
    <s v="N/A"/>
    <s v="LCM"/>
    <s v="CONCEPT"/>
    <s v="Personal Health"/>
    <s v="GB"/>
    <s v="PH"/>
    <s v="IL2"/>
    <n v="1"/>
    <x v="402"/>
    <s v="India"/>
    <s v="SYSTEUR"/>
    <s v="FTE"/>
    <s v="Adarsh Shrivastava"/>
    <s v="Tim"/>
  </r>
  <r>
    <s v="37277"/>
    <s v="Saurabh Agrawal"/>
    <s v="Galway DfX: Redesign PCBA Premium. Reduce 7 components &amp; RFID change from NXP to Alternative"/>
    <s v="Tim"/>
    <s v=""/>
    <s v="PROCUREMENT"/>
    <s v="PRODUCTIVITY"/>
    <s v="CONCEPT"/>
    <s v="Key components &amp; Electronics"/>
    <s v="OHC"/>
    <s v="PH"/>
    <s v="IL5"/>
    <n v="0.2"/>
    <x v="403"/>
    <s v="India"/>
    <s v="SYSTEUR"/>
    <s v="Contingent"/>
    <s v="Saurabh Khedkar"/>
    <s v="Bokelman"/>
  </r>
  <r>
    <s v="CR215136"/>
    <s v="Saurabh Agrawal"/>
    <s v="SonicPro 20: Launch new SKU in LATAM (Mexico, Brazil) under Philips Colgate partnership to cover the price gap between SonicPro 10 and SonicPro 35"/>
    <s v="Tim"/>
    <s v=""/>
    <s v="IGM"/>
    <s v="Commercial Innovation"/>
    <s v="Commercial Innovation"/>
    <s v="Personal Health"/>
    <s v="OHC"/>
    <s v="PH"/>
    <s v="IL5"/>
    <n v="0.2"/>
    <x v="403"/>
    <s v="India"/>
    <s v="SYSTEUR"/>
    <s v="Contingent"/>
    <s v="Saurabh Khedkar"/>
    <s v="Bokelman"/>
  </r>
  <r>
    <s v="CR212345"/>
    <s v="Saurabh Agrawal"/>
    <s v="Launch entry Galway twin pack in TW Costco as one-time item for Y25 Black Friday’s special deal."/>
    <s v="Tim"/>
    <s v=""/>
    <s v="IGM"/>
    <s v="Commercial Innovation"/>
    <s v="Commercial Innovation"/>
    <s v="Personal Health"/>
    <s v="OHC"/>
    <s v="PH"/>
    <s v="IL5"/>
    <n v="0.1"/>
    <x v="403"/>
    <s v="India"/>
    <s v="SYSTEUR"/>
    <s v="Contingent"/>
    <s v="Saurabh Khedkar"/>
    <s v="Bokelman"/>
  </r>
  <r>
    <s v="OHC_RFS_Enrichment"/>
    <s v="Saurabh Agrawal"/>
    <s v="Pre CR work allotments"/>
    <s v="Tim"/>
    <s v=""/>
    <s v="N/A"/>
    <s v="LCM"/>
    <s v="CONCEPT"/>
    <s v="Personal Health"/>
    <s v="OHC"/>
    <s v="PH"/>
    <s v="IL3"/>
    <n v="0.5"/>
    <x v="403"/>
    <s v="India"/>
    <s v="SYSTEUR"/>
    <s v="Contingent"/>
    <s v="Saurabh Khedkar"/>
    <s v="Bokelman"/>
  </r>
  <r>
    <s v="04MOSLCMMAJPROJ"/>
    <s v="Ponkshe, Mihir"/>
    <s v="LCM Major project in IGT-MOS"/>
    <s v="Raj"/>
    <s v=""/>
    <s v="N/A"/>
    <s v="AOS"/>
    <s v="SOURCING"/>
    <s v="Key components &amp; Electronics"/>
    <s v="IGT-MoS"/>
    <s v="IGT"/>
    <s v="IL3"/>
    <n v="1"/>
    <x v="404"/>
    <s v="India"/>
    <s v="SYSTEUR"/>
    <s v="Contingent"/>
    <s v="Mihir Ponkshe"/>
    <s v="Raj"/>
  </r>
  <r>
    <s v="CR209982"/>
    <s v="Saurabh Agrawal"/>
    <s v="Tsangpo Camera Puch Launch "/>
    <s v="Tim"/>
    <s v=""/>
    <s v="N/A"/>
    <s v="LCM"/>
    <s v="CONCEPT"/>
    <s v="Personal Health"/>
    <s v="OHC"/>
    <s v="PH"/>
    <s v="IL5"/>
    <n v="0.5"/>
    <x v="405"/>
    <s v="India"/>
    <s v="SYSTEUR"/>
    <s v="FTE"/>
    <s v="Kamal Singh"/>
    <s v="Tim"/>
  </r>
  <r>
    <s v="CR213934"/>
    <s v="Saurabh Agrawal"/>
    <s v="Tsangpo 3000 Mint Launch"/>
    <s v="Tim"/>
    <s v=""/>
    <s v="N/A"/>
    <s v="LCM"/>
    <s v="CONCEPT"/>
    <s v="Personal Health"/>
    <s v="OHC"/>
    <s v="PH"/>
    <s v="IL5"/>
    <n v="0.5"/>
    <x v="405"/>
    <s v="India"/>
    <s v="SYSTEUR"/>
    <s v="FTE"/>
    <s v="Kamal Singh"/>
    <s v="Tim"/>
  </r>
  <r>
    <s v="39641"/>
    <s v="Saurabh Agrawal"/>
    <s v="Marvel: Cairo Connected E-Components Optimization"/>
    <s v="Tim"/>
    <s v=""/>
    <s v="PROCUREMENT"/>
    <s v="PRODUCTIVITY"/>
    <s v="SOURCING"/>
    <s v="Personal Health"/>
    <s v="OHC"/>
    <s v="PH"/>
    <s v="IL3"/>
    <n v="1"/>
    <x v="406"/>
    <s v="India"/>
    <s v="SYSTEUR"/>
    <s v="FTE"/>
    <s v="Saurabh Agrawal"/>
    <s v="Tim"/>
  </r>
  <r>
    <s v="OHC_Training-1"/>
    <s v="NA"/>
    <s v="Trainings"/>
    <s v="All"/>
    <s v=""/>
    <s v="Trainings"/>
    <s v="Trainings"/>
    <s v="Trainings"/>
    <s v="Trainings"/>
    <s v="OHC"/>
    <s v="PH"/>
    <s v="IL0"/>
    <n v="0.1"/>
    <x v="407"/>
    <s v="India"/>
    <s v="SYSTEUR"/>
    <s v="FTE"/>
    <s v="Saurabh khedkar"/>
    <s v="Tim"/>
  </r>
  <r>
    <s v="CR199557"/>
    <s v="Saurabh Agrawal"/>
    <s v="Ontario RFiD Ring assembly line utilization improvement"/>
    <s v="Tim"/>
    <s v=""/>
    <s v="N/A"/>
    <s v="LCM"/>
    <s v="CONCEPT"/>
    <s v="Personal Health"/>
    <s v="OHC"/>
    <s v="PH"/>
    <s v="IL3"/>
    <n v="0.1"/>
    <x v="407"/>
    <s v="India"/>
    <s v="SYSTEUR"/>
    <s v="FTE"/>
    <s v="Saurabh khedkar"/>
    <s v="Tim"/>
  </r>
  <r>
    <s v="CR237272"/>
    <s v="Saurabh Agrawal"/>
    <s v="Spiti PDLM"/>
    <s v="Tim"/>
    <s v=""/>
    <s v="N/A"/>
    <s v="LCM"/>
    <s v="CONCEPT"/>
    <s v="Mechanical Parts &amp; Assemblies"/>
    <s v="OHC"/>
    <s v="PH"/>
    <s v="IL3"/>
    <n v="0.8"/>
    <x v="407"/>
    <s v="India"/>
    <s v="SYSTEUR"/>
    <s v="FTE"/>
    <s v="Saurabh khedkar"/>
    <s v="Tim"/>
  </r>
  <r>
    <s v="HPM_Labelling_09122205"/>
    <s v="Jidhish Sidharthan_x000a_"/>
    <s v="HPM Labelling support "/>
    <s v="Nishant"/>
    <s v=""/>
    <s v="N/A"/>
    <s v="LCM"/>
    <s v="SOURCING"/>
    <s v="All"/>
    <s v="HPM"/>
    <s v="CC"/>
    <s v="IL3"/>
    <n v="1"/>
    <x v="408"/>
    <s v="India"/>
    <s v="SYSTEUR"/>
    <s v="FTE"/>
    <s v="Manoj Verma"/>
    <s v="Nishant"/>
  </r>
  <r>
    <s v="PDTEAM514"/>
    <s v="Avinash Gosavi "/>
    <s v="STET MR C&amp;C Project Support Electrical "/>
    <s v="Phil"/>
    <s v=""/>
    <s v="N/A"/>
    <s v="LCM"/>
    <s v="CONCEPT"/>
    <s v="Mechanical Parts &amp; Assemblies"/>
    <s v="MR"/>
    <s v="PD"/>
    <s v="IL2"/>
    <n v="0.8"/>
    <x v="409"/>
    <s v="India"/>
    <s v="SYSTEUR"/>
    <s v="Contingent"/>
    <s v="Amruta Kulkarni"/>
    <s v="Phil"/>
  </r>
  <r>
    <s v="PDTEAM608"/>
    <s v="Damodar Sarnobat"/>
    <s v="MR_Nexan Cable Obsolescence-STET"/>
    <s v="Phil"/>
    <s v=""/>
    <s v="N/A"/>
    <s v="LCM"/>
    <s v="TCO"/>
    <s v="Key components &amp; Electronics"/>
    <s v="MR"/>
    <s v="PD"/>
    <s v="IL2"/>
    <n v="0.2"/>
    <x v="409"/>
    <s v="India"/>
    <s v="SYSTEUR"/>
    <s v="Contingent"/>
    <s v="Amruta Kulkarni"/>
    <s v="Phil"/>
  </r>
  <r>
    <s v="HPM_Sustaining_MRPC_09122205"/>
    <s v="Jidhish Sidharthan_x000a_"/>
    <s v="HPM Sustaining Projects support - MRPC"/>
    <s v="Nishant"/>
    <s v=""/>
    <s v="N/A"/>
    <s v="LCM"/>
    <s v="SOURCING"/>
    <s v="All"/>
    <s v="HPM"/>
    <s v="CC"/>
    <s v="IL3"/>
    <n v="0.5"/>
    <x v="410"/>
    <s v="India"/>
    <s v="SYSTEUR"/>
    <s v="FTE"/>
    <s v="Manoj Verma"/>
    <s v="Nishant"/>
  </r>
  <r>
    <s v="HPM_Sustaining_Monitoring_09122205"/>
    <s v="Jidhish Sidharthan_x000a_"/>
    <s v="HPM Sustaining Projects support - Monitoring"/>
    <s v="Nishant"/>
    <s v=""/>
    <s v="N/A"/>
    <s v="LCM"/>
    <s v="SOURCING"/>
    <s v="All"/>
    <s v="HPM"/>
    <s v="CC"/>
    <s v="IL3"/>
    <n v="0.5"/>
    <x v="410"/>
    <s v="India"/>
    <s v="SYSTEUR"/>
    <s v="FTE"/>
    <s v="Manoj Verma"/>
    <s v="Nishant"/>
  </r>
  <r>
    <s v="IGT-D_Training-1"/>
    <s v="NA"/>
    <s v="Trainings"/>
    <s v="All"/>
    <s v=""/>
    <s v="Trainings"/>
    <s v="Trainings"/>
    <s v="Trainings"/>
    <s v="Trainings"/>
    <s v="IGT-D"/>
    <s v="IGT"/>
    <s v="IL0"/>
    <n v="1"/>
    <x v="411"/>
    <s v="India"/>
    <s v="SYSTEUR"/>
    <s v="FTE"/>
    <s v="Manish Sharma"/>
    <s v="Raj"/>
  </r>
  <r>
    <s v="42362"/>
    <s v="Sushruth Rudrachary"/>
    <s v="GEMBA Teckwah 25 - White to brown test liner Kratos/Hermes"/>
    <s v="Tim"/>
    <s v=""/>
    <s v="PROCUREMENT"/>
    <s v="PRODUCTIVITY"/>
    <s v="SOURCING"/>
    <s v="Mechanical Parts &amp; Assemblies"/>
    <s v="GB"/>
    <s v="PH"/>
    <s v="IL3"/>
    <n v="0.2"/>
    <x v="412"/>
    <s v="India"/>
    <s v="SYSTEUR"/>
    <s v="FTE"/>
    <s v="Sushruth Rudrachary"/>
    <s v="Tim"/>
  </r>
  <r>
    <s v="M-25110"/>
    <s v="Sushruth Rudrachary"/>
    <s v="Transfer of Shaver Parts 2nd process from Topxin to Topview"/>
    <s v="Tim"/>
    <s v=""/>
    <s v="N/A"/>
    <s v="LCM"/>
    <s v="SOURCING"/>
    <s v="Mechanical Parts &amp; Assemblies"/>
    <s v="GB"/>
    <s v="PH"/>
    <s v="IL3"/>
    <n v="0.2"/>
    <x v="412"/>
    <s v="India"/>
    <s v="SYSTEUR"/>
    <s v="FTE"/>
    <s v="Sushruth Rudrachary"/>
    <s v="Tim"/>
  </r>
  <r>
    <s v="M-25071"/>
    <s v="Sushruth Rudrachary"/>
    <s v="PQ888 US phase out"/>
    <s v="Tim"/>
    <s v=""/>
    <s v="N/A"/>
    <s v="LCM"/>
    <s v="SOURCING"/>
    <s v="Mechanical Parts &amp; Assemblies"/>
    <s v="GB"/>
    <s v="PH"/>
    <s v="IL3"/>
    <n v="0.2"/>
    <x v="412"/>
    <s v="India"/>
    <s v="SYSTEUR"/>
    <s v="FTE"/>
    <s v="Sushruth Rudrachary"/>
    <s v="Tim"/>
  </r>
  <r>
    <s v="M-25103"/>
    <s v="Sushruth Rudrachary"/>
    <s v="Launch S591/05 to WE"/>
    <s v="Tim"/>
    <s v=""/>
    <s v="IGM"/>
    <s v="Commercial Innovation"/>
    <s v="Commercial Innovation"/>
    <s v="Personal Health"/>
    <s v="GB"/>
    <s v="PH"/>
    <s v="IL5"/>
    <n v="0.2"/>
    <x v="412"/>
    <s v="India"/>
    <s v="SYSTEUR"/>
    <s v="FTE"/>
    <s v="Sushruth Rudrachary"/>
    <s v="Tim"/>
  </r>
  <r>
    <s v="M-25097"/>
    <s v="Sushruth Rudrachary"/>
    <s v="Launch OTG ME to Japan S591/05 JP, S592/05 JP, S595/05 JP"/>
    <s v="Tim"/>
    <s v=""/>
    <s v="IGM"/>
    <s v="Commercial Innovation"/>
    <s v="Commercial Innovation"/>
    <s v="Personal Health"/>
    <s v="GB"/>
    <s v="PH"/>
    <s v="IL3"/>
    <n v="0.2"/>
    <x v="412"/>
    <s v="India"/>
    <s v="SYSTEUR"/>
    <s v="FTE"/>
    <s v="Sushruth Rudrachary"/>
    <s v="Tim"/>
  </r>
  <r>
    <s v="IGTS_LCM"/>
    <s v="Saravanakumar Palani_x000a__x000a_"/>
    <s v="IGTS_LCM"/>
    <s v="Raj"/>
    <s v=""/>
    <s v="N/A"/>
    <s v="LCM"/>
    <s v="CONCEPT"/>
    <s v="Mechanical Parts &amp; Assemblies"/>
    <s v="IGT-S"/>
    <s v="IGT"/>
    <s v="IL2"/>
    <n v="1"/>
    <x v="413"/>
    <s v="India"/>
    <s v="SYSTEUR"/>
    <s v="Contingent"/>
    <s v="Vijayanand"/>
    <s v="Raj"/>
  </r>
  <r>
    <s v="41086"/>
    <s v="Vijayanand Purushothaman"/>
    <s v="Transfer Midwest parts to LCC"/>
    <s v="Phil"/>
    <s v=""/>
    <s v="PROCUREMENT"/>
    <s v="PRODUCTIVITY"/>
    <s v="SOURCING"/>
    <s v="Mechanical Parts &amp; Assemblies"/>
    <s v="MR"/>
    <s v="PD"/>
    <s v="IL3"/>
    <n v="0.2"/>
    <x v="414"/>
    <s v="India"/>
    <s v="SYSTEUR"/>
    <s v="FTE"/>
    <s v="Anil C S"/>
    <s v="Tim"/>
  </r>
  <r>
    <s v="PDTEAM434"/>
    <s v="MVD Srinivas"/>
    <s v="STET DXR-LUNA Transfer Project"/>
    <s v="Phil"/>
    <s v=""/>
    <s v="N/A"/>
    <s v="LCM"/>
    <s v="SOURCING"/>
    <s v="Mechanical Parts &amp; Assemblies"/>
    <s v="DXR"/>
    <s v="PD"/>
    <s v="IL2"/>
    <n v="0.2"/>
    <x v="414"/>
    <s v="India"/>
    <s v="SYSTEUR"/>
    <s v="FTE"/>
    <s v="Anil C S"/>
    <s v="Tim"/>
  </r>
  <r>
    <s v="29839"/>
    <s v="Saurabh Agrawal"/>
    <s v="Dual Source Tube Bending -- Boom and Mast Assembly OHC"/>
    <s v="Tim"/>
    <s v=""/>
    <s v="PROCUREMENT"/>
    <s v="AOS"/>
    <s v="SOURCING"/>
    <s v="Mechanical Parts &amp; Assemblies"/>
    <s v="OHC"/>
    <s v="PH"/>
    <s v="IL3"/>
    <n v="0.25"/>
    <x v="414"/>
    <s v="India"/>
    <s v="SYSTEUR"/>
    <s v="FTE"/>
    <s v="Anil C S"/>
    <s v="Tim"/>
  </r>
  <r>
    <s v="28347"/>
    <s v="Saurabh Agrawal"/>
    <s v="Dual Sourcing – Unip Syringes"/>
    <s v="Tim"/>
    <s v=""/>
    <s v="N/A"/>
    <s v="AOS"/>
    <s v="SOURCING"/>
    <s v="Mechanical Parts &amp; Assemblies"/>
    <s v="OHC"/>
    <s v="PH"/>
    <s v="IL3"/>
    <n v="0.25"/>
    <x v="414"/>
    <s v="India"/>
    <s v="SYSTEUR"/>
    <s v="FTE"/>
    <s v="Anil C S"/>
    <s v="Tim"/>
  </r>
  <r>
    <s v="CR207092"/>
    <s v="Girish Kulkarni"/>
    <s v="Raychem Manufacturing and Assembly location change "/>
    <s v="Raj"/>
    <s v=""/>
    <s v="N/A"/>
    <s v="LCM"/>
    <s v="CONQ"/>
    <s v="Mechanical Parts &amp; Assemblies"/>
    <s v="IGT-MoS"/>
    <s v="IGT"/>
    <s v="IL3"/>
    <n v="0.1"/>
    <x v="414"/>
    <s v="India"/>
    <s v="SYSTEUR"/>
    <s v="FTE"/>
    <s v="Anil C S"/>
    <s v="Tim"/>
  </r>
  <r>
    <s v="MCC_Long Leave"/>
    <s v="NA"/>
    <s v="Long Medical Leaves/Maternity leave/Sabbatical"/>
    <s v="All"/>
    <s v=""/>
    <s v="Long Leave"/>
    <s v="Long Leave"/>
    <s v="Long Leave"/>
    <s v="Long Leave"/>
    <s v="MCC"/>
    <s v="PH"/>
    <s v="IL0"/>
    <n v="1"/>
    <x v="415"/>
    <s v="India"/>
    <s v="SYSTEUR"/>
    <s v="FTE"/>
    <s v="Tim Bokelman"/>
    <s v="Tim"/>
  </r>
  <r>
    <s v="PDTEAM527"/>
    <s v="Gourav Parab"/>
    <s v="STET IC - RSL"/>
    <s v="Phil"/>
    <s v=""/>
    <s v="N/A"/>
    <s v="LCM"/>
    <s v="SOURCING"/>
    <s v="Key components &amp; Electronics"/>
    <s v="IC"/>
    <s v="PD"/>
    <s v="IL2"/>
    <n v="0.2"/>
    <x v="416"/>
    <s v="India"/>
    <s v="SYSTEUR"/>
    <s v="FTE"/>
    <s v="Gourav Krishna Parab"/>
    <s v="Phil"/>
  </r>
  <r>
    <s v="PDTEAM543"/>
    <s v="Gourav Parab"/>
    <s v="STET IC - Shakti"/>
    <s v="Phil"/>
    <s v=""/>
    <s v="N/A"/>
    <s v="LCM"/>
    <s v="SOURCING"/>
    <s v="Key components &amp; Electronics"/>
    <s v="IC"/>
    <s v="PD"/>
    <s v="IL2"/>
    <n v="0.3"/>
    <x v="416"/>
    <s v="India"/>
    <s v="SYSTEUR"/>
    <s v="FTE"/>
    <s v="Gourav Krishna Parab"/>
    <s v="Phil"/>
  </r>
  <r>
    <s v="PDTEAM535"/>
    <s v="Gourav Parab"/>
    <s v="Hamburg LCM"/>
    <s v="Phil"/>
    <s v=""/>
    <s v="N/A"/>
    <s v="LCM"/>
    <s v="SOURCING"/>
    <s v="Key components &amp; Electronics"/>
    <s v="IC"/>
    <s v="PD"/>
    <s v="IL2"/>
    <n v="0.5"/>
    <x v="416"/>
    <s v="India"/>
    <s v="SYSTEUR"/>
    <s v="FTE"/>
    <s v="Gourav Krishna Parab"/>
    <s v="Phil"/>
  </r>
  <r>
    <s v="PDTEAM421"/>
    <s v="Srinivas, M.V.D "/>
    <s v="STET DXR HW LCM CQ - Mechanical"/>
    <s v="Phil"/>
    <s v=""/>
    <s v="N/A"/>
    <s v="LCM"/>
    <s v="SOURCING"/>
    <s v="Mechanical Parts &amp; Assemblies"/>
    <s v="DXR"/>
    <s v="PD"/>
    <s v="IL2"/>
    <n v="0.5"/>
    <x v="417"/>
    <s v="India"/>
    <s v="SYSTEUR"/>
    <s v="FTE"/>
    <s v="Karthik Ramamurthy"/>
    <s v="Phil"/>
  </r>
  <r>
    <s v="27157"/>
    <s v="Anil CS"/>
    <s v="STET:Project Vayu - Cluster 2 (VM) + Cables @ Bizlink"/>
    <s v="Phil"/>
    <s v=""/>
    <s v="PROCUREMENT"/>
    <s v="PRODUCTIVITY"/>
    <s v="CONCEPT"/>
    <s v="Mechanical Parts &amp; Assemblies"/>
    <s v="DXR"/>
    <s v="PD"/>
    <s v="IL2"/>
    <n v="0.2"/>
    <x v="417"/>
    <s v="India"/>
    <s v="SYSTEUR"/>
    <s v="FTE"/>
    <s v="Karthik Ramamurthy"/>
    <s v="Phil"/>
  </r>
  <r>
    <s v="39589"/>
    <s v="Saravanakumar Palani"/>
    <s v="Productivity week 162024: One packaging CSM from Ondal to the factory to the customer. It saves inbo..."/>
    <s v="Phil"/>
    <s v=""/>
    <s v="PROCUREMENT"/>
    <s v="PRODUCTIVITY"/>
    <s v="CONCEPT"/>
    <s v="Mechanical Parts &amp; Assemblies"/>
    <s v="DXR"/>
    <s v="PD"/>
    <s v="IL3"/>
    <n v="0.1"/>
    <x v="417"/>
    <s v="India"/>
    <s v="SYSTEUR"/>
    <s v="FTE"/>
    <s v="Karthik Ramamurthy"/>
    <s v="Phil"/>
  </r>
  <r>
    <s v="27192"/>
    <s v="Vijayanand Purushothaman"/>
    <s v="STET:Project Vayu - Cluster 2 (TH-S Table)"/>
    <s v="Phil"/>
    <s v=""/>
    <s v="N/A"/>
    <s v="LCM"/>
    <s v="CONCEPT"/>
    <s v="Mechanical Parts &amp; Assemblies"/>
    <s v="DXR"/>
    <s v="PD"/>
    <s v="IL3"/>
    <n v="0.2"/>
    <x v="417"/>
    <s v="India"/>
    <s v="SYSTEUR"/>
    <s v="FTE"/>
    <s v="Karthik Ramamurthy"/>
    <s v="Phil"/>
  </r>
  <r>
    <s v="33972"/>
    <s v="Vijayanand Purushothaman"/>
    <s v="Plastic machining phase 3"/>
    <s v="Phil"/>
    <s v=""/>
    <s v="PROCUREMENT"/>
    <s v="PRODUCTIVITY"/>
    <s v="SOURCING"/>
    <s v="Mechanical Parts &amp; Assemblies"/>
    <s v="MR"/>
    <s v="PD"/>
    <s v="IL5"/>
    <n v="0.1"/>
    <x v="418"/>
    <s v="India"/>
    <s v="SYSTEUR"/>
    <s v="FTE"/>
    <s v="Anil C S"/>
    <s v="Tim"/>
  </r>
  <r>
    <s v="41086"/>
    <s v="Vijayanand Purushothaman"/>
    <s v="Transfer Midwest parts to LCC"/>
    <s v="Phil"/>
    <s v=""/>
    <s v="PROCUREMENT"/>
    <s v="PRODUCTIVITY"/>
    <s v="SOURCING"/>
    <s v="Mechanical Parts &amp; Assemblies"/>
    <s v="MR"/>
    <s v="PD"/>
    <s v="IL3"/>
    <n v="0.3"/>
    <x v="418"/>
    <s v="India"/>
    <s v="SYSTEUR"/>
    <s v="FTE"/>
    <s v="Anil C S"/>
    <s v="Tim"/>
  </r>
  <r>
    <s v="32257"/>
    <s v="Vijayanand Purushothaman"/>
    <s v="NYX Albany parts transfer"/>
    <s v="Phil"/>
    <s v=""/>
    <s v="PROCUREMENT"/>
    <s v="PRODUCTIVITY"/>
    <s v="SOURCING"/>
    <s v="Mechanical Parts &amp; Assemblies"/>
    <s v="MR"/>
    <s v="PD"/>
    <s v="IL3"/>
    <n v="0.4"/>
    <x v="418"/>
    <s v="India"/>
    <s v="SYSTEUR"/>
    <s v="FTE"/>
    <s v="Anil C S"/>
    <s v="Tim"/>
  </r>
  <r>
    <s v="42014"/>
    <s v="Rashmi Khawale"/>
    <s v="Emerald-De-risking SC- NYX Albany 5 Parts localisation to LLS"/>
    <s v="Phil"/>
    <s v=""/>
    <s v="PROCUREMENT"/>
    <s v="PRODUCTIVITY"/>
    <s v="SOURCING"/>
    <s v="Mechanical Parts &amp; Assemblies"/>
    <s v="MR"/>
    <s v="PD"/>
    <s v="IL2"/>
    <n v="0.2"/>
    <x v="418"/>
    <s v="India"/>
    <s v="SYSTEUR"/>
    <s v="FTE"/>
    <s v="Anil C S"/>
    <s v="Tim"/>
  </r>
  <r>
    <s v="IGT-S_L&amp;A"/>
    <s v="N/A"/>
    <s v="MISC. ENTRY TO BALANCE WITH RESOURCE DATABASE"/>
    <s v="All"/>
    <s v=""/>
    <s v="N/A"/>
    <s v="L&amp;A"/>
    <s v="L&amp;A"/>
    <s v="L&amp;A"/>
    <s v="IGT-S"/>
    <s v="IGT"/>
    <s v="IL0"/>
    <n v="1"/>
    <x v="419"/>
    <s v="Netherlands"/>
    <s v="SYSTEUR"/>
    <s v="FTE"/>
    <s v="Chinnaraja Pon S"/>
    <s v="Raj"/>
  </r>
  <r>
    <s v="CS-2024-019"/>
    <s v="Saravanakumar Palani_x000a_"/>
    <s v="PC Diagnostics tool 2.3.0"/>
    <s v="Raj"/>
    <s v=""/>
    <s v="PROCUREMENT"/>
    <s v="PRODUCTIVITY"/>
    <s v="SOURCING"/>
    <s v="Mechanical Parts &amp; Assemblies"/>
    <s v="IGT-S"/>
    <s v="IGT"/>
    <s v="IL0"/>
    <n v="0.25"/>
    <x v="420"/>
    <s v="India"/>
    <s v="SYSTEUR"/>
    <s v="Contingent"/>
    <s v="Dipti Ghatge"/>
    <s v="Nishant"/>
  </r>
  <r>
    <s v="CS-2025-045"/>
    <s v="Vivek Sonagra"/>
    <s v="TSM repl. cost reduction per redesign with lower replacement rate and lower newbuy price"/>
    <s v="Raj"/>
    <s v=""/>
    <s v="PROCUREMENT"/>
    <s v="PRODUCTIVITY"/>
    <s v="SOURCING"/>
    <s v="Mechanical Parts &amp; Assemblies"/>
    <s v="IGT-S"/>
    <s v="IGT"/>
    <s v="IL0"/>
    <n v="0.25"/>
    <x v="420"/>
    <s v="India"/>
    <s v="SYSTEUR"/>
    <s v="Contingent"/>
    <s v="Dipti Ghatge"/>
    <s v="Nishant"/>
  </r>
  <r>
    <s v="CS-2025-102"/>
    <s v="Vivek Sonagra"/>
    <s v="Removal of aluminum plate panhandle Roosen"/>
    <s v="Raj"/>
    <s v=""/>
    <s v="PROCUREMENT"/>
    <s v="PRODUCTIVITY"/>
    <s v="SOURCING"/>
    <s v="Mechanical Parts &amp; Assemblies"/>
    <s v="IGT-S"/>
    <s v="IGT"/>
    <s v="IL0"/>
    <n v="0.25"/>
    <x v="420"/>
    <s v="India"/>
    <s v="SYSTEUR"/>
    <s v="Contingent"/>
    <s v="Dipti Ghatge"/>
    <s v="Nishant"/>
  </r>
  <r>
    <s v="CS-2026-039"/>
    <s v="Vivek Sonagra"/>
    <s v="FCO FGC, Disk bay, DIMM  2026/27"/>
    <s v="Raj"/>
    <s v=""/>
    <s v="PROCUREMENT"/>
    <s v="PRODUCTIVITY"/>
    <s v="SOURCING"/>
    <s v="Mechanical Parts &amp; Assemblies"/>
    <s v="IGT-S"/>
    <s v="IGT"/>
    <s v="IL0"/>
    <n v="0.25"/>
    <x v="420"/>
    <s v="India"/>
    <s v="SYSTEUR"/>
    <s v="Contingent"/>
    <s v="Dipti Ghatge"/>
    <s v="Nishant"/>
  </r>
  <r>
    <s v="DFU2025"/>
    <s v="Saurabh Agrawal"/>
    <s v="DFU  Content Creation"/>
    <s v="Tim"/>
    <s v=""/>
    <s v="N/A"/>
    <s v="LCM"/>
    <s v="CONCEPT"/>
    <s v="Personal Health"/>
    <s v="OHC"/>
    <s v="PH"/>
    <s v="IL2"/>
    <n v="1"/>
    <x v="421"/>
    <s v="India"/>
    <s v="SYSTEUR"/>
    <s v="Contingent"/>
    <s v="Kamal Singh"/>
    <s v="Bokelman"/>
  </r>
  <r>
    <s v="IGT-D_Funnel Activities"/>
    <s v="NA"/>
    <s v="Funnel/Business case/Technical feasibility"/>
    <s v="All"/>
    <s v=""/>
    <s v="Funnel Activities"/>
    <s v="Funnel Activities"/>
    <s v="Funnel Activities"/>
    <s v="Funnel Activities"/>
    <s v="IGT-D"/>
    <s v="IGT"/>
    <s v="IL0"/>
    <n v="0.45"/>
    <x v="422"/>
    <s v="India"/>
    <s v="SYSTEUR"/>
    <s v="FTE"/>
    <s v="Steven Mroch"/>
    <s v="Nishant"/>
  </r>
  <r>
    <s v="23170"/>
    <s v="Matt Morse"/>
    <s v="PV.035 RO Coil Material Change"/>
    <s v="Nishant"/>
    <s v=""/>
    <s v="PROCUREMENT"/>
    <s v="PRODUCTIVITY"/>
    <s v="CONCEPT"/>
    <s v="Mechanical Parts &amp; Assemblies"/>
    <s v="IGT-D"/>
    <s v="IGT"/>
    <s v="IL3"/>
    <n v="0.4"/>
    <x v="422"/>
    <s v="India"/>
    <s v="SYSTEUR"/>
    <s v="FTE"/>
    <s v="Steven Mroch"/>
    <s v="Nishant"/>
  </r>
  <r>
    <s v="PDTEAM601"/>
    <s v="Damodar Sarnobat"/>
    <s v="MR Coils Resin Harmonization "/>
    <s v="Phil"/>
    <s v=""/>
    <s v="N/A"/>
    <s v="LCM"/>
    <s v="TCO"/>
    <s v="Mechanical Parts &amp; Assemblies"/>
    <s v="MR"/>
    <s v="PD"/>
    <s v="IL2"/>
    <n v="0.2"/>
    <x v="422"/>
    <s v="India"/>
    <s v="SYSTEUR"/>
    <s v="FTE"/>
    <s v="Steven Mroch"/>
    <s v="Nishant"/>
  </r>
  <r>
    <s v="39146"/>
    <s v="Steven Mroch"/>
    <s v="Alternate source for Optichamber Diamond"/>
    <s v="Nishant"/>
    <s v=""/>
    <s v="PROCUREMENT"/>
    <s v="PRODUCTIVITY"/>
    <s v="SOURCING"/>
    <s v="Mechanical Parts &amp; Assemblies"/>
    <s v="SRC"/>
    <s v="CC"/>
    <s v="IL3"/>
    <n v="0.05"/>
    <x v="422"/>
    <s v="India"/>
    <s v="SYSTEUR"/>
    <s v="FTE"/>
    <s v="Steven Mroch"/>
    <s v="Nishant"/>
  </r>
  <r>
    <s v="Infinity"/>
    <s v="Sushruth Rudrachary"/>
    <s v="Project Infinity"/>
    <s v="Tim"/>
    <s v=""/>
    <s v="N/A"/>
    <s v="NPI"/>
    <s v="CONCEPT"/>
    <s v="Personal Health"/>
    <s v="GB"/>
    <s v="PH"/>
    <s v="IL2"/>
    <n v="1"/>
    <x v="423"/>
    <s v="India"/>
    <s v="SYSTEUR"/>
    <s v="Contingent"/>
    <s v="Adarsh Shrivastava"/>
    <s v="Bokelman"/>
  </r>
  <r>
    <s v="PDTEAM411"/>
    <s v="Gourav Parab"/>
    <s v="STET Lab management"/>
    <s v="Phil"/>
    <s v=""/>
    <s v="N/A"/>
    <s v="LCM"/>
    <s v="SOURCING"/>
    <s v="Key components &amp; Electronics"/>
    <s v="MR"/>
    <s v="PD"/>
    <s v="IL2"/>
    <n v="1"/>
    <x v="424"/>
    <s v="India"/>
    <s v="SYSTEUR"/>
    <s v="FTE"/>
    <s v="Gourav Krishna Parab"/>
    <s v="Phil"/>
  </r>
  <r>
    <s v="PJ-028049"/>
    <s v="Sushruth Rudrachary"/>
    <s v="IPL MLD/LCM - High End Technical"/>
    <s v="Tim"/>
    <s v=""/>
    <s v="N/A"/>
    <s v="LCM"/>
    <s v="CONCEPT"/>
    <s v="Personal Health"/>
    <s v="GB"/>
    <s v="PH"/>
    <s v="IL2"/>
    <n v="1"/>
    <x v="425"/>
    <s v="India"/>
    <s v="SYSTEUR"/>
    <s v="FTE"/>
    <s v="Bhushan Barve"/>
    <s v="Phil"/>
  </r>
  <r>
    <s v="41086"/>
    <s v="Vijayanand Purushothaman"/>
    <s v="Transfer Midwest parts to LCC"/>
    <s v="Phil"/>
    <s v=""/>
    <s v="PROCUREMENT"/>
    <s v="PRODUCTIVITY"/>
    <s v="SOURCING"/>
    <s v="Mechanical Parts &amp; Assemblies"/>
    <s v="MR"/>
    <s v="PD"/>
    <s v="IL3"/>
    <n v="0.2"/>
    <x v="426"/>
    <s v="India"/>
    <s v="SYSTEUR"/>
    <s v="FTE"/>
    <s v="Avinash Gosavi"/>
    <s v="Phil"/>
  </r>
  <r>
    <s v="35567"/>
    <s v="Vijay Purushothaman"/>
    <s v="Labels phase 2 (Total) transfer"/>
    <s v="Phil"/>
    <s v=""/>
    <s v="PROCUREMENT"/>
    <s v="PRODUCTIVITY"/>
    <s v="SOURCING"/>
    <s v="Mechanical Parts &amp; Assemblies"/>
    <s v="MR"/>
    <s v="PD"/>
    <s v="IL3"/>
    <n v="0.1"/>
    <x v="426"/>
    <s v="India"/>
    <s v="SYSTEUR"/>
    <s v="FTE"/>
    <s v="Avinash Gosavi"/>
    <s v="Phil"/>
  </r>
  <r>
    <s v="PDTEAM621"/>
    <s v="Damodar Sarnobat"/>
    <s v="STET MR COILS SICR EOL/ MATERIAL CHANGE "/>
    <s v="Phil"/>
    <s v=""/>
    <s v="N/A"/>
    <s v="LCM"/>
    <s v="TCO"/>
    <s v="Key components &amp; Electronics"/>
    <s v="MR"/>
    <s v="PD"/>
    <s v="IL2"/>
    <n v="0.3"/>
    <x v="426"/>
    <s v="India"/>
    <s v="SYSTEUR"/>
    <s v="FTE"/>
    <s v="Avinash Gosavi"/>
    <s v="Phil"/>
  </r>
  <r>
    <s v="42014"/>
    <s v="Rashmi Khawale"/>
    <s v="Emerald-De-risking SC- NYX Albany 5 Parts localisation to LLS"/>
    <s v="Phil"/>
    <s v=""/>
    <s v="PROCUREMENT"/>
    <s v="PRODUCTIVITY"/>
    <s v="SOURCING"/>
    <s v="Mechanical Parts &amp; Assemblies"/>
    <s v="MR"/>
    <s v="PD"/>
    <s v="IL2"/>
    <n v="0.1"/>
    <x v="426"/>
    <s v="India"/>
    <s v="SYSTEUR"/>
    <s v="FTE"/>
    <s v="Avinash Gosavi"/>
    <s v="Phil"/>
  </r>
  <r>
    <s v="PDTEAM622"/>
    <s v="Damodar Sarnobat"/>
    <s v="STET MR COILS SICR DESIGN/SPECIFICATION CHANGE "/>
    <s v="Phil"/>
    <s v=""/>
    <s v="N/A"/>
    <s v="LCM"/>
    <s v="TCO"/>
    <s v="Mechanical Parts &amp; Assemblies"/>
    <s v="MR"/>
    <s v="PD"/>
    <s v="IL2"/>
    <n v="0.3"/>
    <x v="426"/>
    <s v="India"/>
    <s v="SYSTEUR"/>
    <s v="FTE"/>
    <s v="Avinash Gosavi"/>
    <s v="Phil"/>
  </r>
  <r>
    <s v="OHC_L&amp;A"/>
    <s v="N/A"/>
    <s v="MISC. ENTRY TO BALANCE WITH RESOURCE DATABASE"/>
    <s v="All"/>
    <s v=""/>
    <s v="N/A"/>
    <s v="L&amp;A"/>
    <s v="L&amp;A"/>
    <s v="L&amp;A"/>
    <s v="OHC"/>
    <s v="PH"/>
    <s v="IL0"/>
    <n v="1"/>
    <x v="427"/>
    <s v="India"/>
    <s v="SYSTEUR"/>
    <s v="FTE"/>
    <s v="Tim Bokelman"/>
    <s v="Tim"/>
  </r>
  <r>
    <s v="OHC_RFS_Enrichment"/>
    <s v="Saurabh Agrawal"/>
    <s v="Pre CR work allotments"/>
    <s v="Tim"/>
    <s v=""/>
    <s v="N/A"/>
    <s v="LCM"/>
    <s v="CONCEPT"/>
    <s v="Personal Health"/>
    <s v="OHC"/>
    <s v="PH"/>
    <s v="IL3"/>
    <n v="0.2"/>
    <x v="428"/>
    <s v="India"/>
    <s v="SYSTEUR"/>
    <s v="FTE"/>
    <s v="Alec Benton"/>
    <s v="Tim"/>
  </r>
  <r>
    <s v="CR093221"/>
    <s v="Saurabh Agrawal"/>
    <s v="Yangzee -Pump Crack Issue RCA"/>
    <s v="Tim"/>
    <s v=""/>
    <s v="N/A"/>
    <s v="LCM"/>
    <s v="CONCEPT"/>
    <s v="Personal Health"/>
    <s v="OHC"/>
    <s v="PH"/>
    <s v="IL3"/>
    <n v="0.3"/>
    <x v="428"/>
    <s v="India"/>
    <s v="SYSTEUR"/>
    <s v="FTE"/>
    <s v="Alec Benton"/>
    <s v="Tim"/>
  </r>
  <r>
    <s v="OHC_Training-2"/>
    <s v="NA"/>
    <s v="Trainings"/>
    <s v="All"/>
    <s v=""/>
    <s v="Trainings"/>
    <s v="Trainings"/>
    <s v="Trainings"/>
    <s v="Trainings"/>
    <s v="OHC"/>
    <s v="PH"/>
    <s v="IL0"/>
    <n v="0.1"/>
    <x v="428"/>
    <s v="India"/>
    <s v="SYSTEUR"/>
    <s v="FTE"/>
    <s v="Alec Benton"/>
    <s v="Tim"/>
  </r>
  <r>
    <s v="CR237272"/>
    <s v="Saurabh Agrawal"/>
    <s v="Spiti PDLM"/>
    <s v="Tim"/>
    <s v=""/>
    <s v="N/A"/>
    <s v="LCM"/>
    <s v="CONCEPT"/>
    <s v="Mechanical Parts &amp; Assemblies"/>
    <s v="OHC"/>
    <s v="PH"/>
    <s v="IL3"/>
    <n v="0.4"/>
    <x v="428"/>
    <s v="India"/>
    <s v="SYSTEUR"/>
    <s v="FTE"/>
    <s v="Alec Benton"/>
    <s v="Tim"/>
  </r>
  <r>
    <s v="HPM_Labelling_09122205"/>
    <s v="Jidhish Sidharthan_x000a_"/>
    <s v="HPM Labelling support "/>
    <s v="Nishant"/>
    <s v=""/>
    <s v="N/A"/>
    <s v="LCM"/>
    <s v="SOURCING"/>
    <s v="All"/>
    <s v="HPM"/>
    <s v="CC"/>
    <s v="IL3"/>
    <n v="1"/>
    <x v="429"/>
    <s v="India"/>
    <s v="SYSTEUR"/>
    <s v="FTE"/>
    <s v="Manoj Verma"/>
    <s v="Nishant"/>
  </r>
  <r>
    <s v="PDTEAM535"/>
    <s v="Gourav Parab"/>
    <s v="Hamburg LCM"/>
    <s v="Phil"/>
    <s v=""/>
    <s v="N/A"/>
    <s v="LCM"/>
    <s v="SOURCING"/>
    <s v="Key components &amp; Electronics"/>
    <s v="IC"/>
    <s v="PD"/>
    <s v="IL2"/>
    <n v="0.3"/>
    <x v="430"/>
    <s v="India"/>
    <s v="SYSTEUR"/>
    <s v="FTE"/>
    <s v="Gourav Krishna Parab"/>
    <s v="Phil"/>
  </r>
  <r>
    <s v="PDTEAM543"/>
    <s v="Gourav Parab"/>
    <s v="STET IC - Shakti"/>
    <s v="Phil"/>
    <s v=""/>
    <s v="N/A"/>
    <s v="LCM"/>
    <s v="SOURCING"/>
    <s v="Key components &amp; Electronics"/>
    <s v="IC"/>
    <s v="PD"/>
    <s v="IL2"/>
    <n v="0.3"/>
    <x v="430"/>
    <s v="India"/>
    <s v="SYSTEUR"/>
    <s v="FTE"/>
    <s v="Gourav Krishna Parab"/>
    <s v="Phil"/>
  </r>
  <r>
    <s v="PDTEAM417"/>
    <s v="Srinivas, M.V.D "/>
    <s v="PCBA Health IC-Hamburg"/>
    <s v="Phil"/>
    <s v=""/>
    <s v="N/A"/>
    <s v="LCM"/>
    <s v="SOURCING"/>
    <s v="Key components &amp; Electronics"/>
    <s v="IC"/>
    <s v="PD"/>
    <s v="IL2"/>
    <n v="0.2"/>
    <x v="430"/>
    <s v="India"/>
    <s v="SYSTEUR"/>
    <s v="FTE"/>
    <s v="Gourav Krishna Parab"/>
    <s v="Phil"/>
  </r>
  <r>
    <s v="PDTEAM527"/>
    <s v="Gourav Parab"/>
    <s v="STET IC - RSL"/>
    <s v="Phil"/>
    <s v=""/>
    <s v="N/A"/>
    <s v="LCM"/>
    <s v="SOURCING"/>
    <s v="Key components &amp; Electronics"/>
    <s v="IC"/>
    <s v="PD"/>
    <s v="IL2"/>
    <n v="0.2"/>
    <x v="430"/>
    <s v="India"/>
    <s v="SYSTEUR"/>
    <s v="FTE"/>
    <s v="Gourav Krishna Parab"/>
    <s v="Phil"/>
  </r>
  <r>
    <s v="COMP_ENG5"/>
    <s v="Vijayanand Purushothaman"/>
    <s v="PCBA Component Life Cycle Analysis"/>
    <s v="Raj"/>
    <s v=""/>
    <s v="N/A"/>
    <s v="LCM"/>
    <s v="CONCEPT"/>
    <s v="Key components &amp; Electronics"/>
    <s v="US"/>
    <s v="PD"/>
    <s v="IL3"/>
    <n v="0.3"/>
    <x v="431"/>
    <s v="India"/>
    <s v="SYSTEUR"/>
    <s v="Contingent"/>
    <s v="Bhushan Barve"/>
    <s v="Phil"/>
  </r>
  <r>
    <s v="COMP_ENG3"/>
    <s v="Vijayanand Purushothaman"/>
    <s v="PCBA Component Life Cycle Analysis"/>
    <s v="Raj"/>
    <s v=""/>
    <s v="N/A"/>
    <s v="LCM"/>
    <s v="CONCEPT"/>
    <s v="Key components &amp; Electronics"/>
    <s v="IGT-S"/>
    <s v="IGT"/>
    <s v="IL3"/>
    <n v="0.7"/>
    <x v="431"/>
    <s v="India"/>
    <s v="SYSTEUR"/>
    <s v="Contingent"/>
    <s v="Bhushan Barve"/>
    <s v="Phil"/>
  </r>
  <r>
    <s v="34330"/>
    <s v="Adrianna Davis"/>
    <s v="Noah HLA machining parts to Laser cutting/(Scissor &amp; connecting block/seat)"/>
    <s v="Phil"/>
    <s v=""/>
    <s v="PROCUREMENT"/>
    <s v="PRODUCTIVITY"/>
    <s v="CONCEPT"/>
    <s v="Mechanical Parts &amp; Assemblies"/>
    <s v="CT/AMI"/>
    <s v="PD"/>
    <s v="IL3"/>
    <n v="0.2"/>
    <x v="432"/>
    <s v="China"/>
    <s v="SYSTEUR"/>
    <s v="FTE"/>
    <s v="Fred Cai"/>
    <s v="Phil"/>
  </r>
  <r>
    <s v="35092"/>
    <s v="Fred Cai "/>
    <s v="Bobsled-Hawk GPC sourcing transfer from GMI to LCC"/>
    <s v="Phil"/>
    <s v=""/>
    <s v="PROCUREMENT"/>
    <s v="PRODUCTIVITY"/>
    <s v="SOURCING"/>
    <s v="Medical ODM Markets"/>
    <s v="CT/AMI"/>
    <s v="PD"/>
    <s v="IL2"/>
    <n v="0.3"/>
    <x v="432"/>
    <s v="China"/>
    <s v="SYSTEUR"/>
    <s v="FTE"/>
    <s v="Fred Cai"/>
    <s v="Phil"/>
  </r>
  <r>
    <s v="34408"/>
    <s v="ShaSha Shi"/>
    <s v="BB/Hawk/Taichi H-Phantom transfer (CTI to Joho)"/>
    <s v="Phil"/>
    <s v=""/>
    <s v="PROCUREMENT"/>
    <s v="PRODUCTIVITY"/>
    <s v="SOURCING"/>
    <s v="Mechanical Parts &amp; Assemblies"/>
    <s v="CT/AMI"/>
    <s v="PD"/>
    <s v="IL3"/>
    <n v="0.2"/>
    <x v="432"/>
    <s v="China"/>
    <s v="SYSTEUR"/>
    <s v="FTE"/>
    <s v="Fred Cai"/>
    <s v="Phil"/>
  </r>
  <r>
    <s v="37934"/>
    <s v="Fred Cai "/>
    <s v="Hawk calibration phantom transfer from H.P to LCC"/>
    <s v="Phil"/>
    <s v=""/>
    <s v="PROCUREMENT"/>
    <s v="PRODUCTIVITY"/>
    <s v="SOURCING"/>
    <s v="Mechanical Parts &amp; Assemblies"/>
    <s v="CT/AMI"/>
    <s v="PD"/>
    <s v="IL2"/>
    <n v="0.3"/>
    <x v="432"/>
    <s v="China"/>
    <s v="SYSTEUR"/>
    <s v="FTE"/>
    <s v="Fred Cai"/>
    <s v="Phil"/>
  </r>
  <r>
    <s v="PDTEAM313"/>
    <s v="MR Kiran "/>
    <s v="Factory Best PV remediation"/>
    <s v="Phil"/>
    <s v=""/>
    <s v="N/A"/>
    <s v="LCM"/>
    <s v="TCO"/>
    <s v="Mechanical Parts &amp; Assemblies"/>
    <s v="MR"/>
    <s v="PD"/>
    <s v="IL2"/>
    <n v="1"/>
    <x v="433"/>
    <s v="India"/>
    <s v="SYSTEUR"/>
    <s v="Contingent"/>
    <s v="Kiran MR"/>
    <s v="Phil"/>
  </r>
  <r>
    <s v="PDTEAM549"/>
    <s v="Avinash Gosavi "/>
    <s v="STET MR LCE Therapy Electrical "/>
    <s v="Phil"/>
    <s v=""/>
    <s v="N/A"/>
    <s v="LCM"/>
    <s v="CONCEPT"/>
    <s v="Medical ODM Markets"/>
    <s v="MR"/>
    <s v="PD"/>
    <s v="IL2"/>
    <n v="0.5"/>
    <x v="434"/>
    <s v="India"/>
    <s v="SYSTEUR"/>
    <s v="FTE"/>
    <s v="Amruta Kulkarni"/>
    <s v="Phil"/>
  </r>
  <r>
    <s v="PDTEAM514"/>
    <s v="Avinash Gosavi "/>
    <s v="STET MR C&amp;C Project Support Electrical "/>
    <s v="Phil"/>
    <s v=""/>
    <s v="N/A"/>
    <s v="LCM"/>
    <s v="CONCEPT"/>
    <s v="Mechanical Parts &amp; Assemblies"/>
    <s v="MR"/>
    <s v="PD"/>
    <s v="IL2"/>
    <n v="0.5"/>
    <x v="434"/>
    <s v="India"/>
    <s v="SYSTEUR"/>
    <s v="FTE"/>
    <s v="Amruta Kulkarni"/>
    <s v="Phil"/>
  </r>
  <r>
    <s v="36860"/>
    <s v="Saurabh Agrawal"/>
    <s v="ONT RFID Ring - Move to Dynacast"/>
    <s v="Tim"/>
    <s v=""/>
    <s v="PROCUREMENT"/>
    <s v="PRODUCTIVITY"/>
    <s v="SOURCING"/>
    <s v="Mechanical Parts &amp; Assemblies"/>
    <s v="OHC"/>
    <s v="PH"/>
    <s v="IL5"/>
    <n v="0.2"/>
    <x v="435"/>
    <s v="India"/>
    <s v="SYSTEUR"/>
    <s v="FTE"/>
    <s v="Sanjeev Kumar"/>
    <s v="Tim"/>
  </r>
  <r>
    <s v="CR231539"/>
    <s v="Saurabh Agrawal_x000a_"/>
    <s v="CB Test Reports updates for WAA1001, WAA2001, and WAC1001 to Latest Standard Editions"/>
    <s v="Tim"/>
    <s v=""/>
    <s v="N/A"/>
    <s v="LCM"/>
    <s v="CONCEPT"/>
    <s v="Personal Health"/>
    <s v="OHC"/>
    <s v="PH"/>
    <s v="IL2"/>
    <n v="0.45"/>
    <x v="435"/>
    <s v="India"/>
    <s v="SYSTEUR"/>
    <s v="FTE"/>
    <s v="Sanjeev Kumar"/>
    <s v="Tim"/>
  </r>
  <r>
    <s v="CR093221"/>
    <s v="Saurabh Agrawal"/>
    <s v="Yangzee -Pump Crack Issue RCA"/>
    <s v="Tim"/>
    <s v=""/>
    <s v="N/A"/>
    <s v="LCM"/>
    <s v="CONCEPT"/>
    <s v="Personal Health"/>
    <s v="OHC"/>
    <s v="PH"/>
    <s v="IL3"/>
    <n v="0.3"/>
    <x v="435"/>
    <s v="India"/>
    <s v="SYSTEUR"/>
    <s v="FTE"/>
    <s v="Sanjeev Kumar"/>
    <s v="Tim"/>
  </r>
  <r>
    <s v="CR093221"/>
    <s v="Saurabh Agrawal"/>
    <s v="Yangzee -Pump Crack Issue RCA"/>
    <s v="Tim"/>
    <s v=""/>
    <s v="N/A"/>
    <s v="LCM"/>
    <s v="CONCEPT"/>
    <s v="Personal Health"/>
    <s v="OHC"/>
    <s v="PH"/>
    <s v="IL3"/>
    <n v="0.3"/>
    <x v="435"/>
    <s v="India"/>
    <s v="SYSTEUR"/>
    <s v="FTE"/>
    <s v="Sanjeev Kumar"/>
    <s v="Tim"/>
  </r>
  <r>
    <s v="35702"/>
    <s v="Pushkar Kulkarni"/>
    <s v="STET : Transfer of C-ARC Geometry from VDL to Raychem"/>
    <s v="Raj"/>
    <s v=""/>
    <s v="PROCUREMENT"/>
    <s v="PRODUCTIVITY"/>
    <s v="SOURCING"/>
    <s v="Mechanical Parts &amp; Assemblies"/>
    <s v="IGT-MoS"/>
    <s v="IGT"/>
    <s v="IL3"/>
    <n v="0.05"/>
    <x v="435"/>
    <s v="India"/>
    <s v="SYSTEUR"/>
    <s v="FTE"/>
    <s v="Sanjeev Kumar"/>
    <s v="Tim"/>
  </r>
  <r>
    <s v="CR231539"/>
    <s v="Saurabh Agrawal_x000a_"/>
    <s v="CB Test Reports updates for WAA1001, WAA2001, and WAC1001 to Latest Standard Editions"/>
    <s v="Tim"/>
    <s v=""/>
    <s v="N/A"/>
    <s v="LCM"/>
    <s v="CONCEPT"/>
    <s v="Personal Health"/>
    <s v="OHC"/>
    <s v="PH"/>
    <s v="IL2"/>
    <n v="0.45"/>
    <x v="435"/>
    <s v="India"/>
    <s v="SYSTEUR"/>
    <s v="FTE"/>
    <s v="Sanjeev Kumar"/>
    <s v="Tim"/>
  </r>
  <r>
    <s v="36860"/>
    <s v="Saurabh Agrawal"/>
    <s v="ONT RFID Ring - Move to Dynacast"/>
    <s v="Tim"/>
    <s v=""/>
    <s v="PROCUREMENT"/>
    <s v="PRODUCTIVITY"/>
    <s v="SOURCING"/>
    <s v="Mechanical Parts &amp; Assemblies"/>
    <s v="OHC"/>
    <s v="PH"/>
    <s v="IL5"/>
    <n v="0.2"/>
    <x v="435"/>
    <s v="India"/>
    <s v="SYSTEUR"/>
    <s v="FTE"/>
    <s v="Sanjeev Kumar"/>
    <s v="Tim"/>
  </r>
  <r>
    <s v="LCM_Ultrasound"/>
    <s v="Charles Moses"/>
    <s v="Ultrasound Sustaining Projects"/>
    <s v="Nishant"/>
    <s v=""/>
    <s v="N/A"/>
    <s v="LCM"/>
    <s v="SOURCING"/>
    <s v="Mechanical Parts &amp; Assemblies"/>
    <s v="US"/>
    <s v="PD"/>
    <s v="IL3"/>
    <n v="1"/>
    <x v="436"/>
    <s v="India"/>
    <s v="SYSTEUR"/>
    <s v="FTE"/>
    <s v="Anand Navalagi"/>
    <s v="Raj"/>
  </r>
  <r>
    <s v="DOCOMP"/>
    <s v="Saravanakumar Palani"/>
    <s v="3rd Party Compitibilities"/>
    <s v="Raj"/>
    <s v=""/>
    <s v="N/A"/>
    <s v="LCM"/>
    <s v="SOURCING"/>
    <s v="Mechanical Parts &amp; Assemblies"/>
    <s v="IGT-S"/>
    <s v="IGT"/>
    <s v="IL5"/>
    <n v="1"/>
    <x v="437"/>
    <s v="India"/>
    <s v="SYSTEUR"/>
    <s v="FTE"/>
    <s v="Anija M"/>
    <s v="Raj"/>
  </r>
  <r>
    <s v="PDTEAM313"/>
    <s v="MR Kiran "/>
    <s v="Factory Best PV remediation"/>
    <s v="Phil"/>
    <s v=""/>
    <s v="N/A"/>
    <s v="LCM"/>
    <s v="TCO"/>
    <s v="Mechanical Parts &amp; Assemblies"/>
    <s v="MR"/>
    <s v="PD"/>
    <s v="IL2"/>
    <n v="1"/>
    <x v="438"/>
    <s v="India"/>
    <s v="SYSTEUR"/>
    <s v="Contingent"/>
    <s v="Kiran MR"/>
    <s v="Phil"/>
  </r>
  <r>
    <s v="PLY23001SCN21015"/>
    <s v="Kyle  Undesser"/>
    <s v="PLY_23-001 (SCN 21-015)_Legal name change_CROSST"/>
    <s v="Nishant"/>
    <s v=""/>
    <s v="N/A"/>
    <s v="LCM"/>
    <s v="SOURCING"/>
    <s v="Mechanical Parts &amp; Assemblies"/>
    <s v="IGT-D"/>
    <s v="IGT"/>
    <s v="IL4"/>
    <n v="0.2"/>
    <x v="439"/>
    <s v="India"/>
    <s v="SYSTEUR"/>
    <s v="FTE"/>
    <s v="Lalit Subhash"/>
    <m/>
  </r>
  <r>
    <s v="SICR20250714004B"/>
    <s v="Steven Mroch"/>
    <s v="Fuji Seiko Co., LTD._100262065"/>
    <s v="Nishant"/>
    <s v=""/>
    <s v="PROCUREMENT"/>
    <s v="AOS"/>
    <s v="SOURCING"/>
    <s v="Mechanical Parts &amp; Assemblies"/>
    <s v="IGT-D"/>
    <s v="IGT"/>
    <s v="IL4"/>
    <n v="0.2"/>
    <x v="439"/>
    <s v="India"/>
    <s v="SYSTEUR"/>
    <s v="FTE"/>
    <s v="Lalit Subhash"/>
    <m/>
  </r>
  <r>
    <s v="SICR20240625002B"/>
    <s v="Steven Mroch"/>
    <s v="Legal name change AVNET, INC."/>
    <s v="Nishant"/>
    <s v=""/>
    <s v="PROCUREMENT"/>
    <s v="LCM"/>
    <s v="SOURCING"/>
    <s v="Mechanical Parts &amp; Assemblies"/>
    <s v="IGT-D"/>
    <s v="IGT"/>
    <s v="IL3"/>
    <n v="0.2"/>
    <x v="439"/>
    <s v="India"/>
    <s v="SYSTEUR"/>
    <s v="FTE"/>
    <s v="Lalit Subhash"/>
    <m/>
  </r>
  <r>
    <s v="SICR20230614001B"/>
    <s v="Kyle  Undesser"/>
    <s v="SICR20230614001B_Legal name change_Confluent Medic"/>
    <s v="Nishant"/>
    <s v=""/>
    <s v="N/A"/>
    <s v="LCM"/>
    <s v="SOURCING"/>
    <s v="Mechanical Parts &amp; Assemblies"/>
    <s v="IGT-D"/>
    <s v="IGT"/>
    <s v="IL3"/>
    <n v="0.2"/>
    <x v="439"/>
    <s v="India"/>
    <s v="SYSTEUR"/>
    <s v="FTE"/>
    <s v="Lalit Subhash"/>
    <m/>
  </r>
  <r>
    <s v="SICR20251013009B"/>
    <s v="Steven Mroch"/>
    <s v="POTTERS INDUSTRIES INC._402858065"/>
    <s v="Nishant"/>
    <s v=""/>
    <s v="PROCUREMENT"/>
    <s v="LCM"/>
    <s v="SOURCING"/>
    <s v="Mechanical Parts &amp; Assemblies"/>
    <s v="IGT-D"/>
    <s v="IGT"/>
    <s v="IL4"/>
    <n v="0.2"/>
    <x v="439"/>
    <s v="India"/>
    <s v="SYSTEUR"/>
    <s v="FTE"/>
    <s v="Lalit Subhash"/>
    <m/>
  </r>
  <r>
    <s v="PDTEAM405"/>
    <s v="Kiran MR"/>
    <s v="Factory Pune Process Validation Remediation"/>
    <s v="Phil"/>
    <s v=""/>
    <s v="N/A"/>
    <s v="LCM"/>
    <s v="SOURCING"/>
    <s v="Mechanical Parts &amp; Assemblies"/>
    <s v="IGT-S"/>
    <s v="IGT"/>
    <s v="IL2"/>
    <n v="1"/>
    <x v="440"/>
    <s v="India"/>
    <s v="SYSTEUR"/>
    <s v="FTE"/>
    <s v="Kiran MR"/>
    <s v="Phil"/>
  </r>
  <r>
    <s v="36315"/>
    <s v="Saravanakumar Palani"/>
    <s v="Blue Dragon - 2nd Tier Sourcing of Castings  for Franken"/>
    <s v="Raj"/>
    <s v=""/>
    <s v="PROCUREMENT"/>
    <s v="PRODUCTIVITY"/>
    <s v="SOURCING"/>
    <s v="Mechanical Parts &amp; Assemblies"/>
    <s v="IGT-S"/>
    <s v="IGT"/>
    <s v="IL3"/>
    <n v="0.5"/>
    <x v="441"/>
    <s v="India"/>
    <s v="SYSTEUR"/>
    <s v="FTE"/>
    <s v="Makarand Dharmadhikari"/>
    <s v="Raj"/>
  </r>
  <r>
    <s v="ART-BEST"/>
    <s v="Vijayanand Purushothaman"/>
    <s v="LCM Support for Best"/>
    <s v="Raj"/>
    <s v=""/>
    <s v="N/A"/>
    <s v="LCM"/>
    <s v="SOURCING"/>
    <s v="Mechanical Parts &amp; Assemblies"/>
    <s v="IGT-S"/>
    <s v="IGT"/>
    <s v="IL3"/>
    <n v="0.5"/>
    <x v="441"/>
    <s v="India"/>
    <s v="SYSTEUR"/>
    <s v="FTE"/>
    <s v="Makarand Dharmadhikari"/>
    <s v="Raj"/>
  </r>
  <r>
    <s v="PDTEAM612"/>
    <s v="Damodar Sarnobat"/>
    <s v="STET CT/AMI-  LCM FRU Resolutions"/>
    <s v="Phil"/>
    <s v=""/>
    <s v="PROCUREMENT"/>
    <s v="LCM"/>
    <s v="TCO"/>
    <s v="Mechanical Parts &amp; Assemblies"/>
    <s v="CT/AMI"/>
    <s v="PD"/>
    <s v="IL2"/>
    <n v="1"/>
    <x v="442"/>
    <s v="India"/>
    <s v="SYSTEUR"/>
    <s v="Contingent"/>
    <s v="Damodar Sarnobat"/>
    <s v="Phil"/>
  </r>
  <r>
    <s v="37900"/>
    <s v="JJ Chen"/>
    <s v="BD- L-arc China supply base (unit price reduction)"/>
    <s v="Phil"/>
    <s v=""/>
    <s v="PROCUREMENT"/>
    <s v="PRODUCTIVITY"/>
    <s v="SOURCING"/>
    <s v="Mechanical Parts &amp; Assemblies"/>
    <s v="IGT-S"/>
    <s v="IGT"/>
    <s v="IL2"/>
    <n v="1"/>
    <x v="443"/>
    <s v="China"/>
    <s v="SYSTEUR"/>
    <s v="FTE"/>
    <s v="Thomas Liu"/>
    <s v="Phil"/>
  </r>
  <r>
    <s v="42094"/>
    <s v="Fred Cai "/>
    <s v="Gust 1.5T Bridge solution coil package"/>
    <s v="Phil"/>
    <s v=""/>
    <s v="PROCUREMENT"/>
    <s v="NPI"/>
    <s v="SOURCING"/>
    <s v="Mechanical Parts &amp; Assemblies"/>
    <s v="MR"/>
    <s v="PD"/>
    <s v="IL2"/>
    <n v="0.5"/>
    <x v="444"/>
    <s v="China"/>
    <s v="SYSTEUR"/>
    <s v="FTE"/>
    <s v="Thomas Liu"/>
    <s v="Phil"/>
  </r>
  <r>
    <s v="41060"/>
    <s v="Fred Cai "/>
    <s v="Gust 3.0T NPI"/>
    <s v="Phil"/>
    <s v=""/>
    <s v="PROCUREMENT"/>
    <s v="PRODUCTIVITY"/>
    <s v="CONCEPT"/>
    <s v="Key components &amp; Electronics"/>
    <s v="MR"/>
    <s v="PD"/>
    <s v="IL1"/>
    <n v="0.5"/>
    <x v="444"/>
    <s v="China"/>
    <s v="SYSTEUR"/>
    <s v="FTE"/>
    <s v="Thomas Liu"/>
    <s v="Phil"/>
  </r>
  <r>
    <s v="PDTEAM133"/>
    <s v="Tiger Xiao"/>
    <s v="Nexha NPI"/>
    <s v="Phil"/>
    <s v=""/>
    <s v="N/A"/>
    <s v="NPI"/>
    <s v="CONCEPT"/>
    <s v="Key components &amp; Electronics"/>
    <s v="US-Trans"/>
    <s v="PD"/>
    <s v="IL1"/>
    <n v="1"/>
    <x v="445"/>
    <s v="China"/>
    <s v="SYSTEUR"/>
    <s v="FTE"/>
    <s v="Thomas Liu"/>
    <s v="Phil"/>
  </r>
  <r>
    <s v="36779"/>
    <s v="Ailin"/>
    <s v="AG700 to GA31D - MR 5300 &amp; Ambition S"/>
    <s v="Phil"/>
    <s v=""/>
    <s v="PROCUREMENT"/>
    <s v="PRODUCTIVITY"/>
    <s v="CONCEPT"/>
    <s v="Mechanical Parts &amp; Assemblies"/>
    <s v="MR"/>
    <s v="PD"/>
    <s v="IL2"/>
    <n v="1"/>
    <x v="446"/>
    <s v="China"/>
    <s v="SYSTEUR"/>
    <s v="FTE"/>
    <s v="Thomas Liu"/>
    <s v="Phil"/>
  </r>
  <r>
    <s v="PDTEAM621"/>
    <s v="Damodar Sarnobat"/>
    <s v="STET MR COILS SICR EOL/ MATERIAL CHANGE "/>
    <s v="Phil"/>
    <s v=""/>
    <s v="N/A"/>
    <s v="LCM"/>
    <s v="TCO"/>
    <s v="Key components &amp; Electronics"/>
    <s v="MR"/>
    <s v="PD"/>
    <s v="IL2"/>
    <n v="0.5"/>
    <x v="447"/>
    <s v="India"/>
    <s v="SYSTEUR"/>
    <s v="FTE"/>
    <s v="Radhaprasanna Merugu"/>
    <s v="Raj"/>
  </r>
  <r>
    <s v="PDTEAM626"/>
    <s v="Damodar Sarnobat "/>
    <s v="STET MR COILS SICR PROCESS CHANGE "/>
    <s v="Phil"/>
    <s v=""/>
    <s v="N/A"/>
    <s v="LCM"/>
    <s v="TCO"/>
    <s v="Mechanical Parts &amp; Assemblies"/>
    <s v="MR"/>
    <s v="PD"/>
    <s v="IL2"/>
    <n v="0.5"/>
    <x v="447"/>
    <s v="India"/>
    <s v="SYSTEUR"/>
    <s v="FTE"/>
    <s v="Radhaprasanna Merugu"/>
    <s v="Raj"/>
  </r>
  <r>
    <s v="OHC_Training-1"/>
    <s v="NA"/>
    <s v="Trainings"/>
    <s v="All"/>
    <s v=""/>
    <s v="Trainings"/>
    <s v="Trainings"/>
    <s v="Trainings"/>
    <s v="Trainings"/>
    <s v="OHC"/>
    <s v="PH"/>
    <s v="IL0"/>
    <n v="0.1"/>
    <x v="448"/>
    <s v="India"/>
    <s v="SYSTEUR"/>
    <s v="FTE"/>
    <s v="Saurabh Khedkar"/>
    <s v="Tim"/>
  </r>
  <r>
    <s v="CR226118"/>
    <s v="Saurabh Agrawal_x000a_"/>
    <s v="Change in colorant supplier for BH parts"/>
    <s v="Tim"/>
    <s v=""/>
    <s v="N/A"/>
    <s v="LCM"/>
    <s v="CONCEPT"/>
    <s v="Personal Health"/>
    <s v="OHC"/>
    <s v="PH"/>
    <s v="IL3"/>
    <n v="0.2"/>
    <x v="448"/>
    <s v="India"/>
    <s v="SYSTEUR"/>
    <s v="FTE"/>
    <s v="Saurabh Khedkar"/>
    <s v="Tim"/>
  </r>
  <r>
    <s v="28347"/>
    <s v="Saurabh Agrawal"/>
    <s v="Dual Sourcing – Unip Syringes"/>
    <s v="Tim"/>
    <s v=""/>
    <s v="N/A"/>
    <s v="AOS"/>
    <s v="SOURCING"/>
    <s v="Mechanical Parts &amp; Assemblies"/>
    <s v="OHC"/>
    <s v="PH"/>
    <s v="IL3"/>
    <n v="0.7"/>
    <x v="448"/>
    <s v="India"/>
    <s v="SYSTEUR"/>
    <s v="FTE"/>
    <s v="Saurabh Khedkar"/>
    <s v="Tim"/>
  </r>
  <r>
    <s v="PDTEAM404"/>
    <s v="Kiran MR"/>
    <s v="Factory Best Process Validation Remediation"/>
    <s v="Phil"/>
    <s v=""/>
    <s v="N/A"/>
    <s v="LCM"/>
    <s v="SOURCING"/>
    <s v="Mechanical Parts &amp; Assemblies"/>
    <s v="IGT-S"/>
    <s v="IGT"/>
    <s v="IL2"/>
    <n v="1"/>
    <x v="449"/>
    <s v="India"/>
    <s v="SYSTEUR"/>
    <s v="FTE"/>
    <s v="Kiran MR"/>
    <s v="Phil"/>
  </r>
  <r>
    <s v="33510"/>
    <s v="Siddarth Shetty"/>
    <s v="Arctronics De-risking to SFO for Breast coils family"/>
    <s v="Phil"/>
    <s v=""/>
    <s v="PROCUREMENT"/>
    <s v="PRODUCTIVITY"/>
    <s v="SOURCING"/>
    <s v="Key components &amp; Electronics"/>
    <s v="MR"/>
    <s v="PD"/>
    <s v="IL3"/>
    <n v="1"/>
    <x v="450"/>
    <s v="India"/>
    <s v="SYSTEUR"/>
    <s v="FTE"/>
    <s v="Radhaprasanna Merugu"/>
    <s v="Raj"/>
  </r>
  <r>
    <s v="PDTEAM613"/>
    <s v="Damodar Sarnobat"/>
    <s v="STET MR LCE MECHANICAL"/>
    <s v="Phil"/>
    <s v=""/>
    <s v="N/A"/>
    <s v="LCM"/>
    <s v="TCO"/>
    <s v="Mechanical Parts &amp; Assemblies"/>
    <s v="MR"/>
    <s v="PD"/>
    <s v="IL2"/>
    <n v="1"/>
    <x v="451"/>
    <s v="India"/>
    <s v="SYSTEUR"/>
    <s v="FTE"/>
    <s v="Avinash Gosavi"/>
    <s v="Phil"/>
  </r>
  <r>
    <s v="RTC-FDEP20220800667"/>
    <s v="Sushruth Rudrachary"/>
    <s v="Change format Inmetro logo Brazil RegMem AMB554-22068"/>
    <s v="Tim"/>
    <s v=""/>
    <s v="N/A"/>
    <s v="LCM"/>
    <s v="CONCEPT"/>
    <s v="Personal Health"/>
    <s v="GB"/>
    <s v="PH"/>
    <s v="IL3"/>
    <n v="0.1"/>
    <x v="452"/>
    <s v="India"/>
    <s v="SYSTEUR"/>
    <s v="FTE"/>
    <s v="Ishan Gupta"/>
    <s v="Tim"/>
  </r>
  <r>
    <s v="RTC-FDEP20250100817"/>
    <s v="Sushruth Rudrachary"/>
    <s v="PO Bikini trimmer BRT3xx except BRT398"/>
    <s v="Tim"/>
    <s v=""/>
    <s v="N/A"/>
    <s v="LCM"/>
    <s v="CONCEPT"/>
    <s v="Personal Health"/>
    <s v="GB"/>
    <s v="PH"/>
    <s v="IL5"/>
    <n v="0.2"/>
    <x v="452"/>
    <s v="India"/>
    <s v="SYSTEUR"/>
    <s v="FTE"/>
    <s v="Ishan Gupta"/>
    <s v="Tim"/>
  </r>
  <r>
    <s v="RTC-FDEP20250200833"/>
    <s v="Sushruth Rudrachary"/>
    <s v="Cherry complete phase out"/>
    <s v="Tim"/>
    <s v=""/>
    <s v="N/A"/>
    <s v="LCM"/>
    <s v="CONCEPT"/>
    <s v="Personal Health"/>
    <s v="GB"/>
    <s v="PH"/>
    <s v="IL5"/>
    <n v="0.1"/>
    <x v="452"/>
    <s v="India"/>
    <s v="SYSTEUR"/>
    <s v="FTE"/>
    <s v="Ishan Gupta"/>
    <s v="Tim"/>
  </r>
  <r>
    <s v="RfS-SHA20250201838"/>
    <s v="Sushruth Rudrachary"/>
    <s v="Investigation and Feasibility study of Boiling water on shaving unit"/>
    <s v="Tim"/>
    <s v=""/>
    <s v="N/A"/>
    <s v="LCM"/>
    <s v="CONCEPT"/>
    <s v="Personal Health"/>
    <s v="GB"/>
    <s v="PH"/>
    <s v="IL2"/>
    <n v="0.1"/>
    <x v="452"/>
    <s v="India"/>
    <s v="SYSTEUR"/>
    <s v="FTE"/>
    <s v="Ishan Gupta"/>
    <s v="Tim"/>
  </r>
  <r>
    <s v="RTC-FDEP20240200758"/>
    <s v="Sushruth Rudrachary"/>
    <s v="PO Serena"/>
    <s v="Tim"/>
    <s v=""/>
    <s v="N/A"/>
    <s v="LCM"/>
    <s v="CONCEPT"/>
    <s v="Personal Health"/>
    <s v="GB"/>
    <s v="PH"/>
    <s v="IL3"/>
    <n v="0.1"/>
    <x v="452"/>
    <s v="India"/>
    <s v="SYSTEUR"/>
    <s v="FTE"/>
    <s v="Ishan Gupta"/>
    <s v="Tim"/>
  </r>
  <r>
    <s v="40997"/>
    <s v="Sushruth Rudrachary"/>
    <s v="FemDep_KLU_Source steel for epi discs from Aperam"/>
    <s v="Tim"/>
    <s v=""/>
    <s v="PROCUREMENT"/>
    <s v="PRODUCTIVITY"/>
    <s v="SOURCING"/>
    <s v="Personal Health"/>
    <s v="GB"/>
    <s v="PH"/>
    <s v="IL3"/>
    <n v="0.1"/>
    <x v="452"/>
    <s v="India"/>
    <s v="SYSTEUR"/>
    <s v="FTE"/>
    <s v="Ishan Gupta"/>
    <s v="Tim"/>
  </r>
  <r>
    <s v="RfS-SHA20250501888"/>
    <s v="Sushruth Rudrachary"/>
    <s v="App notification issue on S7000 handle shavers"/>
    <s v="Tim"/>
    <s v=""/>
    <s v="N/A"/>
    <s v="LCM"/>
    <s v="CONCEPT"/>
    <s v="Personal Health"/>
    <s v="GB"/>
    <s v="PH"/>
    <s v="IL3"/>
    <n v="0.1"/>
    <x v="452"/>
    <s v="India"/>
    <s v="SYSTEUR"/>
    <s v="FTE"/>
    <s v="Ishan Gupta"/>
    <s v="Tim"/>
  </r>
  <r>
    <s v="PJ-026520"/>
    <s v="Sushruth Rudrachary"/>
    <s v="IPL S7/8/9 Sunstone 2022-2023 GL - PDLM (2) Sunstone"/>
    <s v="Tim"/>
    <s v=""/>
    <s v="N/A"/>
    <s v="LCM"/>
    <s v="CONCEPT"/>
    <s v="Personal Health"/>
    <s v="GB"/>
    <s v="PH"/>
    <s v="IL2"/>
    <n v="1"/>
    <x v="453"/>
    <s v="India"/>
    <s v="SYSTEUR"/>
    <s v="Contingent"/>
    <s v="Yogesh Shelgaonkar"/>
    <s v="Bokelman"/>
  </r>
  <r>
    <s v="MR00350204"/>
    <s v="Sarnobat, Damodar"/>
    <s v="SICR20230628009B- AIBO REDESIGN"/>
    <s v="Phil"/>
    <s v=""/>
    <s v="N/A"/>
    <s v="LCM"/>
    <s v="SOURCING"/>
    <s v="Key components &amp; Electronics"/>
    <s v="MR"/>
    <s v="PD"/>
    <s v="IL0"/>
    <n v="1"/>
    <x v="454"/>
    <s v="India"/>
    <s v="SYSTEUR"/>
    <s v="FTE"/>
    <s v="Bhushan Barve"/>
    <s v="Phil"/>
  </r>
  <r>
    <s v="RfS 277575"/>
    <s v="Sushruth Rudrachary"/>
    <s v="High Power- Battery - (Panasonic Alternative)"/>
    <s v="Tim"/>
    <s v=""/>
    <s v="N/A"/>
    <s v="LCM"/>
    <s v="SOURCING"/>
    <s v="Key components &amp; Electronics"/>
    <s v="GB"/>
    <s v="PH"/>
    <s v="IL3"/>
    <n v="0.3"/>
    <x v="455"/>
    <s v="India"/>
    <s v="SYSTEUR"/>
    <s v="FTE"/>
    <s v="Dayal Mirthinti"/>
    <s v="Tim"/>
  </r>
  <r>
    <s v="GB_Funnel Activities"/>
    <s v="NA"/>
    <s v="Funnel/Business case/Technical feasibility"/>
    <s v="All"/>
    <s v=""/>
    <s v="Funnel Activities"/>
    <s v="Funnel Activities"/>
    <s v="Funnel Activities"/>
    <s v="Funnel Activities"/>
    <s v="GB"/>
    <s v="PH"/>
    <s v="IL0"/>
    <n v="0.3"/>
    <x v="455"/>
    <s v="India"/>
    <s v="SYSTEUR"/>
    <s v="FTE"/>
    <s v="Dayal Mirthinti"/>
    <s v="Tim"/>
  </r>
  <r>
    <s v="RfS 278137"/>
    <s v="Sushruth Rudrachary"/>
    <s v="Nexperia export control issue"/>
    <s v="Tim"/>
    <s v=""/>
    <s v="N/A"/>
    <s v="LCM"/>
    <s v="CONCEPT"/>
    <s v="Personal Health"/>
    <s v="GB"/>
    <s v="PH"/>
    <s v="IL3"/>
    <n v="0.2"/>
    <x v="455"/>
    <s v="India"/>
    <s v="SYSTEUR"/>
    <s v="FTE"/>
    <s v="Dayal Mirthinti"/>
    <s v="Tim"/>
  </r>
  <r>
    <s v="RfS 277855"/>
    <s v="Sushruth Rudrachary"/>
    <s v="Alternative component for WALSIN 2220B224K631CT/YAGEO CC2220KKX7RZBB224"/>
    <s v="Tim"/>
    <s v=""/>
    <s v="N/A"/>
    <s v="LCM"/>
    <s v="SOURCING"/>
    <s v="Key components &amp; Electronics"/>
    <s v="GB"/>
    <s v="PH"/>
    <s v="IL3"/>
    <n v="0.2"/>
    <x v="455"/>
    <s v="India"/>
    <s v="SYSTEUR"/>
    <s v="FTE"/>
    <s v="Dayal Mirthinti"/>
    <s v="Tim"/>
  </r>
  <r>
    <s v="OHC_Funnel Activities"/>
    <s v="Saurabh Agrawal"/>
    <s v="OHC_Funnel Activities"/>
    <s v="Tim"/>
    <s v=""/>
    <s v="N/A"/>
    <s v="LCM"/>
    <s v="CONCEPT"/>
    <s v="Personal Health"/>
    <s v="OHC"/>
    <s v="PH"/>
    <s v="IL3"/>
    <n v="0.1"/>
    <x v="456"/>
    <s v="India"/>
    <s v="SYSTEUR"/>
    <s v="FTE"/>
    <s v="Sushruth Rudrachary"/>
    <s v="Tim"/>
  </r>
  <r>
    <s v="MCC_Funnel Activities"/>
    <s v="NA"/>
    <s v="Funnel/Business case/Technical feasibility"/>
    <s v="All"/>
    <s v=""/>
    <s v="Funnel Activities"/>
    <s v="Funnel Activities"/>
    <s v="Funnel Activities"/>
    <s v="Funnel Activities"/>
    <s v="MCC"/>
    <s v="PH"/>
    <s v="IL0"/>
    <n v="0.1"/>
    <x v="456"/>
    <s v="India"/>
    <s v="SYSTEUR"/>
    <s v="FTE"/>
    <s v="Sushruth Rudrachary"/>
    <s v="Tim"/>
  </r>
  <r>
    <s v="GB_Funnel Activities"/>
    <s v="NA"/>
    <s v="Funnel/Business case/Technical feasibility"/>
    <s v="All"/>
    <s v=""/>
    <s v="Funnel Activities"/>
    <s v="Funnel Activities"/>
    <s v="Funnel Activities"/>
    <s v="Funnel Activities"/>
    <s v="GB"/>
    <s v="PH"/>
    <s v="IL0"/>
    <n v="0.2"/>
    <x v="456"/>
    <s v="India"/>
    <s v="SYSTEUR"/>
    <s v="FTE"/>
    <s v="Sushruth Rudrachary"/>
    <s v="Tim"/>
  </r>
  <r>
    <s v="L&amp;A"/>
    <s v="N/A"/>
    <s v="MISC. ENTRY TO BALANCE WITH RESOURCE DATABASE"/>
    <s v="All"/>
    <s v=""/>
    <s v="N/A"/>
    <s v="L&amp;A"/>
    <s v="L&amp;A"/>
    <s v="L&amp;A"/>
    <s v="L&amp;A"/>
    <s v="L&amp;A"/>
    <s v="IL3"/>
    <n v="0.5"/>
    <x v="456"/>
    <s v="India"/>
    <s v="SYSTEUR"/>
    <s v="FTE"/>
    <s v="Sushruth Rudrachary"/>
    <s v="Tim"/>
  </r>
  <r>
    <s v="IGT-S_Funnel Activities"/>
    <s v="NA"/>
    <s v="Funnel/Business case/Technical feasibility"/>
    <s v="All"/>
    <s v=""/>
    <s v="Funnel Activities"/>
    <s v="Funnel Activities"/>
    <s v="Funnel Activities"/>
    <s v="Funnel Activities"/>
    <s v="IGT-S"/>
    <s v="IGT"/>
    <s v="IL0"/>
    <n v="0.1"/>
    <x v="456"/>
    <s v="India"/>
    <s v="SYSTEUR"/>
    <s v="FTE"/>
    <s v="Sushruth Rudrachary"/>
    <s v="Tim"/>
  </r>
  <r>
    <s v="42014"/>
    <s v="Rashmi Khawale"/>
    <s v="Emerald-De-risking SC- NYX Albany 5 Parts localisation to LLS"/>
    <s v="Phil"/>
    <s v=""/>
    <s v="PROCUREMENT"/>
    <s v="PRODUCTIVITY"/>
    <s v="SOURCING"/>
    <s v="Mechanical Parts &amp; Assemblies"/>
    <s v="MR"/>
    <s v="PD"/>
    <s v="IL2"/>
    <n v="0.5"/>
    <x v="457"/>
    <s v="India"/>
    <s v="SYSTEUR"/>
    <s v="FTE"/>
    <s v="Avinash Gosavi"/>
    <s v="Phil"/>
  </r>
  <r>
    <s v="PDTEAM624"/>
    <s v="Damodar Sarnobat"/>
    <s v="STET MR COILS SICR MANUFACTURING SITE/PRODUCT LOCATION CHANGE "/>
    <s v="Phil"/>
    <s v=""/>
    <s v="N/A"/>
    <s v="LCM"/>
    <s v="TCO"/>
    <s v="Mechanical Parts &amp; Assemblies"/>
    <s v="MR"/>
    <s v="PD"/>
    <s v="IL2"/>
    <n v="0.1"/>
    <x v="457"/>
    <s v="India"/>
    <s v="SYSTEUR"/>
    <s v="FTE"/>
    <s v="Avinash Gosavi"/>
    <s v="Phil"/>
  </r>
  <r>
    <s v="PDTEAM621"/>
    <s v="Damodar Sarnobat"/>
    <s v="STET MR COILS SICR EOL/ MATERIAL CHANGE "/>
    <s v="Phil"/>
    <s v=""/>
    <s v="N/A"/>
    <s v="LCM"/>
    <s v="TCO"/>
    <s v="Key components &amp; Electronics"/>
    <s v="MR"/>
    <s v="PD"/>
    <s v="IL2"/>
    <n v="0.2"/>
    <x v="457"/>
    <s v="India"/>
    <s v="SYSTEUR"/>
    <s v="FTE"/>
    <s v="Avinash Gosavi"/>
    <s v="Phil"/>
  </r>
  <r>
    <s v="PDTEAM625"/>
    <s v="Damodar Sarnobat"/>
    <s v="STET MR COILS SICR QUALITY IMPROVEMENT "/>
    <s v="Phil"/>
    <s v=""/>
    <s v="N/A"/>
    <s v="LCM"/>
    <s v="TCO"/>
    <s v="Mechanical Parts &amp; Assemblies"/>
    <s v="MR"/>
    <s v="PD"/>
    <s v="IL2"/>
    <n v="0.2"/>
    <x v="457"/>
    <s v="India"/>
    <s v="SYSTEUR"/>
    <s v="FTE"/>
    <s v="Avinash Gosavi"/>
    <s v="Phil"/>
  </r>
  <r>
    <s v="CR203988-2"/>
    <s v="Saurabh Agrawal"/>
    <s v="2.5W USA-A AC Adapter Development (Vietnam)"/>
    <s v="Tim"/>
    <s v=""/>
    <s v="N/A"/>
    <s v="LCM"/>
    <s v="CONCEPT"/>
    <s v="Personal Health"/>
    <s v="OHC"/>
    <s v="PH"/>
    <s v="IL3"/>
    <n v="0.5"/>
    <x v="458"/>
    <s v="India"/>
    <s v="SYSTEUR"/>
    <s v="FTE"/>
    <s v="Pramila Mote"/>
    <s v="Tim"/>
  </r>
  <r>
    <s v="CR233622"/>
    <s v="Saurabh Agrawal"/>
    <s v="Mitigation for Supply Restriction from Nexperia Manufacturing"/>
    <s v="Tim"/>
    <s v=""/>
    <s v="N/A"/>
    <s v="LCM"/>
    <s v="SOURCING"/>
    <s v="Personal Health"/>
    <s v="OHC"/>
    <s v="PH"/>
    <s v="IL3"/>
    <n v="0.5"/>
    <x v="458"/>
    <s v="India"/>
    <s v="SYSTEUR"/>
    <s v="FTE"/>
    <s v="Pramila Mote"/>
    <s v="Tim"/>
  </r>
  <r>
    <s v="09MOSBUDEDICATED"/>
    <s v="Ponkshe, Mihir"/>
    <s v="IGT MOS BU dedicated projects support"/>
    <s v="Raj"/>
    <s v=""/>
    <s v="N/A"/>
    <s v="LCM"/>
    <s v="SOURCING"/>
    <s v="Key components &amp; Electronics"/>
    <s v="IGT-MoS"/>
    <s v="IGT"/>
    <s v="IL3"/>
    <n v="1"/>
    <x v="459"/>
    <s v="India"/>
    <s v="SYSTEUR"/>
    <s v="Contingent"/>
    <s v="Mihir Ponkshe"/>
    <s v="Raj"/>
  </r>
  <r>
    <s v="42069"/>
    <s v="Charles Moses"/>
    <s v="Ultrasound FRU direct buy project(was supported by Bothell) for SPS due to Samba transfer"/>
    <s v="Nishant"/>
    <s v=""/>
    <s v="PROCUREMENT"/>
    <s v="PRODUCTIVITY"/>
    <s v="SOURCING"/>
    <s v="Repair Centers &amp; Service Parts"/>
    <s v="US"/>
    <s v="PD"/>
    <s v="IL3"/>
    <n v="1"/>
    <x v="460"/>
    <s v="India"/>
    <s v="SYSTEUR"/>
    <s v="Contingent"/>
    <s v="Dipti Ghatge"/>
    <s v="Nishant"/>
  </r>
  <r>
    <s v="RfS840"/>
    <s v="Sushruth Rudrachary"/>
    <s v="BRE770/90 CEE Launch"/>
    <s v="Tim"/>
    <s v=""/>
    <s v="N/A"/>
    <s v="LCM"/>
    <s v="CONCEPT"/>
    <s v="Personal Health"/>
    <s v="GB"/>
    <s v="PH"/>
    <s v="IL5"/>
    <n v="1"/>
    <x v="461"/>
    <s v="India"/>
    <s v="SYSTEUR"/>
    <s v="Contingent"/>
    <s v="Kamal Singh"/>
    <s v="Bokelman"/>
  </r>
  <r>
    <s v="01MOSLCMCR"/>
    <s v="Ponkshe, Mihir"/>
    <s v="LCM CR in IGT- MOS"/>
    <s v="Raj"/>
    <s v=""/>
    <s v="N/A"/>
    <s v="AOS"/>
    <s v="SOURCING"/>
    <s v="Key components &amp; Electronics"/>
    <s v="IGT-MoS"/>
    <s v="IGT"/>
    <s v="IL3"/>
    <n v="0.5"/>
    <x v="462"/>
    <s v="India"/>
    <s v="SYSTEUR"/>
    <s v="Contingent"/>
    <s v="Girsh Kulkarni"/>
    <s v="Raj"/>
  </r>
  <r>
    <s v="04MOSLCMMAJPROJ"/>
    <s v="Ponkshe, Mihir"/>
    <s v="LCM Major project in IGT-MOS"/>
    <s v="Raj"/>
    <s v=""/>
    <s v="N/A"/>
    <s v="AOS"/>
    <s v="SOURCING"/>
    <s v="Key components &amp; Electronics"/>
    <s v="IGT-MoS"/>
    <s v="IGT"/>
    <s v="IL3"/>
    <n v="0.5"/>
    <x v="462"/>
    <s v="India"/>
    <s v="SYSTEUR"/>
    <s v="Contingent"/>
    <s v="Girsh Kulkarni"/>
    <s v="Raj"/>
  </r>
  <r>
    <s v="CR0110375"/>
    <s v="Charles Moses"/>
    <s v="Design changes for HACB"/>
    <s v="Nishant"/>
    <s v=""/>
    <s v="N/A"/>
    <s v="LCM"/>
    <s v="SOURCING"/>
    <s v="Key components &amp; Electronics"/>
    <s v="US"/>
    <s v="PD"/>
    <s v="IL2"/>
    <n v="1"/>
    <x v="463"/>
    <s v="India"/>
    <s v="SYSTEUR"/>
    <s v="FTE"/>
    <s v="Bhushan Barve"/>
    <s v="Phil"/>
  </r>
  <r>
    <s v="IGTS_LCM"/>
    <s v="Saravanakumar Palani_x000a__x000a_"/>
    <s v="IGTS_LCM"/>
    <s v="Raj"/>
    <s v=""/>
    <s v="N/A"/>
    <s v="LCM"/>
    <s v="CONCEPT"/>
    <s v="Mechanical Parts &amp; Assemblies"/>
    <s v="IGT-S"/>
    <s v="IGT"/>
    <s v="IL2"/>
    <n v="1"/>
    <x v="464"/>
    <s v="India"/>
    <s v="SYSTEUR"/>
    <s v="FTE"/>
    <s v="Makarand Dharmadhikari"/>
    <s v="Raj"/>
  </r>
  <r>
    <s v="PDTEAM531"/>
    <s v="Krishnaraj Kalghatgi"/>
    <s v="STET CT AMI - V&amp;V"/>
    <s v="Phil"/>
    <s v=""/>
    <s v="N/A"/>
    <s v="LCM"/>
    <s v="SOURCING"/>
    <s v="Key components &amp; Electronics"/>
    <s v="CT/AMI"/>
    <s v="PD"/>
    <s v="IL2"/>
    <n v="1"/>
    <x v="465"/>
    <s v="India"/>
    <s v="SYSTEUR"/>
    <s v="FTE"/>
    <s v="Subhankar Das"/>
    <s v="Phil"/>
  </r>
  <r>
    <s v="DXR_Long Leave"/>
    <s v="NA"/>
    <s v="Long Medical Leaves/Maternity leave/Sabbatical"/>
    <s v="All"/>
    <s v=""/>
    <s v="Long Leave"/>
    <s v="Long Leave"/>
    <s v="Long Leave"/>
    <s v="Long Leave"/>
    <s v="DXR"/>
    <s v="PD"/>
    <s v="IL0"/>
    <n v="1"/>
    <x v="466"/>
    <s v="India"/>
    <s v="SYSTEUR"/>
    <s v="FTE"/>
    <s v="Bhushan Barve"/>
    <s v="Phil"/>
  </r>
  <r>
    <s v="PDTEAM612"/>
    <s v="Damodar Sarnobat"/>
    <s v="STET CT/AMI-  LCM FRU Resolutions"/>
    <s v="Phil"/>
    <s v=""/>
    <s v="PROCUREMENT"/>
    <s v="LCM"/>
    <s v="TCO"/>
    <s v="Mechanical Parts &amp; Assemblies"/>
    <s v="CT/AMI"/>
    <s v="PD"/>
    <s v="IL2"/>
    <n v="1"/>
    <x v="467"/>
    <s v="India"/>
    <s v="SYSTEUR"/>
    <s v="FTE"/>
    <s v="Damodar Sarnobat"/>
    <s v="Phil"/>
  </r>
  <r>
    <s v="OHC_LCM_1"/>
    <s v="Saurabh Agarwal"/>
    <s v="LCM Activities"/>
    <s v="Tim"/>
    <s v=""/>
    <s v="N/A"/>
    <s v="LCM"/>
    <s v="CONCEPT"/>
    <s v="Personal Health"/>
    <s v="OHC"/>
    <s v="PH"/>
    <s v="IL3"/>
    <n v="1"/>
    <x v="468"/>
    <s v="India"/>
    <s v="SYSTEUR"/>
    <s v="Contingent"/>
    <s v="Neeraj Chhabra"/>
    <s v="Tim"/>
  </r>
  <r>
    <s v="PDTEAM527"/>
    <s v="Gourav Parab"/>
    <s v="STET IC - RSL"/>
    <s v="Phil"/>
    <s v=""/>
    <s v="N/A"/>
    <s v="LCM"/>
    <s v="SOURCING"/>
    <s v="Key components &amp; Electronics"/>
    <s v="IC"/>
    <s v="PD"/>
    <s v="IL2"/>
    <n v="0.2"/>
    <x v="469"/>
    <s v="India"/>
    <s v="SYSTEUR"/>
    <s v="FTE"/>
    <s v="Gourav Krishna Parab"/>
    <s v="Phil"/>
  </r>
  <r>
    <s v="PDTEAM543"/>
    <s v="Gourav Parab"/>
    <s v="STET IC - Shakti"/>
    <s v="Phil"/>
    <s v=""/>
    <s v="N/A"/>
    <s v="LCM"/>
    <s v="SOURCING"/>
    <s v="Key components &amp; Electronics"/>
    <s v="IC"/>
    <s v="PD"/>
    <s v="IL2"/>
    <n v="0.2"/>
    <x v="469"/>
    <s v="India"/>
    <s v="SYSTEUR"/>
    <s v="FTE"/>
    <s v="Gourav Krishna Parab"/>
    <s v="Phil"/>
  </r>
  <r>
    <s v="PDTEAM526"/>
    <s v="Gourav Parab"/>
    <s v="STET IC - Pangu"/>
    <s v="Phil"/>
    <s v=""/>
    <s v="N/A"/>
    <s v="LCM"/>
    <s v="SOURCING"/>
    <s v="Key components &amp; Electronics"/>
    <s v="IC"/>
    <s v="PD"/>
    <s v="IL2"/>
    <n v="0.1"/>
    <x v="469"/>
    <s v="India"/>
    <s v="SYSTEUR"/>
    <s v="FTE"/>
    <s v="Gourav Krishna Parab"/>
    <s v="Phil"/>
  </r>
  <r>
    <s v="PDTEAM535"/>
    <s v="Gourav Parab"/>
    <s v="Hamburg LCM"/>
    <s v="Phil"/>
    <s v=""/>
    <s v="N/A"/>
    <s v="LCM"/>
    <s v="SOURCING"/>
    <s v="Key components &amp; Electronics"/>
    <s v="IC"/>
    <s v="PD"/>
    <s v="IL2"/>
    <n v="0.5"/>
    <x v="469"/>
    <s v="India"/>
    <s v="SYSTEUR"/>
    <s v="FTE"/>
    <s v="Gourav Krishna Parab"/>
    <s v="Phil"/>
  </r>
  <r>
    <s v="33510"/>
    <s v="Siddarth Shetty"/>
    <s v="Arctronics De-risking to SFO for Breast coils family"/>
    <s v="Phil"/>
    <s v=""/>
    <s v="PROCUREMENT"/>
    <s v="PRODUCTIVITY"/>
    <s v="SOURCING"/>
    <s v="Key components &amp; Electronics"/>
    <s v="MR"/>
    <s v="PD"/>
    <s v="IL3"/>
    <n v="0.4"/>
    <x v="470"/>
    <s v="India"/>
    <s v="SYSTEUR"/>
    <s v="FTE"/>
    <s v="Sanjeev Kumar"/>
    <s v="Tim"/>
  </r>
  <r>
    <s v="33508"/>
    <s v="Siddarth Shetty"/>
    <s v="Arctronics De-risking to SFO for Wrist coils family"/>
    <s v="Phil"/>
    <s v=""/>
    <s v="PROCUREMENT"/>
    <s v="PRODUCTIVITY"/>
    <s v="SOURCING"/>
    <s v="Key components &amp; Electronics"/>
    <s v="MR"/>
    <s v="PD"/>
    <s v="IL3"/>
    <n v="0.4"/>
    <x v="470"/>
    <s v="India"/>
    <s v="SYSTEUR"/>
    <s v="FTE"/>
    <s v="Sanjeev Kumar"/>
    <s v="Tim"/>
  </r>
  <r>
    <s v="42069"/>
    <s v="Charles Moses"/>
    <s v="Ultrasound FRU direct buy project(was supported by Bothell) for SPS due to Samba transfer"/>
    <s v="Nishant"/>
    <s v=""/>
    <s v="PROCUREMENT"/>
    <s v="PRODUCTIVITY"/>
    <s v="SOURCING"/>
    <s v="Repair Centers &amp; Service Parts"/>
    <s v="US"/>
    <s v="PD"/>
    <s v="IL3"/>
    <n v="0.2"/>
    <x v="470"/>
    <s v="India"/>
    <s v="SYSTEUR"/>
    <s v="FTE"/>
    <s v="Sanjeev Kumar"/>
    <s v="Tim"/>
  </r>
  <r>
    <s v="33510"/>
    <s v="Siddarth Shetty"/>
    <s v="Arctronics De-risking to SFO for Breast coils family"/>
    <s v="Phil"/>
    <s v=""/>
    <s v="PROCUREMENT"/>
    <s v="PRODUCTIVITY"/>
    <s v="SOURCING"/>
    <s v="Key components &amp; Electronics"/>
    <s v="MR"/>
    <s v="PD"/>
    <s v="IL3"/>
    <n v="1"/>
    <x v="471"/>
    <s v="India"/>
    <s v="SYSTEUR"/>
    <s v="FTE"/>
    <s v="Radhaprasanna Merugu"/>
    <s v="Raj"/>
  </r>
  <r>
    <s v="OHC_Training-1"/>
    <s v="NA"/>
    <s v="Trainings"/>
    <s v="All"/>
    <s v=""/>
    <s v="Trainings"/>
    <s v="Trainings"/>
    <s v="Trainings"/>
    <s v="Trainings"/>
    <s v="OHC"/>
    <s v="PH"/>
    <s v="IL0"/>
    <n v="0.1"/>
    <x v="472"/>
    <s v="India"/>
    <s v="SYSTEUR"/>
    <s v="FTE"/>
    <s v="Saurabh Khedkar"/>
    <s v="Tim"/>
  </r>
  <r>
    <s v="CR093221"/>
    <s v="Saurabh Agrawal"/>
    <s v="Yangzee -Pump Crack Issue RCA"/>
    <s v="Tim"/>
    <s v=""/>
    <s v="N/A"/>
    <s v="LCM"/>
    <s v="CONCEPT"/>
    <s v="Personal Health"/>
    <s v="OHC"/>
    <s v="PH"/>
    <s v="IL3"/>
    <n v="0.7"/>
    <x v="472"/>
    <s v="India"/>
    <s v="SYSTEUR"/>
    <s v="FTE"/>
    <s v="Saurabh Khedkar"/>
    <s v="Tim"/>
  </r>
  <r>
    <s v="CR219541"/>
    <s v="Saurabh Agrawal"/>
    <s v="Discus Dental products, labeling and registration update as per REGMEM AMB-554 24049 (Malaysia)"/>
    <s v="Tim"/>
    <s v=""/>
    <s v="N/A"/>
    <s v="LCM"/>
    <s v="CONCEPT"/>
    <s v="Personal Health"/>
    <s v="OHC"/>
    <s v="PH"/>
    <s v="IL2"/>
    <n v="0.2"/>
    <x v="472"/>
    <s v="India"/>
    <s v="SYSTEUR"/>
    <s v="FTE"/>
    <s v="Saurabh Khedkar"/>
    <s v="Tim"/>
  </r>
  <r>
    <s v="RfS 277575"/>
    <s v="Sushruth Rudrachary"/>
    <s v="High Power- Battery - (Panasonic Alternative)"/>
    <s v="Tim"/>
    <s v=""/>
    <s v="N/A"/>
    <s v="LCM"/>
    <s v="SOURCING"/>
    <s v="Key components &amp; Electronics"/>
    <s v="GB"/>
    <s v="PH"/>
    <s v="IL3"/>
    <n v="0.5"/>
    <x v="473"/>
    <s v="India"/>
    <s v="SYSTEUR"/>
    <s v="FTE"/>
    <s v="Dayal Mirthinti"/>
    <s v="Tim"/>
  </r>
  <r>
    <s v="RfS 277160"/>
    <s v="Sushruth Rudrachary"/>
    <s v="USI SICR20250514012B - Kingbright manufacturing plant relocation"/>
    <s v="Tim"/>
    <s v=""/>
    <s v="N/A"/>
    <s v="LCM"/>
    <s v="SOURCING"/>
    <s v="Key components &amp; Electronics"/>
    <s v="GB"/>
    <s v="PH"/>
    <s v="IL5"/>
    <n v="0.1"/>
    <x v="473"/>
    <s v="India"/>
    <s v="SYSTEUR"/>
    <s v="FTE"/>
    <s v="Dayal Mirthinti"/>
    <s v="Tim"/>
  </r>
  <r>
    <s v="RfS 274333"/>
    <s v="Sushruth Rudrachary"/>
    <s v="High FOR on FG level at Iskra due to defective IGBTs on Emerald main PCBAs"/>
    <s v="Tim"/>
    <s v=""/>
    <s v="N/A"/>
    <s v="LCM"/>
    <s v="CONCEPT"/>
    <s v="Personal Health"/>
    <s v="GB"/>
    <s v="PH"/>
    <s v="IL4"/>
    <n v="0.2"/>
    <x v="473"/>
    <s v="India"/>
    <s v="SYSTEUR"/>
    <s v="FTE"/>
    <s v="Dayal Mirthinti"/>
    <s v="Tim"/>
  </r>
  <r>
    <s v="RfS 271782"/>
    <s v="Sushruth Rudrachary"/>
    <s v="Reflector of attachments out of place for Emerald devices"/>
    <s v="Tim"/>
    <s v=""/>
    <s v="N/A"/>
    <s v="CONQ"/>
    <s v="CONQ"/>
    <s v="Mechanical Parts &amp; Assemblies"/>
    <s v="GB"/>
    <s v="PH"/>
    <s v="IL4"/>
    <n v="0.2"/>
    <x v="473"/>
    <s v="India"/>
    <s v="SYSTEUR"/>
    <s v="FTE"/>
    <s v="Dayal Mirthinti"/>
    <s v="Tim"/>
  </r>
  <r>
    <s v="TEUS6"/>
    <s v="Jidhish Sidharthan"/>
    <s v="US HLA Testing"/>
    <s v="Nishant"/>
    <s v=""/>
    <s v="TCO"/>
    <s v="TEST ENG"/>
    <s v="TCO"/>
    <s v="Mechanical Parts &amp; Assemblies"/>
    <s v="US"/>
    <s v="PD"/>
    <s v="IL1"/>
    <n v="1"/>
    <x v="474"/>
    <s v="India"/>
    <s v="SYSTEUR"/>
    <s v="FTE"/>
    <s v="Venkatasubramanian Kallagam Swaminathan"/>
    <m/>
  </r>
  <r>
    <s v="RTC-GRO20250301620"/>
    <s v="Sushruth Rudrachary"/>
    <s v="Arya US Transfer to Raymond Batam from Raymond China"/>
    <s v="Tim"/>
    <s v=""/>
    <s v="N/A"/>
    <s v="LCM"/>
    <s v="CONCEPT"/>
    <s v="Personal Health"/>
    <s v="GB"/>
    <s v="PH"/>
    <s v="IL5"/>
    <n v="1"/>
    <x v="475"/>
    <s v="India"/>
    <s v="SYSTEUR"/>
    <s v="Contingent"/>
    <s v="Kamal Singh"/>
    <s v="Bokelman"/>
  </r>
  <r>
    <s v="OHC_LCM_1"/>
    <s v="Saurabh Agarwal"/>
    <s v="LCM Activities"/>
    <s v="Tim"/>
    <s v=""/>
    <s v="N/A"/>
    <s v="LCM"/>
    <s v="CONCEPT"/>
    <s v="Personal Health"/>
    <s v="OHC"/>
    <s v="PH"/>
    <s v="IL3"/>
    <n v="0.8"/>
    <x v="476"/>
    <s v="India"/>
    <s v="SYSTEUR"/>
    <s v="Contingent"/>
    <s v="Neeraj Chhabra"/>
    <s v="Bokelman"/>
  </r>
  <r>
    <s v="CR219389"/>
    <s v="Saurabh Agrawal"/>
    <s v="China Reg Memo"/>
    <s v="Tim"/>
    <s v=""/>
    <s v="N/A"/>
    <s v="LCM"/>
    <s v="CONCEPT"/>
    <s v="Personal Health"/>
    <s v="OHC"/>
    <s v="PH"/>
    <s v="IL3"/>
    <n v="0.2"/>
    <x v="476"/>
    <s v="India"/>
    <s v="SYSTEUR"/>
    <s v="Contingent"/>
    <s v="Neeraj Chhabra"/>
    <s v="Bokelman"/>
  </r>
  <r>
    <s v="PDTEAM427"/>
    <s v="MVD Srinivas"/>
    <s v="STET DXR System LCM"/>
    <s v="Phil"/>
    <s v=""/>
    <s v="N/A"/>
    <s v="LCM"/>
    <s v="SOURCING"/>
    <s v="Key components &amp; Electronics"/>
    <s v="DXR"/>
    <s v="PD"/>
    <s v="IL2"/>
    <n v="1"/>
    <x v="477"/>
    <s v="India"/>
    <s v="SYSTEUR"/>
    <s v="FTE"/>
    <s v="M.V.D Srinivas"/>
    <s v="Phil"/>
  </r>
  <r>
    <s v="CR0113819"/>
    <s v="Charles Moses"/>
    <s v="453561473231 CX Channel Board assembly Shepard ASIC alternate replacement"/>
    <s v="Nishant"/>
    <s v=""/>
    <s v="N/A"/>
    <s v="LCM"/>
    <s v="SOURCING"/>
    <s v="Mechanical Parts &amp; Assemblies"/>
    <s v="US"/>
    <s v="PD"/>
    <s v="IL3"/>
    <n v="1"/>
    <x v="478"/>
    <s v="India"/>
    <s v="SYSTEUR"/>
    <s v="FTE"/>
    <s v="Anand Navalagi"/>
    <s v="Raj"/>
  </r>
  <r>
    <s v="TEMR1"/>
    <s v="Jidhish Sidharthan"/>
    <s v="MR H32 Coil Tuning - Phase-1"/>
    <s v="Nishant"/>
    <s v=""/>
    <s v="TCO"/>
    <s v="TEST ENG"/>
    <s v="TCO"/>
    <s v="Key components &amp; Electronics"/>
    <s v="MR"/>
    <s v="PD"/>
    <s v="IL5"/>
    <n v="1"/>
    <x v="479"/>
    <s v="India"/>
    <s v="SYSTEUR"/>
    <s v="FTE"/>
    <s v="Venkatasubramanian Kallagam Swaminathan"/>
    <m/>
  </r>
  <r>
    <s v="COMP_ENG1"/>
    <s v="Vijayanand Purushothaman"/>
    <s v="PCBA Component Life Cycle Analysis"/>
    <s v="Phil"/>
    <s v=""/>
    <s v="N/A"/>
    <s v="LCM"/>
    <s v="CONCEPT"/>
    <s v="Key components &amp; Electronics"/>
    <s v="MR"/>
    <s v="PD"/>
    <s v="IL5"/>
    <n v="0.5"/>
    <x v="480"/>
    <s v="India"/>
    <s v="SYSTEUR"/>
    <s v="Contingent"/>
    <s v="Bhushan Barve"/>
    <s v="Phil"/>
  </r>
  <r>
    <s v="COMP_ENG10"/>
    <s v="Vijayanand Purushothaman"/>
    <s v="PCBA Component Life Cycle Analysis"/>
    <s v="Phil"/>
    <s v=""/>
    <s v="N/A"/>
    <s v="LCM"/>
    <s v="CONCEPT"/>
    <s v="Key components &amp; Electronics"/>
    <s v="DXR"/>
    <s v="PD"/>
    <s v="IL5"/>
    <n v="0.2"/>
    <x v="480"/>
    <s v="India"/>
    <s v="SYSTEUR"/>
    <s v="Contingent"/>
    <s v="Bhushan Barve"/>
    <s v="Phil"/>
  </r>
  <r>
    <s v="COMP_ENG3"/>
    <s v="Vijayanand Purushothaman"/>
    <s v="PCBA Component Life Cycle Analysis"/>
    <s v="Raj"/>
    <s v=""/>
    <s v="N/A"/>
    <s v="LCM"/>
    <s v="CONCEPT"/>
    <s v="Key components &amp; Electronics"/>
    <s v="IGT-S"/>
    <s v="IGT"/>
    <s v="IL3"/>
    <n v="0.3"/>
    <x v="480"/>
    <s v="India"/>
    <s v="SYSTEUR"/>
    <s v="Contingent"/>
    <s v="Bhushan Barve"/>
    <s v="Phil"/>
  </r>
  <r>
    <s v="OHC_Training-2"/>
    <s v="NA"/>
    <s v="Trainings"/>
    <s v="All"/>
    <s v=""/>
    <s v="Trainings"/>
    <s v="Trainings"/>
    <s v="Trainings"/>
    <s v="Trainings"/>
    <s v="OHC"/>
    <s v="PH"/>
    <s v="IL0"/>
    <n v="0.1"/>
    <x v="481"/>
    <s v="India"/>
    <s v="SYSTEUR"/>
    <s v="FTE"/>
    <s v="Saurabh Khedkar"/>
    <s v="Tim"/>
  </r>
  <r>
    <s v="CR230080"/>
    <s v="Saurabh Agrawal_x000a_"/>
    <s v="WHT_ID VS Introducing Risun as Second Source for F1 and F2 Nozzles"/>
    <s v="Tim"/>
    <s v=""/>
    <s v="N/A"/>
    <s v="LCM"/>
    <s v="CONCEPT"/>
    <s v="Personal Health"/>
    <s v="OHC"/>
    <s v="PH"/>
    <s v="IL3"/>
    <n v="0.2"/>
    <x v="481"/>
    <s v="India"/>
    <s v="SYSTEUR"/>
    <s v="FTE"/>
    <s v="Saurabh Khedkar"/>
    <s v="Tim"/>
  </r>
  <r>
    <s v="23596"/>
    <s v="Saurabh Agrawal"/>
    <s v="Zoom Lamp -- Shift supplier of PCBA from MSD to Preferred"/>
    <s v="Tim"/>
    <s v=""/>
    <s v="PROCUREMENT"/>
    <s v="PRODUCTIVITY"/>
    <s v="SOURCING"/>
    <s v="Key components &amp; Electronics"/>
    <s v="OHC"/>
    <s v="PH"/>
    <s v="IL3"/>
    <n v="0.3"/>
    <x v="481"/>
    <s v="India"/>
    <s v="SYSTEUR"/>
    <s v="FTE"/>
    <s v="Saurabh Khedkar"/>
    <s v="Tim"/>
  </r>
  <r>
    <s v="29839"/>
    <s v="Saurabh Agrawal"/>
    <s v="Dual Source Tube Bending -- Boom and Mast Assembly OHC"/>
    <s v="Tim"/>
    <s v=""/>
    <s v="PROCUREMENT"/>
    <s v="AOS"/>
    <s v="SOURCING"/>
    <s v="Mechanical Parts &amp; Assemblies"/>
    <s v="OHC"/>
    <s v="PH"/>
    <s v="IL3"/>
    <n v="0.4"/>
    <x v="481"/>
    <s v="India"/>
    <s v="SYSTEUR"/>
    <s v="FTE"/>
    <s v="Saurabh Khedkar"/>
    <s v="Tim"/>
  </r>
  <r>
    <s v="LCM_Ultrasound"/>
    <s v="Charles Moses"/>
    <s v="Ultrasound Sustaining Projects"/>
    <s v="Nishant"/>
    <s v=""/>
    <s v="N/A"/>
    <s v="LCM"/>
    <s v="SOURCING"/>
    <s v="Mechanical Parts &amp; Assemblies"/>
    <s v="US"/>
    <s v="PD"/>
    <s v="IL3"/>
    <n v="1"/>
    <x v="482"/>
    <s v="India"/>
    <s v="SYSTEUR"/>
    <s v="FTE"/>
    <s v="Charles Moses"/>
    <s v="Nishant"/>
  </r>
  <r>
    <s v="PDTEAM114"/>
    <s v="Steve Scurria"/>
    <s v="Vexos Transfer "/>
    <s v="Phil"/>
    <s v=""/>
    <s v="PROCUREMENT"/>
    <s v="AOS"/>
    <s v="SOURCING"/>
    <s v="Key components &amp; Electronics"/>
    <s v="MR"/>
    <s v="PD"/>
    <s v="IL2"/>
    <n v="0.7"/>
    <x v="483"/>
    <s v="USA"/>
    <s v="SYSTEUR"/>
    <s v="FTE"/>
    <s v="Phil Jenkins"/>
    <s v="Phil"/>
  </r>
  <r>
    <s v="37062"/>
    <s v="Jack D."/>
    <s v="Rio/Mozart - De-risk Cold Mass Supports from Kuvag with Rock West Composites"/>
    <s v="Phil"/>
    <s v=""/>
    <s v="PROCUREMENT"/>
    <s v="PRODUCTIVITY"/>
    <s v="SOURCING"/>
    <s v="Mechanical Parts &amp; Assemblies"/>
    <s v="MR"/>
    <s v="PD"/>
    <s v="IL2"/>
    <n v="0.1"/>
    <x v="483"/>
    <s v="USA"/>
    <s v="SYSTEUR"/>
    <s v="FTE"/>
    <s v="Phil Jenkins"/>
    <s v="Phil"/>
  </r>
  <r>
    <s v="39450"/>
    <s v="Noah H. "/>
    <s v="RIO - Resource Burst Disk from Fastenal (Fike) to BS&amp;B"/>
    <s v="Phil"/>
    <s v=""/>
    <s v="PROCUREMENT"/>
    <s v="PRODUCTIVITY"/>
    <s v="SOURCING"/>
    <s v="Mechanical Parts &amp; Assemblies"/>
    <s v="MR"/>
    <s v="PD"/>
    <s v="IL2"/>
    <n v="0.2"/>
    <x v="483"/>
    <s v="USA"/>
    <s v="SYSTEUR"/>
    <s v="FTE"/>
    <s v="Phil Jenkins"/>
    <s v="Phil"/>
  </r>
  <r>
    <s v="PDTEAM114"/>
    <s v="Steve Scurria"/>
    <s v="Vexos Transfer "/>
    <s v="Phil"/>
    <s v=""/>
    <s v="PROCUREMENT"/>
    <s v="AOS"/>
    <s v="SOURCING"/>
    <s v="Key components &amp; Electronics"/>
    <s v="MR"/>
    <s v="PD"/>
    <s v="IL2"/>
    <n v="1"/>
    <x v="484"/>
    <s v="USA"/>
    <s v="SYSTEUR"/>
    <s v="FTE"/>
    <s v="Phil Jenkins"/>
    <s v="Phil"/>
  </r>
  <r>
    <s v="XDCR_Funnel"/>
    <s v="Steven Mroch"/>
    <s v="XDCR_Funnel"/>
    <s v="Nishant"/>
    <s v=""/>
    <s v="PROCUREMENT"/>
    <s v="PRODUCTIVITY"/>
    <s v="SOURCING"/>
    <s v="Key components &amp; Electronics"/>
    <s v="US-Trans"/>
    <s v="PD"/>
    <s v="IL2"/>
    <n v="0.5"/>
    <x v="485"/>
    <s v="USA"/>
    <s v="SYSTEUR"/>
    <s v="FTE"/>
    <s v="Nishant Nair"/>
    <s v="Nishant"/>
  </r>
  <r>
    <s v="SRC_SUST1"/>
    <s v="Steven Mroch"/>
    <s v="SRC-Sustaining &amp; Productivity"/>
    <s v="Nishant"/>
    <s v=""/>
    <s v="PROCUREMENT"/>
    <s v="PRODUCTIVITY"/>
    <s v="SOURCING"/>
    <s v="Key components &amp; Electronics"/>
    <s v="SRC"/>
    <s v="CC"/>
    <s v="IL2"/>
    <n v="0.5"/>
    <x v="485"/>
    <s v="USA"/>
    <s v="SYSTEUR"/>
    <s v="FTE"/>
    <s v="Nishant Nair"/>
    <s v="Nishant"/>
  </r>
  <r>
    <s v="PDTEAM527"/>
    <s v="Gourav Parab"/>
    <s v="STET IC - RSL"/>
    <s v="Phil"/>
    <s v=""/>
    <s v="N/A"/>
    <s v="LCM"/>
    <s v="SOURCING"/>
    <s v="Key components &amp; Electronics"/>
    <s v="IC"/>
    <s v="PD"/>
    <s v="IL2"/>
    <n v="0.5"/>
    <x v="486"/>
    <s v="India"/>
    <s v="SYSTEUR"/>
    <s v="FTE"/>
    <s v="Kulasekhar K"/>
    <s v="Phil"/>
  </r>
  <r>
    <s v="PJ-028049"/>
    <s v="Sushruth Rudrachary"/>
    <s v="IPL MLD/LCM - High End Technical"/>
    <s v="Tim"/>
    <s v=""/>
    <s v="N/A"/>
    <s v="LCM"/>
    <s v="CONCEPT"/>
    <s v="Personal Health"/>
    <s v="GB"/>
    <s v="PH"/>
    <s v="IL2"/>
    <n v="1"/>
    <x v="487"/>
    <s v="India"/>
    <s v="SYSTEUR"/>
    <s v="FTE"/>
    <s v="Pramila Mote"/>
    <s v="Tim"/>
  </r>
  <r>
    <s v="CR0111125"/>
    <s v="Charles Moses"/>
    <s v="Localization for EPIQ/AFFINITI battery for China L4L production(453561904973)"/>
    <s v="Nishant"/>
    <s v=""/>
    <s v="N/A"/>
    <s v="AOS"/>
    <s v="SOURCING"/>
    <s v="Key components &amp; Electronics"/>
    <s v="US"/>
    <s v="PD"/>
    <s v="IL3"/>
    <n v="1"/>
    <x v="488"/>
    <s v="India"/>
    <s v="SYSTEUR"/>
    <s v="FTE"/>
    <s v="Anand Navalagi"/>
    <s v="Raj"/>
  </r>
  <r>
    <s v="CARTPDCUS4"/>
    <s v="Charles Moses"/>
    <s v="Carts PDC-Ultrasound iMAMA Lumify Rollstand"/>
    <s v="Nishant"/>
    <s v=""/>
    <s v="N/A"/>
    <s v="CART PDC"/>
    <s v="CONCEPT"/>
    <s v="Mechanical Parts &amp; Assemblies"/>
    <s v="US"/>
    <s v="PD"/>
    <s v="IL1"/>
    <n v="1"/>
    <x v="489"/>
    <s v="India"/>
    <s v="SYSTEUR"/>
    <s v="Contingent"/>
    <s v="Charles Moses"/>
    <s v="Nishant"/>
  </r>
  <r>
    <s v="802983"/>
    <s v="Saravanakumar Palani"/>
    <s v="Zollner Exit : 6 PCBA HLA Parts Transfer"/>
    <s v="Raj"/>
    <s v=""/>
    <s v="N/A"/>
    <s v="LCM"/>
    <s v="SOURCING"/>
    <s v="Key components &amp; Electronics"/>
    <s v="IGT-S"/>
    <s v="IGT"/>
    <s v="IL1"/>
    <n v="0.3"/>
    <x v="490"/>
    <s v="India"/>
    <s v="SYSTEUR"/>
    <s v="FTE"/>
    <s v="Manish Sharma"/>
    <s v="Raj"/>
  </r>
  <r>
    <s v="STET_IGTS_5053"/>
    <s v="Saravanakumar Palani"/>
    <s v="VD PPG Network Engineer"/>
    <s v="Raj"/>
    <s v=""/>
    <s v="N/A"/>
    <s v="LCM"/>
    <s v="SOURCING"/>
    <s v="Key components &amp; Electronics"/>
    <s v="IGT-S"/>
    <s v="IGT"/>
    <s v="IL5"/>
    <n v="0.7"/>
    <x v="490"/>
    <s v="India"/>
    <s v="SYSTEUR"/>
    <s v="FTE"/>
    <s v="Manish Sharma"/>
    <s v="Raj"/>
  </r>
  <r>
    <s v="PD41770"/>
    <s v="Charles Moses"/>
    <s v="CX50 plastics/resins cracking / repeated cracks in the casing (side cover, back cover, cart top assy, cart handle)."/>
    <s v="Nishant"/>
    <s v=""/>
    <s v="N/A"/>
    <s v="LCM"/>
    <s v="SOURCING"/>
    <s v="Mechanical Parts &amp; Assemblies"/>
    <s v="US"/>
    <s v="PD"/>
    <s v="IL3"/>
    <n v="1"/>
    <x v="491"/>
    <s v="India"/>
    <s v="SYSTEUR"/>
    <s v="FTE"/>
    <s v="Anand Navalagi"/>
    <s v="Raj"/>
  </r>
  <r>
    <s v="33510"/>
    <s v="Siddarth Shetty"/>
    <s v="Arctronics De-risking to SFO for Breast coils family"/>
    <s v="Phil"/>
    <s v=""/>
    <s v="PROCUREMENT"/>
    <s v="PRODUCTIVITY"/>
    <s v="SOURCING"/>
    <s v="Key components &amp; Electronics"/>
    <s v="MR"/>
    <s v="PD"/>
    <s v="IL3"/>
    <n v="0.9"/>
    <x v="492"/>
    <s v="India"/>
    <s v="SYSTEUR"/>
    <s v="Contingent"/>
    <s v="Damodar Sarnobat"/>
    <s v="Phil"/>
  </r>
  <r>
    <s v="PDTEAM602"/>
    <s v="Damodar Sarnobat"/>
    <s v="Patient Observation System Camera (POS Camera) MR System"/>
    <s v="Phil"/>
    <s v=""/>
    <s v="N/A"/>
    <s v="LCM"/>
    <s v="TCO"/>
    <s v="Mechanical Parts &amp; Assemblies"/>
    <s v="MR"/>
    <s v="PD"/>
    <s v="IL2"/>
    <n v="0.1"/>
    <x v="492"/>
    <s v="India"/>
    <s v="SYSTEUR"/>
    <s v="Contingent"/>
    <s v="Damodar Sarnobat"/>
    <s v="Phil"/>
  </r>
  <r>
    <s v="33509"/>
    <s v="Siddarth Shetty"/>
    <s v="Arctronics De-risking to SFO for Flex coils family"/>
    <s v="Phil"/>
    <s v=""/>
    <s v="PROCUREMENT"/>
    <s v="PRODUCTIVITY"/>
    <s v="SOURCING"/>
    <s v="Key components &amp; Electronics"/>
    <s v="MR"/>
    <s v="PD"/>
    <s v="IL3"/>
    <n v="0.1"/>
    <x v="493"/>
    <s v="India"/>
    <s v="SYSTEUR"/>
    <s v="FTE"/>
    <s v="Damodar Sarnobat"/>
    <s v="Phil"/>
  </r>
  <r>
    <s v="33510"/>
    <s v="Siddarth Shetty"/>
    <s v="Arctronics De-risking to SFO for Breast coils family"/>
    <s v="Phil"/>
    <s v=""/>
    <s v="PROCUREMENT"/>
    <s v="PRODUCTIVITY"/>
    <s v="SOURCING"/>
    <s v="Key components &amp; Electronics"/>
    <s v="MR"/>
    <s v="PD"/>
    <s v="IL3"/>
    <n v="0.9"/>
    <x v="493"/>
    <s v="India"/>
    <s v="SYSTEUR"/>
    <s v="FTE"/>
    <s v="Damodar Sarnobat"/>
    <s v="Phil"/>
  </r>
  <r>
    <s v="PDTEAM621"/>
    <s v="Damodar Sarnobat"/>
    <s v="STET MR COILS SICR EOL/ MATERIAL CHANGE "/>
    <s v="Phil"/>
    <s v=""/>
    <s v="N/A"/>
    <s v="LCM"/>
    <s v="TCO"/>
    <s v="Key components &amp; Electronics"/>
    <s v="MR"/>
    <s v="PD"/>
    <s v="IL2"/>
    <n v="0.5"/>
    <x v="494"/>
    <s v="India"/>
    <s v="SYSTEUR"/>
    <s v="Contingent"/>
    <s v="Avinash Gosavi"/>
    <s v="Phil"/>
  </r>
  <r>
    <s v="PDTEAM622"/>
    <s v="Damodar Sarnobat"/>
    <s v="STET MR COILS SICR DESIGN/SPECIFICATION CHANGE "/>
    <s v="Phil"/>
    <s v=""/>
    <s v="N/A"/>
    <s v="LCM"/>
    <s v="TCO"/>
    <s v="Mechanical Parts &amp; Assemblies"/>
    <s v="MR"/>
    <s v="PD"/>
    <s v="IL2"/>
    <n v="0.3"/>
    <x v="494"/>
    <s v="India"/>
    <s v="SYSTEUR"/>
    <s v="Contingent"/>
    <s v="Avinash Gosavi"/>
    <s v="Phil"/>
  </r>
  <r>
    <s v="PDTEAM626"/>
    <s v="Damodar Sarnobat "/>
    <s v="STET MR COILS SICR PROCESS CHANGE "/>
    <s v="Phil"/>
    <s v=""/>
    <s v="N/A"/>
    <s v="LCM"/>
    <s v="TCO"/>
    <s v="Mechanical Parts &amp; Assemblies"/>
    <s v="MR"/>
    <s v="PD"/>
    <s v="IL2"/>
    <n v="0.2"/>
    <x v="494"/>
    <s v="India"/>
    <s v="SYSTEUR"/>
    <s v="Contingent"/>
    <s v="Avinash Gosavi"/>
    <s v="Phil"/>
  </r>
  <r>
    <s v="IGTS Data Sustainability"/>
    <s v="Saravanakumar Palani"/>
    <s v="IGTS Data Sustainability Project (CSRD)"/>
    <s v="Raj"/>
    <s v=""/>
    <s v="N/A"/>
    <s v="LCM"/>
    <s v="SOURCING"/>
    <s v="Mechanical Parts &amp; Assemblies"/>
    <s v="IGT-S"/>
    <s v="IGT"/>
    <s v="IL3"/>
    <n v="1"/>
    <x v="495"/>
    <s v="India"/>
    <s v="SYSTEUR"/>
    <s v="Contingent"/>
    <s v="Makarand Dharmadhikari"/>
    <s v="Raj"/>
  </r>
  <r>
    <s v="L&amp;A"/>
    <s v="N/A"/>
    <s v="MISC. ENTRY TO BALANCE WITH RESOURCE DATABASE"/>
    <s v="All"/>
    <s v=""/>
    <s v="N/A"/>
    <s v="L&amp;A"/>
    <s v="L&amp;A"/>
    <s v="L&amp;A"/>
    <s v="L&amp;A"/>
    <s v="L&amp;A"/>
    <s v="IL3"/>
    <n v="1"/>
    <x v="496"/>
    <s v="India"/>
    <s v="SYSTEUR"/>
    <s v="FTE"/>
    <s v="Sushruth Rudrachary"/>
    <s v="Tim"/>
  </r>
  <r>
    <s v="PDTEAM431"/>
    <s v="MVD Srinivas"/>
    <s v="STET DXR Configuartion Support"/>
    <s v="Phil"/>
    <s v=""/>
    <s v="N/A"/>
    <s v="LCM"/>
    <s v="SOURCING"/>
    <s v="Mechanical Parts &amp; Assemblies"/>
    <s v="DXR"/>
    <s v="PD"/>
    <s v="IL2"/>
    <n v="1"/>
    <x v="497"/>
    <s v="India"/>
    <s v="SYSTEUR"/>
    <s v="FTE"/>
    <s v="M.V.D Srinivas"/>
    <s v="Phil"/>
  </r>
  <r>
    <s v="PDTEAM613"/>
    <s v="Damodar Sarnobat"/>
    <s v="STET MR LCE MECHANICAL"/>
    <s v="Phil"/>
    <s v=""/>
    <s v="N/A"/>
    <s v="LCM"/>
    <s v="TCO"/>
    <s v="Mechanical Parts &amp; Assemblies"/>
    <s v="MR"/>
    <s v="PD"/>
    <s v="IL2"/>
    <n v="1"/>
    <x v="498"/>
    <s v="India"/>
    <s v="SYSTEUR"/>
    <s v="FTE"/>
    <s v="Avinash Gosavi"/>
    <s v="Phil"/>
  </r>
  <r>
    <s v="PDTEAM421"/>
    <s v="Srinivas, M.V.D "/>
    <s v="STET DXR HW LCM CQ - Mechanical"/>
    <s v="Phil"/>
    <s v=""/>
    <s v="N/A"/>
    <s v="LCM"/>
    <s v="SOURCING"/>
    <s v="Mechanical Parts &amp; Assemblies"/>
    <s v="DXR"/>
    <s v="PD"/>
    <s v="IL2"/>
    <n v="1"/>
    <x v="499"/>
    <s v="India"/>
    <s v="SYSTEUR"/>
    <s v="Contingent"/>
    <s v="M.V.D Srinivas"/>
    <s v="Phil"/>
  </r>
  <r>
    <s v="MCC_L&amp;A"/>
    <s v="N/A"/>
    <s v="MISC. ENTRY TO BALANCE WITH RESOURCE DATABASE"/>
    <s v="All"/>
    <s v=""/>
    <s v="N/A"/>
    <s v="L&amp;A"/>
    <s v="L&amp;A"/>
    <s v="L&amp;A"/>
    <s v="MCC"/>
    <s v="PH"/>
    <s v="IL0"/>
    <n v="1"/>
    <x v="500"/>
    <s v="India"/>
    <s v="SYSTEUR"/>
    <s v="FTE"/>
    <s v="Tim Bokelman"/>
    <s v="Tim"/>
  </r>
  <r>
    <s v="DCR 20737"/>
    <s v="Steven Mroch"/>
    <s v="Merge the UDI label and the manufacturer label on the outer box"/>
    <s v="Nishant"/>
    <s v=""/>
    <s v="N/A"/>
    <s v="LCM"/>
    <s v="NON_12NC"/>
    <s v="All"/>
    <s v="SRC"/>
    <s v="CC"/>
    <s v="IL3"/>
    <n v="0.4"/>
    <x v="501"/>
    <s v="India"/>
    <s v="SYSTEUR"/>
    <s v="Contingent"/>
    <s v="Ganesh Bhat"/>
    <s v="Nishant"/>
  </r>
  <r>
    <s v="38924"/>
    <s v="Steven Mroch"/>
    <s v="S&amp;RC SOC 5L inorganic"/>
    <s v="Nishant"/>
    <s v=""/>
    <s v="PROCUREMENT"/>
    <s v="PRODUCTIVITY"/>
    <s v="CONCEPT"/>
    <s v="Mechanical Parts &amp; Assemblies"/>
    <s v="SRC"/>
    <s v="CC"/>
    <s v="IL5"/>
    <n v="0.2"/>
    <x v="501"/>
    <s v="India"/>
    <s v="SYSTEUR"/>
    <s v="Contingent"/>
    <s v="Ganesh Bhat"/>
    <s v="Nishant"/>
  </r>
  <r>
    <s v="DCR 20876"/>
    <s v="Steven Mroch"/>
    <s v="Add a VGA cable fixing device Change the Expected service life of T900 series non-invasive ventilators from &quot;5 years&quot; to &quot;10 years&quot;"/>
    <s v="Nishant"/>
    <s v=""/>
    <s v="N/A"/>
    <s v="LCM"/>
    <s v="NON_12NC"/>
    <s v="Key components &amp; Electronics"/>
    <s v="SRC"/>
    <s v="CC"/>
    <s v="IL3"/>
    <n v="0.4"/>
    <x v="501"/>
    <s v="India"/>
    <s v="SYSTEUR"/>
    <s v="Contingent"/>
    <s v="Ganesh Bhat"/>
    <s v="Nishant"/>
  </r>
  <r>
    <s v="GB_L&amp;A"/>
    <s v="N/A"/>
    <s v="MISC. ENTRY TO BALANCE WITH RESOURCE DATABASE"/>
    <s v="All"/>
    <s v=""/>
    <s v="N/A"/>
    <s v="L&amp;A"/>
    <s v="L&amp;A"/>
    <s v="L&amp;A"/>
    <s v="GB"/>
    <s v="PH"/>
    <s v="IL0"/>
    <n v="1"/>
    <x v="502"/>
    <s v="India"/>
    <s v="SYSTEUR"/>
    <s v="FTE"/>
    <s v="Tim Bokelman"/>
    <s v="Tim"/>
  </r>
  <r>
    <s v="ART-India"/>
    <s v="Vijayanand Purushothaman"/>
    <s v="LCM Support for India"/>
    <s v="Raj"/>
    <s v=""/>
    <s v="N/A"/>
    <s v="LCM"/>
    <s v="SOURCING"/>
    <s v="Mechanical Parts &amp; Assemblies"/>
    <s v="IGT-S"/>
    <s v="IGT"/>
    <s v="IL3"/>
    <n v="1"/>
    <x v="503"/>
    <s v="India"/>
    <s v="SYSTEUR"/>
    <s v="FTE"/>
    <s v="Manish Sharma"/>
    <s v="Raj"/>
  </r>
  <r>
    <s v="PJ-006578"/>
    <s v="Sushruth Rudrachary"/>
    <s v="Shaving LcM"/>
    <s v="Tim"/>
    <s v=""/>
    <s v="N/A"/>
    <s v="LCM"/>
    <s v="CONCEPT"/>
    <s v="Personal Health"/>
    <s v="GB"/>
    <s v="PH"/>
    <s v="IL2"/>
    <n v="0.8"/>
    <x v="504"/>
    <s v="India"/>
    <s v="SYSTEUR"/>
    <s v="FTE"/>
    <s v="Yogesh Shelgaonkar"/>
    <s v="Tim"/>
  </r>
  <r>
    <s v="RfS 272677"/>
    <s v="Sushruth Rudrachary"/>
    <s v="REGMEM AMB 554-23055 - EU - Corporate Sustainability Reporting Directive (CSRD - (EU) 2022/2464)"/>
    <s v="Tim"/>
    <s v=""/>
    <s v="N/A"/>
    <s v="LCM"/>
    <s v="CONCEPT"/>
    <s v="Personal Health"/>
    <s v="GB"/>
    <s v="PH"/>
    <s v="IL5"/>
    <n v="0.2"/>
    <x v="504"/>
    <s v="India"/>
    <s v="SYSTEUR"/>
    <s v="FTE"/>
    <s v="Yogesh Shelgaonkar"/>
    <s v="Tim"/>
  </r>
  <r>
    <s v="TEUS6"/>
    <s v="Jidhish Sidharthan"/>
    <s v="US HLA Testing"/>
    <s v="Nishant"/>
    <s v=""/>
    <s v="TCO"/>
    <s v="TEST ENG"/>
    <s v="TCO"/>
    <s v="Mechanical Parts &amp; Assemblies"/>
    <s v="US"/>
    <s v="PD"/>
    <s v="IL1"/>
    <n v="1"/>
    <x v="505"/>
    <s v="India"/>
    <s v="SYSTEUR"/>
    <s v="FTE"/>
    <s v="Venkatasubramanian Kallagam Swaminathan"/>
    <m/>
  </r>
  <r>
    <s v="OHC_LCM_1"/>
    <s v="Saurabh Agarwal"/>
    <s v="LCM Activities"/>
    <s v="Tim"/>
    <s v=""/>
    <s v="N/A"/>
    <s v="LCM"/>
    <s v="CONCEPT"/>
    <s v="Personal Health"/>
    <s v="OHC"/>
    <s v="PH"/>
    <s v="IL3"/>
    <n v="1"/>
    <x v="506"/>
    <s v="India"/>
    <s v="SYSTEUR"/>
    <s v="FTE"/>
    <s v="Neeraj Chhabra"/>
    <s v="Tim"/>
  </r>
  <r>
    <s v="DXR_L&amp;A"/>
    <s v="N/A"/>
    <s v="MISC. ENTRY TO BALANCE WITH RESOURCE DATABASE"/>
    <s v="All"/>
    <s v=""/>
    <s v="N/A"/>
    <s v="L&amp;A"/>
    <s v="L&amp;A"/>
    <s v="L&amp;A"/>
    <s v="DXR"/>
    <s v="PD"/>
    <s v="IL0"/>
    <n v="0.5"/>
    <x v="507"/>
    <s v="India"/>
    <s v="SYSTEUR"/>
    <s v="FTE"/>
    <s v="M.V.D Srinivas"/>
    <s v="Phil"/>
  </r>
  <r>
    <s v="PDTEAM422"/>
    <s v="Srinivas, M.V.D "/>
    <s v="STET DXR HW LCM CQ - Electrical"/>
    <s v="Phil"/>
    <s v=""/>
    <s v="N/A"/>
    <s v="LCM"/>
    <s v="SOURCING"/>
    <s v="Key components &amp; Electronics"/>
    <s v="DXR"/>
    <s v="PD"/>
    <s v="IL2"/>
    <n v="0.3"/>
    <x v="507"/>
    <s v="India"/>
    <s v="SYSTEUR"/>
    <s v="FTE"/>
    <s v="M.V.D Srinivas"/>
    <s v="Phil"/>
  </r>
  <r>
    <s v="PDTEAM415"/>
    <s v="Srinivas, M.V.D "/>
    <s v="PCBA Health DXR"/>
    <s v="Phil"/>
    <s v=""/>
    <s v="N/A"/>
    <s v="LCM"/>
    <s v="SOURCING"/>
    <s v="Key components &amp; Electronics"/>
    <s v="DXR"/>
    <s v="PD"/>
    <s v="IL2"/>
    <n v="0.2"/>
    <x v="507"/>
    <s v="India"/>
    <s v="SYSTEUR"/>
    <s v="FTE"/>
    <s v="M.V.D Srinivas"/>
    <s v="Phil"/>
  </r>
  <r>
    <s v="IGT-S_L&amp;A"/>
    <s v="N/A"/>
    <s v="MISC. ENTRY TO BALANCE WITH RESOURCE DATABASE"/>
    <s v="All"/>
    <s v=""/>
    <s v="N/A"/>
    <s v="L&amp;A"/>
    <s v="L&amp;A"/>
    <s v="L&amp;A"/>
    <s v="IGT-S"/>
    <s v="IGT"/>
    <s v="IL0"/>
    <n v="0.75"/>
    <x v="508"/>
    <s v="India"/>
    <s v="SYSTEUR"/>
    <s v="FTE"/>
    <s v="Vijayanand Purushothaman"/>
    <s v="Raj"/>
  </r>
  <r>
    <s v="IGT-MoS_L&amp;A"/>
    <s v="N/A"/>
    <s v="MISC. ENTRY TO BALANCE WITH RESOURCE DATABASE"/>
    <s v="All"/>
    <s v=""/>
    <s v="N/A"/>
    <s v="L&amp;A"/>
    <s v="L&amp;A"/>
    <s v="L&amp;A"/>
    <s v="IGT-MoS"/>
    <s v="IGT"/>
    <s v="IL0"/>
    <n v="0.25"/>
    <x v="508"/>
    <s v="India"/>
    <s v="SYSTEUR"/>
    <s v="FTE"/>
    <s v="Vijayanand Purushothaman"/>
    <s v="Raj"/>
  </r>
  <r>
    <s v="PDTEAM434"/>
    <s v="MVD Srinivas"/>
    <s v="STET DXR-LUNA Transfer Project"/>
    <s v="Phil"/>
    <s v=""/>
    <s v="N/A"/>
    <s v="LCM"/>
    <s v="SOURCING"/>
    <s v="Mechanical Parts &amp; Assemblies"/>
    <s v="DXR"/>
    <s v="PD"/>
    <s v="IL2"/>
    <n v="1"/>
    <x v="509"/>
    <s v="India"/>
    <s v="SYSTEUR"/>
    <s v="FTE"/>
    <s v="M.V.D Srinivas"/>
    <s v="Phil"/>
  </r>
  <r>
    <s v="PDTEAM622"/>
    <s v="Damodar Sarnobat"/>
    <s v="STET MR COILS SICR DESIGN/SPECIFICATION CHANGE "/>
    <s v="Phil"/>
    <s v=""/>
    <s v="N/A"/>
    <s v="LCM"/>
    <s v="TCO"/>
    <s v="Mechanical Parts &amp; Assemblies"/>
    <s v="MR"/>
    <s v="PD"/>
    <s v="IL2"/>
    <n v="0.5"/>
    <x v="510"/>
    <s v="India"/>
    <s v="SYSTEUR"/>
    <s v="FTE"/>
    <s v="Radhaprasanna Merugu"/>
    <s v="Raj"/>
  </r>
  <r>
    <s v="PDTEAM625"/>
    <s v="Damodar Sarnobat"/>
    <s v="STET MR COILS SICR QUALITY IMPROVEMENT "/>
    <s v="Phil"/>
    <s v=""/>
    <s v="N/A"/>
    <s v="LCM"/>
    <s v="TCO"/>
    <s v="Mechanical Parts &amp; Assemblies"/>
    <s v="MR"/>
    <s v="PD"/>
    <s v="IL2"/>
    <n v="0.5"/>
    <x v="510"/>
    <s v="India"/>
    <s v="SYSTEUR"/>
    <s v="FTE"/>
    <s v="Radhaprasanna Merugu"/>
    <s v="Raj"/>
  </r>
  <r>
    <s v="ART-India"/>
    <s v="Vijayanand Purushothaman"/>
    <s v="LCM Support for India"/>
    <s v="Raj"/>
    <s v=""/>
    <s v="N/A"/>
    <s v="LCM"/>
    <s v="SOURCING"/>
    <s v="Mechanical Parts &amp; Assemblies"/>
    <s v="IGT-S"/>
    <s v="IGT"/>
    <s v="IL3"/>
    <n v="1"/>
    <x v="511"/>
    <s v="India"/>
    <s v="SYSTEUR"/>
    <s v="Contingent"/>
    <s v="Makarand Dharmadhikari"/>
    <s v="Raj"/>
  </r>
  <r>
    <s v="CR0111125"/>
    <s v="Charles Moses"/>
    <s v="Localization for EPIQ/AFFINITI battery for China L4L production(453561904973)"/>
    <s v="Nishant"/>
    <s v=""/>
    <s v="N/A"/>
    <s v="AOS"/>
    <s v="SOURCING"/>
    <s v="Key components &amp; Electronics"/>
    <s v="US"/>
    <s v="PD"/>
    <s v="IL3"/>
    <n v="1"/>
    <x v="512"/>
    <s v="India"/>
    <s v="SYSTEUR"/>
    <s v="FTE"/>
    <s v="Anand Navalagi"/>
    <s v="Raj"/>
  </r>
  <r>
    <s v="02MOSLCMSICR"/>
    <s v="Ponkshe, Mihir"/>
    <s v="LCM SICR in IGT-MOS"/>
    <s v="Raj"/>
    <s v=""/>
    <s v="N/A"/>
    <s v="AOS"/>
    <s v="SOURCING"/>
    <s v="Key components &amp; Electronics"/>
    <s v="IGT-MoS"/>
    <s v="IGT"/>
    <s v="IL3"/>
    <n v="0.2"/>
    <x v="513"/>
    <s v="India"/>
    <s v="SYSTEUR"/>
    <s v="FTE"/>
    <s v="Manish Sharma"/>
    <s v="Raj"/>
  </r>
  <r>
    <s v="04MOSLCMMAJPROJ"/>
    <s v="Ponkshe, Mihir"/>
    <s v="LCM Major project in IGT-MOS"/>
    <s v="Raj"/>
    <s v=""/>
    <s v="N/A"/>
    <s v="AOS"/>
    <s v="SOURCING"/>
    <s v="Key components &amp; Electronics"/>
    <s v="IGT-MoS"/>
    <s v="IGT"/>
    <s v="IL3"/>
    <n v="0.8"/>
    <x v="513"/>
    <s v="India"/>
    <s v="SYSTEUR"/>
    <s v="FTE"/>
    <s v="Manish Sharma"/>
    <s v="Raj"/>
  </r>
  <r>
    <s v="RfS 276857"/>
    <s v="Suraj Ramchandani"/>
    <s v="To implement in-mold logo in Microsterilizer"/>
    <s v="Tim"/>
    <s v=""/>
    <s v="PROCUREMENT"/>
    <s v="PRODUCTIVITY"/>
    <s v="CONCEPT"/>
    <s v="Mechanical Parts &amp; Assemblies"/>
    <s v="MCC"/>
    <s v="PH"/>
    <s v="IL5"/>
    <n v="0.5"/>
    <x v="514"/>
    <s v="India"/>
    <s v="SYSTEUR"/>
    <s v="FTE"/>
    <s v="Tim Bokelman"/>
    <s v="Tim"/>
  </r>
  <r>
    <s v="RfS 277443"/>
    <s v="Suraj Ramchandani"/>
    <s v="Launch of SCF293 L4L with kitting"/>
    <s v="Tim"/>
    <s v=""/>
    <s v="IGM"/>
    <s v="Commercial Innovation"/>
    <s v="Commercial Innovation"/>
    <s v="Personal Health"/>
    <s v="MCC"/>
    <s v="PH"/>
    <s v="IL3"/>
    <n v="0.5"/>
    <x v="514"/>
    <s v="India"/>
    <s v="SYSTEUR"/>
    <s v="FTE"/>
    <s v="Tim Bokelman"/>
    <s v="Tim"/>
  </r>
  <r>
    <s v="42094"/>
    <s v="Fred Cai "/>
    <s v="Gust 1.5T Bridge solution coil package"/>
    <s v="Phil"/>
    <s v=""/>
    <s v="PROCUREMENT"/>
    <s v="NPI"/>
    <s v="SOURCING"/>
    <s v="Mechanical Parts &amp; Assemblies"/>
    <s v="MR"/>
    <s v="PD"/>
    <s v="IL2"/>
    <n v="1"/>
    <x v="515"/>
    <s v="China"/>
    <s v="SYSTEUR"/>
    <s v="FTE"/>
    <s v="Sam Zhao"/>
    <s v="Phil"/>
  </r>
  <r>
    <s v="PDTEAM622"/>
    <s v="Damodar Sarnobat"/>
    <s v="STET MR COILS SICR DESIGN/SPECIFICATION CHANGE "/>
    <s v="Phil"/>
    <s v=""/>
    <s v="N/A"/>
    <s v="LCM"/>
    <s v="TCO"/>
    <s v="Mechanical Parts &amp; Assemblies"/>
    <s v="MR"/>
    <s v="PD"/>
    <s v="IL2"/>
    <n v="0.2"/>
    <x v="516"/>
    <s v="India"/>
    <s v="SYSTEUR"/>
    <s v="FTE"/>
    <s v="Radhaprasanna Merugu"/>
    <s v="Raj"/>
  </r>
  <r>
    <s v="PDTEAM626"/>
    <s v="Damodar Sarnobat "/>
    <s v="STET MR COILS SICR PROCESS CHANGE "/>
    <s v="Phil"/>
    <s v=""/>
    <s v="N/A"/>
    <s v="LCM"/>
    <s v="TCO"/>
    <s v="Mechanical Parts &amp; Assemblies"/>
    <s v="MR"/>
    <s v="PD"/>
    <s v="IL2"/>
    <n v="0.1"/>
    <x v="516"/>
    <s v="India"/>
    <s v="SYSTEUR"/>
    <s v="FTE"/>
    <s v="Radhaprasanna Merugu"/>
    <s v="Raj"/>
  </r>
  <r>
    <s v="PDTEAM621"/>
    <s v="Damodar Sarnobat"/>
    <s v="STET MR COILS SICR EOL/ MATERIAL CHANGE "/>
    <s v="Phil"/>
    <s v=""/>
    <s v="N/A"/>
    <s v="LCM"/>
    <s v="TCO"/>
    <s v="Key components &amp; Electronics"/>
    <s v="MR"/>
    <s v="PD"/>
    <s v="IL2"/>
    <n v="0.2"/>
    <x v="516"/>
    <s v="India"/>
    <s v="SYSTEUR"/>
    <s v="FTE"/>
    <s v="Radhaprasanna Merugu"/>
    <s v="Raj"/>
  </r>
  <r>
    <s v="PDTEAM625"/>
    <s v="Damodar Sarnobat"/>
    <s v="STET MR COILS SICR QUALITY IMPROVEMENT "/>
    <s v="Phil"/>
    <s v=""/>
    <s v="N/A"/>
    <s v="LCM"/>
    <s v="TCO"/>
    <s v="Mechanical Parts &amp; Assemblies"/>
    <s v="MR"/>
    <s v="PD"/>
    <s v="IL2"/>
    <n v="0.1"/>
    <x v="516"/>
    <s v="India"/>
    <s v="SYSTEUR"/>
    <s v="FTE"/>
    <s v="Radhaprasanna Merugu"/>
    <s v="Raj"/>
  </r>
  <r>
    <s v="33510"/>
    <s v="Siddarth Shetty"/>
    <s v="Arctronics De-risking to SFO for Breast coils family"/>
    <s v="Phil"/>
    <s v=""/>
    <s v="PROCUREMENT"/>
    <s v="PRODUCTIVITY"/>
    <s v="SOURCING"/>
    <s v="Key components &amp; Electronics"/>
    <s v="MR"/>
    <s v="PD"/>
    <s v="IL3"/>
    <n v="0.2"/>
    <x v="516"/>
    <s v="India"/>
    <s v="SYSTEUR"/>
    <s v="FTE"/>
    <s v="Radhaprasanna Merugu"/>
    <s v="Raj"/>
  </r>
  <r>
    <s v="33508"/>
    <s v="Siddarth Shetty"/>
    <s v="Arctronics De-risking to SFO for Wrist coils family"/>
    <s v="Phil"/>
    <s v=""/>
    <s v="PROCUREMENT"/>
    <s v="PRODUCTIVITY"/>
    <s v="SOURCING"/>
    <s v="Key components &amp; Electronics"/>
    <s v="MR"/>
    <s v="PD"/>
    <s v="IL3"/>
    <n v="0.2"/>
    <x v="516"/>
    <s v="India"/>
    <s v="SYSTEUR"/>
    <s v="FTE"/>
    <s v="Radhaprasanna Merugu"/>
    <s v="Raj"/>
  </r>
  <r>
    <s v="PDTEAM521"/>
    <s v="MVD Srinivas"/>
    <s v="PCBA - Proactive Obsolescence of TH Controller"/>
    <s v="Phil"/>
    <s v=""/>
    <s v="N/A"/>
    <s v="LCM"/>
    <s v="SOURCING"/>
    <s v="Key components &amp; Electronics"/>
    <s v="DXR"/>
    <s v="PD"/>
    <s v="IL2"/>
    <n v="0.2"/>
    <x v="517"/>
    <s v="India"/>
    <s v="SYSTEUR"/>
    <s v="FTE"/>
    <s v="Bhushan Barve"/>
    <s v="Phil"/>
  </r>
  <r>
    <s v="36930"/>
    <s v="Vijayanand Purushothaman"/>
    <s v="PCBA Refresh - 451220111951 - 451213455502 - Bucky Unit 3 Digital"/>
    <s v="Phil"/>
    <s v=""/>
    <s v="N/A"/>
    <s v="LCM"/>
    <s v="CONCEPT"/>
    <s v="Key components &amp; Electronics"/>
    <s v="DXR"/>
    <s v="PD"/>
    <s v="IL3"/>
    <n v="0.8"/>
    <x v="517"/>
    <s v="India"/>
    <s v="SYSTEUR"/>
    <s v="FTE"/>
    <s v="Bhushan Barve"/>
    <s v="Phil"/>
  </r>
  <r>
    <s v="ART-India"/>
    <s v="Vijayanand Purushothaman"/>
    <s v="LCM Support for India"/>
    <s v="Raj"/>
    <s v=""/>
    <s v="N/A"/>
    <s v="LCM"/>
    <s v="SOURCING"/>
    <s v="Mechanical Parts &amp; Assemblies"/>
    <s v="IGT-S"/>
    <s v="IGT"/>
    <s v="IL3"/>
    <n v="1"/>
    <x v="518"/>
    <s v="India"/>
    <s v="SYSTEUR"/>
    <s v="FTE"/>
    <s v="Manish Sharma"/>
    <s v="Raj"/>
  </r>
  <r>
    <s v="42069"/>
    <s v="Charles Moses"/>
    <s v="Ultrasound FRU direct buy project(was supported by Bothell) for SPS due to Samba transfer"/>
    <s v="Nishant"/>
    <s v=""/>
    <s v="PROCUREMENT"/>
    <s v="PRODUCTIVITY"/>
    <s v="SOURCING"/>
    <s v="Repair Centers &amp; Service Parts"/>
    <s v="US"/>
    <s v="PD"/>
    <s v="IL3"/>
    <n v="1"/>
    <x v="519"/>
    <s v="India"/>
    <s v="SYSTEUR"/>
    <s v="Contingent"/>
    <s v="Dipti Ghatge"/>
    <s v="Nishant"/>
  </r>
  <r>
    <s v="ART-India"/>
    <s v="Vijayanand Purushothaman"/>
    <s v="LCM Support for India"/>
    <s v="Raj"/>
    <s v=""/>
    <s v="N/A"/>
    <s v="LCM"/>
    <s v="SOURCING"/>
    <s v="Mechanical Parts &amp; Assemblies"/>
    <s v="IGT-S"/>
    <s v="IGT"/>
    <s v="IL3"/>
    <n v="1"/>
    <x v="520"/>
    <s v="India"/>
    <s v="SYSTEUR"/>
    <s v="Contingent"/>
    <s v="Manish Sharma"/>
    <s v="Raj"/>
  </r>
  <r>
    <s v="34037"/>
    <s v="Fred Cai"/>
    <s v="Billy-Gradient Amp 1.6MVA"/>
    <s v="Phil"/>
    <s v=""/>
    <s v="PROCUREMENT"/>
    <s v="PRODUCTIVITY"/>
    <s v="CONCEPT"/>
    <s v="Key components &amp; Electronics"/>
    <s v="MR"/>
    <s v="PD"/>
    <s v="IL3"/>
    <n v="0.3"/>
    <x v="521"/>
    <s v="China"/>
    <s v="SYSTEUR"/>
    <s v="FTE"/>
    <s v="Phil Jenkins"/>
    <s v="Phil"/>
  </r>
  <r>
    <s v="35092"/>
    <s v="Fred Cai "/>
    <s v="Bobsled-Hawk GPC sourcing transfer from GMI to LCC"/>
    <s v="Phil"/>
    <s v=""/>
    <s v="PROCUREMENT"/>
    <s v="PRODUCTIVITY"/>
    <s v="SOURCING"/>
    <s v="Medical ODM Markets"/>
    <s v="CT/AMI"/>
    <s v="PD"/>
    <s v="IL2"/>
    <n v="0.3"/>
    <x v="521"/>
    <s v="China"/>
    <s v="SYSTEUR"/>
    <s v="FTE"/>
    <s v="Phil Jenkins"/>
    <s v="Phil"/>
  </r>
  <r>
    <s v="36789"/>
    <s v="Fred Cai "/>
    <s v="Cable Localization "/>
    <s v="Phil"/>
    <s v=""/>
    <s v="PROCUREMENT"/>
    <s v="PRODUCTIVITY"/>
    <s v="SOURCING"/>
    <s v="Mechanical Parts &amp; Assemblies"/>
    <s v="IGT-S"/>
    <s v="IGT"/>
    <s v="IL2"/>
    <n v="0.4"/>
    <x v="521"/>
    <s v="China"/>
    <s v="SYSTEUR"/>
    <s v="FTE"/>
    <s v="Phil Jenkins"/>
    <s v="Phil"/>
  </r>
  <r>
    <s v="40557"/>
    <s v="Fred Cai "/>
    <s v="Hawk collimator transfer to LPCM"/>
    <s v="Phil"/>
    <s v=""/>
    <s v="PROCUREMENT"/>
    <s v="PRODUCTIVITY"/>
    <s v="SOURCING"/>
    <s v="Mechanical Parts &amp; Assemblies"/>
    <s v="CT/AMI"/>
    <s v="PD"/>
    <s v="IL1"/>
    <n v="1"/>
    <x v="522"/>
    <s v="China"/>
    <s v="SYSTEUR"/>
    <s v="FTE"/>
    <s v="Sam Zhao"/>
    <s v="Phil"/>
  </r>
  <r>
    <s v="OHC_L&amp;A"/>
    <s v="N/A"/>
    <s v="MISC. ENTRY TO BALANCE WITH RESOURCE DATABASE"/>
    <s v="All"/>
    <s v=""/>
    <s v="N/A"/>
    <s v="L&amp;A"/>
    <s v="L&amp;A"/>
    <s v="L&amp;A"/>
    <s v="OHC"/>
    <s v="PH"/>
    <s v="IL0"/>
    <n v="0.25"/>
    <x v="523"/>
    <s v="USA"/>
    <s v="SYSTEUR"/>
    <s v="FTE"/>
    <s v="Yadav, A."/>
    <m/>
  </r>
  <r>
    <s v="GB_L&amp;A"/>
    <s v="N/A"/>
    <s v="MISC. ENTRY TO BALANCE WITH RESOURCE DATABASE"/>
    <s v="All"/>
    <s v=""/>
    <s v="N/A"/>
    <s v="L&amp;A"/>
    <s v="L&amp;A"/>
    <s v="L&amp;A"/>
    <s v="GB"/>
    <s v="PH"/>
    <s v="IL0"/>
    <n v="0.25"/>
    <x v="523"/>
    <s v="USA"/>
    <s v="SYSTEUR"/>
    <s v="FTE"/>
    <s v="Yadav, A."/>
    <m/>
  </r>
  <r>
    <s v="MCC_L&amp;A"/>
    <s v="N/A"/>
    <s v="MISC. ENTRY TO BALANCE WITH RESOURCE DATABASE"/>
    <s v="All"/>
    <s v=""/>
    <s v="N/A"/>
    <s v="L&amp;A"/>
    <s v="L&amp;A"/>
    <s v="L&amp;A"/>
    <s v="MCC"/>
    <s v="PH"/>
    <s v="IL0"/>
    <n v="0.15"/>
    <x v="523"/>
    <s v="USA"/>
    <s v="SYSTEUR"/>
    <s v="FTE"/>
    <s v="Yadav, A."/>
    <m/>
  </r>
  <r>
    <s v="L&amp;A"/>
    <s v="N/A"/>
    <s v="MISC. ENTRY TO BALANCE WITH RESOURCE DATABASE"/>
    <s v="All"/>
    <s v=""/>
    <s v="N/A"/>
    <s v="L&amp;A"/>
    <s v="L&amp;A"/>
    <s v="L&amp;A"/>
    <s v="L&amp;A"/>
    <s v="L&amp;A"/>
    <s v="IL3"/>
    <n v="0.35"/>
    <x v="523"/>
    <s v="USA"/>
    <s v="SYSTEUR"/>
    <s v="FTE"/>
    <s v="Yadav, A."/>
    <m/>
  </r>
  <r>
    <s v="02MOSLCMSICR"/>
    <s v="Ponkshe, Mihir"/>
    <s v="LCM SICR in IGT-MOS"/>
    <s v="Raj"/>
    <s v=""/>
    <s v="N/A"/>
    <s v="AOS"/>
    <s v="SOURCING"/>
    <s v="Key components &amp; Electronics"/>
    <s v="IGT-MoS"/>
    <s v="IGT"/>
    <s v="IL3"/>
    <n v="0.2"/>
    <x v="524"/>
    <s v="India"/>
    <s v="SYSTEUR"/>
    <s v="FTE"/>
    <s v="Manish Sharma"/>
    <s v="Raj"/>
  </r>
  <r>
    <s v="04MOSLCMMAJPROJ"/>
    <s v="Ponkshe, Mihir"/>
    <s v="LCM Major project in IGT-MOS"/>
    <s v="Raj"/>
    <s v=""/>
    <s v="N/A"/>
    <s v="AOS"/>
    <s v="SOURCING"/>
    <s v="Key components &amp; Electronics"/>
    <s v="IGT-MoS"/>
    <s v="IGT"/>
    <s v="IL3"/>
    <n v="0.8"/>
    <x v="524"/>
    <s v="India"/>
    <s v="SYSTEUR"/>
    <s v="FTE"/>
    <s v="Manish Sharma"/>
    <s v="Raj"/>
  </r>
  <r>
    <s v="CS-2025-111"/>
    <s v="Kulasekhar (KK)_x000a_"/>
    <s v="NFF issues in PDU -Single phase dist unit"/>
    <s v="Raj"/>
    <s v=""/>
    <s v="TCO"/>
    <s v="PRODUCTIVITY"/>
    <s v="CONCEPT"/>
    <s v="Mechanical Parts &amp; Assemblies"/>
    <s v="IGT-S"/>
    <s v="IGT"/>
    <s v="IL1"/>
    <n v="0.3"/>
    <x v="525"/>
    <s v="India"/>
    <s v="SYSTEUR"/>
    <s v="Contingent"/>
    <s v="Vivek Sonagra"/>
    <s v="Raj"/>
  </r>
  <r>
    <s v="CS-2025-112"/>
    <s v="Kulasekhar (KK)_x000a_"/>
    <s v="NFF issues observed in PDU- Main interface module"/>
    <s v="Raj"/>
    <s v=""/>
    <s v="TCO"/>
    <s v="PRODUCTIVITY"/>
    <s v="CONCEPT"/>
    <s v="Mechanical Parts &amp; Assemblies"/>
    <s v="IGT-S"/>
    <s v="IGT"/>
    <s v="IL1"/>
    <n v="0.3"/>
    <x v="525"/>
    <s v="India"/>
    <s v="SYSTEUR"/>
    <s v="Contingent"/>
    <s v="Vivek Sonagra"/>
    <s v="Raj"/>
  </r>
  <r>
    <s v="CS-2024-050"/>
    <s v="Saravanakumar Palani"/>
    <s v="PDU Fan Tray and DCPS"/>
    <s v="Raj"/>
    <s v=""/>
    <s v="TCO"/>
    <s v="PRODUCTIVITY"/>
    <s v="TCO"/>
    <s v="Mechanical Parts &amp; Assemblies"/>
    <s v="IGT-S"/>
    <s v="IGT"/>
    <s v="IL2"/>
    <n v="0.4"/>
    <x v="525"/>
    <s v="India"/>
    <s v="SYSTEUR"/>
    <s v="Contingent"/>
    <s v="Vivek Sonagra"/>
    <s v="Raj"/>
  </r>
  <r>
    <s v="PDTEAM535"/>
    <s v="Gourav Parab"/>
    <s v="Hamburg LCM"/>
    <s v="Phil"/>
    <s v=""/>
    <s v="N/A"/>
    <s v="LCM"/>
    <s v="SOURCING"/>
    <s v="Key components &amp; Electronics"/>
    <s v="IC"/>
    <s v="PD"/>
    <s v="IL2"/>
    <n v="0.3"/>
    <x v="526"/>
    <s v="India"/>
    <s v="SYSTEUR"/>
    <s v="Contingent"/>
    <s v="Gourav Krishna Parab"/>
    <s v="Phil"/>
  </r>
  <r>
    <s v="PDTEAM543"/>
    <s v="Gourav Parab"/>
    <s v="STET IC - Shakti"/>
    <s v="Phil"/>
    <s v=""/>
    <s v="N/A"/>
    <s v="LCM"/>
    <s v="SOURCING"/>
    <s v="Key components &amp; Electronics"/>
    <s v="IC"/>
    <s v="PD"/>
    <s v="IL2"/>
    <n v="0.4"/>
    <x v="526"/>
    <s v="India"/>
    <s v="SYSTEUR"/>
    <s v="Contingent"/>
    <s v="Gourav Krishna Parab"/>
    <s v="Phil"/>
  </r>
  <r>
    <s v="PDTEAM526"/>
    <s v="Gourav Parab"/>
    <s v="STET IC - Pangu"/>
    <s v="Phil"/>
    <s v=""/>
    <s v="N/A"/>
    <s v="LCM"/>
    <s v="SOURCING"/>
    <s v="Key components &amp; Electronics"/>
    <s v="IC"/>
    <s v="PD"/>
    <s v="IL2"/>
    <n v="0.3"/>
    <x v="526"/>
    <s v="India"/>
    <s v="SYSTEUR"/>
    <s v="Contingent"/>
    <s v="Gourav Krishna Parab"/>
    <s v="Phil"/>
  </r>
  <r>
    <s v="IGTS_LCM"/>
    <s v="Saravanakumar Palani_x000a__x000a_"/>
    <s v="IGTS_LCM"/>
    <s v="Raj"/>
    <s v=""/>
    <s v="N/A"/>
    <s v="LCM"/>
    <s v="CONCEPT"/>
    <s v="Mechanical Parts &amp; Assemblies"/>
    <s v="IGT-S"/>
    <s v="IGT"/>
    <s v="IL2"/>
    <n v="1"/>
    <x v="527"/>
    <s v="India"/>
    <s v="SYSTEUR"/>
    <s v="FTE"/>
    <s v="Vijayanand Purushothaman"/>
    <s v="Raj"/>
  </r>
  <r>
    <s v="36654"/>
    <s v="Matt Morse"/>
    <s v="Capture Productivity Savings - PV035 Y-arm mold transfer to Viant"/>
    <s v="Nishant"/>
    <s v=""/>
    <s v="PROCUREMENT"/>
    <s v="PRODUCTIVITY"/>
    <s v="SOURCING"/>
    <s v="Mechanical Parts &amp; Assemblies"/>
    <s v="IGT-D"/>
    <s v="IGT"/>
    <s v="IL3"/>
    <n v="0.5"/>
    <x v="528"/>
    <s v="India"/>
    <s v="SYSTEUR"/>
    <s v="FTE"/>
    <s v="Nishant Nair"/>
    <s v="Nishant"/>
  </r>
  <r>
    <s v="38697"/>
    <s v="Steven Mroch"/>
    <s v="Tooling, proximal shaft coupling (Refinity)"/>
    <s v="Nishant"/>
    <s v=""/>
    <s v="PROCUREMENT"/>
    <s v="PRODUCTIVITY"/>
    <s v="SOURCING"/>
    <s v="Mechanical Parts &amp; Assemblies"/>
    <s v="IGT-D"/>
    <s v="IGT"/>
    <s v="IL3"/>
    <n v="0.5"/>
    <x v="528"/>
    <s v="India"/>
    <s v="SYSTEUR"/>
    <s v="FTE"/>
    <s v="Nishant Nair"/>
    <s v="Nishant"/>
  </r>
  <r>
    <s v="SICR20250925003B"/>
    <s v="Steven Mroch"/>
    <s v="Panacol-USA - Legal Name Change"/>
    <s v="Nishant"/>
    <s v=""/>
    <s v="PROCUREMENT"/>
    <s v="LCM"/>
    <s v="SOURCING"/>
    <s v="Mechanical Parts &amp; Assemblies"/>
    <s v="IGT-D"/>
    <s v="IGT"/>
    <s v="IL4"/>
    <n v="0.5"/>
    <x v="529"/>
    <s v="India"/>
    <s v="SYSTEUR"/>
    <s v="FTE"/>
    <s v="Lalit Subhash"/>
    <m/>
  </r>
  <r>
    <s v="34072"/>
    <s v="Matt Morse"/>
    <s v="PLS Alternate Cable Supplier"/>
    <s v="Nishant"/>
    <s v=""/>
    <s v="PROCUREMENT"/>
    <s v="PRODUCTIVITY"/>
    <s v="SOURCING"/>
    <s v="Mechanical Parts &amp; Assemblies"/>
    <s v="IGT-D"/>
    <s v="IGT"/>
    <s v="IL3"/>
    <n v="0.25"/>
    <x v="529"/>
    <s v="India"/>
    <s v="SYSTEUR"/>
    <s v="FTE"/>
    <s v="Lalit Subhash"/>
    <m/>
  </r>
  <r>
    <s v="SICR20251115007B"/>
    <s v="Steven Mroch_x000a_"/>
    <s v="Pilot Air Freight LLC - Legal Name Change (Fremont)"/>
    <s v="Nishant"/>
    <s v=""/>
    <s v="N/A"/>
    <s v="LCM"/>
    <s v="SOURCING"/>
    <s v="Mechanical Parts &amp; Assemblies"/>
    <s v="IGT-D"/>
    <s v="IGT"/>
    <s v="IL3"/>
    <n v="0.25"/>
    <x v="529"/>
    <s v="India"/>
    <s v="SYSTEUR"/>
    <s v="FTE"/>
    <s v="Lalit Subhash"/>
    <m/>
  </r>
  <r>
    <s v="CR0109217"/>
    <s v="Charles Moses"/>
    <s v="Philips risk re-classification of supply arms"/>
    <s v="Nishant"/>
    <s v=""/>
    <s v="N/A"/>
    <s v="LCM"/>
    <s v="SOURCING"/>
    <s v="Mechanical Parts &amp; Assemblies"/>
    <s v="US"/>
    <s v="PD"/>
    <s v="IL3"/>
    <n v="1"/>
    <x v="530"/>
    <s v="India"/>
    <s v="SYSTEUR"/>
    <s v="Contingent"/>
    <s v="Charles Moses"/>
    <s v="Nishant"/>
  </r>
  <r>
    <s v="PDTEAM560"/>
    <s v="Damodar Sarnobat"/>
    <s v="STET CT/AMI-  LCM FRU Resolutions"/>
    <s v="Phil"/>
    <s v=""/>
    <s v="N/A"/>
    <s v="LCM"/>
    <s v="TCO"/>
    <s v="Key components &amp; Electronics"/>
    <s v="CT/AMI"/>
    <s v="PD"/>
    <s v="IL2"/>
    <n v="1"/>
    <x v="531"/>
    <s v="India"/>
    <s v="SYSTEUR"/>
    <s v="FTE"/>
    <s v="Subhankar Das"/>
    <s v="Phil"/>
  </r>
  <r>
    <s v="VM15 Display"/>
    <s v="Jidhish Sidharthan"/>
    <s v="VM15 Display"/>
    <s v="Nishant"/>
    <s v=""/>
    <s v="N/A"/>
    <s v="NPI"/>
    <s v="CONCEPT"/>
    <s v="Key components &amp; Electronics"/>
    <s v="US"/>
    <s v="PD"/>
    <s v="IL1"/>
    <n v="1"/>
    <x v="532"/>
    <s v="India"/>
    <s v="SYSTEUR"/>
    <s v="FTE"/>
    <s v="Raghavendra Gaonkar"/>
    <s v="Nishant"/>
  </r>
  <r>
    <s v="RfS-SHA20250401870"/>
    <s v="Sushruth Rudrachary"/>
    <s v="New Product Launch Phoenix X9002 10 Japan"/>
    <s v="Tim"/>
    <s v=""/>
    <s v="N/A"/>
    <s v="LCM"/>
    <s v="CONCEPT"/>
    <s v="Personal Health"/>
    <s v="GB"/>
    <s v="PH"/>
    <s v="IL5"/>
    <n v="1"/>
    <x v="533"/>
    <s v="India"/>
    <s v="SYSTEUR"/>
    <s v="Contingent"/>
    <s v="Kamal Singh"/>
    <s v="Bokelman"/>
  </r>
  <r>
    <s v="40997"/>
    <s v="Sushruth Rudrachary"/>
    <s v="FemDep_KLU_Source steel for epi discs from Aperam"/>
    <s v="Tim"/>
    <s v=""/>
    <s v="PROCUREMENT"/>
    <s v="PRODUCTIVITY"/>
    <s v="SOURCING"/>
    <s v="Personal Health"/>
    <s v="GB"/>
    <s v="PH"/>
    <s v="IL3"/>
    <n v="0.8"/>
    <x v="534"/>
    <s v="India"/>
    <s v="SYSTEUR"/>
    <s v="FTE"/>
    <s v="Yogesh Shelgaonkar"/>
    <s v="Tim"/>
  </r>
  <r>
    <s v="RfS 272677"/>
    <s v="Sushruth Rudrachary"/>
    <s v="REGMEM AMB 554-23055 - EU - Corporate Sustainability Reporting Directive (CSRD - (EU) 2022/2464)"/>
    <s v="Tim"/>
    <s v=""/>
    <s v="N/A"/>
    <s v="LCM"/>
    <s v="CONCEPT"/>
    <s v="Personal Health"/>
    <s v="GB"/>
    <s v="PH"/>
    <s v="IL5"/>
    <n v="0.2"/>
    <x v="534"/>
    <s v="India"/>
    <s v="SYSTEUR"/>
    <s v="FTE"/>
    <s v="Yogesh Shelgaonkar"/>
    <s v="Tim"/>
  </r>
  <r>
    <s v="PJ-009562"/>
    <s v="Sushruth Rudrachary"/>
    <s v="1Grooming LcM"/>
    <s v="Tim"/>
    <s v=""/>
    <s v="N/A"/>
    <s v="LCM"/>
    <s v="CONCEPT"/>
    <s v="Personal Health"/>
    <s v="GB"/>
    <s v="PH"/>
    <s v="IL2"/>
    <n v="0.8"/>
    <x v="535"/>
    <s v="India"/>
    <s v="SYSTEUR"/>
    <s v="FTE"/>
    <s v="Yogesh Shelgaonkar"/>
    <s v="Tim"/>
  </r>
  <r>
    <s v="RfS 272677"/>
    <s v="Sushruth Rudrachary"/>
    <s v="REGMEM AMB 554-23055 - EU - Corporate Sustainability Reporting Directive (CSRD - (EU) 2022/2464)"/>
    <s v="Tim"/>
    <s v=""/>
    <s v="N/A"/>
    <s v="LCM"/>
    <s v="CONCEPT"/>
    <s v="Personal Health"/>
    <s v="GB"/>
    <s v="PH"/>
    <s v="IL5"/>
    <n v="0.2"/>
    <x v="535"/>
    <s v="India"/>
    <s v="SYSTEUR"/>
    <s v="FTE"/>
    <s v="Yogesh Shelgaonkar"/>
    <s v="Tim"/>
  </r>
  <r>
    <s v="RTC-HSH20250400690"/>
    <s v="Sushruth Rudrachary"/>
    <s v="QP1924/74 US launch"/>
    <s v="Tim"/>
    <s v=""/>
    <s v="IGM"/>
    <s v="Commercial Innovation"/>
    <s v="Commercial Innovation"/>
    <s v="Personal Health"/>
    <s v="GB"/>
    <s v="PH"/>
    <s v="IL5"/>
    <n v="1"/>
    <x v="536"/>
    <s v="India"/>
    <s v="SYSTEUR"/>
    <s v="FTE"/>
    <s v="Kamal Singh"/>
    <s v="Tim"/>
  </r>
  <r>
    <s v="ART-BEST"/>
    <s v="Vijayanand Purushothaman"/>
    <s v="LCM Support for Best"/>
    <s v="Raj"/>
    <s v=""/>
    <s v="N/A"/>
    <s v="LCM"/>
    <s v="SOURCING"/>
    <s v="Mechanical Parts &amp; Assemblies"/>
    <s v="IGT-S"/>
    <s v="IGT"/>
    <s v="IL3"/>
    <n v="1"/>
    <x v="537"/>
    <s v="India"/>
    <s v="SYSTEUR"/>
    <s v="FTE"/>
    <s v="Makarand Dharmadhikari"/>
    <s v="Raj"/>
  </r>
  <r>
    <s v="35567"/>
    <s v="Vijay Purushothaman"/>
    <s v="Labels phase 2 (Total) transfer"/>
    <s v="Phil"/>
    <s v=""/>
    <s v="PROCUREMENT"/>
    <s v="PRODUCTIVITY"/>
    <s v="SOURCING"/>
    <s v="Mechanical Parts &amp; Assemblies"/>
    <s v="MR"/>
    <s v="PD"/>
    <s v="IL3"/>
    <n v="0.2"/>
    <x v="538"/>
    <s v="India"/>
    <s v="SYSTEUR"/>
    <s v="FTE"/>
    <s v="Damodar Sarnobat"/>
    <s v="Phil"/>
  </r>
  <r>
    <s v="41086"/>
    <s v="Vijayanand Purushothaman"/>
    <s v="Transfer Midwest parts to LCC"/>
    <s v="Phil"/>
    <s v=""/>
    <s v="PROCUREMENT"/>
    <s v="PRODUCTIVITY"/>
    <s v="SOURCING"/>
    <s v="Mechanical Parts &amp; Assemblies"/>
    <s v="MR"/>
    <s v="PD"/>
    <s v="IL3"/>
    <n v="0.6"/>
    <x v="538"/>
    <s v="India"/>
    <s v="SYSTEUR"/>
    <s v="FTE"/>
    <s v="Damodar Sarnobat"/>
    <s v="Phil"/>
  </r>
  <r>
    <s v="31575"/>
    <s v="Vijayanand Purushothaman"/>
    <s v="Sheet metal &amp; Casting parts localisation from Gainesville supplier base to India."/>
    <s v="Phil"/>
    <s v=""/>
    <s v="PROCUREMENT"/>
    <s v="PRODUCTIVITY"/>
    <s v="SOURCING"/>
    <s v="Mechanical Parts &amp; Assemblies"/>
    <s v="MR"/>
    <s v="PD"/>
    <s v="IL3"/>
    <n v="0.2"/>
    <x v="538"/>
    <s v="India"/>
    <s v="SYSTEUR"/>
    <s v="FTE"/>
    <s v="Damodar Sarnobat"/>
    <s v="Phil"/>
  </r>
  <r>
    <s v="TEMR1"/>
    <s v="Jidhish Sidharthan"/>
    <s v="MR H32 Coil Tuning - Phase-1"/>
    <s v="Nishant"/>
    <s v=""/>
    <s v="TCO"/>
    <s v="TEST ENG"/>
    <s v="TCO"/>
    <s v="Key components &amp; Electronics"/>
    <s v="MR"/>
    <s v="PD"/>
    <s v="IL5"/>
    <n v="0.5"/>
    <x v="539"/>
    <s v="India"/>
    <s v="SYSTEUR"/>
    <s v="FTE"/>
    <s v="Nishant Nair"/>
    <s v="Nishant"/>
  </r>
  <r>
    <s v="TEUS5"/>
    <s v="Jidhish Sidharthan"/>
    <s v="US Tester"/>
    <s v="Nishant"/>
    <s v=""/>
    <s v="TCO"/>
    <s v="TEST ENG"/>
    <s v="TCO"/>
    <s v="Key components &amp; Electronics"/>
    <s v="US"/>
    <s v="PD"/>
    <s v="IL2"/>
    <n v="0.5"/>
    <x v="539"/>
    <s v="India"/>
    <s v="SYSTEUR"/>
    <s v="FTE"/>
    <s v="Nishant Nair"/>
    <s v="Nishant"/>
  </r>
  <r>
    <s v="Infinity"/>
    <s v="Sushruth Rudrachary"/>
    <s v="Project Infinity"/>
    <s v="Tim"/>
    <s v=""/>
    <s v="N/A"/>
    <s v="NPI"/>
    <s v="CONCEPT"/>
    <s v="Personal Health"/>
    <s v="GB"/>
    <s v="PH"/>
    <s v="IL2"/>
    <n v="1"/>
    <x v="540"/>
    <s v="India"/>
    <s v="SYSTEUR"/>
    <s v="Contingent"/>
    <s v="Adarsh Shrivastava"/>
    <s v="Bokelman"/>
  </r>
  <r>
    <s v="36516"/>
    <s v="Saurabh Agrawal"/>
    <s v="Marvel: DD 5.0: CAIRO NON-CONNECTED PCBA FCP Improvement"/>
    <s v="Tim"/>
    <s v=""/>
    <s v="PROCUREMENT"/>
    <s v="PRODUCTIVITY"/>
    <s v="CONCEPT"/>
    <s v="Personal Health"/>
    <s v="OHC"/>
    <s v="PH"/>
    <s v="IL3"/>
    <n v="1"/>
    <x v="541"/>
    <s v="India"/>
    <s v="SYSTEUR"/>
    <s v="Contingent"/>
    <s v="Samar Dash Ranjan"/>
    <s v="Bokelman"/>
  </r>
  <r>
    <s v="COMP_ENG1"/>
    <s v="Vijayanand Purushothaman"/>
    <s v="PCBA Component Life Cycle Analysis"/>
    <s v="Phil"/>
    <s v=""/>
    <s v="N/A"/>
    <s v="LCM"/>
    <s v="CONCEPT"/>
    <s v="Key components &amp; Electronics"/>
    <s v="MR"/>
    <s v="PD"/>
    <s v="IL5"/>
    <n v="0.1"/>
    <x v="542"/>
    <s v="India"/>
    <s v="SYSTEUR"/>
    <s v="FTE"/>
    <s v="Bhushan Barve"/>
    <s v="Phil"/>
  </r>
  <r>
    <s v="COMP_ENG2"/>
    <s v="Vijayanand Purushothaman"/>
    <s v="PCBA Component Life Cycle Analysis"/>
    <s v="Phil"/>
    <s v=""/>
    <s v="N/A"/>
    <s v="LCM"/>
    <s v="CONCEPT"/>
    <s v="Key components &amp; Electronics"/>
    <s v="CT/AMI"/>
    <s v="PD"/>
    <s v="IL5"/>
    <n v="0.1"/>
    <x v="542"/>
    <s v="India"/>
    <s v="SYSTEUR"/>
    <s v="FTE"/>
    <s v="Bhushan Barve"/>
    <s v="Phil"/>
  </r>
  <r>
    <s v="36944"/>
    <s v="Vijayanand Purushothaman"/>
    <s v="CSM DC axis controller"/>
    <s v="Phil"/>
    <s v=""/>
    <s v="PROCUREMENT"/>
    <s v="PRODUCTIVITY"/>
    <s v="CONCEPT"/>
    <s v="Key components &amp; Electronics"/>
    <s v="DXR"/>
    <s v="PD"/>
    <s v="IL2"/>
    <n v="0.1"/>
    <x v="542"/>
    <s v="India"/>
    <s v="SYSTEUR"/>
    <s v="FTE"/>
    <s v="Bhushan Barve"/>
    <s v="Phil"/>
  </r>
  <r>
    <s v="PDTEAM521"/>
    <s v="MVD Srinivas"/>
    <s v="PCBA - Proactive Obsolescence of TH Controller"/>
    <s v="Phil"/>
    <s v=""/>
    <s v="N/A"/>
    <s v="LCM"/>
    <s v="SOURCING"/>
    <s v="Key components &amp; Electronics"/>
    <s v="DXR"/>
    <s v="PD"/>
    <s v="IL2"/>
    <n v="0.1"/>
    <x v="542"/>
    <s v="India"/>
    <s v="SYSTEUR"/>
    <s v="FTE"/>
    <s v="Bhushan Barve"/>
    <s v="Phil"/>
  </r>
  <r>
    <s v="PDTEAM525"/>
    <s v="MVD Srinivas"/>
    <s v="PCBA - SCOPO UI Redesign"/>
    <s v="Phil"/>
    <s v=""/>
    <s v="N/A"/>
    <s v="LCM"/>
    <s v="SOURCING"/>
    <s v="Key components &amp; Electronics"/>
    <s v="DXR"/>
    <s v="PD"/>
    <s v="IL2"/>
    <n v="0.1"/>
    <x v="542"/>
    <s v="India"/>
    <s v="SYSTEUR"/>
    <s v="FTE"/>
    <s v="Bhushan Barve"/>
    <s v="Phil"/>
  </r>
  <r>
    <s v="PDTEAM524"/>
    <s v="MVD Srinivas"/>
    <s v="PCBA - SCOPO Controller Redesign"/>
    <s v="Phil"/>
    <s v=""/>
    <s v="N/A"/>
    <s v="LCM"/>
    <s v="SOURCING"/>
    <s v="Key components &amp; Electronics"/>
    <s v="DXR"/>
    <s v="PD"/>
    <s v="IL2"/>
    <n v="0.1"/>
    <x v="542"/>
    <s v="India"/>
    <s v="SYSTEUR"/>
    <s v="FTE"/>
    <s v="Bhushan Barve"/>
    <s v="Phil"/>
  </r>
  <r>
    <s v="COMP_ENG3"/>
    <s v="Vijayanand Purushothaman"/>
    <s v="PCBA Component Life Cycle Analysis"/>
    <s v="Raj"/>
    <s v=""/>
    <s v="N/A"/>
    <s v="LCM"/>
    <s v="CONCEPT"/>
    <s v="Key components &amp; Electronics"/>
    <s v="IGT-S"/>
    <s v="IGT"/>
    <s v="IL3"/>
    <n v="0.4"/>
    <x v="542"/>
    <s v="India"/>
    <s v="SYSTEUR"/>
    <s v="FTE"/>
    <s v="Bhushan Barve"/>
    <s v="Phil"/>
  </r>
  <r>
    <s v="PDTEAM613"/>
    <s v="Damodar Sarnobat"/>
    <s v="STET MR LCE MECHANICAL"/>
    <s v="Phil"/>
    <s v=""/>
    <s v="N/A"/>
    <s v="LCM"/>
    <s v="TCO"/>
    <s v="Mechanical Parts &amp; Assemblies"/>
    <s v="MR"/>
    <s v="PD"/>
    <s v="IL2"/>
    <n v="1"/>
    <x v="543"/>
    <s v="India"/>
    <s v="SYSTEUR"/>
    <s v="FTE"/>
    <s v="Avinash Gosavi"/>
    <s v="Phil"/>
  </r>
  <r>
    <s v="01MOSLCMCR"/>
    <s v="Ponkshe, Mihir"/>
    <s v="LCM CR in IGT- MOS"/>
    <s v="Raj"/>
    <s v=""/>
    <s v="N/A"/>
    <s v="AOS"/>
    <s v="SOURCING"/>
    <s v="Key components &amp; Electronics"/>
    <s v="IGT-MoS"/>
    <s v="IGT"/>
    <s v="IL3"/>
    <n v="0.7"/>
    <x v="544"/>
    <s v="India"/>
    <s v="SYSTEUR"/>
    <s v="Contingent"/>
    <s v="Manish Sharma"/>
    <s v="Raj"/>
  </r>
  <r>
    <s v="02MOSLCMSICR"/>
    <s v="Ponkshe, Mihir"/>
    <s v="LCM SICR in IGT-MOS"/>
    <s v="Raj"/>
    <s v=""/>
    <s v="N/A"/>
    <s v="AOS"/>
    <s v="SOURCING"/>
    <s v="Key components &amp; Electronics"/>
    <s v="IGT-MoS"/>
    <s v="IGT"/>
    <s v="IL3"/>
    <n v="0.3"/>
    <x v="544"/>
    <s v="India"/>
    <s v="SYSTEUR"/>
    <s v="Contingent"/>
    <s v="Manish Sharma"/>
    <s v="Raj"/>
  </r>
  <r>
    <s v="PDTEAM415"/>
    <s v="Srinivas, M.V.D "/>
    <s v="PCBA Health DXR"/>
    <s v="Phil"/>
    <s v=""/>
    <s v="N/A"/>
    <s v="LCM"/>
    <s v="SOURCING"/>
    <s v="Key components &amp; Electronics"/>
    <s v="DXR"/>
    <s v="PD"/>
    <s v="IL2"/>
    <n v="1"/>
    <x v="545"/>
    <s v="India"/>
    <s v="SYSTEUR"/>
    <s v="FTE"/>
    <s v="M.V.D Srinivas"/>
    <s v="Phil"/>
  </r>
  <r>
    <s v="VM15 Display"/>
    <s v="Jidhish Sidharthan"/>
    <s v="VM15 Display"/>
    <s v="Nishant"/>
    <s v=""/>
    <s v="N/A"/>
    <s v="NPI"/>
    <s v="CONCEPT"/>
    <s v="Key components &amp; Electronics"/>
    <s v="US"/>
    <s v="PD"/>
    <s v="IL1"/>
    <n v="1"/>
    <x v="546"/>
    <s v="India"/>
    <s v="SYSTEUR"/>
    <s v="FTE"/>
    <s v="Raghavendra Gaonkar"/>
    <s v="Nishant"/>
  </r>
  <r>
    <s v="ART-India"/>
    <s v="Vijayanand Purushothaman"/>
    <s v="LCM Support for India"/>
    <s v="Raj"/>
    <s v=""/>
    <s v="N/A"/>
    <s v="LCM"/>
    <s v="SOURCING"/>
    <s v="Mechanical Parts &amp; Assemblies"/>
    <s v="IGT-S"/>
    <s v="IGT"/>
    <s v="IL3"/>
    <n v="1"/>
    <x v="547"/>
    <s v="India"/>
    <s v="SYSTEUR"/>
    <s v="FTE"/>
    <s v="Manish Sharma"/>
    <s v="Raj"/>
  </r>
  <r>
    <s v="PJ-028049"/>
    <s v="Sushruth Rudrachary"/>
    <s v="IPL MLD/LCM - High End Technical"/>
    <s v="Tim"/>
    <s v=""/>
    <s v="N/A"/>
    <s v="LCM"/>
    <s v="CONCEPT"/>
    <s v="Personal Health"/>
    <s v="GB"/>
    <s v="PH"/>
    <s v="IL2"/>
    <n v="0.5"/>
    <x v="548"/>
    <s v="India"/>
    <s v="SYSTEUR"/>
    <s v="Contingent"/>
    <s v="Pramila Mote"/>
    <s v="Bokelman"/>
  </r>
  <r>
    <s v="PJ-009562"/>
    <s v="Sushruth Rudrachary"/>
    <s v="1Grooming LcM"/>
    <s v="Tim"/>
    <s v=""/>
    <s v="N/A"/>
    <s v="LCM"/>
    <s v="CONCEPT"/>
    <s v="Personal Health"/>
    <s v="GB"/>
    <s v="PH"/>
    <s v="IL2"/>
    <n v="0.5"/>
    <x v="548"/>
    <s v="India"/>
    <s v="SYSTEUR"/>
    <s v="Contingent"/>
    <s v="Pramila Mote"/>
    <s v="Bokelman"/>
  </r>
  <r>
    <s v="01MOSLCMCR"/>
    <s v="Ponkshe, Mihir"/>
    <s v="LCM CR in IGT- MOS"/>
    <s v="Raj"/>
    <s v=""/>
    <s v="N/A"/>
    <s v="AOS"/>
    <s v="SOURCING"/>
    <s v="Key components &amp; Electronics"/>
    <s v="IGT-MoS"/>
    <s v="IGT"/>
    <s v="IL3"/>
    <n v="0.6"/>
    <x v="549"/>
    <s v="India"/>
    <s v="SYSTEUR"/>
    <s v="FTE"/>
    <s v="Manish Sharma"/>
    <s v="Raj"/>
  </r>
  <r>
    <s v="02MOSLCMSICR"/>
    <s v="Ponkshe, Mihir"/>
    <s v="LCM SICR in IGT-MOS"/>
    <s v="Raj"/>
    <s v=""/>
    <s v="N/A"/>
    <s v="AOS"/>
    <s v="SOURCING"/>
    <s v="Key components &amp; Electronics"/>
    <s v="IGT-MoS"/>
    <s v="IGT"/>
    <s v="IL3"/>
    <n v="0.4"/>
    <x v="549"/>
    <s v="India"/>
    <s v="SYSTEUR"/>
    <s v="FTE"/>
    <s v="Manish Sharma"/>
    <s v="Raj"/>
  </r>
  <r>
    <s v="CARTPDCUS4"/>
    <s v="Charles Moses"/>
    <s v="Carts PDC-Ultrasound iMAMA Lumify Rollstand"/>
    <s v="Nishant"/>
    <s v=""/>
    <s v="N/A"/>
    <s v="CART PDC"/>
    <s v="CONCEPT"/>
    <s v="Mechanical Parts &amp; Assemblies"/>
    <s v="US"/>
    <s v="PD"/>
    <s v="IL1"/>
    <n v="1"/>
    <x v="550"/>
    <s v="India"/>
    <s v="SYSTEUR"/>
    <s v="FTE"/>
    <s v="Charles Moses"/>
    <s v="Nishant"/>
  </r>
  <r>
    <s v="PJ-028051"/>
    <s v="Sushruth Rudrachary"/>
    <s v="IPL MLD/LCM - Mid End Technical"/>
    <s v="Tim"/>
    <s v=""/>
    <s v="N/A"/>
    <s v="LCM"/>
    <s v="CONCEPT"/>
    <s v="Personal Health"/>
    <s v="GB"/>
    <s v="PH"/>
    <s v="IL2"/>
    <n v="1"/>
    <x v="551"/>
    <s v="India"/>
    <s v="SYSTEUR"/>
    <s v="FTE"/>
    <s v="Yogesh Shelgaonkar"/>
    <s v="Tim"/>
  </r>
  <r>
    <s v="CR0109873"/>
    <s v="Charles Moses"/>
    <s v="AOS Texas Instruments THS3061DGNR"/>
    <s v="Nishant"/>
    <s v=""/>
    <s v="N/A"/>
    <s v="AOS"/>
    <s v="SOURCING"/>
    <s v="Key components &amp; Electronics"/>
    <s v="US"/>
    <s v="PD"/>
    <s v="IL3"/>
    <n v="0.5"/>
    <x v="552"/>
    <s v="India"/>
    <s v="SYSTEUR"/>
    <s v="FTE"/>
    <s v="Anand Navalagi"/>
    <s v="Raj"/>
  </r>
  <r>
    <s v="CR0113701"/>
    <s v="Charles Moses"/>
    <s v="12NC 453561327981 IND,10UH,20%,2.5A,SMD is declined and needs to be addressed as a part of respin in Epic channel boards with phase 4"/>
    <s v="Nishant"/>
    <s v=""/>
    <s v="N/A"/>
    <s v="AOS"/>
    <s v="SOURCING"/>
    <s v="Key components &amp; Electronics"/>
    <s v="US"/>
    <s v="PD"/>
    <s v="IL3"/>
    <n v="0.5"/>
    <x v="552"/>
    <s v="India"/>
    <s v="SYSTEUR"/>
    <s v="FTE"/>
    <s v="Anand Navalagi"/>
    <s v="Raj"/>
  </r>
  <r>
    <s v="PDTEAM560"/>
    <s v="Damodar Sarnobat"/>
    <s v="STET CT/AMI-  LCM FRU Resolutions"/>
    <s v="Phil"/>
    <s v=""/>
    <s v="N/A"/>
    <s v="LCM"/>
    <s v="TCO"/>
    <s v="Key components &amp; Electronics"/>
    <s v="CT/AMI"/>
    <s v="PD"/>
    <s v="IL2"/>
    <n v="1"/>
    <x v="553"/>
    <s v="India"/>
    <s v="SYSTEUR"/>
    <s v="FTE"/>
    <s v="Subhankar Das"/>
    <s v="Phil"/>
  </r>
  <r>
    <s v="IGTS_LCM"/>
    <s v="Saravanakumar Palani_x000a__x000a_"/>
    <s v="IGTS_LCM"/>
    <s v="Raj"/>
    <s v=""/>
    <s v="N/A"/>
    <s v="LCM"/>
    <s v="CONCEPT"/>
    <s v="Mechanical Parts &amp; Assemblies"/>
    <s v="IGT-S"/>
    <s v="IGT"/>
    <s v="IL2"/>
    <n v="1"/>
    <x v="554"/>
    <s v="India"/>
    <s v="SYSTEUR"/>
    <s v="FTE"/>
    <s v="Vijayanand Purushothaman"/>
    <s v="Raj"/>
  </r>
  <r>
    <s v="OHC_LCM_1"/>
    <s v="Saurabh Agarwal"/>
    <s v="LCM Activities"/>
    <s v="Tim"/>
    <s v=""/>
    <s v="N/A"/>
    <s v="LCM"/>
    <s v="CONCEPT"/>
    <s v="Personal Health"/>
    <s v="OHC"/>
    <s v="PH"/>
    <s v="IL3"/>
    <n v="1"/>
    <x v="555"/>
    <s v="India"/>
    <s v="SYSTEUR"/>
    <s v="FTE"/>
    <s v="Amol Ravindra Balkawade"/>
    <s v="Raj"/>
  </r>
  <r>
    <s v="CT/AMI_L&amp;A"/>
    <s v="N/A"/>
    <s v="MISC. ENTRY TO BALANCE WITH RESOURCE DATABASE"/>
    <s v="All"/>
    <s v=""/>
    <s v="N/A"/>
    <s v="L&amp;A"/>
    <s v="L&amp;A"/>
    <s v="L&amp;A"/>
    <s v="CT/AMI"/>
    <s v="PD"/>
    <s v="IL0"/>
    <n v="0.2"/>
    <x v="556"/>
    <s v="India"/>
    <s v="SYSTEUR"/>
    <s v="Contingent"/>
    <s v="Kiran MR"/>
    <s v="Phil"/>
  </r>
  <r>
    <s v="PD - IC L&amp;A"/>
    <s v="Adrianna"/>
    <s v="PD - IC L&amp;A Allocations"/>
    <s v="Phil"/>
    <s v=""/>
    <s v="N/A"/>
    <s v="L&amp;A"/>
    <s v="L&amp;A"/>
    <s v="N/A"/>
    <s v="IC"/>
    <s v="PD"/>
    <s v="IL3"/>
    <n v="0.2"/>
    <x v="556"/>
    <s v="India"/>
    <s v="SYSTEUR"/>
    <s v="Contingent"/>
    <s v="Kiran MR"/>
    <s v="Phil"/>
  </r>
  <r>
    <s v="DXR_L&amp;A"/>
    <s v="N/A"/>
    <s v="MISC. ENTRY TO BALANCE WITH RESOURCE DATABASE"/>
    <s v="All"/>
    <s v=""/>
    <s v="N/A"/>
    <s v="L&amp;A"/>
    <s v="L&amp;A"/>
    <s v="L&amp;A"/>
    <s v="DXR"/>
    <s v="PD"/>
    <s v="IL0"/>
    <n v="0.3"/>
    <x v="556"/>
    <s v="India"/>
    <s v="SYSTEUR"/>
    <s v="Contingent"/>
    <s v="Kiran MR"/>
    <s v="Phil"/>
  </r>
  <r>
    <s v="MR_L&amp;A"/>
    <s v="N/A"/>
    <s v="MISC. ENTRY TO BALANCE WITH RESOURCE DATABASE"/>
    <s v="All"/>
    <s v=""/>
    <s v="N/A"/>
    <s v="L&amp;A"/>
    <s v="L&amp;A"/>
    <s v="L&amp;A"/>
    <s v="MR"/>
    <s v="PD"/>
    <s v="IL0"/>
    <n v="0.3"/>
    <x v="556"/>
    <s v="India"/>
    <s v="SYSTEUR"/>
    <s v="Contingent"/>
    <s v="Kiran MR"/>
    <s v="Phil"/>
  </r>
  <r>
    <s v="04MOSLCMMAJPROJ"/>
    <s v="Ponkshe, Mihir"/>
    <s v="LCM Major project in IGT-MOS"/>
    <s v="Raj"/>
    <s v=""/>
    <s v="N/A"/>
    <s v="AOS"/>
    <s v="SOURCING"/>
    <s v="Key components &amp; Electronics"/>
    <s v="IGT-MoS"/>
    <s v="IGT"/>
    <s v="IL3"/>
    <n v="1"/>
    <x v="557"/>
    <s v="India"/>
    <s v="SYSTEUR"/>
    <s v="FTE"/>
    <s v="Mihir Ponkshe"/>
    <s v="Raj"/>
  </r>
  <r>
    <s v="42231"/>
    <s v="Swapnil Kamerkar_x000a_"/>
    <s v="HPM Service and repairs: pallets, boxes, crates reuse"/>
    <s v="Raj"/>
    <s v=""/>
    <s v="PROCUREMENT"/>
    <s v="PRODUCTIVITY"/>
    <s v="CONCEPT"/>
    <s v="Repair Centers &amp; Service Parts"/>
    <s v="HPM"/>
    <s v="CC"/>
    <s v="IL1"/>
    <n v="0.05"/>
    <x v="558"/>
    <s v="India"/>
    <s v="SYSTEUR"/>
    <s v="FTE"/>
    <s v="Vijayanand Purushothaman"/>
    <s v="Raj"/>
  </r>
  <r>
    <s v="IGTS_LCM"/>
    <s v="Saravanakumar Palani_x000a__x000a_"/>
    <s v="IGTS_LCM"/>
    <s v="Raj"/>
    <s v=""/>
    <s v="N/A"/>
    <s v="LCM"/>
    <s v="CONCEPT"/>
    <s v="Mechanical Parts &amp; Assemblies"/>
    <s v="IGT-S"/>
    <s v="IGT"/>
    <s v="IL2"/>
    <n v="0.4"/>
    <x v="558"/>
    <s v="India"/>
    <s v="SYSTEUR"/>
    <s v="FTE"/>
    <s v="Vijayanand Purushothaman"/>
    <s v="Raj"/>
  </r>
  <r>
    <s v="42229"/>
    <s v="Swapnil Kamerkar_x000a_"/>
    <s v="HPM Service and repair: field service make/buy"/>
    <s v="Raj"/>
    <s v=""/>
    <s v="PROCUREMENT"/>
    <s v="PRODUCTIVITY"/>
    <s v="CONCEPT"/>
    <s v="Repair Centers &amp; Service Parts"/>
    <s v="HPM"/>
    <s v="CC"/>
    <s v="IL1"/>
    <n v="0.1"/>
    <x v="558"/>
    <s v="India"/>
    <s v="SYSTEUR"/>
    <s v="FTE"/>
    <s v="Vijayanand Purushothaman"/>
    <s v="Raj"/>
  </r>
  <r>
    <s v="Tailored-Products-overview 2025"/>
    <s v="Saravanakumar Palani_x000a_"/>
    <s v="3rd Party Tailored-Products-overview"/>
    <s v="Raj"/>
    <s v=""/>
    <s v="N/A"/>
    <s v="LCM"/>
    <s v="SOURCING"/>
    <s v="Medical ODM Markets"/>
    <s v="IGT-S"/>
    <s v="IGT"/>
    <s v="IL5"/>
    <n v="0.2"/>
    <x v="558"/>
    <s v="India"/>
    <s v="SYSTEUR"/>
    <s v="FTE"/>
    <s v="Vijayanand Purushothaman"/>
    <s v="Raj"/>
  </r>
  <r>
    <s v="36516"/>
    <s v="Saurabh Agrawal"/>
    <s v="Marvel: DD 5.0: CAIRO NON-CONNECTED PCBA FCP Improvement"/>
    <s v="Tim"/>
    <s v=""/>
    <s v="PROCUREMENT"/>
    <s v="PRODUCTIVITY"/>
    <s v="CONCEPT"/>
    <s v="Personal Health"/>
    <s v="OHC"/>
    <s v="PH"/>
    <s v="IL3"/>
    <n v="1"/>
    <x v="559"/>
    <s v="India"/>
    <s v="SYSTEUR"/>
    <s v="FTE"/>
    <s v="Samar Rajan Dash"/>
    <s v="Tim"/>
  </r>
  <r>
    <s v="PDTEAM525"/>
    <s v="MVD Srinivas"/>
    <s v="PCBA - SCOPO UI Redesign"/>
    <s v="Phil"/>
    <s v=""/>
    <s v="N/A"/>
    <s v="LCM"/>
    <s v="SOURCING"/>
    <s v="Key components &amp; Electronics"/>
    <s v="DXR"/>
    <s v="PD"/>
    <s v="IL2"/>
    <n v="1"/>
    <x v="560"/>
    <s v="India"/>
    <s v="SYSTEUR"/>
    <s v="Contingent"/>
    <s v="Bhushan Barve"/>
    <s v="Phil"/>
  </r>
  <r>
    <s v="PJ-028049"/>
    <s v="Sushruth Rudrachary"/>
    <s v="IPL MLD/LCM - High End Technical"/>
    <s v="Tim"/>
    <s v=""/>
    <s v="N/A"/>
    <s v="LCM"/>
    <s v="CONCEPT"/>
    <s v="Personal Health"/>
    <s v="GB"/>
    <s v="PH"/>
    <s v="IL2"/>
    <n v="0.5"/>
    <x v="561"/>
    <s v="India"/>
    <s v="SYSTEUR"/>
    <s v="FTE"/>
    <s v="Manoj Verma"/>
    <s v="Nishant"/>
  </r>
  <r>
    <s v="PJ-009562"/>
    <s v="Sushruth Rudrachary"/>
    <s v="1Grooming LcM"/>
    <s v="Tim"/>
    <s v=""/>
    <s v="N/A"/>
    <s v="LCM"/>
    <s v="CONCEPT"/>
    <s v="Personal Health"/>
    <s v="GB"/>
    <s v="PH"/>
    <s v="IL2"/>
    <n v="0.5"/>
    <x v="561"/>
    <s v="India"/>
    <s v="SYSTEUR"/>
    <s v="FTE"/>
    <s v="Manoj Verma"/>
    <s v="Nishant"/>
  </r>
  <r>
    <s v="Funnel Activities"/>
    <s v="NA"/>
    <s v="Funnel/Business case/Technical feasibility"/>
    <s v="All"/>
    <s v=""/>
    <s v="Funnel Activities"/>
    <s v="Funnel Activities"/>
    <s v="Funnel Activities"/>
    <s v="Funnel Activities"/>
    <s v="Funnel Activities"/>
    <s v="Funnel Activities"/>
    <s v="IL0"/>
    <n v="0.4"/>
    <x v="562"/>
    <s v="India"/>
    <s v="SYSTEUR"/>
    <s v="FTE"/>
    <s v="Chinnaraja Pon S"/>
    <s v="Raj"/>
  </r>
  <r>
    <s v="CS-2021-031"/>
    <s v="Kulasekhar (KK)"/>
    <s v="Big monitor change"/>
    <s v="Raj"/>
    <s v=""/>
    <s v="TCO"/>
    <s v="PRODUCTIVITY"/>
    <s v="CONCEPT"/>
    <s v="Mechanical Parts &amp; Assemblies"/>
    <s v="IGT-S"/>
    <s v="IGT"/>
    <s v="IL4"/>
    <n v="0.1"/>
    <x v="562"/>
    <s v="India"/>
    <s v="SYSTEUR"/>
    <s v="FTE"/>
    <s v="Chinnaraja Pon S"/>
    <s v="Raj"/>
  </r>
  <r>
    <s v="CS-2024-014"/>
    <s v="Vivek Sonagra"/>
    <s v="EPX 3.0 Wear reductions for MRC 0508 (2027 impact)"/>
    <s v="Raj"/>
    <s v=""/>
    <s v="PROCUREMENT"/>
    <s v="PRODUCTIVITY"/>
    <s v="SOURCING"/>
    <s v="Mechanical Parts &amp; Assemblies"/>
    <s v="IGT-S"/>
    <s v="IGT"/>
    <s v="IL4"/>
    <n v="0.1"/>
    <x v="562"/>
    <s v="India"/>
    <s v="SYSTEUR"/>
    <s v="FTE"/>
    <s v="Chinnaraja Pon S"/>
    <s v="Raj"/>
  </r>
  <r>
    <s v="CS-2024-015"/>
    <s v="Vivek Sonagra"/>
    <s v="EPX 3.0 Wear reductions for MRC 0508 (2028 impact)"/>
    <s v="Raj"/>
    <s v=""/>
    <s v="PROCUREMENT"/>
    <s v="PRODUCTIVITY"/>
    <s v="SOURCING"/>
    <s v="Mechanical Parts &amp; Assemblies"/>
    <s v="IGT-S"/>
    <s v="IGT"/>
    <s v="IL4"/>
    <n v="0.1"/>
    <x v="562"/>
    <s v="India"/>
    <s v="SYSTEUR"/>
    <s v="FTE"/>
    <s v="Chinnaraja Pon S"/>
    <s v="Raj"/>
  </r>
  <r>
    <s v="CS-2025-153"/>
    <s v="Vivek Sonagra"/>
    <s v="Wear reduction EPX 2.0 for Allura &amp; Azurion (2026 impact)"/>
    <s v="Raj"/>
    <s v=""/>
    <s v="PROCUREMENT"/>
    <s v="PRODUCTIVITY"/>
    <s v="SOURCING"/>
    <s v="Mechanical Parts &amp; Assemblies"/>
    <s v="IGT-S"/>
    <s v="IGT"/>
    <s v="IL4"/>
    <n v="0.1"/>
    <x v="562"/>
    <s v="India"/>
    <s v="SYSTEUR"/>
    <s v="FTE"/>
    <s v="Chinnaraja Pon S"/>
    <s v="Raj"/>
  </r>
  <r>
    <s v="CS-2025-154"/>
    <s v="Vivek Sonagra"/>
    <s v="Wear reduction EPX 2.0 for Allura &amp; Azurion (2027 impact)"/>
    <s v="Raj"/>
    <s v=""/>
    <s v="PROCUREMENT"/>
    <s v="PRODUCTIVITY"/>
    <s v="SOURCING"/>
    <s v="Mechanical Parts &amp; Assemblies"/>
    <s v="IGT-S"/>
    <s v="IGT"/>
    <s v="IL5"/>
    <n v="0.1"/>
    <x v="562"/>
    <s v="India"/>
    <s v="SYSTEUR"/>
    <s v="FTE"/>
    <s v="Chinnaraja Pon S"/>
    <s v="Raj"/>
  </r>
  <r>
    <s v="CS-2025-155"/>
    <s v="Vivek Sonagra"/>
    <s v="Wear reduction EPX 2.0 for Allura &amp; Azurion (2028 impact)"/>
    <s v="Raj"/>
    <s v=""/>
    <s v="PROCUREMENT"/>
    <s v="PRODUCTIVITY"/>
    <s v="SOURCING"/>
    <s v="Mechanical Parts &amp; Assemblies"/>
    <s v="IGT-S"/>
    <s v="IGT"/>
    <s v="IL1"/>
    <n v="0.1"/>
    <x v="562"/>
    <s v="India"/>
    <s v="SYSTEUR"/>
    <s v="FTE"/>
    <s v="Chinnaraja Pon S"/>
    <s v="Raj"/>
  </r>
  <r>
    <s v="CARTPDCHPM_1"/>
    <s v="Charles Moses"/>
    <s v="Carts PDC - HPM - Calimero material Fetal Cart"/>
    <s v="Nishant"/>
    <s v=""/>
    <s v="N/A"/>
    <s v="CART PDC"/>
    <s v="CONCEPT"/>
    <s v="Mechanical Parts &amp; Assemblies"/>
    <s v="HPM"/>
    <s v="CC"/>
    <s v="IL1"/>
    <n v="1"/>
    <x v="563"/>
    <s v="India"/>
    <s v="SYSTEUR"/>
    <s v="FTE"/>
    <s v="Charles Moses"/>
    <s v="Nishant"/>
  </r>
  <r>
    <s v="PDTEAM525"/>
    <s v="MVD Srinivas"/>
    <s v="PCBA - SCOPO UI Redesign"/>
    <s v="Phil"/>
    <s v=""/>
    <s v="N/A"/>
    <s v="LCM"/>
    <s v="SOURCING"/>
    <s v="Key components &amp; Electronics"/>
    <s v="DXR"/>
    <s v="PD"/>
    <s v="IL2"/>
    <n v="0.2"/>
    <x v="564"/>
    <s v="India"/>
    <s v="SYSTEUR"/>
    <s v="FTE"/>
    <s v="Bhushan Barve"/>
    <s v="Phil"/>
  </r>
  <r>
    <s v="PDTEAM521"/>
    <s v="MVD Srinivas"/>
    <s v="PCBA - Proactive Obsolescence of TH Controller"/>
    <s v="Phil"/>
    <s v=""/>
    <s v="N/A"/>
    <s v="LCM"/>
    <s v="SOURCING"/>
    <s v="Key components &amp; Electronics"/>
    <s v="DXR"/>
    <s v="PD"/>
    <s v="IL2"/>
    <n v="0.2"/>
    <x v="564"/>
    <s v="India"/>
    <s v="SYSTEUR"/>
    <s v="FTE"/>
    <s v="Bhushan Barve"/>
    <s v="Phil"/>
  </r>
  <r>
    <s v="PDTEAM521"/>
    <s v="MVD Srinivas"/>
    <s v="PCBA - Proactive Obsolescence of TH Controller"/>
    <s v="Phil"/>
    <s v=""/>
    <s v="N/A"/>
    <s v="LCM"/>
    <s v="SOURCING"/>
    <s v="Key components &amp; Electronics"/>
    <s v="DXR"/>
    <s v="PD"/>
    <s v="IL2"/>
    <n v="0.3"/>
    <x v="564"/>
    <s v="India"/>
    <s v="SYSTEUR"/>
    <s v="FTE"/>
    <s v="Bhushan Barve"/>
    <s v="Phil"/>
  </r>
  <r>
    <s v="PDTEAM525"/>
    <s v="MVD Srinivas"/>
    <s v="PCBA - SCOPO UI Redesign"/>
    <s v="Phil"/>
    <s v=""/>
    <s v="N/A"/>
    <s v="LCM"/>
    <s v="SOURCING"/>
    <s v="Key components &amp; Electronics"/>
    <s v="DXR"/>
    <s v="PD"/>
    <s v="IL2"/>
    <n v="0.3"/>
    <x v="564"/>
    <s v="India"/>
    <s v="SYSTEUR"/>
    <s v="FTE"/>
    <s v="Bhushan Barve"/>
    <s v="Phil"/>
  </r>
  <r>
    <s v="42094"/>
    <s v="Fred Cai "/>
    <s v="Gust 1.5T Bridge solution coil package"/>
    <s v="Phil"/>
    <s v=""/>
    <s v="PROCUREMENT"/>
    <s v="NPI"/>
    <s v="SOURCING"/>
    <s v="Mechanical Parts &amp; Assemblies"/>
    <s v="MR"/>
    <s v="PD"/>
    <s v="IL2"/>
    <n v="0.6"/>
    <x v="565"/>
    <s v="China"/>
    <s v="SYSTEUR"/>
    <s v="FTE"/>
    <s v="Thomas Liu"/>
    <s v="Phil"/>
  </r>
  <r>
    <s v="41060"/>
    <s v="Fred Cai "/>
    <s v="Gust 3.0T NPI"/>
    <s v="Phil"/>
    <s v=""/>
    <s v="PROCUREMENT"/>
    <s v="PRODUCTIVITY"/>
    <s v="CONCEPT"/>
    <s v="Key components &amp; Electronics"/>
    <s v="MR"/>
    <s v="PD"/>
    <s v="IL1"/>
    <n v="0.4"/>
    <x v="565"/>
    <s v="China"/>
    <s v="SYSTEUR"/>
    <s v="FTE"/>
    <s v="Thomas Liu"/>
    <s v="Phil"/>
  </r>
  <r>
    <s v="40654"/>
    <s v="Fred Cai "/>
    <s v="BD III Kollmorgen motors manufacturing localization from Brno to Tianjin"/>
    <s v="Phil"/>
    <s v=""/>
    <s v="PROCUREMENT"/>
    <s v="PRODUCTIVITY"/>
    <s v="SOURCING"/>
    <s v="Mechanical Parts &amp; Assemblies"/>
    <s v="IGT-S"/>
    <s v="IGT"/>
    <s v="IL2"/>
    <n v="1"/>
    <x v="566"/>
    <s v="China"/>
    <s v="SYSTEUR"/>
    <s v="FTE"/>
    <s v="Fred Cai"/>
    <s v="Phil"/>
  </r>
  <r>
    <s v="37955"/>
    <s v="Fred Cai "/>
    <s v="Taichi Calibration phanton transfer from HP to LCC"/>
    <s v="Phil"/>
    <s v=""/>
    <s v="PROCUREMENT"/>
    <s v="PRODUCTIVITY"/>
    <s v="SOURCING"/>
    <s v="Mechanical Parts &amp; Assemblies"/>
    <s v="CT/AMI"/>
    <s v="PD"/>
    <s v="IL2"/>
    <n v="0.2"/>
    <x v="567"/>
    <s v="China"/>
    <s v="SYSTEUR"/>
    <s v="FTE"/>
    <s v="Sam Zhao"/>
    <s v="Phil"/>
  </r>
  <r>
    <s v="37934"/>
    <s v="Fred Cai "/>
    <s v="Hawk calibration phantom transfer from H.P to LCC"/>
    <s v="Phil"/>
    <s v=""/>
    <s v="PROCUREMENT"/>
    <s v="PRODUCTIVITY"/>
    <s v="SOURCING"/>
    <s v="Mechanical Parts &amp; Assemblies"/>
    <s v="CT/AMI"/>
    <s v="PD"/>
    <s v="IL2"/>
    <n v="0.3"/>
    <x v="567"/>
    <s v="China"/>
    <s v="SYSTEUR"/>
    <s v="FTE"/>
    <s v="Sam Zhao"/>
    <s v="Phil"/>
  </r>
  <r>
    <s v="34408"/>
    <s v="ShaSha Shi"/>
    <s v="BB/Hawk/Taichi H-Phantom transfer (CTI to Joho)"/>
    <s v="Phil"/>
    <s v=""/>
    <s v="PROCUREMENT"/>
    <s v="PRODUCTIVITY"/>
    <s v="SOURCING"/>
    <s v="Mechanical Parts &amp; Assemblies"/>
    <s v="CT/AMI"/>
    <s v="PD"/>
    <s v="IL3"/>
    <n v="0.5"/>
    <x v="567"/>
    <s v="China"/>
    <s v="SYSTEUR"/>
    <s v="FTE"/>
    <s v="Sam Zhao"/>
    <s v="Phil"/>
  </r>
  <r>
    <s v="38662"/>
    <s v="Fred Cai "/>
    <s v="Noah Cover VCP Project"/>
    <s v="Phil"/>
    <s v=""/>
    <s v="PROCUREMENT"/>
    <s v="PRODUCTIVITY"/>
    <s v="CONCEPT"/>
    <s v="Mechanical Parts &amp; Assemblies"/>
    <s v="CT/AMI"/>
    <s v="PD"/>
    <s v="IL2"/>
    <n v="0.4"/>
    <x v="568"/>
    <s v="China"/>
    <s v="SYSTEUR"/>
    <s v="FTE"/>
    <s v="Sam Zhao"/>
    <s v="Phil"/>
  </r>
  <r>
    <s v="34330"/>
    <s v="Adrianna Davis"/>
    <s v="Noah HLA machining parts to Laser cutting/(Scissor &amp; connecting block/seat)"/>
    <s v="Phil"/>
    <s v=""/>
    <s v="PROCUREMENT"/>
    <s v="PRODUCTIVITY"/>
    <s v="CONCEPT"/>
    <s v="Mechanical Parts &amp; Assemblies"/>
    <s v="CT/AMI"/>
    <s v="PD"/>
    <s v="IL3"/>
    <n v="0.5"/>
    <x v="568"/>
    <s v="China"/>
    <s v="SYSTEUR"/>
    <s v="FTE"/>
    <s v="Sam Zhao"/>
    <s v="Phil"/>
  </r>
  <r>
    <s v="35092"/>
    <s v="Fred Cai "/>
    <s v="Bobsled-Hawk GPC sourcing transfer from GMI to LCC"/>
    <s v="Phil"/>
    <s v=""/>
    <s v="PROCUREMENT"/>
    <s v="PRODUCTIVITY"/>
    <s v="SOURCING"/>
    <s v="Medical ODM Markets"/>
    <s v="CT/AMI"/>
    <s v="PD"/>
    <s v="IL2"/>
    <n v="0.1"/>
    <x v="568"/>
    <s v="China"/>
    <s v="SYSTEUR"/>
    <s v="FTE"/>
    <s v="Sam Zhao"/>
    <s v="Phil"/>
  </r>
  <r>
    <s v="36789"/>
    <s v="Fred Cai "/>
    <s v="Cable Localization "/>
    <s v="Phil"/>
    <s v=""/>
    <s v="PROCUREMENT"/>
    <s v="PRODUCTIVITY"/>
    <s v="SOURCING"/>
    <s v="Mechanical Parts &amp; Assemblies"/>
    <s v="IGT-S"/>
    <s v="IGT"/>
    <s v="IL2"/>
    <n v="0.7"/>
    <x v="569"/>
    <s v="China"/>
    <s v="SYSTEUR"/>
    <s v="FTE"/>
    <s v="Thomas Liu"/>
    <s v="Phil"/>
  </r>
  <r>
    <s v="36792"/>
    <s v="Fred Cai "/>
    <s v="BD II Localization of 459800159532 ETHERNET CABLE 30M (from Prodrive to cable supplier)"/>
    <s v="Phil"/>
    <s v=""/>
    <s v="PROCUREMENT"/>
    <s v="PRODUCTIVITY"/>
    <s v="SOURCING"/>
    <s v="Key components &amp; Electronics"/>
    <s v="IGT-S"/>
    <s v="IGT"/>
    <s v="IL2"/>
    <n v="0.3"/>
    <x v="569"/>
    <s v="China"/>
    <s v="SYSTEUR"/>
    <s v="FTE"/>
    <s v="Thomas Liu"/>
    <s v="Phil"/>
  </r>
  <r>
    <s v="42094"/>
    <s v="Fred Cai "/>
    <s v="Gust 1.5T Bridge solution coil package"/>
    <s v="Phil"/>
    <s v=""/>
    <s v="PROCUREMENT"/>
    <s v="NPI"/>
    <s v="SOURCING"/>
    <s v="Mechanical Parts &amp; Assemblies"/>
    <s v="MR"/>
    <s v="PD"/>
    <s v="IL2"/>
    <n v="1"/>
    <x v="570"/>
    <s v="China"/>
    <s v="SYSTEUR"/>
    <s v="FTE"/>
    <s v="Sam Zhao"/>
    <s v="Phil"/>
  </r>
  <r>
    <s v="33232"/>
    <s v="Johnson Jiang"/>
    <s v="STET:Qin Ling_Driver mechanical box cost down"/>
    <s v="Phil"/>
    <s v=""/>
    <s v="PROCUREMENT"/>
    <s v="PRODUCTIVITY"/>
    <s v="CONCEPT"/>
    <s v="Mechanical Parts &amp; Assemblies"/>
    <s v="MR"/>
    <s v="PD"/>
    <s v="IL3"/>
    <n v="0.1"/>
    <x v="571"/>
    <s v="China"/>
    <s v="SYSTEUR"/>
    <s v="FTE"/>
    <s v="Sam Zhao"/>
    <s v="Phil"/>
  </r>
  <r>
    <s v="33765"/>
    <s v="Fred Cai"/>
    <s v="STET Qin Ling DFX: High integrated circulator design"/>
    <s v="Phil"/>
    <s v=""/>
    <s v="PROCUREMENT"/>
    <s v="PRODUCTIVITY"/>
    <s v="CONCEPT"/>
    <s v="Mechanical Parts &amp; Assemblies"/>
    <s v="MR"/>
    <s v="PD"/>
    <s v="IL2"/>
    <n v="0.3"/>
    <x v="571"/>
    <s v="China"/>
    <s v="SYSTEUR"/>
    <s v="FTE"/>
    <s v="Sam Zhao"/>
    <s v="Phil"/>
  </r>
  <r>
    <s v="38848"/>
    <s v="Fred Cai "/>
    <s v="Shield Fence of RF Assy Redesign"/>
    <s v="Phil"/>
    <s v=""/>
    <s v="PROCUREMENT"/>
    <s v="AOS"/>
    <s v="CONCEPT"/>
    <s v="Mechanical Parts &amp; Assemblies"/>
    <s v="MR"/>
    <s v="PD"/>
    <s v="IL3"/>
    <n v="0.1"/>
    <x v="571"/>
    <s v="China"/>
    <s v="SYSTEUR"/>
    <s v="FTE"/>
    <s v="Sam Zhao"/>
    <s v="Phil"/>
  </r>
  <r>
    <s v="39686"/>
    <s v="Fred Cai "/>
    <s v="WDH 2.0/AN8150-4 to Next-Gen LDMOS RFA In-House - 1.5T"/>
    <s v="Phil"/>
    <s v=""/>
    <s v="N/A"/>
    <s v="PRODUCTIVITY"/>
    <s v="CONCEPT"/>
    <s v="Medical ODM Markets"/>
    <s v="MR"/>
    <s v="PD"/>
    <s v="IL1"/>
    <n v="0.5"/>
    <x v="571"/>
    <s v="China"/>
    <s v="SYSTEUR"/>
    <s v="FTE"/>
    <s v="Sam Zhao"/>
    <s v="Phil"/>
  </r>
  <r>
    <s v="37101"/>
    <s v="Fred Cai"/>
    <s v="Incisive 5G Slipring 2nd source to NBG_Tiger"/>
    <s v="Phil"/>
    <s v=""/>
    <s v="PROCUREMENT"/>
    <s v="PRODUCTIVITY"/>
    <s v="CONCEPT"/>
    <s v="Mechanical Parts &amp; Assemblies"/>
    <s v="CT/AMI"/>
    <s v="PD"/>
    <s v="IL2"/>
    <n v="0.5"/>
    <x v="572"/>
    <s v="China"/>
    <s v="SYSTEUR"/>
    <s v="FTE"/>
    <s v="Fred Cai"/>
    <s v="Phil"/>
  </r>
  <r>
    <s v="37521"/>
    <s v="Fred Cai "/>
    <s v="ING&amp;BB Moog slipring drum and brush block EOL resource to NBG_Derisk "/>
    <s v="Phil"/>
    <s v=""/>
    <s v="PROCUREMENT"/>
    <s v="AOS"/>
    <s v="SOURCING"/>
    <s v="Mechanical Parts &amp; Assemblies"/>
    <s v="CT/AMI"/>
    <s v="PD"/>
    <s v="IL3"/>
    <n v="0.2"/>
    <x v="572"/>
    <s v="China"/>
    <s v="SYSTEUR"/>
    <s v="FTE"/>
    <s v="Fred Cai"/>
    <s v="Phil"/>
  </r>
  <r>
    <s v="34037"/>
    <s v="Fred Cai"/>
    <s v="Billy-Gradient Amp 1.6MVA"/>
    <s v="Phil"/>
    <s v=""/>
    <s v="PROCUREMENT"/>
    <s v="PRODUCTIVITY"/>
    <s v="CONCEPT"/>
    <s v="Key components &amp; Electronics"/>
    <s v="MR"/>
    <s v="PD"/>
    <s v="IL3"/>
    <n v="1"/>
    <x v="573"/>
    <s v="China"/>
    <s v="SYSTEUR"/>
    <s v="FTE"/>
    <s v="Sam Zhao"/>
    <s v="Phil"/>
  </r>
  <r>
    <s v="36779"/>
    <s v="Ailin"/>
    <s v="AG700 to GA31D - MR 5300 &amp; Ambition S"/>
    <s v="Phil"/>
    <s v=""/>
    <s v="PROCUREMENT"/>
    <s v="PRODUCTIVITY"/>
    <s v="CONCEPT"/>
    <s v="Mechanical Parts &amp; Assemblies"/>
    <s v="MR"/>
    <s v="PD"/>
    <s v="IL2"/>
    <n v="0.4"/>
    <x v="574"/>
    <s v="China"/>
    <s v="SYSTEUR"/>
    <s v="FTE"/>
    <s v="Thomas Liu"/>
    <s v="Phil"/>
  </r>
  <r>
    <s v="34037"/>
    <s v="Fred Cai"/>
    <s v="Billy-Gradient Amp 1.6MVA"/>
    <s v="Phil"/>
    <s v=""/>
    <s v="PROCUREMENT"/>
    <s v="PRODUCTIVITY"/>
    <s v="CONCEPT"/>
    <s v="Key components &amp; Electronics"/>
    <s v="MR"/>
    <s v="PD"/>
    <s v="IL3"/>
    <n v="0.2"/>
    <x v="574"/>
    <s v="China"/>
    <s v="SYSTEUR"/>
    <s v="FTE"/>
    <s v="Thomas Liu"/>
    <s v="Phil"/>
  </r>
  <r>
    <s v="39686"/>
    <s v="Fred Cai "/>
    <s v="WDH 2.0/AN8150-4 to Next-Gen LDMOS RFA In-House - 1.5T"/>
    <s v="Phil"/>
    <s v=""/>
    <s v="N/A"/>
    <s v="PRODUCTIVITY"/>
    <s v="CONCEPT"/>
    <s v="Medical ODM Markets"/>
    <s v="MR"/>
    <s v="PD"/>
    <s v="IL1"/>
    <n v="0.4"/>
    <x v="574"/>
    <s v="China"/>
    <s v="SYSTEUR"/>
    <s v="FTE"/>
    <s v="Thomas Liu"/>
    <s v="Phil"/>
  </r>
  <r>
    <s v="26320"/>
    <s v="Fred Cai"/>
    <s v="BD-Sheet metal mono parts and &amp; Installation frame China localization (unit price reduction)"/>
    <s v="Phil"/>
    <s v=""/>
    <s v="PROCUREMENT"/>
    <s v="PRODUCTIVITY"/>
    <s v="SOURCING"/>
    <s v="Mechanical Parts &amp; Assemblies"/>
    <s v="IGT-S"/>
    <s v="IGT"/>
    <s v="IL3"/>
    <n v="1"/>
    <x v="575"/>
    <s v="China"/>
    <s v="SYSTEUR"/>
    <s v="FTE"/>
    <s v="Sam Zhao"/>
    <s v="Phil"/>
  </r>
  <r>
    <s v="43466"/>
    <s v="Steven Ji"/>
    <s v="Backup Cooling unit - 1.5T"/>
    <s v="Phil"/>
    <s v=""/>
    <s v="PROCUREMENT"/>
    <s v="NPI"/>
    <s v="CONCEPT"/>
    <s v="Key components &amp; Electronics"/>
    <s v="MR"/>
    <s v="PD"/>
    <s v="IL2"/>
    <n v="0.2"/>
    <x v="576"/>
    <s v="China"/>
    <s v="SYSTEUR"/>
    <s v="FTE"/>
    <s v="Sam Zhao"/>
    <s v="Phil"/>
  </r>
  <r>
    <s v="43468"/>
    <s v="Steven Ji"/>
    <s v="Backup Cooling 1.5T"/>
    <s v="Phil"/>
    <s v=""/>
    <s v="PROCUREMENT"/>
    <s v="NPI"/>
    <s v="CONCEPT"/>
    <s v="Medical ODM Markets"/>
    <s v="MR"/>
    <s v="PD"/>
    <s v="IL2"/>
    <n v="0.8"/>
    <x v="576"/>
    <s v="China"/>
    <s v="SYSTEUR"/>
    <s v="FTE"/>
    <s v="Sam Zhao"/>
    <s v="Phil"/>
  </r>
  <r>
    <s v="41060"/>
    <s v="Fred Cai "/>
    <s v="Gust 3.0T NPI"/>
    <s v="Phil"/>
    <s v=""/>
    <s v="PROCUREMENT"/>
    <s v="PRODUCTIVITY"/>
    <s v="CONCEPT"/>
    <s v="Key components &amp; Electronics"/>
    <s v="MR"/>
    <s v="PD"/>
    <s v="IL1"/>
    <n v="1"/>
    <x v="577"/>
    <s v="China"/>
    <s v="SYSTEUR"/>
    <s v="FTE"/>
    <s v="Sam Zhao"/>
    <s v="Phil"/>
  </r>
  <r>
    <s v="42094"/>
    <s v="Fred Cai "/>
    <s v="Gust 1.5T Bridge solution coil package"/>
    <s v="Phil"/>
    <s v=""/>
    <s v="PROCUREMENT"/>
    <s v="NPI"/>
    <s v="SOURCING"/>
    <s v="Mechanical Parts &amp; Assemblies"/>
    <s v="MR"/>
    <s v="PD"/>
    <s v="IL2"/>
    <n v="0.7"/>
    <x v="578"/>
    <s v="China"/>
    <s v="SYSTEUR"/>
    <s v="FTE"/>
    <s v="Thomas Liu"/>
    <s v="Phil"/>
  </r>
  <r>
    <s v="41060"/>
    <s v="Fred Cai "/>
    <s v="Gust 3.0T NPI"/>
    <s v="Phil"/>
    <s v=""/>
    <s v="PROCUREMENT"/>
    <s v="PRODUCTIVITY"/>
    <s v="CONCEPT"/>
    <s v="Key components &amp; Electronics"/>
    <s v="MR"/>
    <s v="PD"/>
    <s v="IL1"/>
    <n v="0.3"/>
    <x v="578"/>
    <s v="China"/>
    <s v="SYSTEUR"/>
    <s v="FTE"/>
    <s v="Thomas Liu"/>
    <s v="Phil"/>
  </r>
  <r>
    <s v="40685"/>
    <s v="Tiger Xiao"/>
    <s v="L12-5 FPC From Topsun(Tin-Lead) to SUIWA (Tin%)"/>
    <s v="Phil"/>
    <s v=""/>
    <s v="PROCUREMENT"/>
    <s v="AOS"/>
    <s v="SOURCING"/>
    <s v="Key components &amp; Electronics"/>
    <s v="US-Trans"/>
    <s v="PD"/>
    <s v="IL2"/>
    <n v="0.2"/>
    <x v="579"/>
    <s v="China"/>
    <s v="SYSTEUR"/>
    <s v="FTE"/>
    <s v="Sam Zhao"/>
    <s v="Phil"/>
  </r>
  <r>
    <s v="34139"/>
    <s v="Tiger Xiao"/>
    <s v="APEX-L15-7IO PCBA+Heatsink localization"/>
    <s v="Phil"/>
    <s v=""/>
    <s v="PROCUREMENT"/>
    <s v="PRODUCTIVITY"/>
    <s v="CONCEPT"/>
    <s v="Key components &amp; Electronics"/>
    <s v="US-Trans"/>
    <s v="PD"/>
    <s v="IL4"/>
    <n v="0.3"/>
    <x v="579"/>
    <s v="China"/>
    <s v="SYSTEUR"/>
    <s v="FTE"/>
    <s v="Sam Zhao"/>
    <s v="Phil"/>
  </r>
  <r>
    <s v="40566"/>
    <s v="Tiger Xiao"/>
    <s v="APEX: Localization C5-1 FPC from Tech-Etch to SUIWA"/>
    <s v="Phil"/>
    <s v=""/>
    <s v="PROCUREMENT"/>
    <s v="PRODUCTIVITY"/>
    <s v="SOURCING"/>
    <s v="Key components &amp; Electronics"/>
    <s v="US-Trans"/>
    <s v="PD"/>
    <s v="IL2"/>
    <n v="0.3"/>
    <x v="579"/>
    <s v="China"/>
    <s v="SYSTEUR"/>
    <s v="FTE"/>
    <s v="Sam Zhao"/>
    <s v="Phil"/>
  </r>
  <r>
    <s v="41485"/>
    <s v="Tiger Xiao"/>
    <s v="Transfer S5-1 FPC from Tech Etch to Shennan Circuits (SCC)"/>
    <s v="Phil"/>
    <s v=""/>
    <s v="PROCUREMENT"/>
    <s v="PRODUCTIVITY"/>
    <s v="SOURCING"/>
    <s v="Key components &amp; Electronics"/>
    <s v="US-Trans"/>
    <s v="PD"/>
    <s v="IL2"/>
    <n v="0.2"/>
    <x v="579"/>
    <s v="China"/>
    <s v="SYSTEUR"/>
    <s v="FTE"/>
    <s v="Sam Zhao"/>
    <s v="Phil"/>
  </r>
  <r>
    <s v="37521"/>
    <s v="Fred Cai "/>
    <s v="ING&amp;BB Moog slipring drum and brush block EOL resource to NBG_Derisk "/>
    <s v="Phil"/>
    <s v=""/>
    <s v="PROCUREMENT"/>
    <s v="AOS"/>
    <s v="SOURCING"/>
    <s v="Mechanical Parts &amp; Assemblies"/>
    <s v="CT/AMI"/>
    <s v="PD"/>
    <s v="IL3"/>
    <n v="1"/>
    <x v="580"/>
    <s v="China"/>
    <s v="SYSTEUR"/>
    <s v="FTE"/>
    <s v="Thomas Liu"/>
    <s v="Phil"/>
  </r>
  <r>
    <s v="36791"/>
    <s v="Fred Cai "/>
    <s v="BD II Rotation unit localization (NTS to local supplier)"/>
    <s v="Phil"/>
    <s v=""/>
    <s v="PROCUREMENT"/>
    <s v="PRODUCTIVITY"/>
    <s v="SOURCING"/>
    <s v="Mechanical Parts &amp; Assemblies"/>
    <s v="IGT-S"/>
    <s v="IGT"/>
    <s v="IL2"/>
    <n v="1"/>
    <x v="581"/>
    <s v="China"/>
    <s v="SYSTEUR"/>
    <s v="FTE"/>
    <s v="Sam Zhao"/>
    <s v="Phil"/>
  </r>
  <r>
    <s v="37900"/>
    <s v="JJ Chen"/>
    <s v="BD- L-arc China supply base (unit price reduction)"/>
    <s v="Phil"/>
    <s v=""/>
    <s v="PROCUREMENT"/>
    <s v="PRODUCTIVITY"/>
    <s v="SOURCING"/>
    <s v="Mechanical Parts &amp; Assemblies"/>
    <s v="IGT-S"/>
    <s v="IGT"/>
    <s v="IL2"/>
    <n v="1"/>
    <x v="582"/>
    <s v="China"/>
    <s v="SYSTEUR"/>
    <s v="FTE"/>
    <s v="Sam Zhao"/>
    <s v="Phil"/>
  </r>
  <r>
    <s v="26320"/>
    <s v="Fred Cai"/>
    <s v="BD-Sheet metal mono parts and &amp; Installation frame China localization (unit price reduction)"/>
    <s v="Phil"/>
    <s v=""/>
    <s v="PROCUREMENT"/>
    <s v="PRODUCTIVITY"/>
    <s v="SOURCING"/>
    <s v="Mechanical Parts &amp; Assemblies"/>
    <s v="IGT-S"/>
    <s v="IGT"/>
    <s v="IL3"/>
    <n v="1"/>
    <x v="583"/>
    <s v="China"/>
    <s v="SYSTEUR"/>
    <s v="FTE"/>
    <s v="Sam Zhao"/>
    <s v="Phil"/>
  </r>
  <r>
    <s v="34037"/>
    <s v="Fred Cai"/>
    <s v="Billy-Gradient Amp 1.6MVA"/>
    <s v="Phil"/>
    <s v=""/>
    <s v="PROCUREMENT"/>
    <s v="PRODUCTIVITY"/>
    <s v="CONCEPT"/>
    <s v="Key components &amp; Electronics"/>
    <s v="MR"/>
    <s v="PD"/>
    <s v="IL3"/>
    <n v="1"/>
    <x v="584"/>
    <s v="China"/>
    <s v="SYSTEUR"/>
    <s v="FTE"/>
    <s v="Thomas Liu"/>
    <s v="Phil"/>
  </r>
  <r>
    <s v="GBLCM1"/>
    <s v="Sushruth Rudrachary"/>
    <s v="LCA G&amp;B"/>
    <s v="Tim"/>
    <s v=""/>
    <s v="N/A"/>
    <s v="LCM"/>
    <s v="CONCEPT"/>
    <s v="Personal Health"/>
    <s v="GB"/>
    <s v="PH"/>
    <s v="IL2"/>
    <n v="1"/>
    <x v="585"/>
    <s v="India"/>
    <s v="SYSTEUR"/>
    <s v="Contingent"/>
    <s v="Yogesh Shelgaonkar"/>
    <s v="Bokelman"/>
  </r>
  <r>
    <s v="PDTEAM531"/>
    <s v="Krishnaraj Kalghatgi"/>
    <s v="STET CT AMI - V&amp;V"/>
    <s v="Phil"/>
    <s v=""/>
    <s v="N/A"/>
    <s v="LCM"/>
    <s v="SOURCING"/>
    <s v="Key components &amp; Electronics"/>
    <s v="CT/AMI"/>
    <s v="PD"/>
    <s v="IL2"/>
    <n v="1"/>
    <x v="586"/>
    <s v="India"/>
    <s v="SYSTEUR"/>
    <s v="FTE"/>
    <s v="Subhankar Das"/>
    <s v="Phil"/>
  </r>
  <r>
    <s v="PDTEAM613"/>
    <s v="Damodar Sarnobat"/>
    <s v="STET MR LCE MECHANICAL"/>
    <s v="Phil"/>
    <s v=""/>
    <s v="N/A"/>
    <s v="LCM"/>
    <s v="TCO"/>
    <s v="Mechanical Parts &amp; Assemblies"/>
    <s v="MR"/>
    <s v="PD"/>
    <s v="IL2"/>
    <n v="1"/>
    <x v="587"/>
    <s v="India"/>
    <s v="SYSTEUR"/>
    <s v="FTE"/>
    <s v="Kiran MR"/>
    <s v="Phil"/>
  </r>
  <r>
    <s v="OHC_LCM_1"/>
    <s v="Saurabh Agarwal"/>
    <s v="LCM Activities"/>
    <s v="Tim"/>
    <s v=""/>
    <s v="N/A"/>
    <s v="LCM"/>
    <s v="CONCEPT"/>
    <s v="Personal Health"/>
    <s v="OHC"/>
    <s v="PH"/>
    <s v="IL3"/>
    <n v="1"/>
    <x v="588"/>
    <s v="India"/>
    <s v="SYSTEUR"/>
    <s v="FTE"/>
    <s v="Neeraj Chhabra"/>
    <s v="Tim"/>
  </r>
  <r>
    <s v="33973"/>
    <s v="Vijay Purushothaman"/>
    <s v="Nicolet Plastic Parts localization to LCC- Derisking"/>
    <s v="Phil"/>
    <s v=""/>
    <s v="PROCUREMENT"/>
    <s v="PRODUCTIVITY"/>
    <s v="SOURCING"/>
    <s v="Mechanical Parts &amp; Assemblies"/>
    <s v="MR"/>
    <s v="PD"/>
    <s v="IL3"/>
    <n v="1"/>
    <x v="589"/>
    <s v="India"/>
    <s v="SYSTEUR"/>
    <s v="FTE"/>
    <s v="Sanjeev Kumar"/>
    <s v="Tim"/>
  </r>
  <r>
    <s v="HPM_Sustaining_Monitoring_09122205"/>
    <s v="Jidhish Sidharthan_x000a_"/>
    <s v="HPM Sustaining Projects support - Monitoring"/>
    <s v="Nishant"/>
    <s v=""/>
    <s v="N/A"/>
    <s v="LCM"/>
    <s v="SOURCING"/>
    <s v="All"/>
    <s v="HPM"/>
    <s v="CC"/>
    <s v="IL3"/>
    <n v="0.5"/>
    <x v="590"/>
    <s v="India"/>
    <s v="SYSTEUR"/>
    <s v="Contingent"/>
    <s v="Manoj Verma"/>
    <s v="Nishant"/>
  </r>
  <r>
    <s v="HPM_Sustaining_MRPC_09122205"/>
    <s v="Jidhish Sidharthan_x000a_"/>
    <s v="HPM Sustaining Projects support - MRPC"/>
    <s v="Nishant"/>
    <s v=""/>
    <s v="N/A"/>
    <s v="LCM"/>
    <s v="SOURCING"/>
    <s v="All"/>
    <s v="HPM"/>
    <s v="CC"/>
    <s v="IL3"/>
    <n v="0.5"/>
    <x v="590"/>
    <s v="India"/>
    <s v="SYSTEUR"/>
    <s v="Contingent"/>
    <s v="Manoj Verma"/>
    <s v="Nishant"/>
  </r>
  <r>
    <s v="PJ-028051"/>
    <s v="Sushruth Rudrachary"/>
    <s v="IPL MLD/LCM - Mid End Technical"/>
    <s v="Tim"/>
    <s v=""/>
    <s v="N/A"/>
    <s v="LCM"/>
    <s v="CONCEPT"/>
    <s v="Personal Health"/>
    <s v="GB"/>
    <s v="PH"/>
    <s v="IL2"/>
    <n v="0.2"/>
    <x v="591"/>
    <s v="India"/>
    <s v="SYSTEUR"/>
    <s v="FTE"/>
    <s v="Sushruth Rudrachary"/>
    <s v="Tim"/>
  </r>
  <r>
    <s v="PJ-028050"/>
    <s v="Sushruth Rudrachary"/>
    <s v="IPL MLD/LCM - Mid End Program"/>
    <s v="Tim"/>
    <s v=""/>
    <s v="N/A"/>
    <s v="LCM"/>
    <s v="CONCEPT"/>
    <s v="Personal Health"/>
    <s v="GB"/>
    <s v="PH"/>
    <s v="IL2"/>
    <n v="0.1"/>
    <x v="591"/>
    <s v="India"/>
    <s v="SYSTEUR"/>
    <s v="FTE"/>
    <s v="Sushruth Rudrachary"/>
    <s v="Tim"/>
  </r>
  <r>
    <s v="GB_L&amp;A"/>
    <s v="N/A"/>
    <s v="MISC. ENTRY TO BALANCE WITH RESOURCE DATABASE"/>
    <s v="All"/>
    <s v=""/>
    <s v="N/A"/>
    <s v="L&amp;A"/>
    <s v="L&amp;A"/>
    <s v="L&amp;A"/>
    <s v="GB"/>
    <s v="PH"/>
    <s v="IL0"/>
    <n v="0.5"/>
    <x v="591"/>
    <s v="India"/>
    <s v="SYSTEUR"/>
    <s v="FTE"/>
    <s v="Sushruth Rudrachary"/>
    <s v="Tim"/>
  </r>
  <r>
    <s v="PJ-006578"/>
    <s v="Sushruth Rudrachary"/>
    <s v="Shaving LcM"/>
    <s v="Tim"/>
    <s v=""/>
    <s v="N/A"/>
    <s v="LCM"/>
    <s v="CONCEPT"/>
    <s v="Personal Health"/>
    <s v="GB"/>
    <s v="PH"/>
    <s v="IL2"/>
    <n v="0.2"/>
    <x v="591"/>
    <s v="India"/>
    <s v="SYSTEUR"/>
    <s v="FTE"/>
    <s v="Sushruth Rudrachary"/>
    <s v="Tim"/>
  </r>
  <r>
    <s v="04MOSLCMMAJPROJ"/>
    <s v="Ponkshe, Mihir"/>
    <s v="LCM Major project in IGT-MOS"/>
    <s v="Raj"/>
    <s v=""/>
    <s v="N/A"/>
    <s v="AOS"/>
    <s v="SOURCING"/>
    <s v="Key components &amp; Electronics"/>
    <s v="IGT-MoS"/>
    <s v="IGT"/>
    <s v="IL3"/>
    <n v="1"/>
    <x v="592"/>
    <s v="India"/>
    <s v="SYSTEUR"/>
    <s v="FTE"/>
    <s v="Manish Sharma"/>
    <s v="Raj"/>
  </r>
  <r>
    <s v="42094"/>
    <s v="Fred Cai "/>
    <s v="Gust 1.5T Bridge solution coil package"/>
    <s v="Phil"/>
    <s v=""/>
    <s v="PROCUREMENT"/>
    <s v="NPI"/>
    <s v="SOURCING"/>
    <s v="Mechanical Parts &amp; Assemblies"/>
    <s v="MR"/>
    <s v="PD"/>
    <s v="IL2"/>
    <n v="1"/>
    <x v="593"/>
    <s v="China"/>
    <s v="SYSTEUR"/>
    <s v="FTE"/>
    <s v="Sam Zhao"/>
    <s v="Phil"/>
  </r>
  <r>
    <s v="34037"/>
    <s v="Fred Cai"/>
    <s v="Billy-Gradient Amp 1.6MVA"/>
    <s v="Phil"/>
    <s v=""/>
    <s v="PROCUREMENT"/>
    <s v="PRODUCTIVITY"/>
    <s v="CONCEPT"/>
    <s v="Key components &amp; Electronics"/>
    <s v="MR"/>
    <s v="PD"/>
    <s v="IL3"/>
    <n v="0.8"/>
    <x v="594"/>
    <s v="China"/>
    <s v="SYSTEUR"/>
    <s v="FTE"/>
    <s v="Sam Zhao"/>
    <s v="Phil"/>
  </r>
  <r>
    <s v="36779"/>
    <s v="Ailin"/>
    <s v="AG700 to GA31D - MR 5300 &amp; Ambition S"/>
    <s v="Phil"/>
    <s v=""/>
    <s v="PROCUREMENT"/>
    <s v="PRODUCTIVITY"/>
    <s v="CONCEPT"/>
    <s v="Mechanical Parts &amp; Assemblies"/>
    <s v="MR"/>
    <s v="PD"/>
    <s v="IL2"/>
    <n v="0.2"/>
    <x v="594"/>
    <s v="China"/>
    <s v="SYSTEUR"/>
    <s v="FTE"/>
    <s v="Sam Zhao"/>
    <s v="Phil"/>
  </r>
  <r>
    <s v="IGTS Data Sustainability"/>
    <s v="Saravanakumar Palani"/>
    <s v="IGTS Data Sustainability Project (CSRD)"/>
    <s v="Raj"/>
    <s v=""/>
    <s v="N/A"/>
    <s v="LCM"/>
    <s v="SOURCING"/>
    <s v="Mechanical Parts &amp; Assemblies"/>
    <s v="IGT-S"/>
    <s v="IGT"/>
    <s v="IL3"/>
    <n v="0.5"/>
    <x v="595"/>
    <s v="India"/>
    <s v="SYSTEUR"/>
    <s v="FTE"/>
    <s v="Vijayanand Purushothaman"/>
    <s v="Raj"/>
  </r>
  <r>
    <s v="IGTS_LCM"/>
    <s v="Saravanakumar Palani_x000a__x000a_"/>
    <s v="IGTS_LCM"/>
    <s v="Raj"/>
    <s v=""/>
    <s v="N/A"/>
    <s v="LCM"/>
    <s v="CONCEPT"/>
    <s v="Mechanical Parts &amp; Assemblies"/>
    <s v="IGT-S"/>
    <s v="IGT"/>
    <s v="IL2"/>
    <n v="0.25"/>
    <x v="595"/>
    <s v="India"/>
    <s v="SYSTEUR"/>
    <s v="FTE"/>
    <s v="Vijayanand Purushothaman"/>
    <s v="Raj"/>
  </r>
  <r>
    <s v="802983"/>
    <s v="Saravanakumar Palani"/>
    <s v="Zollner Exit : 6 PCBA HLA Parts Transfer"/>
    <s v="Raj"/>
    <s v=""/>
    <s v="N/A"/>
    <s v="LCM"/>
    <s v="SOURCING"/>
    <s v="Key components &amp; Electronics"/>
    <s v="IGT-S"/>
    <s v="IGT"/>
    <s v="IL1"/>
    <n v="0.25"/>
    <x v="595"/>
    <s v="India"/>
    <s v="SYSTEUR"/>
    <s v="FTE"/>
    <s v="Vijayanand Purushothaman"/>
    <s v="Raj"/>
  </r>
  <r>
    <s v="PDTEAM407"/>
    <s v="M R Kiran"/>
    <s v="Factory Internal supplier SQN &amp; SCAR Management"/>
    <s v="Phil"/>
    <s v=""/>
    <s v="N/A"/>
    <s v="LCM"/>
    <s v="SOURCING"/>
    <s v="Mechanical Parts &amp; Assemblies"/>
    <s v="CT/AMI"/>
    <s v="PD"/>
    <s v="IL2"/>
    <n v="0.8"/>
    <x v="596"/>
    <s v="India"/>
    <s v="SYSTEUR"/>
    <s v="FTE"/>
    <s v="Kiran MR"/>
    <s v="Phil"/>
  </r>
  <r>
    <s v="39686"/>
    <s v="Fred Cai "/>
    <s v="WDH 2.0/AN8150-4 to Next-Gen LDMOS RFA In-House - 1.5T"/>
    <s v="Phil"/>
    <s v=""/>
    <s v="N/A"/>
    <s v="PRODUCTIVITY"/>
    <s v="CONCEPT"/>
    <s v="Medical ODM Markets"/>
    <s v="MR"/>
    <s v="PD"/>
    <s v="IL1"/>
    <n v="0.5"/>
    <x v="597"/>
    <s v="China"/>
    <s v="SYSTEUR"/>
    <s v="FTE"/>
    <s v="Thomas Liu"/>
    <s v="Phil"/>
  </r>
  <r>
    <s v="34037"/>
    <s v="Fred Cai"/>
    <s v="Billy-Gradient Amp 1.6MVA"/>
    <s v="Phil"/>
    <s v=""/>
    <s v="PROCUREMENT"/>
    <s v="PRODUCTIVITY"/>
    <s v="CONCEPT"/>
    <s v="Key components &amp; Electronics"/>
    <s v="MR"/>
    <s v="PD"/>
    <s v="IL3"/>
    <n v="0.5"/>
    <x v="597"/>
    <s v="China"/>
    <s v="SYSTEUR"/>
    <s v="FTE"/>
    <s v="Thomas Liu"/>
    <s v="Phil"/>
  </r>
  <r>
    <s v="35092"/>
    <s v="Fred Cai "/>
    <s v="Bobsled-Hawk GPC sourcing transfer from GMI to LCC"/>
    <s v="Phil"/>
    <s v=""/>
    <s v="PROCUREMENT"/>
    <s v="PRODUCTIVITY"/>
    <s v="SOURCING"/>
    <s v="Medical ODM Markets"/>
    <s v="CT/AMI"/>
    <s v="PD"/>
    <s v="IL2"/>
    <n v="1"/>
    <x v="598"/>
    <s v="China"/>
    <s v="SYSTEUR"/>
    <s v="FTE"/>
    <s v="Thomas Liu"/>
    <s v="Phil"/>
  </r>
  <r>
    <s v="40557"/>
    <s v="Fred Cai "/>
    <s v="Hawk collimator transfer to LPCM"/>
    <s v="Phil"/>
    <s v=""/>
    <s v="PROCUREMENT"/>
    <s v="PRODUCTIVITY"/>
    <s v="SOURCING"/>
    <s v="Mechanical Parts &amp; Assemblies"/>
    <s v="CT/AMI"/>
    <s v="PD"/>
    <s v="IL1"/>
    <n v="0.5"/>
    <x v="599"/>
    <s v="China"/>
    <s v="SYSTEUR"/>
    <s v="FTE"/>
    <s v="Sam Zhao"/>
    <s v="Phil"/>
  </r>
  <r>
    <s v="35092"/>
    <s v="Fred Cai "/>
    <s v="Bobsled-Hawk GPC sourcing transfer from GMI to LCC"/>
    <s v="Phil"/>
    <s v=""/>
    <s v="PROCUREMENT"/>
    <s v="PRODUCTIVITY"/>
    <s v="SOURCING"/>
    <s v="Medical ODM Markets"/>
    <s v="CT/AMI"/>
    <s v="PD"/>
    <s v="IL2"/>
    <n v="1"/>
    <x v="600"/>
    <s v="China"/>
    <s v="SYSTEUR"/>
    <s v="FTE"/>
    <s v="Thomas Liu"/>
    <s v="Phil"/>
  </r>
  <r>
    <s v="43468"/>
    <s v="Steven Ji"/>
    <s v="Backup Cooling 1.5T"/>
    <s v="Phil"/>
    <s v=""/>
    <s v="PROCUREMENT"/>
    <s v="NPI"/>
    <s v="CONCEPT"/>
    <s v="Medical ODM Markets"/>
    <s v="MR"/>
    <s v="PD"/>
    <s v="IL2"/>
    <n v="1"/>
    <x v="601"/>
    <s v="China"/>
    <s v="SYSTEUR"/>
    <s v="FTE"/>
    <s v="Sam Zhao"/>
    <s v="Phil"/>
  </r>
  <r>
    <s v="PJ-006578"/>
    <s v="Sushruth Rudrachary"/>
    <s v="Shaving LcM"/>
    <s v="Tim"/>
    <s v=""/>
    <s v="N/A"/>
    <s v="LCM"/>
    <s v="CONCEPT"/>
    <s v="Personal Health"/>
    <s v="GB"/>
    <s v="PH"/>
    <s v="IL2"/>
    <n v="0.8"/>
    <x v="602"/>
    <s v="India"/>
    <s v="SYSTEUR"/>
    <s v="Contingent"/>
    <s v="Yogesh Shelgaonkar"/>
    <s v="Tim"/>
  </r>
  <r>
    <s v="RfS 272677"/>
    <s v="Sushruth Rudrachary"/>
    <s v="REGMEM AMB 554-23055 - EU - Corporate Sustainability Reporting Directive (CSRD - (EU) 2022/2464)"/>
    <s v="Tim"/>
    <s v=""/>
    <s v="N/A"/>
    <s v="LCM"/>
    <s v="CONCEPT"/>
    <s v="Personal Health"/>
    <s v="GB"/>
    <s v="PH"/>
    <s v="IL5"/>
    <n v="0.2"/>
    <x v="602"/>
    <s v="India"/>
    <s v="SYSTEUR"/>
    <s v="Contingent"/>
    <s v="Yogesh Shelgaonkar"/>
    <s v="Tim"/>
  </r>
  <r>
    <s v="CT/AMI_L&amp;A"/>
    <s v="N/A"/>
    <s v="MISC. ENTRY TO BALANCE WITH RESOURCE DATABASE"/>
    <s v="All"/>
    <s v=""/>
    <s v="N/A"/>
    <s v="L&amp;A"/>
    <s v="L&amp;A"/>
    <s v="L&amp;A"/>
    <s v="CT/AMI"/>
    <s v="PD"/>
    <s v="IL0"/>
    <n v="0.5"/>
    <x v="603"/>
    <s v="USA"/>
    <s v="SYSTEUR"/>
    <s v="FTE"/>
    <s v="Yadav, A."/>
    <s v="Anil Yadav"/>
  </r>
  <r>
    <s v="MR_L&amp;A"/>
    <s v="N/A"/>
    <s v="MISC. ENTRY TO BALANCE WITH RESOURCE DATABASE"/>
    <s v="All"/>
    <s v=""/>
    <s v="N/A"/>
    <s v="L&amp;A"/>
    <s v="L&amp;A"/>
    <s v="L&amp;A"/>
    <s v="MR"/>
    <s v="PD"/>
    <s v="IL0"/>
    <n v="0.5"/>
    <x v="603"/>
    <s v="USA"/>
    <s v="SYSTEUR"/>
    <s v="FTE"/>
    <s v="Yadav, A."/>
    <s v="Anil Yadav"/>
  </r>
  <r>
    <s v="CT/AMI_Funnel Activities"/>
    <s v="NA"/>
    <s v="Funnel/Business case/Technical feasibility"/>
    <s v="All"/>
    <s v=""/>
    <s v="Funnel Activities"/>
    <s v="Funnel Activities"/>
    <s v="Funnel Activities"/>
    <s v="Funnel Activities"/>
    <s v="CT/AMI"/>
    <s v="PD"/>
    <s v="IL0"/>
    <n v="0.2"/>
    <x v="604"/>
    <s v="USA"/>
    <s v="SYSTEUR"/>
    <s v="FTE"/>
    <s v="Phil Jenkins"/>
    <s v="Phil"/>
  </r>
  <r>
    <s v="MR_Funnel Activities"/>
    <s v="NA"/>
    <s v="Funnel/Business case/Technical feasibility"/>
    <s v="All"/>
    <s v=""/>
    <s v="Funnel Activities"/>
    <s v="Funnel Activities"/>
    <s v="Funnel Activities"/>
    <s v="Funnel Activities"/>
    <s v="MR"/>
    <s v="PD"/>
    <s v="IL0"/>
    <n v="0.2"/>
    <x v="604"/>
    <s v="USA"/>
    <s v="SYSTEUR"/>
    <s v="FTE"/>
    <s v="Phil Jenkins"/>
    <s v="Phil"/>
  </r>
  <r>
    <s v="DXR_Funnel Activities"/>
    <s v="NA"/>
    <s v="Funnel/Business case/Technical feasibility"/>
    <s v="All"/>
    <s v=""/>
    <s v="Funnel Activities"/>
    <s v="Funnel Activities"/>
    <s v="Funnel Activities"/>
    <s v="Funnel Activities"/>
    <s v="DXR"/>
    <s v="PD"/>
    <s v="IL0"/>
    <n v="0.2"/>
    <x v="604"/>
    <s v="USA"/>
    <s v="SYSTEUR"/>
    <s v="FTE"/>
    <s v="Phil Jenkins"/>
    <s v="Phil"/>
  </r>
  <r>
    <s v="US_L&amp;A"/>
    <s v="N/A"/>
    <s v="MISC. ENTRY TO BALANCE WITH RESOURCE DATABASE"/>
    <s v="All"/>
    <s v=""/>
    <s v="N/A"/>
    <s v="L&amp;A"/>
    <s v="L&amp;A"/>
    <s v="L&amp;A"/>
    <s v="US"/>
    <s v="PD"/>
    <s v="IL0"/>
    <n v="0.1"/>
    <x v="605"/>
    <s v="China"/>
    <s v="SYSTEUR"/>
    <s v="FTE"/>
    <s v="Phil Jenkins"/>
    <s v="Phil"/>
  </r>
  <r>
    <s v="MR_L&amp;A"/>
    <s v="N/A"/>
    <s v="MISC. ENTRY TO BALANCE WITH RESOURCE DATABASE"/>
    <s v="All"/>
    <s v=""/>
    <s v="N/A"/>
    <s v="L&amp;A"/>
    <s v="L&amp;A"/>
    <s v="L&amp;A"/>
    <s v="MR"/>
    <s v="PD"/>
    <s v="IL0"/>
    <n v="0.3"/>
    <x v="605"/>
    <s v="China"/>
    <s v="SYSTEUR"/>
    <s v="FTE"/>
    <s v="Phil Jenkins"/>
    <s v="Phil"/>
  </r>
  <r>
    <s v="CT/AMI_L&amp;A"/>
    <s v="N/A"/>
    <s v="MISC. ENTRY TO BALANCE WITH RESOURCE DATABASE"/>
    <s v="All"/>
    <s v=""/>
    <s v="N/A"/>
    <s v="L&amp;A"/>
    <s v="L&amp;A"/>
    <s v="L&amp;A"/>
    <s v="CT/AMI"/>
    <s v="PD"/>
    <s v="IL0"/>
    <n v="0.3"/>
    <x v="605"/>
    <s v="China"/>
    <s v="SYSTEUR"/>
    <s v="FTE"/>
    <s v="Phil Jenkins"/>
    <s v="Phil"/>
  </r>
  <r>
    <s v="IGT-S_L&amp;A"/>
    <s v="N/A"/>
    <s v="MISC. ENTRY TO BALANCE WITH RESOURCE DATABASE"/>
    <s v="All"/>
    <s v=""/>
    <s v="N/A"/>
    <s v="L&amp;A"/>
    <s v="L&amp;A"/>
    <s v="L&amp;A"/>
    <s v="IGT-S"/>
    <s v="IGT"/>
    <s v="IL0"/>
    <n v="0.3"/>
    <x v="605"/>
    <s v="China"/>
    <s v="SYSTEUR"/>
    <s v="FTE"/>
    <s v="Phil Jenkins"/>
    <s v="Phil"/>
  </r>
  <r>
    <s v="CR231246"/>
    <s v="Saurabh Agrawal_x000a_"/>
    <s v="NAM Region: Cairo Demand Handles Production Transition from Drachten to Batam"/>
    <s v="Tim"/>
    <s v=""/>
    <s v="N/A"/>
    <s v="LCM"/>
    <s v="CONCEPT"/>
    <s v="Personal Health"/>
    <s v="OHC"/>
    <s v="PH"/>
    <s v="IL2"/>
    <n v="0.2"/>
    <x v="606"/>
    <s v="India"/>
    <s v="SYSTEUR"/>
    <s v="FTE"/>
    <s v="Mukti Lakra"/>
    <s v="Tim"/>
  </r>
  <r>
    <s v="OHC_Funnel Activities"/>
    <s v="Saurabh Agrawal"/>
    <s v="OHC_Funnel Activities"/>
    <s v="Tim"/>
    <s v=""/>
    <s v="N/A"/>
    <s v="LCM"/>
    <s v="CONCEPT"/>
    <s v="Personal Health"/>
    <s v="OHC"/>
    <s v="PH"/>
    <s v="IL3"/>
    <n v="0.3"/>
    <x v="606"/>
    <s v="India"/>
    <s v="SYSTEUR"/>
    <s v="FTE"/>
    <s v="Mukti Lakra"/>
    <s v="Tim"/>
  </r>
  <r>
    <s v="CR116508-3"/>
    <s v="Saurabh Agrawal"/>
    <s v="Pharoah TC NA launch"/>
    <s v="Tim"/>
    <s v=""/>
    <s v="N/A"/>
    <s v="LCM"/>
    <s v="CONCEPT"/>
    <s v="Personal Health"/>
    <s v="OHC"/>
    <s v="PH"/>
    <s v="IL5"/>
    <n v="0.5"/>
    <x v="606"/>
    <s v="India"/>
    <s v="SYSTEUR"/>
    <s v="FTE"/>
    <s v="Mukti Lakra"/>
    <s v="Tim"/>
  </r>
  <r>
    <s v="CR233622"/>
    <s v="Saurabh Agrawal"/>
    <s v="Mitigation for Supply Restriction from Nexperia Manufacturing"/>
    <s v="Tim"/>
    <s v=""/>
    <s v="N/A"/>
    <s v="LCM"/>
    <s v="SOURCING"/>
    <s v="Personal Health"/>
    <s v="OHC"/>
    <s v="PH"/>
    <s v="IL3"/>
    <n v="0.5"/>
    <x v="607"/>
    <s v="India"/>
    <s v="SYSTEUR"/>
    <s v="FTE"/>
    <s v="Mukti Lakra"/>
    <s v="Tim"/>
  </r>
  <r>
    <s v="CR155689"/>
    <s v="Saurabh Agrawal"/>
    <s v="Ballcup Resin change"/>
    <s v="Tim"/>
    <s v=""/>
    <s v="N/A"/>
    <s v="LCM"/>
    <s v="CONCEPT"/>
    <s v="Mechanical Parts &amp; Assemblies"/>
    <s v="OHC"/>
    <s v="PH"/>
    <s v="IL3"/>
    <n v="0.3"/>
    <x v="607"/>
    <s v="India"/>
    <s v="SYSTEUR"/>
    <s v="FTE"/>
    <s v="Mukti Lakra"/>
    <s v="Tim"/>
  </r>
  <r>
    <s v="CR192500"/>
    <s v="Saurabh Agrawal"/>
    <s v="Mykonos – Anax"/>
    <s v="Tim"/>
    <s v=""/>
    <s v="N/A"/>
    <s v="LCM"/>
    <s v="CONCEPT"/>
    <s v="Personal Health"/>
    <s v="OHC"/>
    <s v="PH"/>
    <s v="IL3"/>
    <n v="0.2"/>
    <x v="607"/>
    <s v="India"/>
    <s v="SYSTEUR"/>
    <s v="FTE"/>
    <s v="Mukti Lakra"/>
    <s v="Tim"/>
  </r>
  <r>
    <s v="OHC_RFS_Enrichment"/>
    <s v="Saurabh Agrawal"/>
    <s v="Pre CR work allotments"/>
    <s v="Tim"/>
    <s v=""/>
    <s v="N/A"/>
    <s v="LCM"/>
    <s v="CONCEPT"/>
    <s v="Personal Health"/>
    <s v="OHC"/>
    <s v="PH"/>
    <s v="IL3"/>
    <n v="0.25"/>
    <x v="608"/>
    <s v="India"/>
    <s v="SYSTEUR"/>
    <s v="FTE"/>
    <s v="Mukti Lakra"/>
    <s v="Tim"/>
  </r>
  <r>
    <s v="CR211479"/>
    <s v="Saurabh Agrawal"/>
    <s v="Xian (Prestige-Wine) Launch in China"/>
    <s v="Tim"/>
    <s v=""/>
    <s v="IGM"/>
    <s v="Commercial Innovation"/>
    <s v="Commercial Innovation"/>
    <s v="Personal Health"/>
    <s v="OHC"/>
    <s v="PH"/>
    <s v="IL5"/>
    <n v="0.3"/>
    <x v="608"/>
    <s v="India"/>
    <s v="SYSTEUR"/>
    <s v="FTE"/>
    <s v="Mukti Lakra"/>
    <s v="Tim"/>
  </r>
  <r>
    <s v="CR219389"/>
    <s v="Saurabh Agrawal"/>
    <s v="China Reg Memo"/>
    <s v="Tim"/>
    <s v=""/>
    <s v="N/A"/>
    <s v="LCM"/>
    <s v="CONCEPT"/>
    <s v="Personal Health"/>
    <s v="OHC"/>
    <s v="PH"/>
    <s v="IL3"/>
    <n v="0.25"/>
    <x v="608"/>
    <s v="India"/>
    <s v="SYSTEUR"/>
    <s v="FTE"/>
    <s v="Mukti Lakra"/>
    <s v="Tim"/>
  </r>
  <r>
    <s v="CR209076"/>
    <s v="Saurabh Agrawal"/>
    <s v="NAR ProtectiveClean &amp; ExpertClean -Tied to Cairo midrange launch"/>
    <s v="Tim"/>
    <s v=""/>
    <s v="N/A"/>
    <s v="LCM"/>
    <s v="CONCEPT"/>
    <s v="Personal Health"/>
    <s v="OHC"/>
    <s v="PH"/>
    <s v="IL5"/>
    <n v="0.2"/>
    <x v="608"/>
    <s v="India"/>
    <s v="SYSTEUR"/>
    <s v="FTE"/>
    <s v="Mukti Lakra"/>
    <s v="Tim"/>
  </r>
  <r>
    <s v="PDTEAM434"/>
    <s v="MVD Srinivas"/>
    <s v="STET DXR-LUNA Transfer Project"/>
    <s v="Phil"/>
    <s v=""/>
    <s v="N/A"/>
    <s v="LCM"/>
    <s v="SOURCING"/>
    <s v="Mechanical Parts &amp; Assemblies"/>
    <s v="DXR"/>
    <s v="PD"/>
    <s v="IL2"/>
    <n v="0.2"/>
    <x v="609"/>
    <s v="India"/>
    <s v="SYSTEUR"/>
    <s v="FTE"/>
    <s v="Suyash Shastri"/>
    <s v="Phil"/>
  </r>
  <r>
    <s v="PDTEAM430"/>
    <s v="MVD Srinivas"/>
    <s v="STET DXR Remediation Support"/>
    <s v="Phil"/>
    <s v=""/>
    <s v="N/A"/>
    <s v="LCM"/>
    <s v="SOURCING"/>
    <s v="Mechanical Parts &amp; Assemblies"/>
    <s v="DXR"/>
    <s v="PD"/>
    <s v="IL2"/>
    <n v="0.8"/>
    <x v="609"/>
    <s v="India"/>
    <s v="SYSTEUR"/>
    <s v="FTE"/>
    <s v="Suyash Shastri"/>
    <s v="Phil"/>
  </r>
  <r>
    <s v="PDTEAM428"/>
    <s v="MVD Srinivas"/>
    <s v="STET DXR System V&amp;V "/>
    <s v="Phil"/>
    <s v=""/>
    <s v="N/A"/>
    <s v="LCM"/>
    <s v="SOURCING"/>
    <s v="Key components &amp; Electronics"/>
    <s v="DXR"/>
    <s v="PD"/>
    <s v="IL2"/>
    <n v="1"/>
    <x v="610"/>
    <s v="India"/>
    <s v="SYSTEUR"/>
    <s v="Contingent"/>
    <s v="Suyash Shastri"/>
    <s v="Phil"/>
  </r>
  <r>
    <s v="PDTEAM426"/>
    <s v="MVD Srinivas"/>
    <s v="STET DXR HW LCM - Image Chain"/>
    <s v="Phil"/>
    <s v=""/>
    <s v="N/A"/>
    <s v="LCM"/>
    <s v="SOURCING"/>
    <s v="Key components &amp; Electronics"/>
    <s v="DXR"/>
    <s v="PD"/>
    <s v="IL2"/>
    <n v="1"/>
    <x v="611"/>
    <s v="India"/>
    <s v="SYSTEUR"/>
    <s v="Contingent"/>
    <s v="Suyash Shastri"/>
    <s v="Phil"/>
  </r>
  <r>
    <s v="PDTEAM426"/>
    <s v="MVD Srinivas"/>
    <s v="STET DXR HW LCM - Image Chain"/>
    <s v="Phil"/>
    <s v=""/>
    <s v="N/A"/>
    <s v="LCM"/>
    <s v="SOURCING"/>
    <s v="Key components &amp; Electronics"/>
    <s v="DXR"/>
    <s v="PD"/>
    <s v="IL2"/>
    <n v="1"/>
    <x v="612"/>
    <s v="India"/>
    <s v="SYSTEUR"/>
    <s v="FTE"/>
    <s v="Suyash Shastri"/>
    <s v="Phil"/>
  </r>
  <r>
    <s v="PDTEAM430"/>
    <s v="MVD Srinivas"/>
    <s v="STET DXR Remediation Support"/>
    <s v="Phil"/>
    <s v=""/>
    <s v="N/A"/>
    <s v="LCM"/>
    <s v="SOURCING"/>
    <s v="Mechanical Parts &amp; Assemblies"/>
    <s v="DXR"/>
    <s v="PD"/>
    <s v="IL2"/>
    <n v="1"/>
    <x v="613"/>
    <s v="India"/>
    <s v="SYSTEUR"/>
    <s v="Contingent"/>
    <s v="Suyash Shastri"/>
    <s v="Phil"/>
  </r>
  <r>
    <s v="PDTEAM525"/>
    <s v="MVD Srinivas"/>
    <s v="PCBA - SCOPO UI Redesign"/>
    <s v="Phil"/>
    <s v=""/>
    <s v="N/A"/>
    <s v="LCM"/>
    <s v="SOURCING"/>
    <s v="Key components &amp; Electronics"/>
    <s v="DXR"/>
    <s v="PD"/>
    <s v="IL2"/>
    <n v="0.5"/>
    <x v="614"/>
    <s v="India"/>
    <s v="SYSTEUR"/>
    <s v="FTE"/>
    <s v="Suyash Shastri"/>
    <s v="Phil"/>
  </r>
  <r>
    <s v="PDTEAM524"/>
    <s v="MVD Srinivas"/>
    <s v="PCBA - SCOPO Controller Redesign"/>
    <s v="Phil"/>
    <s v=""/>
    <s v="N/A"/>
    <s v="LCM"/>
    <s v="SOURCING"/>
    <s v="Key components &amp; Electronics"/>
    <s v="DXR"/>
    <s v="PD"/>
    <s v="IL2"/>
    <n v="0.1"/>
    <x v="614"/>
    <s v="India"/>
    <s v="SYSTEUR"/>
    <s v="FTE"/>
    <s v="Suyash Shastri"/>
    <s v="Phil"/>
  </r>
  <r>
    <s v="PDTEAM415"/>
    <s v="Srinivas, M.V.D "/>
    <s v="PCBA Health DXR"/>
    <s v="Phil"/>
    <s v=""/>
    <s v="N/A"/>
    <s v="LCM"/>
    <s v="SOURCING"/>
    <s v="Key components &amp; Electronics"/>
    <s v="DXR"/>
    <s v="PD"/>
    <s v="IL2"/>
    <n v="0.4"/>
    <x v="614"/>
    <s v="India"/>
    <s v="SYSTEUR"/>
    <s v="FTE"/>
    <s v="Suyash Shastri"/>
    <s v="Phil"/>
  </r>
  <r>
    <s v="PDTEAM427"/>
    <s v="MVD Srinivas"/>
    <s v="STET DXR System LCM"/>
    <s v="Phil"/>
    <s v=""/>
    <s v="N/A"/>
    <s v="LCM"/>
    <s v="SOURCING"/>
    <s v="Key components &amp; Electronics"/>
    <s v="DXR"/>
    <s v="PD"/>
    <s v="IL2"/>
    <n v="0.2"/>
    <x v="615"/>
    <s v="India"/>
    <s v="SYSTEUR"/>
    <s v="FTE"/>
    <s v="Suyash Shastri"/>
    <s v="Phil"/>
  </r>
  <r>
    <s v="PDTEAM422"/>
    <s v="Srinivas, M.V.D "/>
    <s v="STET DXR HW LCM CQ - Electrical"/>
    <s v="Phil"/>
    <s v=""/>
    <s v="N/A"/>
    <s v="LCM"/>
    <s v="SOURCING"/>
    <s v="Key components &amp; Electronics"/>
    <s v="DXR"/>
    <s v="PD"/>
    <s v="IL2"/>
    <n v="0.5"/>
    <x v="615"/>
    <s v="India"/>
    <s v="SYSTEUR"/>
    <s v="FTE"/>
    <s v="Suyash Shastri"/>
    <s v="Phil"/>
  </r>
  <r>
    <s v="PDTEAM434"/>
    <s v="MVD Srinivas"/>
    <s v="STET DXR-LUNA Transfer Project"/>
    <s v="Phil"/>
    <s v=""/>
    <s v="N/A"/>
    <s v="LCM"/>
    <s v="SOURCING"/>
    <s v="Mechanical Parts &amp; Assemblies"/>
    <s v="DXR"/>
    <s v="PD"/>
    <s v="IL2"/>
    <n v="0.3"/>
    <x v="615"/>
    <s v="India"/>
    <s v="SYSTEUR"/>
    <s v="FTE"/>
    <s v="Suyash Shastri"/>
    <s v="Phil"/>
  </r>
  <r>
    <s v="38360"/>
    <s v="Vijayanand Purushothaman"/>
    <s v="Combine remote to Single remote"/>
    <s v="Phil"/>
    <s v=""/>
    <s v="PROCUREMENT"/>
    <s v="PRODUCTIVITY"/>
    <s v="CONCEPT"/>
    <s v="Mechanical Parts &amp; Assemblies"/>
    <s v="DXR"/>
    <s v="PD"/>
    <s v="IL2"/>
    <n v="0.2"/>
    <x v="616"/>
    <s v="India"/>
    <s v="SYSTEUR"/>
    <s v="FTE"/>
    <s v="Suyash Shastri"/>
    <s v="Phil"/>
  </r>
  <r>
    <s v="PDTEAM422"/>
    <s v="Srinivas, M.V.D "/>
    <s v="STET DXR HW LCM CQ - Electrical"/>
    <s v="Phil"/>
    <s v=""/>
    <s v="N/A"/>
    <s v="LCM"/>
    <s v="SOURCING"/>
    <s v="Key components &amp; Electronics"/>
    <s v="DXR"/>
    <s v="PD"/>
    <s v="IL2"/>
    <n v="0.3"/>
    <x v="616"/>
    <s v="India"/>
    <s v="SYSTEUR"/>
    <s v="FTE"/>
    <s v="Suyash Shastri"/>
    <s v="Phil"/>
  </r>
  <r>
    <s v="PDTEAM415"/>
    <s v="Srinivas, M.V.D "/>
    <s v="PCBA Health DXR"/>
    <s v="Phil"/>
    <s v=""/>
    <s v="N/A"/>
    <s v="LCM"/>
    <s v="SOURCING"/>
    <s v="Key components &amp; Electronics"/>
    <s v="DXR"/>
    <s v="PD"/>
    <s v="IL2"/>
    <n v="0.5"/>
    <x v="616"/>
    <s v="India"/>
    <s v="SYSTEUR"/>
    <s v="FTE"/>
    <s v="Suyash Shastri"/>
    <s v="Phil"/>
  </r>
  <r>
    <s v="PDTEAM425"/>
    <s v="MVD Srinivas"/>
    <s v="STET DXR HW LCM - CAD Support"/>
    <s v="Phil"/>
    <s v=""/>
    <s v="N/A"/>
    <s v="LCM"/>
    <s v="SOURCING"/>
    <s v="Mechanical Parts &amp; Assemblies"/>
    <s v="DXR"/>
    <s v="PD"/>
    <s v="IL2"/>
    <n v="1"/>
    <x v="617"/>
    <s v="India"/>
    <s v="SYSTEUR"/>
    <s v="Contingent"/>
    <s v="Suyash Shastri"/>
    <s v="Phil"/>
  </r>
  <r>
    <s v="PDTEAM428"/>
    <s v="MVD Srinivas"/>
    <s v="STET DXR System V&amp;V "/>
    <s v="Phil"/>
    <s v=""/>
    <s v="N/A"/>
    <s v="LCM"/>
    <s v="SOURCING"/>
    <s v="Key components &amp; Electronics"/>
    <s v="DXR"/>
    <s v="PD"/>
    <s v="IL2"/>
    <n v="1"/>
    <x v="618"/>
    <s v="India"/>
    <s v="SYSTEUR"/>
    <s v="Contingent"/>
    <s v="Suyash Shastri"/>
    <s v="Phil"/>
  </r>
  <r>
    <s v="PDTEAM521"/>
    <s v="MVD Srinivas"/>
    <s v="PCBA - Proactive Obsolescence of TH Controller"/>
    <s v="Phil"/>
    <s v=""/>
    <s v="N/A"/>
    <s v="LCM"/>
    <s v="SOURCING"/>
    <s v="Key components &amp; Electronics"/>
    <s v="DXR"/>
    <s v="PD"/>
    <s v="IL2"/>
    <n v="0.5"/>
    <x v="619"/>
    <s v="India"/>
    <s v="SYSTEUR"/>
    <s v="FTE"/>
    <s v="Suyash Shastri"/>
    <s v="Raj"/>
  </r>
  <r>
    <s v="PDTEAM523"/>
    <s v="MVD Srinivas"/>
    <s v="PCBA - Proactive Obsolescence of DC-axis Controller"/>
    <s v="Phil"/>
    <s v=""/>
    <s v="N/A"/>
    <s v="LCM"/>
    <s v="SOURCING"/>
    <s v="Key components &amp; Electronics"/>
    <s v="DXR"/>
    <s v="PD"/>
    <s v="IL2"/>
    <n v="0.5"/>
    <x v="619"/>
    <s v="India"/>
    <s v="SYSTEUR"/>
    <s v="FTE"/>
    <s v="Suyash Shastri"/>
    <s v="Raj"/>
  </r>
  <r>
    <s v="DXR_Training-1"/>
    <s v="NA"/>
    <s v="Trainings"/>
    <s v="All"/>
    <s v=""/>
    <s v="Trainings"/>
    <s v="Trainings"/>
    <s v="Trainings"/>
    <s v="Trainings"/>
    <s v="DXR"/>
    <s v="PD"/>
    <s v="IL0"/>
    <n v="0.2"/>
    <x v="620"/>
    <s v="India"/>
    <s v="SYSTEUR"/>
    <s v="Contingent"/>
    <s v="Suyash Shastri"/>
    <s v="Phil"/>
  </r>
  <r>
    <s v="41591"/>
    <s v="Damodar Sarnobat"/>
    <s v="MR tool calibration to Shyft + Sanmina TTBY transfer"/>
    <s v="Raj"/>
    <s v=""/>
    <s v="PROCUREMENT"/>
    <s v="PRODUCTIVITY"/>
    <s v="CONCEPT"/>
    <s v="Repair Centers &amp; Service Parts"/>
    <s v="MR"/>
    <s v="PD"/>
    <s v="IL1"/>
    <n v="0.5"/>
    <x v="621"/>
    <s v="India"/>
    <s v="SYSTEUR"/>
    <s v="FTE"/>
    <s v="Chinnaraja Pon S"/>
    <s v="Raj"/>
  </r>
  <r>
    <s v="30314"/>
    <s v="Kulasekhar (KK)"/>
    <s v="Consumable to Repair: Control modules"/>
    <s v="Raj"/>
    <s v=""/>
    <s v="PROCUREMENT"/>
    <s v="PRODUCTIVITY"/>
    <s v="CONCEPT"/>
    <s v="Repair Centers &amp; Service Parts"/>
    <s v="IGT-S"/>
    <s v="IGT"/>
    <s v="IL2"/>
    <n v="0.5"/>
    <x v="621"/>
    <s v="India"/>
    <s v="SYSTEUR"/>
    <s v="FTE"/>
    <s v="Chinnaraja Pon S"/>
    <s v="Raj"/>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E038B1-A076-4437-B9F9-F526019206B9}"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26" firstHeaderRow="1" firstDataRow="1" firstDataCol="1"/>
  <pivotFields count="19">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625">
        <item x="0"/>
        <item x="1"/>
        <item x="2"/>
        <item x="3"/>
        <item x="4"/>
        <item x="5"/>
        <item x="6"/>
        <item x="7"/>
        <item x="8"/>
        <item x="9"/>
        <item x="10"/>
        <item x="11"/>
        <item x="12"/>
        <item x="13"/>
        <item x="14"/>
        <item x="15"/>
        <item x="16"/>
        <item x="17"/>
        <item x="604"/>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19"/>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609"/>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610"/>
        <item x="139"/>
        <item x="140"/>
        <item x="141"/>
        <item x="142"/>
        <item x="143"/>
        <item x="144"/>
        <item x="145"/>
        <item x="146"/>
        <item x="147"/>
        <item x="148"/>
        <item x="149"/>
        <item x="150"/>
        <item x="151"/>
        <item x="152"/>
        <item x="153"/>
        <item x="154"/>
        <item x="155"/>
        <item x="156"/>
        <item x="611"/>
        <item x="157"/>
        <item x="158"/>
        <item x="159"/>
        <item x="160"/>
        <item x="161"/>
        <item x="162"/>
        <item x="163"/>
        <item x="164"/>
        <item x="165"/>
        <item x="166"/>
        <item x="167"/>
        <item x="168"/>
        <item x="169"/>
        <item x="170"/>
        <item x="171"/>
        <item x="612"/>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613"/>
        <item x="216"/>
        <item x="217"/>
        <item x="218"/>
        <item x="219"/>
        <item x="220"/>
        <item x="221"/>
        <item x="222"/>
        <item x="223"/>
        <item x="224"/>
        <item x="225"/>
        <item x="226"/>
        <item x="227"/>
        <item x="228"/>
        <item x="229"/>
        <item x="230"/>
        <item x="231"/>
        <item m="1" x="622"/>
        <item x="232"/>
        <item x="233"/>
        <item x="234"/>
        <item x="235"/>
        <item x="236"/>
        <item x="237"/>
        <item x="238"/>
        <item x="239"/>
        <item x="240"/>
        <item x="241"/>
        <item x="242"/>
        <item x="243"/>
        <item x="244"/>
        <item x="245"/>
        <item x="246"/>
        <item x="247"/>
        <item x="248"/>
        <item x="249"/>
        <item x="250"/>
        <item x="251"/>
        <item x="252"/>
        <item x="253"/>
        <item x="254"/>
        <item x="255"/>
        <item x="256"/>
        <item x="257"/>
        <item x="621"/>
        <item x="258"/>
        <item x="259"/>
        <item x="260"/>
        <item x="261"/>
        <item x="262"/>
        <item x="263"/>
        <item x="264"/>
        <item x="265"/>
        <item x="266"/>
        <item x="267"/>
        <item x="268"/>
        <item x="269"/>
        <item x="270"/>
        <item x="271"/>
        <item x="620"/>
        <item x="272"/>
        <item x="273"/>
        <item m="1" x="62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60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605"/>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614"/>
        <item x="437"/>
        <item x="438"/>
        <item x="439"/>
        <item x="440"/>
        <item x="441"/>
        <item x="442"/>
        <item x="443"/>
        <item x="444"/>
        <item x="445"/>
        <item x="446"/>
        <item x="447"/>
        <item x="448"/>
        <item x="615"/>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606"/>
        <item x="616"/>
        <item x="515"/>
        <item x="516"/>
        <item x="517"/>
        <item x="518"/>
        <item x="519"/>
        <item x="520"/>
        <item x="521"/>
        <item x="522"/>
        <item x="523"/>
        <item x="524"/>
        <item x="525"/>
        <item x="526"/>
        <item x="527"/>
        <item x="528"/>
        <item x="529"/>
        <item x="530"/>
        <item x="531"/>
        <item x="532"/>
        <item x="617"/>
        <item x="533"/>
        <item x="534"/>
        <item x="535"/>
        <item x="607"/>
        <item x="536"/>
        <item x="537"/>
        <item x="538"/>
        <item x="539"/>
        <item x="540"/>
        <item x="541"/>
        <item x="542"/>
        <item x="543"/>
        <item x="544"/>
        <item x="545"/>
        <item x="546"/>
        <item x="547"/>
        <item x="548"/>
        <item x="549"/>
        <item x="550"/>
        <item x="551"/>
        <item x="618"/>
        <item x="552"/>
        <item x="553"/>
        <item x="554"/>
        <item x="555"/>
        <item x="556"/>
        <item x="602"/>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608"/>
        <item x="588"/>
        <item x="589"/>
        <item x="590"/>
        <item x="591"/>
        <item x="592"/>
        <item x="593"/>
        <item x="594"/>
        <item x="595"/>
        <item x="596"/>
        <item x="597"/>
        <item x="598"/>
        <item x="599"/>
        <item x="600"/>
        <item x="601"/>
        <item t="default"/>
      </items>
    </pivotField>
    <pivotField showAll="0"/>
    <pivotField showAll="0"/>
    <pivotField showAll="0"/>
    <pivotField showAll="0"/>
    <pivotField showAll="0"/>
  </pivotFields>
  <rowFields count="1">
    <field x="13"/>
  </rowFields>
  <rowItems count="62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t="grand">
      <x/>
    </i>
  </rowItems>
  <colItems count="1">
    <i/>
  </colItems>
  <dataFields count="1">
    <dataField name="Sum of ResourceAmoun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BB8424-C102-46D6-8D91-7E23C450298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B108" firstHeaderRow="1" firstDataRow="1" firstDataCol="1" rowPageCount="3" colPageCount="1"/>
  <pivotFields count="20">
    <pivotField showAll="0"/>
    <pivotField showAll="0"/>
    <pivotField showAll="0"/>
    <pivotField showAll="0"/>
    <pivotField showAll="0"/>
    <pivotField showAll="0"/>
    <pivotField showAll="0"/>
    <pivotField showAll="0"/>
    <pivotField showAll="0"/>
    <pivotField showAll="0"/>
    <pivotField axis="axisPage" showAll="0">
      <items count="6">
        <item x="1"/>
        <item x="3"/>
        <item x="4"/>
        <item x="0"/>
        <item x="2"/>
        <item t="default"/>
      </items>
    </pivotField>
    <pivotField showAll="0"/>
    <pivotField dataField="1" showAll="0"/>
    <pivotField axis="axisRow" showAll="0">
      <items count="493">
        <item x="259"/>
        <item x="467"/>
        <item x="361"/>
        <item x="408"/>
        <item x="254"/>
        <item x="266"/>
        <item x="142"/>
        <item x="134"/>
        <item x="105"/>
        <item x="469"/>
        <item x="352"/>
        <item x="33"/>
        <item x="466"/>
        <item x="390"/>
        <item x="328"/>
        <item x="437"/>
        <item x="487"/>
        <item x="323"/>
        <item x="44"/>
        <item x="61"/>
        <item x="348"/>
        <item x="457"/>
        <item x="221"/>
        <item x="481"/>
        <item x="451"/>
        <item x="285"/>
        <item x="279"/>
        <item x="347"/>
        <item x="115"/>
        <item x="307"/>
        <item x="452"/>
        <item x="60"/>
        <item x="288"/>
        <item x="34"/>
        <item x="317"/>
        <item x="45"/>
        <item x="263"/>
        <item x="108"/>
        <item x="305"/>
        <item x="431"/>
        <item x="249"/>
        <item x="251"/>
        <item x="213"/>
        <item x="350"/>
        <item x="245"/>
        <item x="372"/>
        <item x="383"/>
        <item x="377"/>
        <item x="287"/>
        <item x="414"/>
        <item x="346"/>
        <item x="46"/>
        <item x="144"/>
        <item x="355"/>
        <item x="341"/>
        <item x="356"/>
        <item x="319"/>
        <item x="124"/>
        <item x="223"/>
        <item x="282"/>
        <item x="280"/>
        <item x="262"/>
        <item x="274"/>
        <item x="338"/>
        <item x="175"/>
        <item x="478"/>
        <item x="20"/>
        <item x="314"/>
        <item x="333"/>
        <item x="85"/>
        <item x="83"/>
        <item x="98"/>
        <item x="193"/>
        <item x="247"/>
        <item x="393"/>
        <item x="441"/>
        <item x="19"/>
        <item x="172"/>
        <item x="301"/>
        <item x="29"/>
        <item x="126"/>
        <item x="482"/>
        <item x="17"/>
        <item x="371"/>
        <item x="370"/>
        <item x="161"/>
        <item x="406"/>
        <item x="3"/>
        <item x="458"/>
        <item x="415"/>
        <item x="410"/>
        <item x="258"/>
        <item x="380"/>
        <item x="286"/>
        <item x="243"/>
        <item x="4"/>
        <item x="368"/>
        <item x="149"/>
        <item x="164"/>
        <item x="308"/>
        <item x="272"/>
        <item x="113"/>
        <item x="150"/>
        <item x="47"/>
        <item x="119"/>
        <item x="24"/>
        <item x="476"/>
        <item x="77"/>
        <item x="48"/>
        <item x="313"/>
        <item x="464"/>
        <item x="130"/>
        <item x="244"/>
        <item x="327"/>
        <item x="364"/>
        <item x="194"/>
        <item x="112"/>
        <item x="344"/>
        <item x="491"/>
        <item x="151"/>
        <item x="152"/>
        <item x="49"/>
        <item x="153"/>
        <item x="13"/>
        <item x="187"/>
        <item x="79"/>
        <item x="86"/>
        <item x="50"/>
        <item x="232"/>
        <item x="312"/>
        <item x="23"/>
        <item x="40"/>
        <item x="241"/>
        <item x="488"/>
        <item x="76"/>
        <item x="329"/>
        <item x="31"/>
        <item x="435"/>
        <item x="75"/>
        <item x="171"/>
        <item x="154"/>
        <item x="25"/>
        <item x="145"/>
        <item x="155"/>
        <item x="156"/>
        <item x="195"/>
        <item x="399"/>
        <item x="157"/>
        <item x="227"/>
        <item x="358"/>
        <item x="453"/>
        <item x="72"/>
        <item x="12"/>
        <item x="158"/>
        <item x="159"/>
        <item x="160"/>
        <item x="316"/>
        <item x="225"/>
        <item x="138"/>
        <item x="378"/>
        <item x="51"/>
        <item x="292"/>
        <item x="357"/>
        <item x="52"/>
        <item x="238"/>
        <item x="278"/>
        <item x="436"/>
        <item x="53"/>
        <item x="423"/>
        <item x="135"/>
        <item x="131"/>
        <item x="345"/>
        <item x="118"/>
        <item x="267"/>
        <item x="28"/>
        <item x="291"/>
        <item x="87"/>
        <item x="331"/>
        <item x="294"/>
        <item x="473"/>
        <item x="475"/>
        <item x="63"/>
        <item x="362"/>
        <item x="250"/>
        <item x="191"/>
        <item x="174"/>
        <item x="387"/>
        <item x="93"/>
        <item x="129"/>
        <item x="162"/>
        <item x="169"/>
        <item x="65"/>
        <item x="325"/>
        <item x="322"/>
        <item x="474"/>
        <item x="127"/>
        <item x="239"/>
        <item x="369"/>
        <item x="32"/>
        <item x="268"/>
        <item x="256"/>
        <item x="343"/>
        <item x="480"/>
        <item x="428"/>
        <item x="295"/>
        <item x="426"/>
        <item x="360"/>
        <item x="340"/>
        <item x="465"/>
        <item x="396"/>
        <item x="395"/>
        <item x="43"/>
        <item x="74"/>
        <item x="442"/>
        <item x="73"/>
        <item x="367"/>
        <item x="409"/>
        <item x="447"/>
        <item x="375"/>
        <item x="454"/>
        <item x="204"/>
        <item x="459"/>
        <item x="397"/>
        <item x="143"/>
        <item x="103"/>
        <item x="104"/>
        <item x="90"/>
        <item x="418"/>
        <item x="284"/>
        <item x="54"/>
        <item x="233"/>
        <item x="114"/>
        <item x="109"/>
        <item x="80"/>
        <item x="309"/>
        <item x="121"/>
        <item x="207"/>
        <item x="97"/>
        <item x="374"/>
        <item x="264"/>
        <item x="271"/>
        <item x="332"/>
        <item x="448"/>
        <item x="489"/>
        <item x="208"/>
        <item x="257"/>
        <item x="439"/>
        <item x="117"/>
        <item x="490"/>
        <item x="2"/>
        <item x="216"/>
        <item x="18"/>
        <item x="438"/>
        <item x="55"/>
        <item x="310"/>
        <item x="477"/>
        <item x="299"/>
        <item x="56"/>
        <item x="217"/>
        <item x="449"/>
        <item x="201"/>
        <item x="125"/>
        <item x="101"/>
        <item x="419"/>
        <item x="41"/>
        <item x="321"/>
        <item x="88"/>
        <item x="123"/>
        <item x="422"/>
        <item x="351"/>
        <item x="116"/>
        <item x="424"/>
        <item x="5"/>
        <item x="403"/>
        <item x="302"/>
        <item x="273"/>
        <item x="6"/>
        <item x="460"/>
        <item x="359"/>
        <item x="398"/>
        <item x="70"/>
        <item x="234"/>
        <item x="334"/>
        <item x="304"/>
        <item x="147"/>
        <item x="270"/>
        <item x="7"/>
        <item x="468"/>
        <item x="421"/>
        <item x="8"/>
        <item x="388"/>
        <item x="237"/>
        <item x="265"/>
        <item x="100"/>
        <item x="402"/>
        <item x="440"/>
        <item x="470"/>
        <item x="455"/>
        <item x="9"/>
        <item x="122"/>
        <item x="102"/>
        <item x="36"/>
        <item x="412"/>
        <item x="203"/>
        <item x="392"/>
        <item x="10"/>
        <item x="471"/>
        <item x="483"/>
        <item x="133"/>
        <item x="479"/>
        <item x="69"/>
        <item x="429"/>
        <item x="293"/>
        <item x="42"/>
        <item x="71"/>
        <item x="242"/>
        <item x="120"/>
        <item x="163"/>
        <item x="261"/>
        <item x="434"/>
        <item x="401"/>
        <item x="222"/>
        <item x="472"/>
        <item x="391"/>
        <item x="62"/>
        <item x="224"/>
        <item x="283"/>
        <item x="205"/>
        <item x="57"/>
        <item x="66"/>
        <item x="433"/>
        <item x="446"/>
        <item x="231"/>
        <item x="30"/>
        <item x="413"/>
        <item x="461"/>
        <item x="400"/>
        <item x="64"/>
        <item x="139"/>
        <item x="39"/>
        <item x="432"/>
        <item x="246"/>
        <item x="269"/>
        <item x="235"/>
        <item x="366"/>
        <item x="376"/>
        <item x="339"/>
        <item x="484"/>
        <item x="430"/>
        <item x="252"/>
        <item x="444"/>
        <item x="110"/>
        <item x="35"/>
        <item x="462"/>
        <item x="394"/>
        <item x="26"/>
        <item x="354"/>
        <item x="89"/>
        <item x="303"/>
        <item x="384"/>
        <item x="240"/>
        <item x="330"/>
        <item x="385"/>
        <item x="173"/>
        <item x="21"/>
        <item x="106"/>
        <item x="425"/>
        <item x="417"/>
        <item x="281"/>
        <item x="136"/>
        <item x="297"/>
        <item x="382"/>
        <item x="416"/>
        <item x="137"/>
        <item x="253"/>
        <item x="381"/>
        <item x="404"/>
        <item x="353"/>
        <item x="214"/>
        <item x="276"/>
        <item x="230"/>
        <item x="229"/>
        <item x="405"/>
        <item x="411"/>
        <item x="58"/>
        <item x="91"/>
        <item x="427"/>
        <item x="140"/>
        <item x="443"/>
        <item x="14"/>
        <item x="365"/>
        <item x="485"/>
        <item x="311"/>
        <item x="209"/>
        <item x="15"/>
        <item x="128"/>
        <item x="420"/>
        <item x="81"/>
        <item x="196"/>
        <item x="306"/>
        <item x="210"/>
        <item x="336"/>
        <item x="206"/>
        <item x="132"/>
        <item x="318"/>
        <item x="215"/>
        <item x="315"/>
        <item x="289"/>
        <item x="486"/>
        <item x="300"/>
        <item x="298"/>
        <item x="445"/>
        <item x="296"/>
        <item x="68"/>
        <item x="16"/>
        <item x="92"/>
        <item x="407"/>
        <item x="324"/>
        <item x="22"/>
        <item x="226"/>
        <item x="200"/>
        <item x="389"/>
        <item x="202"/>
        <item x="183"/>
        <item x="82"/>
        <item x="277"/>
        <item x="349"/>
        <item x="94"/>
        <item x="450"/>
        <item x="260"/>
        <item x="27"/>
        <item x="342"/>
        <item x="199"/>
        <item x="363"/>
        <item x="67"/>
        <item x="373"/>
        <item x="386"/>
        <item x="107"/>
        <item x="197"/>
        <item x="192"/>
        <item x="78"/>
        <item x="290"/>
        <item x="236"/>
        <item x="320"/>
        <item x="111"/>
        <item x="211"/>
        <item x="218"/>
        <item x="255"/>
        <item x="275"/>
        <item x="141"/>
        <item x="335"/>
        <item x="212"/>
        <item x="228"/>
        <item x="220"/>
        <item x="219"/>
        <item x="198"/>
        <item x="38"/>
        <item x="59"/>
        <item x="463"/>
        <item x="379"/>
        <item x="456"/>
        <item x="176"/>
        <item x="0"/>
        <item x="95"/>
        <item x="146"/>
        <item x="177"/>
        <item x="170"/>
        <item x="166"/>
        <item x="1"/>
        <item x="178"/>
        <item x="167"/>
        <item x="96"/>
        <item x="179"/>
        <item x="181"/>
        <item x="180"/>
        <item x="37"/>
        <item x="182"/>
        <item x="148"/>
        <item x="99"/>
        <item x="185"/>
        <item x="184"/>
        <item x="326"/>
        <item x="84"/>
        <item x="186"/>
        <item x="248"/>
        <item x="11"/>
        <item x="188"/>
        <item x="168"/>
        <item x="337"/>
        <item x="189"/>
        <item x="165"/>
        <item x="190"/>
        <item t="default"/>
      </items>
    </pivotField>
    <pivotField showAll="0"/>
    <pivotField showAll="0"/>
    <pivotField axis="axisPage" showAll="0">
      <items count="3">
        <item x="1"/>
        <item x="0"/>
        <item t="default"/>
      </items>
    </pivotField>
    <pivotField showAll="0"/>
    <pivotField axis="axisPage" showAll="0">
      <items count="6">
        <item x="1"/>
        <item x="2"/>
        <item x="0"/>
        <item x="3"/>
        <item x="4"/>
        <item t="default"/>
      </items>
    </pivotField>
    <pivotField showAll="0"/>
  </pivotFields>
  <rowFields count="1">
    <field x="13"/>
  </rowFields>
  <rowItems count="103">
    <i>
      <x v="7"/>
    </i>
    <i>
      <x v="11"/>
    </i>
    <i>
      <x v="16"/>
    </i>
    <i>
      <x v="18"/>
    </i>
    <i>
      <x v="19"/>
    </i>
    <i>
      <x v="28"/>
    </i>
    <i>
      <x v="31"/>
    </i>
    <i>
      <x v="33"/>
    </i>
    <i>
      <x v="35"/>
    </i>
    <i>
      <x v="37"/>
    </i>
    <i>
      <x v="51"/>
    </i>
    <i>
      <x v="52"/>
    </i>
    <i>
      <x v="57"/>
    </i>
    <i>
      <x v="69"/>
    </i>
    <i>
      <x v="79"/>
    </i>
    <i>
      <x v="80"/>
    </i>
    <i>
      <x v="81"/>
    </i>
    <i>
      <x v="82"/>
    </i>
    <i>
      <x v="85"/>
    </i>
    <i>
      <x v="103"/>
    </i>
    <i>
      <x v="108"/>
    </i>
    <i>
      <x v="111"/>
    </i>
    <i>
      <x v="116"/>
    </i>
    <i>
      <x v="118"/>
    </i>
    <i>
      <x v="121"/>
    </i>
    <i>
      <x v="126"/>
    </i>
    <i>
      <x v="127"/>
    </i>
    <i>
      <x v="131"/>
    </i>
    <i>
      <x v="133"/>
    </i>
    <i>
      <x v="136"/>
    </i>
    <i>
      <x v="158"/>
    </i>
    <i>
      <x v="160"/>
    </i>
    <i>
      <x v="163"/>
    </i>
    <i>
      <x v="167"/>
    </i>
    <i>
      <x v="169"/>
    </i>
    <i>
      <x v="170"/>
    </i>
    <i>
      <x v="176"/>
    </i>
    <i>
      <x v="181"/>
    </i>
    <i>
      <x v="187"/>
    </i>
    <i>
      <x v="188"/>
    </i>
    <i>
      <x v="198"/>
    </i>
    <i>
      <x v="211"/>
    </i>
    <i>
      <x v="224"/>
    </i>
    <i>
      <x v="225"/>
    </i>
    <i>
      <x v="226"/>
    </i>
    <i>
      <x v="229"/>
    </i>
    <i>
      <x v="231"/>
    </i>
    <i>
      <x v="232"/>
    </i>
    <i>
      <x v="237"/>
    </i>
    <i>
      <x v="243"/>
    </i>
    <i>
      <x v="248"/>
    </i>
    <i>
      <x v="251"/>
    </i>
    <i>
      <x v="253"/>
    </i>
    <i>
      <x v="257"/>
    </i>
    <i>
      <x v="260"/>
    </i>
    <i>
      <x v="261"/>
    </i>
    <i>
      <x v="262"/>
    </i>
    <i>
      <x v="264"/>
    </i>
    <i>
      <x v="266"/>
    </i>
    <i>
      <x v="267"/>
    </i>
    <i>
      <x v="280"/>
    </i>
    <i>
      <x v="281"/>
    </i>
    <i>
      <x v="293"/>
    </i>
    <i>
      <x v="301"/>
    </i>
    <i>
      <x v="303"/>
    </i>
    <i>
      <x v="307"/>
    </i>
    <i>
      <x v="310"/>
    </i>
    <i>
      <x v="313"/>
    </i>
    <i>
      <x v="314"/>
    </i>
    <i>
      <x v="324"/>
    </i>
    <i>
      <x v="328"/>
    </i>
    <i>
      <x v="329"/>
    </i>
    <i>
      <x v="330"/>
    </i>
    <i>
      <x v="331"/>
    </i>
    <i>
      <x v="333"/>
    </i>
    <i>
      <x v="338"/>
    </i>
    <i>
      <x v="339"/>
    </i>
    <i>
      <x v="347"/>
    </i>
    <i>
      <x v="350"/>
    </i>
    <i>
      <x v="351"/>
    </i>
    <i>
      <x v="352"/>
    </i>
    <i>
      <x v="357"/>
    </i>
    <i>
      <x v="365"/>
    </i>
    <i>
      <x v="369"/>
    </i>
    <i>
      <x v="373"/>
    </i>
    <i>
      <x v="384"/>
    </i>
    <i>
      <x v="387"/>
    </i>
    <i>
      <x v="391"/>
    </i>
    <i>
      <x v="408"/>
    </i>
    <i>
      <x v="411"/>
    </i>
    <i>
      <x v="413"/>
    </i>
    <i>
      <x v="415"/>
    </i>
    <i>
      <x v="418"/>
    </i>
    <i>
      <x v="420"/>
    </i>
    <i>
      <x v="422"/>
    </i>
    <i>
      <x v="430"/>
    </i>
    <i>
      <x v="432"/>
    </i>
    <i>
      <x v="434"/>
    </i>
    <i>
      <x v="439"/>
    </i>
    <i>
      <x v="449"/>
    </i>
    <i>
      <x v="456"/>
    </i>
    <i>
      <x v="457"/>
    </i>
    <i t="grand">
      <x/>
    </i>
  </rowItems>
  <colItems count="1">
    <i/>
  </colItems>
  <pageFields count="3">
    <pageField fld="16" hier="-1"/>
    <pageField fld="18" item="3" hier="-1"/>
    <pageField fld="10" hier="-1"/>
  </pageFields>
  <dataFields count="1">
    <dataField name="Sum of ResourceAmoun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55DB4C-F9D5-4124-819A-A853E3B78AAB}" name="Philips_Employees232" displayName="Philips_Employees232" ref="A1:R678" totalsRowShown="0" headerRowDxfId="35" dataDxfId="33" headerRowBorderDxfId="34" tableBorderDxfId="32" totalsRowBorderDxfId="31">
  <tableColumns count="18">
    <tableColumn id="1" xr3:uid="{696FB6EA-C216-4531-8E0F-502A633CD3CA}" name="Director's Name" dataDxfId="30"/>
    <tableColumn id="2" xr3:uid="{0A7228D8-49DF-4E0E-9D67-CD34F80DAB7F}" name="Requisition #" dataDxfId="29"/>
    <tableColumn id="3" xr3:uid="{95F8EE75-91B9-4958-9AD4-E3410A91C5A9}" name="Job Title" dataDxfId="28"/>
    <tableColumn id="4" xr3:uid="{FD1B431F-128B-426F-B5CD-C687DAB8CB65}" name="Job Grade" dataDxfId="27"/>
    <tableColumn id="5" xr3:uid="{8B5CDDA2-AEDD-4987-8444-9D8487ADE24E}" name="Country Location" dataDxfId="26"/>
    <tableColumn id="6" xr3:uid="{0E2D6651-3B92-4630-8F9D-674F3E1917EA}" name="Job location" dataDxfId="25"/>
    <tableColumn id="7" xr3:uid="{768EF0B8-80A2-49A3-8934-4AE9BEF246ED}" name="Employee Name" dataDxfId="24"/>
    <tableColumn id="17" xr3:uid="{EBA6C044-57CF-47F5-81A8-8F00C5C4F3BB}" name="Diversity" dataDxfId="23"/>
    <tableColumn id="8" xr3:uid="{F7E619E6-4ECB-4BAF-940B-C76A0BF61B9B}" name="Status" dataDxfId="22"/>
    <tableColumn id="9" xr3:uid="{2E3981FE-68A5-4422-9256-987A630A6C91}" name="Start date" dataDxfId="21"/>
    <tableColumn id="10" xr3:uid="{39FF2618-4220-4189-8EA6-56970127BA1C}" name="Resigned Date" dataDxfId="20"/>
    <tableColumn id="11" xr3:uid="{932F5B1F-BEFE-453D-8BF3-163304001D0E}" name="Reporting Manager" dataDxfId="19"/>
    <tableColumn id="12" xr3:uid="{8C6D010B-8529-4D4A-BDA3-65E102299D9E}" name="Comments" dataDxfId="18"/>
    <tableColumn id="16" xr3:uid="{918F14D9-7127-42A2-ADD8-822CC289F9F7}" name="Allocation Status" dataDxfId="17"/>
    <tableColumn id="13" xr3:uid="{EF506A50-3729-4301-8024-83A008C284F2}" name="Remark" dataDxfId="16"/>
    <tableColumn id="14" xr3:uid="{6FECC384-82DC-4936-91CA-62F8AEF223CE}" name="FTE/Contingent" dataDxfId="15"/>
    <tableColumn id="15" xr3:uid="{0B74D9CF-6926-4E61-9133-B4E134AA9908}" name="Director's Name2" dataDxfId="14"/>
    <tableColumn id="18" xr3:uid="{DB9E8287-E5CC-43BC-9332-A309E11F194C}" name="Director's Name3" dataDxfId="13"/>
  </tableColumns>
  <tableStyleInfo name="TableStyleLight8"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D2E92-A55E-49E7-830D-50FFB6844CA5}">
  <dimension ref="A1:P33"/>
  <sheetViews>
    <sheetView showGridLines="0" zoomScale="90" zoomScaleNormal="90" workbookViewId="0">
      <selection activeCell="B4" sqref="B4:C7"/>
    </sheetView>
  </sheetViews>
  <sheetFormatPr defaultRowHeight="14.4" x14ac:dyDescent="0.3"/>
  <cols>
    <col min="1" max="1" width="21.5546875" customWidth="1"/>
    <col min="2" max="2" width="13.44140625" customWidth="1"/>
    <col min="3" max="3" width="11.5546875" bestFit="1" customWidth="1"/>
    <col min="8" max="8" width="15.5546875" customWidth="1"/>
    <col min="9" max="9" width="18" bestFit="1" customWidth="1"/>
    <col min="15" max="15" width="18.5546875" bestFit="1" customWidth="1"/>
  </cols>
  <sheetData>
    <row r="1" spans="1:16" x14ac:dyDescent="0.3">
      <c r="A1" s="15" t="s">
        <v>0</v>
      </c>
    </row>
    <row r="2" spans="1:16" x14ac:dyDescent="0.3">
      <c r="D2" s="4"/>
      <c r="F2" s="5"/>
      <c r="H2" s="22" t="s">
        <v>1</v>
      </c>
      <c r="I2" s="22"/>
      <c r="J2" s="22"/>
      <c r="K2" s="22"/>
      <c r="L2" s="22"/>
      <c r="M2" s="22"/>
    </row>
    <row r="3" spans="1:16" x14ac:dyDescent="0.3">
      <c r="B3" t="s">
        <v>2</v>
      </c>
      <c r="C3" t="s">
        <v>3</v>
      </c>
      <c r="E3" s="56" t="s">
        <v>4</v>
      </c>
      <c r="F3" s="56"/>
      <c r="I3" t="s">
        <v>2</v>
      </c>
      <c r="J3" t="s">
        <v>3</v>
      </c>
      <c r="P3" t="s">
        <v>2</v>
      </c>
    </row>
    <row r="4" spans="1:16" x14ac:dyDescent="0.3">
      <c r="A4" t="s">
        <v>5</v>
      </c>
      <c r="B4">
        <v>539</v>
      </c>
      <c r="C4">
        <v>107</v>
      </c>
      <c r="E4" s="56"/>
      <c r="F4" s="56"/>
      <c r="H4" t="s">
        <v>6</v>
      </c>
      <c r="I4" s="4">
        <v>427</v>
      </c>
      <c r="J4">
        <v>23</v>
      </c>
      <c r="O4" t="s">
        <v>6</v>
      </c>
      <c r="P4" s="4">
        <v>400.11</v>
      </c>
    </row>
    <row r="5" spans="1:16" x14ac:dyDescent="0.3">
      <c r="A5" t="s">
        <v>7</v>
      </c>
      <c r="B5">
        <v>406</v>
      </c>
      <c r="C5">
        <v>23</v>
      </c>
      <c r="E5" s="56"/>
      <c r="F5" s="56"/>
      <c r="H5" t="s">
        <v>8</v>
      </c>
      <c r="I5">
        <v>25</v>
      </c>
      <c r="J5">
        <v>1</v>
      </c>
      <c r="O5" t="s">
        <v>8</v>
      </c>
      <c r="P5">
        <v>9.5500000000000007</v>
      </c>
    </row>
    <row r="6" spans="1:16" x14ac:dyDescent="0.3">
      <c r="A6" t="s">
        <v>9</v>
      </c>
      <c r="B6" s="4">
        <v>379.8</v>
      </c>
      <c r="C6" s="4">
        <v>22.8</v>
      </c>
      <c r="E6" s="56"/>
      <c r="F6" s="56"/>
      <c r="H6" t="s">
        <v>10</v>
      </c>
      <c r="I6">
        <v>44</v>
      </c>
      <c r="J6">
        <v>0</v>
      </c>
      <c r="O6" t="s">
        <v>10</v>
      </c>
      <c r="P6">
        <v>25.9</v>
      </c>
    </row>
    <row r="7" spans="1:16" x14ac:dyDescent="0.3">
      <c r="A7" t="s">
        <v>11</v>
      </c>
      <c r="B7" s="4">
        <f>B4-B6</f>
        <v>159.19999999999999</v>
      </c>
      <c r="C7">
        <f>C4-C6</f>
        <v>84.2</v>
      </c>
      <c r="H7" t="s">
        <v>12</v>
      </c>
      <c r="I7">
        <v>3</v>
      </c>
      <c r="J7">
        <v>0</v>
      </c>
      <c r="O7" t="s">
        <v>12</v>
      </c>
      <c r="P7">
        <v>0</v>
      </c>
    </row>
    <row r="8" spans="1:16" x14ac:dyDescent="0.3">
      <c r="H8" t="s">
        <v>13</v>
      </c>
      <c r="I8">
        <v>0</v>
      </c>
      <c r="J8">
        <v>0</v>
      </c>
      <c r="O8" t="s">
        <v>13</v>
      </c>
      <c r="P8">
        <v>0</v>
      </c>
    </row>
    <row r="9" spans="1:16" x14ac:dyDescent="0.3">
      <c r="H9" t="s">
        <v>14</v>
      </c>
      <c r="I9">
        <v>59</v>
      </c>
      <c r="J9">
        <v>84</v>
      </c>
    </row>
    <row r="10" spans="1:16" x14ac:dyDescent="0.3">
      <c r="D10" s="4"/>
      <c r="H10" t="s">
        <v>15</v>
      </c>
      <c r="I10" s="4">
        <f>SUM(I4:I9)</f>
        <v>558</v>
      </c>
      <c r="J10" s="4">
        <f>SUM(J4:J9)</f>
        <v>108</v>
      </c>
    </row>
    <row r="11" spans="1:16" x14ac:dyDescent="0.3">
      <c r="H11" t="s">
        <v>16</v>
      </c>
      <c r="I11" s="4">
        <v>435.56</v>
      </c>
      <c r="J11" s="4">
        <v>22.8</v>
      </c>
    </row>
    <row r="19" spans="1:14" x14ac:dyDescent="0.3">
      <c r="A19" t="s">
        <v>17</v>
      </c>
    </row>
    <row r="21" spans="1:14" x14ac:dyDescent="0.3">
      <c r="A21" s="8"/>
      <c r="B21" s="10" t="s">
        <v>16</v>
      </c>
      <c r="C21" s="10" t="s">
        <v>18</v>
      </c>
    </row>
    <row r="22" spans="1:14" x14ac:dyDescent="0.3">
      <c r="A22" s="9" t="s">
        <v>19</v>
      </c>
      <c r="B22" s="13">
        <v>327</v>
      </c>
      <c r="C22" s="13">
        <v>327</v>
      </c>
    </row>
    <row r="23" spans="1:14" x14ac:dyDescent="0.3">
      <c r="A23" s="9" t="s">
        <v>20</v>
      </c>
      <c r="B23" s="13">
        <v>17.510000000000002</v>
      </c>
      <c r="C23" s="13">
        <v>13</v>
      </c>
      <c r="M23" s="18"/>
      <c r="N23" s="18"/>
    </row>
    <row r="24" spans="1:14" x14ac:dyDescent="0.3">
      <c r="A24" s="9" t="s">
        <v>21</v>
      </c>
      <c r="B24" s="13">
        <v>55.6</v>
      </c>
      <c r="C24" s="13">
        <v>87</v>
      </c>
      <c r="M24" s="19"/>
      <c r="N24" s="19"/>
    </row>
    <row r="25" spans="1:14" x14ac:dyDescent="0.3">
      <c r="A25" s="9" t="s">
        <v>22</v>
      </c>
      <c r="B25" s="21">
        <f>SUM(B22:B24)</f>
        <v>400.11</v>
      </c>
      <c r="C25" s="21">
        <f>SUM(C22:C24)</f>
        <v>427</v>
      </c>
      <c r="M25" s="19"/>
      <c r="N25" s="19"/>
    </row>
    <row r="26" spans="1:14" x14ac:dyDescent="0.3">
      <c r="M26" s="19"/>
      <c r="N26" s="19"/>
    </row>
    <row r="27" spans="1:14" x14ac:dyDescent="0.3">
      <c r="M27" s="19"/>
      <c r="N27" s="19"/>
    </row>
    <row r="32" spans="1:14" ht="6" customHeight="1" x14ac:dyDescent="0.3"/>
    <row r="33" spans="1:1" x14ac:dyDescent="0.3">
      <c r="A33" s="14" t="s">
        <v>23</v>
      </c>
    </row>
  </sheetData>
  <mergeCells count="1">
    <mergeCell ref="E3:F6"/>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92096-ED02-4D01-850A-109FCB3AA519}">
  <dimension ref="A2:E627"/>
  <sheetViews>
    <sheetView workbookViewId="0">
      <selection activeCell="D9" sqref="D9"/>
    </sheetView>
  </sheetViews>
  <sheetFormatPr defaultRowHeight="14.4" x14ac:dyDescent="0.3"/>
  <cols>
    <col min="1" max="1" width="38.88671875" bestFit="1" customWidth="1"/>
    <col min="2" max="2" width="21.6640625" bestFit="1" customWidth="1"/>
    <col min="4" max="4" width="38.88671875" bestFit="1" customWidth="1"/>
  </cols>
  <sheetData>
    <row r="2" spans="1:5" x14ac:dyDescent="0.3">
      <c r="D2" t="s">
        <v>24</v>
      </c>
      <c r="E2" t="s">
        <v>25</v>
      </c>
    </row>
    <row r="3" spans="1:5" x14ac:dyDescent="0.3">
      <c r="A3" s="6" t="s">
        <v>24</v>
      </c>
      <c r="B3" t="s">
        <v>25</v>
      </c>
      <c r="D3" t="s">
        <v>26</v>
      </c>
      <c r="E3">
        <v>625.40000000000009</v>
      </c>
    </row>
    <row r="4" spans="1:5" x14ac:dyDescent="0.3">
      <c r="A4" s="7" t="s">
        <v>27</v>
      </c>
      <c r="B4">
        <v>1</v>
      </c>
      <c r="D4" t="s">
        <v>28</v>
      </c>
      <c r="E4">
        <v>2</v>
      </c>
    </row>
    <row r="5" spans="1:5" x14ac:dyDescent="0.3">
      <c r="A5" s="7" t="s">
        <v>29</v>
      </c>
      <c r="B5">
        <v>1</v>
      </c>
      <c r="D5" t="s">
        <v>30</v>
      </c>
      <c r="E5">
        <v>2</v>
      </c>
    </row>
    <row r="6" spans="1:5" x14ac:dyDescent="0.3">
      <c r="A6" s="7" t="s">
        <v>31</v>
      </c>
      <c r="B6">
        <v>1</v>
      </c>
      <c r="D6" t="s">
        <v>32</v>
      </c>
      <c r="E6">
        <v>2</v>
      </c>
    </row>
    <row r="7" spans="1:5" x14ac:dyDescent="0.3">
      <c r="A7" s="7" t="s">
        <v>33</v>
      </c>
      <c r="B7">
        <v>1</v>
      </c>
      <c r="D7" t="s">
        <v>34</v>
      </c>
      <c r="E7">
        <v>2</v>
      </c>
    </row>
    <row r="8" spans="1:5" x14ac:dyDescent="0.3">
      <c r="A8" s="7" t="s">
        <v>28</v>
      </c>
      <c r="B8">
        <v>1</v>
      </c>
      <c r="D8" t="s">
        <v>35</v>
      </c>
      <c r="E8">
        <v>1.95</v>
      </c>
    </row>
    <row r="9" spans="1:5" x14ac:dyDescent="0.3">
      <c r="A9" s="7" t="s">
        <v>36</v>
      </c>
      <c r="B9">
        <v>1</v>
      </c>
      <c r="D9" t="s">
        <v>37</v>
      </c>
      <c r="E9">
        <v>1.4</v>
      </c>
    </row>
    <row r="10" spans="1:5" x14ac:dyDescent="0.3">
      <c r="A10" s="7" t="s">
        <v>38</v>
      </c>
      <c r="B10">
        <v>1</v>
      </c>
      <c r="D10" t="s">
        <v>39</v>
      </c>
      <c r="E10">
        <v>1.4</v>
      </c>
    </row>
    <row r="11" spans="1:5" x14ac:dyDescent="0.3">
      <c r="A11" s="7" t="s">
        <v>40</v>
      </c>
      <c r="B11">
        <v>1</v>
      </c>
      <c r="D11" t="s">
        <v>41</v>
      </c>
      <c r="E11">
        <v>1.1500000000000004</v>
      </c>
    </row>
    <row r="12" spans="1:5" x14ac:dyDescent="0.3">
      <c r="A12" s="7" t="s">
        <v>42</v>
      </c>
      <c r="B12">
        <v>1</v>
      </c>
      <c r="D12" t="s">
        <v>43</v>
      </c>
      <c r="E12">
        <v>1.1499999999999999</v>
      </c>
    </row>
    <row r="13" spans="1:5" x14ac:dyDescent="0.3">
      <c r="A13" s="7" t="s">
        <v>44</v>
      </c>
      <c r="B13">
        <v>1</v>
      </c>
      <c r="D13" t="s">
        <v>45</v>
      </c>
      <c r="E13">
        <v>1.1000000000000001</v>
      </c>
    </row>
    <row r="14" spans="1:5" x14ac:dyDescent="0.3">
      <c r="A14" s="7" t="s">
        <v>46</v>
      </c>
      <c r="B14">
        <v>1</v>
      </c>
      <c r="D14" t="s">
        <v>47</v>
      </c>
      <c r="E14">
        <v>1.1000000000000001</v>
      </c>
    </row>
    <row r="15" spans="1:5" x14ac:dyDescent="0.3">
      <c r="A15" s="7" t="s">
        <v>48</v>
      </c>
      <c r="B15">
        <v>1</v>
      </c>
      <c r="D15" t="s">
        <v>49</v>
      </c>
      <c r="E15">
        <v>1.0000000000000002</v>
      </c>
    </row>
    <row r="16" spans="1:5" x14ac:dyDescent="0.3">
      <c r="A16" s="7" t="s">
        <v>50</v>
      </c>
      <c r="B16">
        <v>1</v>
      </c>
      <c r="D16" t="s">
        <v>27</v>
      </c>
      <c r="E16">
        <v>1</v>
      </c>
    </row>
    <row r="17" spans="1:5" x14ac:dyDescent="0.3">
      <c r="A17" s="7" t="s">
        <v>51</v>
      </c>
      <c r="B17">
        <v>1</v>
      </c>
      <c r="D17" t="s">
        <v>29</v>
      </c>
      <c r="E17">
        <v>1</v>
      </c>
    </row>
    <row r="18" spans="1:5" x14ac:dyDescent="0.3">
      <c r="A18" s="7" t="s">
        <v>52</v>
      </c>
      <c r="B18">
        <v>1</v>
      </c>
      <c r="D18" t="s">
        <v>31</v>
      </c>
      <c r="E18">
        <v>1</v>
      </c>
    </row>
    <row r="19" spans="1:5" x14ac:dyDescent="0.3">
      <c r="A19" s="7" t="s">
        <v>53</v>
      </c>
      <c r="B19">
        <v>1</v>
      </c>
      <c r="D19" t="s">
        <v>33</v>
      </c>
      <c r="E19">
        <v>1</v>
      </c>
    </row>
    <row r="20" spans="1:5" x14ac:dyDescent="0.3">
      <c r="A20" s="7" t="s">
        <v>54</v>
      </c>
      <c r="B20">
        <v>1</v>
      </c>
      <c r="D20" t="s">
        <v>36</v>
      </c>
      <c r="E20">
        <v>1</v>
      </c>
    </row>
    <row r="21" spans="1:5" x14ac:dyDescent="0.3">
      <c r="A21" s="7" t="s">
        <v>55</v>
      </c>
      <c r="B21">
        <v>1</v>
      </c>
      <c r="D21" t="s">
        <v>38</v>
      </c>
      <c r="E21">
        <v>1</v>
      </c>
    </row>
    <row r="22" spans="1:5" x14ac:dyDescent="0.3">
      <c r="A22" s="7" t="s">
        <v>56</v>
      </c>
      <c r="B22">
        <v>0.60000000000000009</v>
      </c>
      <c r="D22" t="s">
        <v>40</v>
      </c>
      <c r="E22">
        <v>1</v>
      </c>
    </row>
    <row r="23" spans="1:5" x14ac:dyDescent="0.3">
      <c r="A23" s="7" t="s">
        <v>57</v>
      </c>
      <c r="B23">
        <v>1</v>
      </c>
      <c r="D23" t="s">
        <v>42</v>
      </c>
      <c r="E23">
        <v>1</v>
      </c>
    </row>
    <row r="24" spans="1:5" x14ac:dyDescent="0.3">
      <c r="A24" s="7" t="s">
        <v>58</v>
      </c>
      <c r="B24">
        <v>1</v>
      </c>
      <c r="D24" t="s">
        <v>44</v>
      </c>
      <c r="E24">
        <v>1</v>
      </c>
    </row>
    <row r="25" spans="1:5" x14ac:dyDescent="0.3">
      <c r="A25" s="7" t="s">
        <v>59</v>
      </c>
      <c r="B25">
        <v>1</v>
      </c>
      <c r="D25" t="s">
        <v>46</v>
      </c>
      <c r="E25">
        <v>1</v>
      </c>
    </row>
    <row r="26" spans="1:5" x14ac:dyDescent="0.3">
      <c r="A26" s="7" t="s">
        <v>60</v>
      </c>
      <c r="B26">
        <v>1</v>
      </c>
      <c r="D26" t="s">
        <v>48</v>
      </c>
      <c r="E26">
        <v>1</v>
      </c>
    </row>
    <row r="27" spans="1:5" x14ac:dyDescent="0.3">
      <c r="A27" s="7" t="s">
        <v>61</v>
      </c>
      <c r="B27">
        <v>1</v>
      </c>
      <c r="D27" t="s">
        <v>50</v>
      </c>
      <c r="E27">
        <v>1</v>
      </c>
    </row>
    <row r="28" spans="1:5" x14ac:dyDescent="0.3">
      <c r="A28" s="7" t="s">
        <v>62</v>
      </c>
      <c r="B28">
        <v>1</v>
      </c>
      <c r="D28" t="s">
        <v>51</v>
      </c>
      <c r="E28">
        <v>1</v>
      </c>
    </row>
    <row r="29" spans="1:5" x14ac:dyDescent="0.3">
      <c r="A29" s="7" t="s">
        <v>63</v>
      </c>
      <c r="B29">
        <v>1</v>
      </c>
      <c r="D29" t="s">
        <v>52</v>
      </c>
      <c r="E29">
        <v>1</v>
      </c>
    </row>
    <row r="30" spans="1:5" x14ac:dyDescent="0.3">
      <c r="A30" s="7" t="s">
        <v>64</v>
      </c>
      <c r="B30">
        <v>1</v>
      </c>
      <c r="D30" t="s">
        <v>53</v>
      </c>
      <c r="E30">
        <v>1</v>
      </c>
    </row>
    <row r="31" spans="1:5" x14ac:dyDescent="0.3">
      <c r="A31" s="7" t="s">
        <v>65</v>
      </c>
      <c r="B31">
        <v>1</v>
      </c>
      <c r="D31" t="s">
        <v>54</v>
      </c>
      <c r="E31">
        <v>1</v>
      </c>
    </row>
    <row r="32" spans="1:5" x14ac:dyDescent="0.3">
      <c r="A32" s="7" t="s">
        <v>66</v>
      </c>
      <c r="B32">
        <v>1</v>
      </c>
      <c r="D32" t="s">
        <v>55</v>
      </c>
      <c r="E32">
        <v>1</v>
      </c>
    </row>
    <row r="33" spans="1:5" x14ac:dyDescent="0.3">
      <c r="A33" s="7" t="s">
        <v>67</v>
      </c>
      <c r="B33">
        <v>1</v>
      </c>
      <c r="D33" t="s">
        <v>57</v>
      </c>
      <c r="E33">
        <v>1</v>
      </c>
    </row>
    <row r="34" spans="1:5" x14ac:dyDescent="0.3">
      <c r="A34" s="7" t="s">
        <v>68</v>
      </c>
      <c r="B34">
        <v>1</v>
      </c>
      <c r="D34" t="s">
        <v>58</v>
      </c>
      <c r="E34">
        <v>1</v>
      </c>
    </row>
    <row r="35" spans="1:5" x14ac:dyDescent="0.3">
      <c r="A35" s="7" t="s">
        <v>69</v>
      </c>
      <c r="B35">
        <v>1</v>
      </c>
      <c r="D35" t="s">
        <v>59</v>
      </c>
      <c r="E35">
        <v>1</v>
      </c>
    </row>
    <row r="36" spans="1:5" x14ac:dyDescent="0.3">
      <c r="A36" s="7" t="s">
        <v>70</v>
      </c>
      <c r="B36">
        <v>1</v>
      </c>
      <c r="D36" t="s">
        <v>60</v>
      </c>
      <c r="E36">
        <v>1</v>
      </c>
    </row>
    <row r="37" spans="1:5" x14ac:dyDescent="0.3">
      <c r="A37" s="7" t="s">
        <v>71</v>
      </c>
      <c r="B37">
        <v>1</v>
      </c>
      <c r="D37" t="s">
        <v>61</v>
      </c>
      <c r="E37">
        <v>1</v>
      </c>
    </row>
    <row r="38" spans="1:5" x14ac:dyDescent="0.3">
      <c r="A38" s="7" t="s">
        <v>72</v>
      </c>
      <c r="B38">
        <v>1</v>
      </c>
      <c r="D38" t="s">
        <v>62</v>
      </c>
      <c r="E38">
        <v>1</v>
      </c>
    </row>
    <row r="39" spans="1:5" x14ac:dyDescent="0.3">
      <c r="A39" s="7" t="s">
        <v>73</v>
      </c>
      <c r="B39">
        <v>1</v>
      </c>
      <c r="D39" t="s">
        <v>63</v>
      </c>
      <c r="E39">
        <v>1</v>
      </c>
    </row>
    <row r="40" spans="1:5" x14ac:dyDescent="0.3">
      <c r="A40" s="7" t="s">
        <v>74</v>
      </c>
      <c r="B40">
        <v>1</v>
      </c>
      <c r="D40" t="s">
        <v>64</v>
      </c>
      <c r="E40">
        <v>1</v>
      </c>
    </row>
    <row r="41" spans="1:5" x14ac:dyDescent="0.3">
      <c r="A41" s="7" t="s">
        <v>75</v>
      </c>
      <c r="B41">
        <v>1</v>
      </c>
      <c r="D41" t="s">
        <v>65</v>
      </c>
      <c r="E41">
        <v>1</v>
      </c>
    </row>
    <row r="42" spans="1:5" x14ac:dyDescent="0.3">
      <c r="A42" s="7" t="s">
        <v>76</v>
      </c>
      <c r="B42">
        <v>1</v>
      </c>
      <c r="D42" t="s">
        <v>66</v>
      </c>
      <c r="E42">
        <v>1</v>
      </c>
    </row>
    <row r="43" spans="1:5" x14ac:dyDescent="0.3">
      <c r="A43" s="7" t="s">
        <v>77</v>
      </c>
      <c r="B43">
        <v>0.4</v>
      </c>
      <c r="D43" t="s">
        <v>67</v>
      </c>
      <c r="E43">
        <v>1</v>
      </c>
    </row>
    <row r="44" spans="1:5" x14ac:dyDescent="0.3">
      <c r="A44" s="7" t="s">
        <v>78</v>
      </c>
      <c r="B44">
        <v>1</v>
      </c>
      <c r="D44" t="s">
        <v>68</v>
      </c>
      <c r="E44">
        <v>1</v>
      </c>
    </row>
    <row r="45" spans="1:5" x14ac:dyDescent="0.3">
      <c r="A45" s="7" t="s">
        <v>79</v>
      </c>
      <c r="B45">
        <v>1</v>
      </c>
      <c r="D45" t="s">
        <v>69</v>
      </c>
      <c r="E45">
        <v>1</v>
      </c>
    </row>
    <row r="46" spans="1:5" x14ac:dyDescent="0.3">
      <c r="A46" s="7" t="s">
        <v>80</v>
      </c>
      <c r="B46">
        <v>1</v>
      </c>
      <c r="D46" t="s">
        <v>70</v>
      </c>
      <c r="E46">
        <v>1</v>
      </c>
    </row>
    <row r="47" spans="1:5" x14ac:dyDescent="0.3">
      <c r="A47" s="7" t="s">
        <v>81</v>
      </c>
      <c r="B47">
        <v>1</v>
      </c>
      <c r="D47" t="s">
        <v>71</v>
      </c>
      <c r="E47">
        <v>1</v>
      </c>
    </row>
    <row r="48" spans="1:5" x14ac:dyDescent="0.3">
      <c r="A48" s="7" t="s">
        <v>82</v>
      </c>
      <c r="B48">
        <v>1</v>
      </c>
      <c r="D48" t="s">
        <v>72</v>
      </c>
      <c r="E48">
        <v>1</v>
      </c>
    </row>
    <row r="49" spans="1:5" x14ac:dyDescent="0.3">
      <c r="A49" s="7" t="s">
        <v>83</v>
      </c>
      <c r="B49">
        <v>1</v>
      </c>
      <c r="D49" t="s">
        <v>73</v>
      </c>
      <c r="E49">
        <v>1</v>
      </c>
    </row>
    <row r="50" spans="1:5" x14ac:dyDescent="0.3">
      <c r="A50" s="7" t="s">
        <v>84</v>
      </c>
      <c r="B50">
        <v>1</v>
      </c>
      <c r="D50" t="s">
        <v>74</v>
      </c>
      <c r="E50">
        <v>1</v>
      </c>
    </row>
    <row r="51" spans="1:5" x14ac:dyDescent="0.3">
      <c r="A51" s="7" t="s">
        <v>85</v>
      </c>
      <c r="B51">
        <v>1</v>
      </c>
      <c r="D51" t="s">
        <v>75</v>
      </c>
      <c r="E51">
        <v>1</v>
      </c>
    </row>
    <row r="52" spans="1:5" x14ac:dyDescent="0.3">
      <c r="A52" s="7" t="s">
        <v>86</v>
      </c>
      <c r="B52">
        <v>1</v>
      </c>
      <c r="D52" t="s">
        <v>76</v>
      </c>
      <c r="E52">
        <v>1</v>
      </c>
    </row>
    <row r="53" spans="1:5" x14ac:dyDescent="0.3">
      <c r="A53" s="7" t="s">
        <v>87</v>
      </c>
      <c r="B53">
        <v>1</v>
      </c>
      <c r="D53" t="s">
        <v>77</v>
      </c>
      <c r="E53">
        <v>1</v>
      </c>
    </row>
    <row r="54" spans="1:5" x14ac:dyDescent="0.3">
      <c r="A54" s="7" t="s">
        <v>88</v>
      </c>
      <c r="B54">
        <v>1</v>
      </c>
      <c r="D54" t="s">
        <v>78</v>
      </c>
      <c r="E54">
        <v>1</v>
      </c>
    </row>
    <row r="55" spans="1:5" x14ac:dyDescent="0.3">
      <c r="A55" s="7" t="s">
        <v>89</v>
      </c>
      <c r="B55">
        <v>0.99999999999999989</v>
      </c>
      <c r="D55" t="s">
        <v>79</v>
      </c>
      <c r="E55">
        <v>1</v>
      </c>
    </row>
    <row r="56" spans="1:5" x14ac:dyDescent="0.3">
      <c r="A56" s="7" t="s">
        <v>90</v>
      </c>
      <c r="B56">
        <v>1</v>
      </c>
      <c r="D56" t="s">
        <v>80</v>
      </c>
      <c r="E56">
        <v>1</v>
      </c>
    </row>
    <row r="57" spans="1:5" x14ac:dyDescent="0.3">
      <c r="A57" s="7" t="s">
        <v>91</v>
      </c>
      <c r="B57">
        <v>1</v>
      </c>
      <c r="D57" t="s">
        <v>81</v>
      </c>
      <c r="E57">
        <v>1</v>
      </c>
    </row>
    <row r="58" spans="1:5" x14ac:dyDescent="0.3">
      <c r="A58" s="7" t="s">
        <v>92</v>
      </c>
      <c r="B58">
        <v>1</v>
      </c>
      <c r="D58" t="s">
        <v>82</v>
      </c>
      <c r="E58">
        <v>1</v>
      </c>
    </row>
    <row r="59" spans="1:5" x14ac:dyDescent="0.3">
      <c r="A59" s="7" t="s">
        <v>93</v>
      </c>
      <c r="B59">
        <v>1</v>
      </c>
      <c r="D59" t="s">
        <v>83</v>
      </c>
      <c r="E59">
        <v>1</v>
      </c>
    </row>
    <row r="60" spans="1:5" x14ac:dyDescent="0.3">
      <c r="A60" s="7" t="s">
        <v>94</v>
      </c>
      <c r="B60">
        <v>1</v>
      </c>
      <c r="D60" t="s">
        <v>84</v>
      </c>
      <c r="E60">
        <v>1</v>
      </c>
    </row>
    <row r="61" spans="1:5" x14ac:dyDescent="0.3">
      <c r="A61" s="7" t="s">
        <v>95</v>
      </c>
      <c r="B61">
        <v>1</v>
      </c>
      <c r="D61" t="s">
        <v>85</v>
      </c>
      <c r="E61">
        <v>1</v>
      </c>
    </row>
    <row r="62" spans="1:5" x14ac:dyDescent="0.3">
      <c r="A62" s="7" t="s">
        <v>96</v>
      </c>
      <c r="B62">
        <v>0.9</v>
      </c>
      <c r="D62" t="s">
        <v>86</v>
      </c>
      <c r="E62">
        <v>1</v>
      </c>
    </row>
    <row r="63" spans="1:5" x14ac:dyDescent="0.3">
      <c r="A63" s="7" t="s">
        <v>97</v>
      </c>
      <c r="B63">
        <v>1</v>
      </c>
      <c r="D63" t="s">
        <v>87</v>
      </c>
      <c r="E63">
        <v>1</v>
      </c>
    </row>
    <row r="64" spans="1:5" x14ac:dyDescent="0.3">
      <c r="A64" s="7" t="s">
        <v>98</v>
      </c>
      <c r="B64">
        <v>1</v>
      </c>
      <c r="D64" t="s">
        <v>88</v>
      </c>
      <c r="E64">
        <v>1</v>
      </c>
    </row>
    <row r="65" spans="1:5" x14ac:dyDescent="0.3">
      <c r="A65" s="7" t="s">
        <v>99</v>
      </c>
      <c r="B65">
        <v>1</v>
      </c>
      <c r="D65" t="s">
        <v>90</v>
      </c>
      <c r="E65">
        <v>1</v>
      </c>
    </row>
    <row r="66" spans="1:5" x14ac:dyDescent="0.3">
      <c r="A66" s="7" t="s">
        <v>100</v>
      </c>
      <c r="B66">
        <v>1</v>
      </c>
      <c r="D66" t="s">
        <v>91</v>
      </c>
      <c r="E66">
        <v>1</v>
      </c>
    </row>
    <row r="67" spans="1:5" x14ac:dyDescent="0.3">
      <c r="A67" s="7" t="s">
        <v>101</v>
      </c>
      <c r="B67">
        <v>1</v>
      </c>
      <c r="D67" t="s">
        <v>92</v>
      </c>
      <c r="E67">
        <v>1</v>
      </c>
    </row>
    <row r="68" spans="1:5" x14ac:dyDescent="0.3">
      <c r="A68" s="7" t="s">
        <v>102</v>
      </c>
      <c r="B68">
        <v>1</v>
      </c>
      <c r="D68" t="s">
        <v>93</v>
      </c>
      <c r="E68">
        <v>1</v>
      </c>
    </row>
    <row r="69" spans="1:5" x14ac:dyDescent="0.3">
      <c r="A69" s="7" t="s">
        <v>103</v>
      </c>
      <c r="B69">
        <v>1</v>
      </c>
      <c r="D69" t="s">
        <v>94</v>
      </c>
      <c r="E69">
        <v>1</v>
      </c>
    </row>
    <row r="70" spans="1:5" x14ac:dyDescent="0.3">
      <c r="A70" s="7" t="s">
        <v>104</v>
      </c>
      <c r="B70">
        <v>1</v>
      </c>
      <c r="D70" t="s">
        <v>95</v>
      </c>
      <c r="E70">
        <v>1</v>
      </c>
    </row>
    <row r="71" spans="1:5" x14ac:dyDescent="0.3">
      <c r="A71" s="7" t="s">
        <v>105</v>
      </c>
      <c r="B71">
        <v>1</v>
      </c>
      <c r="D71" t="s">
        <v>96</v>
      </c>
      <c r="E71">
        <v>1</v>
      </c>
    </row>
    <row r="72" spans="1:5" x14ac:dyDescent="0.3">
      <c r="A72" s="7" t="s">
        <v>106</v>
      </c>
      <c r="B72">
        <v>1</v>
      </c>
      <c r="D72" t="s">
        <v>97</v>
      </c>
      <c r="E72">
        <v>1</v>
      </c>
    </row>
    <row r="73" spans="1:5" x14ac:dyDescent="0.3">
      <c r="A73" s="7" t="s">
        <v>107</v>
      </c>
      <c r="B73">
        <v>1</v>
      </c>
      <c r="D73" t="s">
        <v>98</v>
      </c>
      <c r="E73">
        <v>1</v>
      </c>
    </row>
    <row r="74" spans="1:5" x14ac:dyDescent="0.3">
      <c r="A74" s="7" t="s">
        <v>108</v>
      </c>
      <c r="B74">
        <v>1</v>
      </c>
      <c r="D74" t="s">
        <v>99</v>
      </c>
      <c r="E74">
        <v>1</v>
      </c>
    </row>
    <row r="75" spans="1:5" x14ac:dyDescent="0.3">
      <c r="A75" s="7" t="s">
        <v>109</v>
      </c>
      <c r="B75">
        <v>1</v>
      </c>
      <c r="D75" t="s">
        <v>100</v>
      </c>
      <c r="E75">
        <v>1</v>
      </c>
    </row>
    <row r="76" spans="1:5" x14ac:dyDescent="0.3">
      <c r="A76" s="7" t="s">
        <v>110</v>
      </c>
      <c r="B76">
        <v>1</v>
      </c>
      <c r="D76" t="s">
        <v>101</v>
      </c>
      <c r="E76">
        <v>1</v>
      </c>
    </row>
    <row r="77" spans="1:5" x14ac:dyDescent="0.3">
      <c r="A77" s="7" t="s">
        <v>111</v>
      </c>
      <c r="B77">
        <v>1</v>
      </c>
      <c r="D77" t="s">
        <v>102</v>
      </c>
      <c r="E77">
        <v>1</v>
      </c>
    </row>
    <row r="78" spans="1:5" x14ac:dyDescent="0.3">
      <c r="A78" s="7" t="s">
        <v>112</v>
      </c>
      <c r="B78">
        <v>1</v>
      </c>
      <c r="D78" t="s">
        <v>103</v>
      </c>
      <c r="E78">
        <v>1</v>
      </c>
    </row>
    <row r="79" spans="1:5" x14ac:dyDescent="0.3">
      <c r="A79" s="7" t="s">
        <v>113</v>
      </c>
      <c r="B79">
        <v>1</v>
      </c>
      <c r="D79" t="s">
        <v>104</v>
      </c>
      <c r="E79">
        <v>1</v>
      </c>
    </row>
    <row r="80" spans="1:5" x14ac:dyDescent="0.3">
      <c r="A80" s="7" t="s">
        <v>114</v>
      </c>
      <c r="B80">
        <v>1</v>
      </c>
      <c r="D80" t="s">
        <v>105</v>
      </c>
      <c r="E80">
        <v>1</v>
      </c>
    </row>
    <row r="81" spans="1:5" x14ac:dyDescent="0.3">
      <c r="A81" s="7" t="s">
        <v>115</v>
      </c>
      <c r="B81">
        <v>1</v>
      </c>
      <c r="D81" t="s">
        <v>106</v>
      </c>
      <c r="E81">
        <v>1</v>
      </c>
    </row>
    <row r="82" spans="1:5" x14ac:dyDescent="0.3">
      <c r="A82" s="7" t="s">
        <v>116</v>
      </c>
      <c r="B82">
        <v>1</v>
      </c>
      <c r="D82" t="s">
        <v>107</v>
      </c>
      <c r="E82">
        <v>1</v>
      </c>
    </row>
    <row r="83" spans="1:5" x14ac:dyDescent="0.3">
      <c r="A83" s="7" t="s">
        <v>117</v>
      </c>
      <c r="B83">
        <v>1</v>
      </c>
      <c r="D83" t="s">
        <v>108</v>
      </c>
      <c r="E83">
        <v>1</v>
      </c>
    </row>
    <row r="84" spans="1:5" x14ac:dyDescent="0.3">
      <c r="A84" s="7" t="s">
        <v>118</v>
      </c>
      <c r="B84">
        <v>1</v>
      </c>
      <c r="D84" t="s">
        <v>109</v>
      </c>
      <c r="E84">
        <v>1</v>
      </c>
    </row>
    <row r="85" spans="1:5" x14ac:dyDescent="0.3">
      <c r="A85" s="7" t="s">
        <v>119</v>
      </c>
      <c r="B85">
        <v>1</v>
      </c>
      <c r="D85" t="s">
        <v>110</v>
      </c>
      <c r="E85">
        <v>1</v>
      </c>
    </row>
    <row r="86" spans="1:5" x14ac:dyDescent="0.3">
      <c r="A86" s="7" t="s">
        <v>120</v>
      </c>
      <c r="B86">
        <v>1</v>
      </c>
      <c r="D86" t="s">
        <v>111</v>
      </c>
      <c r="E86">
        <v>1</v>
      </c>
    </row>
    <row r="87" spans="1:5" x14ac:dyDescent="0.3">
      <c r="A87" s="7" t="s">
        <v>121</v>
      </c>
      <c r="B87">
        <v>1</v>
      </c>
      <c r="D87" t="s">
        <v>112</v>
      </c>
      <c r="E87">
        <v>1</v>
      </c>
    </row>
    <row r="88" spans="1:5" x14ac:dyDescent="0.3">
      <c r="A88" s="7" t="s">
        <v>122</v>
      </c>
      <c r="B88">
        <v>1</v>
      </c>
      <c r="D88" t="s">
        <v>113</v>
      </c>
      <c r="E88">
        <v>1</v>
      </c>
    </row>
    <row r="89" spans="1:5" x14ac:dyDescent="0.3">
      <c r="A89" s="7" t="s">
        <v>123</v>
      </c>
      <c r="B89">
        <v>0.99999999999999989</v>
      </c>
      <c r="D89" t="s">
        <v>114</v>
      </c>
      <c r="E89">
        <v>1</v>
      </c>
    </row>
    <row r="90" spans="1:5" x14ac:dyDescent="0.3">
      <c r="A90" s="7" t="s">
        <v>124</v>
      </c>
      <c r="B90">
        <v>1</v>
      </c>
      <c r="D90" t="s">
        <v>115</v>
      </c>
      <c r="E90">
        <v>1</v>
      </c>
    </row>
    <row r="91" spans="1:5" x14ac:dyDescent="0.3">
      <c r="A91" s="7" t="s">
        <v>125</v>
      </c>
      <c r="B91">
        <v>1</v>
      </c>
      <c r="D91" t="s">
        <v>116</v>
      </c>
      <c r="E91">
        <v>1</v>
      </c>
    </row>
    <row r="92" spans="1:5" x14ac:dyDescent="0.3">
      <c r="A92" s="7" t="s">
        <v>126</v>
      </c>
      <c r="B92">
        <v>1</v>
      </c>
      <c r="D92" t="s">
        <v>117</v>
      </c>
      <c r="E92">
        <v>1</v>
      </c>
    </row>
    <row r="93" spans="1:5" x14ac:dyDescent="0.3">
      <c r="A93" s="7" t="s">
        <v>127</v>
      </c>
      <c r="B93">
        <v>1</v>
      </c>
      <c r="D93" t="s">
        <v>118</v>
      </c>
      <c r="E93">
        <v>1</v>
      </c>
    </row>
    <row r="94" spans="1:5" x14ac:dyDescent="0.3">
      <c r="A94" s="7" t="s">
        <v>128</v>
      </c>
      <c r="B94">
        <v>1</v>
      </c>
      <c r="D94" t="s">
        <v>119</v>
      </c>
      <c r="E94">
        <v>1</v>
      </c>
    </row>
    <row r="95" spans="1:5" x14ac:dyDescent="0.3">
      <c r="A95" s="7" t="s">
        <v>129</v>
      </c>
      <c r="B95">
        <v>0.8</v>
      </c>
      <c r="D95" t="s">
        <v>120</v>
      </c>
      <c r="E95">
        <v>1</v>
      </c>
    </row>
    <row r="96" spans="1:5" x14ac:dyDescent="0.3">
      <c r="A96" s="7" t="s">
        <v>130</v>
      </c>
      <c r="B96">
        <v>1</v>
      </c>
      <c r="D96" t="s">
        <v>121</v>
      </c>
      <c r="E96">
        <v>1</v>
      </c>
    </row>
    <row r="97" spans="1:5" x14ac:dyDescent="0.3">
      <c r="A97" s="7" t="s">
        <v>131</v>
      </c>
      <c r="B97">
        <v>0.7</v>
      </c>
      <c r="D97" t="s">
        <v>122</v>
      </c>
      <c r="E97">
        <v>1</v>
      </c>
    </row>
    <row r="98" spans="1:5" x14ac:dyDescent="0.3">
      <c r="A98" s="7" t="s">
        <v>132</v>
      </c>
      <c r="B98">
        <v>1</v>
      </c>
      <c r="D98" t="s">
        <v>124</v>
      </c>
      <c r="E98">
        <v>1</v>
      </c>
    </row>
    <row r="99" spans="1:5" x14ac:dyDescent="0.3">
      <c r="A99" s="7" t="s">
        <v>133</v>
      </c>
      <c r="B99">
        <v>1</v>
      </c>
      <c r="D99" t="s">
        <v>125</v>
      </c>
      <c r="E99">
        <v>1</v>
      </c>
    </row>
    <row r="100" spans="1:5" x14ac:dyDescent="0.3">
      <c r="A100" s="7" t="s">
        <v>134</v>
      </c>
      <c r="B100">
        <v>1</v>
      </c>
      <c r="D100" t="s">
        <v>126</v>
      </c>
      <c r="E100">
        <v>1</v>
      </c>
    </row>
    <row r="101" spans="1:5" x14ac:dyDescent="0.3">
      <c r="A101" s="7" t="s">
        <v>135</v>
      </c>
      <c r="B101">
        <v>1</v>
      </c>
      <c r="D101" t="s">
        <v>127</v>
      </c>
      <c r="E101">
        <v>1</v>
      </c>
    </row>
    <row r="102" spans="1:5" x14ac:dyDescent="0.3">
      <c r="A102" s="7" t="s">
        <v>136</v>
      </c>
      <c r="B102">
        <v>1</v>
      </c>
      <c r="D102" t="s">
        <v>128</v>
      </c>
      <c r="E102">
        <v>1</v>
      </c>
    </row>
    <row r="103" spans="1:5" x14ac:dyDescent="0.3">
      <c r="A103" s="7" t="s">
        <v>137</v>
      </c>
      <c r="B103">
        <v>1</v>
      </c>
      <c r="D103" t="s">
        <v>129</v>
      </c>
      <c r="E103">
        <v>1</v>
      </c>
    </row>
    <row r="104" spans="1:5" x14ac:dyDescent="0.3">
      <c r="A104" s="7" t="s">
        <v>138</v>
      </c>
      <c r="B104">
        <v>1</v>
      </c>
      <c r="D104" t="s">
        <v>130</v>
      </c>
      <c r="E104">
        <v>1</v>
      </c>
    </row>
    <row r="105" spans="1:5" x14ac:dyDescent="0.3">
      <c r="A105" s="7" t="s">
        <v>139</v>
      </c>
      <c r="B105">
        <v>0.6</v>
      </c>
      <c r="D105" t="s">
        <v>131</v>
      </c>
      <c r="E105">
        <v>1</v>
      </c>
    </row>
    <row r="106" spans="1:5" x14ac:dyDescent="0.3">
      <c r="A106" s="7" t="s">
        <v>140</v>
      </c>
      <c r="B106">
        <v>1</v>
      </c>
      <c r="D106" t="s">
        <v>132</v>
      </c>
      <c r="E106">
        <v>1</v>
      </c>
    </row>
    <row r="107" spans="1:5" x14ac:dyDescent="0.3">
      <c r="A107" s="7" t="s">
        <v>141</v>
      </c>
      <c r="B107">
        <v>1</v>
      </c>
      <c r="D107" t="s">
        <v>133</v>
      </c>
      <c r="E107">
        <v>1</v>
      </c>
    </row>
    <row r="108" spans="1:5" x14ac:dyDescent="0.3">
      <c r="A108" s="7" t="s">
        <v>142</v>
      </c>
      <c r="B108">
        <v>1</v>
      </c>
      <c r="D108" t="s">
        <v>134</v>
      </c>
      <c r="E108">
        <v>1</v>
      </c>
    </row>
    <row r="109" spans="1:5" x14ac:dyDescent="0.3">
      <c r="A109" s="7" t="s">
        <v>143</v>
      </c>
      <c r="B109">
        <v>1</v>
      </c>
      <c r="D109" t="s">
        <v>135</v>
      </c>
      <c r="E109">
        <v>1</v>
      </c>
    </row>
    <row r="110" spans="1:5" x14ac:dyDescent="0.3">
      <c r="A110" s="7" t="s">
        <v>144</v>
      </c>
      <c r="B110">
        <v>1</v>
      </c>
      <c r="D110" t="s">
        <v>136</v>
      </c>
      <c r="E110">
        <v>1</v>
      </c>
    </row>
    <row r="111" spans="1:5" x14ac:dyDescent="0.3">
      <c r="A111" s="7" t="s">
        <v>145</v>
      </c>
      <c r="B111">
        <v>1</v>
      </c>
      <c r="D111" t="s">
        <v>137</v>
      </c>
      <c r="E111">
        <v>1</v>
      </c>
    </row>
    <row r="112" spans="1:5" x14ac:dyDescent="0.3">
      <c r="A112" s="7" t="s">
        <v>146</v>
      </c>
      <c r="B112">
        <v>1</v>
      </c>
      <c r="D112" t="s">
        <v>138</v>
      </c>
      <c r="E112">
        <v>1</v>
      </c>
    </row>
    <row r="113" spans="1:5" x14ac:dyDescent="0.3">
      <c r="A113" s="7" t="s">
        <v>147</v>
      </c>
      <c r="B113">
        <v>1</v>
      </c>
      <c r="D113" t="s">
        <v>139</v>
      </c>
      <c r="E113">
        <v>1</v>
      </c>
    </row>
    <row r="114" spans="1:5" x14ac:dyDescent="0.3">
      <c r="A114" s="7" t="s">
        <v>148</v>
      </c>
      <c r="B114">
        <v>1</v>
      </c>
      <c r="D114" t="s">
        <v>140</v>
      </c>
      <c r="E114">
        <v>1</v>
      </c>
    </row>
    <row r="115" spans="1:5" x14ac:dyDescent="0.3">
      <c r="A115" s="7" t="s">
        <v>149</v>
      </c>
      <c r="B115">
        <v>1</v>
      </c>
      <c r="D115" t="s">
        <v>141</v>
      </c>
      <c r="E115">
        <v>1</v>
      </c>
    </row>
    <row r="116" spans="1:5" x14ac:dyDescent="0.3">
      <c r="A116" s="7" t="s">
        <v>150</v>
      </c>
      <c r="B116">
        <v>0.8</v>
      </c>
      <c r="D116" t="s">
        <v>142</v>
      </c>
      <c r="E116">
        <v>1</v>
      </c>
    </row>
    <row r="117" spans="1:5" x14ac:dyDescent="0.3">
      <c r="A117" s="7" t="s">
        <v>151</v>
      </c>
      <c r="B117">
        <v>1</v>
      </c>
      <c r="D117" t="s">
        <v>143</v>
      </c>
      <c r="E117">
        <v>1</v>
      </c>
    </row>
    <row r="118" spans="1:5" x14ac:dyDescent="0.3">
      <c r="A118" s="7" t="s">
        <v>152</v>
      </c>
      <c r="B118">
        <v>1</v>
      </c>
      <c r="D118" t="s">
        <v>144</v>
      </c>
      <c r="E118">
        <v>1</v>
      </c>
    </row>
    <row r="119" spans="1:5" x14ac:dyDescent="0.3">
      <c r="A119" s="7" t="s">
        <v>153</v>
      </c>
      <c r="B119">
        <v>1</v>
      </c>
      <c r="D119" t="s">
        <v>145</v>
      </c>
      <c r="E119">
        <v>1</v>
      </c>
    </row>
    <row r="120" spans="1:5" x14ac:dyDescent="0.3">
      <c r="A120" s="7" t="s">
        <v>154</v>
      </c>
      <c r="B120">
        <v>1</v>
      </c>
      <c r="D120" t="s">
        <v>146</v>
      </c>
      <c r="E120">
        <v>1</v>
      </c>
    </row>
    <row r="121" spans="1:5" x14ac:dyDescent="0.3">
      <c r="A121" s="7" t="s">
        <v>155</v>
      </c>
      <c r="B121">
        <v>1</v>
      </c>
      <c r="D121" t="s">
        <v>147</v>
      </c>
      <c r="E121">
        <v>1</v>
      </c>
    </row>
    <row r="122" spans="1:5" x14ac:dyDescent="0.3">
      <c r="A122" s="7" t="s">
        <v>156</v>
      </c>
      <c r="B122">
        <v>1</v>
      </c>
      <c r="D122" t="s">
        <v>148</v>
      </c>
      <c r="E122">
        <v>1</v>
      </c>
    </row>
    <row r="123" spans="1:5" x14ac:dyDescent="0.3">
      <c r="A123" s="7" t="s">
        <v>157</v>
      </c>
      <c r="B123">
        <v>1</v>
      </c>
      <c r="D123" t="s">
        <v>149</v>
      </c>
      <c r="E123">
        <v>1</v>
      </c>
    </row>
    <row r="124" spans="1:5" x14ac:dyDescent="0.3">
      <c r="A124" s="7" t="s">
        <v>158</v>
      </c>
      <c r="B124">
        <v>1</v>
      </c>
      <c r="D124" t="s">
        <v>151</v>
      </c>
      <c r="E124">
        <v>1</v>
      </c>
    </row>
    <row r="125" spans="1:5" x14ac:dyDescent="0.3">
      <c r="A125" s="7" t="s">
        <v>159</v>
      </c>
      <c r="B125">
        <v>0.99999999999999989</v>
      </c>
      <c r="D125" t="s">
        <v>152</v>
      </c>
      <c r="E125">
        <v>1</v>
      </c>
    </row>
    <row r="126" spans="1:5" x14ac:dyDescent="0.3">
      <c r="A126" s="7" t="s">
        <v>160</v>
      </c>
      <c r="B126">
        <v>1</v>
      </c>
      <c r="D126" t="s">
        <v>153</v>
      </c>
      <c r="E126">
        <v>1</v>
      </c>
    </row>
    <row r="127" spans="1:5" x14ac:dyDescent="0.3">
      <c r="A127" s="7" t="s">
        <v>161</v>
      </c>
      <c r="B127">
        <v>1</v>
      </c>
      <c r="D127" t="s">
        <v>154</v>
      </c>
      <c r="E127">
        <v>1</v>
      </c>
    </row>
    <row r="128" spans="1:5" x14ac:dyDescent="0.3">
      <c r="A128" s="7" t="s">
        <v>162</v>
      </c>
      <c r="B128">
        <v>0.8</v>
      </c>
      <c r="D128" t="s">
        <v>155</v>
      </c>
      <c r="E128">
        <v>1</v>
      </c>
    </row>
    <row r="129" spans="1:5" x14ac:dyDescent="0.3">
      <c r="A129" s="7" t="s">
        <v>163</v>
      </c>
      <c r="B129">
        <v>1</v>
      </c>
      <c r="D129" t="s">
        <v>156</v>
      </c>
      <c r="E129">
        <v>1</v>
      </c>
    </row>
    <row r="130" spans="1:5" x14ac:dyDescent="0.3">
      <c r="A130" s="7" t="s">
        <v>164</v>
      </c>
      <c r="B130">
        <v>1</v>
      </c>
      <c r="D130" t="s">
        <v>157</v>
      </c>
      <c r="E130">
        <v>1</v>
      </c>
    </row>
    <row r="131" spans="1:5" x14ac:dyDescent="0.3">
      <c r="A131" s="7" t="s">
        <v>165</v>
      </c>
      <c r="B131">
        <v>1</v>
      </c>
      <c r="D131" t="s">
        <v>158</v>
      </c>
      <c r="E131">
        <v>1</v>
      </c>
    </row>
    <row r="132" spans="1:5" x14ac:dyDescent="0.3">
      <c r="A132" s="7" t="s">
        <v>166</v>
      </c>
      <c r="B132">
        <v>1</v>
      </c>
      <c r="D132" t="s">
        <v>160</v>
      </c>
      <c r="E132">
        <v>1</v>
      </c>
    </row>
    <row r="133" spans="1:5" x14ac:dyDescent="0.3">
      <c r="A133" s="7" t="s">
        <v>167</v>
      </c>
      <c r="B133">
        <v>1</v>
      </c>
      <c r="D133" t="s">
        <v>161</v>
      </c>
      <c r="E133">
        <v>1</v>
      </c>
    </row>
    <row r="134" spans="1:5" x14ac:dyDescent="0.3">
      <c r="A134" s="7" t="s">
        <v>168</v>
      </c>
      <c r="B134">
        <v>0.90000000000000013</v>
      </c>
      <c r="D134" t="s">
        <v>163</v>
      </c>
      <c r="E134">
        <v>1</v>
      </c>
    </row>
    <row r="135" spans="1:5" x14ac:dyDescent="0.3">
      <c r="A135" s="7" t="s">
        <v>169</v>
      </c>
      <c r="B135">
        <v>1</v>
      </c>
      <c r="D135" t="s">
        <v>164</v>
      </c>
      <c r="E135">
        <v>1</v>
      </c>
    </row>
    <row r="136" spans="1:5" x14ac:dyDescent="0.3">
      <c r="A136" s="7" t="s">
        <v>170</v>
      </c>
      <c r="B136">
        <v>1</v>
      </c>
      <c r="D136" t="s">
        <v>165</v>
      </c>
      <c r="E136">
        <v>1</v>
      </c>
    </row>
    <row r="137" spans="1:5" x14ac:dyDescent="0.3">
      <c r="A137" s="7" t="s">
        <v>171</v>
      </c>
      <c r="B137">
        <v>1</v>
      </c>
      <c r="D137" t="s">
        <v>166</v>
      </c>
      <c r="E137">
        <v>1</v>
      </c>
    </row>
    <row r="138" spans="1:5" x14ac:dyDescent="0.3">
      <c r="A138" s="7" t="s">
        <v>172</v>
      </c>
      <c r="B138">
        <v>1</v>
      </c>
      <c r="D138" t="s">
        <v>167</v>
      </c>
      <c r="E138">
        <v>1</v>
      </c>
    </row>
    <row r="139" spans="1:5" x14ac:dyDescent="0.3">
      <c r="A139" s="7" t="s">
        <v>173</v>
      </c>
      <c r="B139">
        <v>1</v>
      </c>
      <c r="D139" t="s">
        <v>168</v>
      </c>
      <c r="E139">
        <v>1</v>
      </c>
    </row>
    <row r="140" spans="1:5" x14ac:dyDescent="0.3">
      <c r="A140" s="7" t="s">
        <v>174</v>
      </c>
      <c r="B140">
        <v>1</v>
      </c>
      <c r="D140" t="s">
        <v>169</v>
      </c>
      <c r="E140">
        <v>1</v>
      </c>
    </row>
    <row r="141" spans="1:5" x14ac:dyDescent="0.3">
      <c r="A141" s="7" t="s">
        <v>175</v>
      </c>
      <c r="B141">
        <v>1</v>
      </c>
      <c r="D141" t="s">
        <v>170</v>
      </c>
      <c r="E141">
        <v>1</v>
      </c>
    </row>
    <row r="142" spans="1:5" x14ac:dyDescent="0.3">
      <c r="A142" s="7" t="s">
        <v>176</v>
      </c>
      <c r="B142">
        <v>1</v>
      </c>
      <c r="D142" t="s">
        <v>171</v>
      </c>
      <c r="E142">
        <v>1</v>
      </c>
    </row>
    <row r="143" spans="1:5" x14ac:dyDescent="0.3">
      <c r="A143" s="7" t="s">
        <v>177</v>
      </c>
      <c r="B143">
        <v>1</v>
      </c>
      <c r="D143" t="s">
        <v>172</v>
      </c>
      <c r="E143">
        <v>1</v>
      </c>
    </row>
    <row r="144" spans="1:5" x14ac:dyDescent="0.3">
      <c r="A144" s="7" t="s">
        <v>178</v>
      </c>
      <c r="B144">
        <v>1</v>
      </c>
      <c r="D144" t="s">
        <v>173</v>
      </c>
      <c r="E144">
        <v>1</v>
      </c>
    </row>
    <row r="145" spans="1:5" x14ac:dyDescent="0.3">
      <c r="A145" s="7" t="s">
        <v>41</v>
      </c>
      <c r="B145">
        <v>1.1500000000000004</v>
      </c>
      <c r="D145" t="s">
        <v>174</v>
      </c>
      <c r="E145">
        <v>1</v>
      </c>
    </row>
    <row r="146" spans="1:5" x14ac:dyDescent="0.3">
      <c r="A146" s="7" t="s">
        <v>179</v>
      </c>
      <c r="B146">
        <v>1</v>
      </c>
      <c r="D146" t="s">
        <v>175</v>
      </c>
      <c r="E146">
        <v>1</v>
      </c>
    </row>
    <row r="147" spans="1:5" x14ac:dyDescent="0.3">
      <c r="A147" s="7" t="s">
        <v>180</v>
      </c>
      <c r="B147">
        <v>1</v>
      </c>
      <c r="D147" t="s">
        <v>176</v>
      </c>
      <c r="E147">
        <v>1</v>
      </c>
    </row>
    <row r="148" spans="1:5" x14ac:dyDescent="0.3">
      <c r="A148" s="7" t="s">
        <v>181</v>
      </c>
      <c r="B148">
        <v>1</v>
      </c>
      <c r="D148" t="s">
        <v>177</v>
      </c>
      <c r="E148">
        <v>1</v>
      </c>
    </row>
    <row r="149" spans="1:5" x14ac:dyDescent="0.3">
      <c r="A149" s="7" t="s">
        <v>182</v>
      </c>
      <c r="B149">
        <v>1</v>
      </c>
      <c r="D149" t="s">
        <v>178</v>
      </c>
      <c r="E149">
        <v>1</v>
      </c>
    </row>
    <row r="150" spans="1:5" x14ac:dyDescent="0.3">
      <c r="A150" s="7" t="s">
        <v>183</v>
      </c>
      <c r="B150">
        <v>0.99999999999999989</v>
      </c>
      <c r="D150" t="s">
        <v>179</v>
      </c>
      <c r="E150">
        <v>1</v>
      </c>
    </row>
    <row r="151" spans="1:5" x14ac:dyDescent="0.3">
      <c r="A151" s="7" t="s">
        <v>184</v>
      </c>
      <c r="B151">
        <v>1</v>
      </c>
      <c r="D151" t="s">
        <v>180</v>
      </c>
      <c r="E151">
        <v>1</v>
      </c>
    </row>
    <row r="152" spans="1:5" x14ac:dyDescent="0.3">
      <c r="A152" s="7" t="s">
        <v>185</v>
      </c>
      <c r="B152">
        <v>1</v>
      </c>
      <c r="D152" t="s">
        <v>181</v>
      </c>
      <c r="E152">
        <v>1</v>
      </c>
    </row>
    <row r="153" spans="1:5" x14ac:dyDescent="0.3">
      <c r="A153" s="7" t="s">
        <v>186</v>
      </c>
      <c r="B153">
        <v>1</v>
      </c>
      <c r="D153" t="s">
        <v>182</v>
      </c>
      <c r="E153">
        <v>1</v>
      </c>
    </row>
    <row r="154" spans="1:5" x14ac:dyDescent="0.3">
      <c r="A154" s="7" t="s">
        <v>187</v>
      </c>
      <c r="B154">
        <v>1</v>
      </c>
      <c r="D154" t="s">
        <v>184</v>
      </c>
      <c r="E154">
        <v>1</v>
      </c>
    </row>
    <row r="155" spans="1:5" x14ac:dyDescent="0.3">
      <c r="A155" s="7" t="s">
        <v>188</v>
      </c>
      <c r="B155">
        <v>1</v>
      </c>
      <c r="D155" t="s">
        <v>185</v>
      </c>
      <c r="E155">
        <v>1</v>
      </c>
    </row>
    <row r="156" spans="1:5" x14ac:dyDescent="0.3">
      <c r="A156" s="7" t="s">
        <v>189</v>
      </c>
      <c r="B156">
        <v>1</v>
      </c>
      <c r="D156" t="s">
        <v>186</v>
      </c>
      <c r="E156">
        <v>1</v>
      </c>
    </row>
    <row r="157" spans="1:5" x14ac:dyDescent="0.3">
      <c r="A157" s="7" t="s">
        <v>190</v>
      </c>
      <c r="B157">
        <v>1</v>
      </c>
      <c r="D157" t="s">
        <v>187</v>
      </c>
      <c r="E157">
        <v>1</v>
      </c>
    </row>
    <row r="158" spans="1:5" x14ac:dyDescent="0.3">
      <c r="A158" s="7" t="s">
        <v>45</v>
      </c>
      <c r="B158">
        <v>1.1000000000000001</v>
      </c>
      <c r="D158" t="s">
        <v>188</v>
      </c>
      <c r="E158">
        <v>1</v>
      </c>
    </row>
    <row r="159" spans="1:5" x14ac:dyDescent="0.3">
      <c r="A159" s="7" t="s">
        <v>191</v>
      </c>
      <c r="B159">
        <v>1</v>
      </c>
      <c r="D159" t="s">
        <v>189</v>
      </c>
      <c r="E159">
        <v>1</v>
      </c>
    </row>
    <row r="160" spans="1:5" x14ac:dyDescent="0.3">
      <c r="A160" s="7" t="s">
        <v>192</v>
      </c>
      <c r="B160">
        <v>1</v>
      </c>
      <c r="D160" t="s">
        <v>190</v>
      </c>
      <c r="E160">
        <v>1</v>
      </c>
    </row>
    <row r="161" spans="1:5" x14ac:dyDescent="0.3">
      <c r="A161" s="7" t="s">
        <v>49</v>
      </c>
      <c r="B161">
        <v>1.0000000000000002</v>
      </c>
      <c r="D161" t="s">
        <v>191</v>
      </c>
      <c r="E161">
        <v>1</v>
      </c>
    </row>
    <row r="162" spans="1:5" x14ac:dyDescent="0.3">
      <c r="A162" s="7" t="s">
        <v>193</v>
      </c>
      <c r="B162">
        <v>1</v>
      </c>
      <c r="D162" t="s">
        <v>192</v>
      </c>
      <c r="E162">
        <v>1</v>
      </c>
    </row>
    <row r="163" spans="1:5" x14ac:dyDescent="0.3">
      <c r="A163" s="7" t="s">
        <v>194</v>
      </c>
      <c r="B163">
        <v>0.7</v>
      </c>
      <c r="D163" t="s">
        <v>193</v>
      </c>
      <c r="E163">
        <v>1</v>
      </c>
    </row>
    <row r="164" spans="1:5" x14ac:dyDescent="0.3">
      <c r="A164" s="7" t="s">
        <v>37</v>
      </c>
      <c r="B164">
        <v>1.4</v>
      </c>
      <c r="D164" t="s">
        <v>195</v>
      </c>
      <c r="E164">
        <v>1</v>
      </c>
    </row>
    <row r="165" spans="1:5" x14ac:dyDescent="0.3">
      <c r="A165" s="7" t="s">
        <v>195</v>
      </c>
      <c r="B165">
        <v>1</v>
      </c>
      <c r="D165" t="s">
        <v>196</v>
      </c>
      <c r="E165">
        <v>1</v>
      </c>
    </row>
    <row r="166" spans="1:5" x14ac:dyDescent="0.3">
      <c r="A166" s="7" t="s">
        <v>196</v>
      </c>
      <c r="B166">
        <v>1</v>
      </c>
      <c r="D166" t="s">
        <v>197</v>
      </c>
      <c r="E166">
        <v>1</v>
      </c>
    </row>
    <row r="167" spans="1:5" x14ac:dyDescent="0.3">
      <c r="A167" s="7" t="s">
        <v>197</v>
      </c>
      <c r="B167">
        <v>1</v>
      </c>
      <c r="D167" t="s">
        <v>198</v>
      </c>
      <c r="E167">
        <v>1</v>
      </c>
    </row>
    <row r="168" spans="1:5" x14ac:dyDescent="0.3">
      <c r="A168" s="7" t="s">
        <v>198</v>
      </c>
      <c r="B168">
        <v>1</v>
      </c>
      <c r="D168" t="s">
        <v>199</v>
      </c>
      <c r="E168">
        <v>1</v>
      </c>
    </row>
    <row r="169" spans="1:5" x14ac:dyDescent="0.3">
      <c r="A169" s="7" t="s">
        <v>39</v>
      </c>
      <c r="B169">
        <v>1.4</v>
      </c>
      <c r="D169" t="s">
        <v>200</v>
      </c>
      <c r="E169">
        <v>1</v>
      </c>
    </row>
    <row r="170" spans="1:5" x14ac:dyDescent="0.3">
      <c r="A170" s="7" t="s">
        <v>199</v>
      </c>
      <c r="B170">
        <v>1</v>
      </c>
      <c r="D170" t="s">
        <v>201</v>
      </c>
      <c r="E170">
        <v>1</v>
      </c>
    </row>
    <row r="171" spans="1:5" x14ac:dyDescent="0.3">
      <c r="A171" s="7" t="s">
        <v>200</v>
      </c>
      <c r="B171">
        <v>1</v>
      </c>
      <c r="D171" t="s">
        <v>202</v>
      </c>
      <c r="E171">
        <v>1</v>
      </c>
    </row>
    <row r="172" spans="1:5" x14ac:dyDescent="0.3">
      <c r="A172" s="7" t="s">
        <v>203</v>
      </c>
      <c r="B172">
        <v>0.8</v>
      </c>
      <c r="D172" t="s">
        <v>204</v>
      </c>
      <c r="E172">
        <v>1</v>
      </c>
    </row>
    <row r="173" spans="1:5" x14ac:dyDescent="0.3">
      <c r="A173" s="7" t="s">
        <v>201</v>
      </c>
      <c r="B173">
        <v>1</v>
      </c>
      <c r="D173" t="s">
        <v>205</v>
      </c>
      <c r="E173">
        <v>1</v>
      </c>
    </row>
    <row r="174" spans="1:5" x14ac:dyDescent="0.3">
      <c r="A174" s="7" t="s">
        <v>202</v>
      </c>
      <c r="B174">
        <v>1</v>
      </c>
      <c r="D174" t="s">
        <v>206</v>
      </c>
      <c r="E174">
        <v>1</v>
      </c>
    </row>
    <row r="175" spans="1:5" x14ac:dyDescent="0.3">
      <c r="A175" s="7" t="s">
        <v>204</v>
      </c>
      <c r="B175">
        <v>1</v>
      </c>
      <c r="D175" t="s">
        <v>207</v>
      </c>
      <c r="E175">
        <v>1</v>
      </c>
    </row>
    <row r="176" spans="1:5" x14ac:dyDescent="0.3">
      <c r="A176" s="7" t="s">
        <v>208</v>
      </c>
      <c r="B176">
        <v>0.5</v>
      </c>
      <c r="D176" t="s">
        <v>209</v>
      </c>
      <c r="E176">
        <v>1</v>
      </c>
    </row>
    <row r="177" spans="1:5" x14ac:dyDescent="0.3">
      <c r="A177" s="7" t="s">
        <v>205</v>
      </c>
      <c r="B177">
        <v>1</v>
      </c>
      <c r="D177" t="s">
        <v>210</v>
      </c>
      <c r="E177">
        <v>1</v>
      </c>
    </row>
    <row r="178" spans="1:5" x14ac:dyDescent="0.3">
      <c r="A178" s="7" t="s">
        <v>206</v>
      </c>
      <c r="B178">
        <v>1</v>
      </c>
      <c r="D178" t="s">
        <v>211</v>
      </c>
      <c r="E178">
        <v>1</v>
      </c>
    </row>
    <row r="179" spans="1:5" x14ac:dyDescent="0.3">
      <c r="A179" s="7" t="s">
        <v>207</v>
      </c>
      <c r="B179">
        <v>1</v>
      </c>
      <c r="D179" t="s">
        <v>212</v>
      </c>
      <c r="E179">
        <v>1</v>
      </c>
    </row>
    <row r="180" spans="1:5" x14ac:dyDescent="0.3">
      <c r="A180" s="7" t="s">
        <v>209</v>
      </c>
      <c r="B180">
        <v>1</v>
      </c>
      <c r="D180" t="s">
        <v>213</v>
      </c>
      <c r="E180">
        <v>1</v>
      </c>
    </row>
    <row r="181" spans="1:5" x14ac:dyDescent="0.3">
      <c r="A181" s="7" t="s">
        <v>210</v>
      </c>
      <c r="B181">
        <v>1</v>
      </c>
      <c r="D181" t="s">
        <v>214</v>
      </c>
      <c r="E181">
        <v>1</v>
      </c>
    </row>
    <row r="182" spans="1:5" x14ac:dyDescent="0.3">
      <c r="A182" s="7" t="s">
        <v>211</v>
      </c>
      <c r="B182">
        <v>1</v>
      </c>
      <c r="D182" t="s">
        <v>215</v>
      </c>
      <c r="E182">
        <v>1</v>
      </c>
    </row>
    <row r="183" spans="1:5" x14ac:dyDescent="0.3">
      <c r="A183" s="7" t="s">
        <v>212</v>
      </c>
      <c r="B183">
        <v>1</v>
      </c>
      <c r="D183" t="s">
        <v>216</v>
      </c>
      <c r="E183">
        <v>1</v>
      </c>
    </row>
    <row r="184" spans="1:5" x14ac:dyDescent="0.3">
      <c r="A184" s="7" t="s">
        <v>213</v>
      </c>
      <c r="B184">
        <v>1</v>
      </c>
      <c r="D184" t="s">
        <v>217</v>
      </c>
      <c r="E184">
        <v>1</v>
      </c>
    </row>
    <row r="185" spans="1:5" x14ac:dyDescent="0.3">
      <c r="A185" s="7" t="s">
        <v>214</v>
      </c>
      <c r="B185">
        <v>0.6</v>
      </c>
      <c r="D185" t="s">
        <v>218</v>
      </c>
      <c r="E185">
        <v>1</v>
      </c>
    </row>
    <row r="186" spans="1:5" x14ac:dyDescent="0.3">
      <c r="A186" s="7" t="s">
        <v>215</v>
      </c>
      <c r="B186">
        <v>1</v>
      </c>
      <c r="D186" t="s">
        <v>219</v>
      </c>
      <c r="E186">
        <v>1</v>
      </c>
    </row>
    <row r="187" spans="1:5" x14ac:dyDescent="0.3">
      <c r="A187" s="7" t="s">
        <v>216</v>
      </c>
      <c r="B187">
        <v>1</v>
      </c>
      <c r="D187" t="s">
        <v>220</v>
      </c>
      <c r="E187">
        <v>1</v>
      </c>
    </row>
    <row r="188" spans="1:5" x14ac:dyDescent="0.3">
      <c r="A188" s="7" t="s">
        <v>217</v>
      </c>
      <c r="B188">
        <v>1</v>
      </c>
      <c r="D188" t="s">
        <v>221</v>
      </c>
      <c r="E188">
        <v>1</v>
      </c>
    </row>
    <row r="189" spans="1:5" x14ac:dyDescent="0.3">
      <c r="A189" s="7" t="s">
        <v>218</v>
      </c>
      <c r="B189">
        <v>1</v>
      </c>
      <c r="D189" t="s">
        <v>222</v>
      </c>
      <c r="E189">
        <v>1</v>
      </c>
    </row>
    <row r="190" spans="1:5" x14ac:dyDescent="0.3">
      <c r="A190" s="7" t="s">
        <v>219</v>
      </c>
      <c r="B190">
        <v>1</v>
      </c>
      <c r="D190" t="s">
        <v>223</v>
      </c>
      <c r="E190">
        <v>1</v>
      </c>
    </row>
    <row r="191" spans="1:5" x14ac:dyDescent="0.3">
      <c r="A191" s="7" t="s">
        <v>220</v>
      </c>
      <c r="B191">
        <v>1</v>
      </c>
      <c r="D191" t="s">
        <v>224</v>
      </c>
      <c r="E191">
        <v>1</v>
      </c>
    </row>
    <row r="192" spans="1:5" x14ac:dyDescent="0.3">
      <c r="A192" s="7" t="s">
        <v>221</v>
      </c>
      <c r="B192">
        <v>1</v>
      </c>
      <c r="D192" t="s">
        <v>225</v>
      </c>
      <c r="E192">
        <v>1</v>
      </c>
    </row>
    <row r="193" spans="1:5" x14ac:dyDescent="0.3">
      <c r="A193" s="7" t="s">
        <v>222</v>
      </c>
      <c r="B193">
        <v>1</v>
      </c>
      <c r="D193" t="s">
        <v>226</v>
      </c>
      <c r="E193">
        <v>1</v>
      </c>
    </row>
    <row r="194" spans="1:5" x14ac:dyDescent="0.3">
      <c r="A194" s="7" t="s">
        <v>223</v>
      </c>
      <c r="B194">
        <v>1</v>
      </c>
      <c r="D194" t="s">
        <v>227</v>
      </c>
      <c r="E194">
        <v>1</v>
      </c>
    </row>
    <row r="195" spans="1:5" x14ac:dyDescent="0.3">
      <c r="A195" s="7" t="s">
        <v>224</v>
      </c>
      <c r="B195">
        <v>1</v>
      </c>
      <c r="D195" t="s">
        <v>228</v>
      </c>
      <c r="E195">
        <v>1</v>
      </c>
    </row>
    <row r="196" spans="1:5" x14ac:dyDescent="0.3">
      <c r="A196" s="7" t="s">
        <v>225</v>
      </c>
      <c r="B196">
        <v>1</v>
      </c>
      <c r="D196" t="s">
        <v>229</v>
      </c>
      <c r="E196">
        <v>1</v>
      </c>
    </row>
    <row r="197" spans="1:5" x14ac:dyDescent="0.3">
      <c r="A197" s="7" t="s">
        <v>226</v>
      </c>
      <c r="B197">
        <v>1</v>
      </c>
      <c r="D197" t="s">
        <v>230</v>
      </c>
      <c r="E197">
        <v>1</v>
      </c>
    </row>
    <row r="198" spans="1:5" x14ac:dyDescent="0.3">
      <c r="A198" s="7" t="s">
        <v>227</v>
      </c>
      <c r="B198">
        <v>1</v>
      </c>
      <c r="D198" t="s">
        <v>231</v>
      </c>
      <c r="E198">
        <v>1</v>
      </c>
    </row>
    <row r="199" spans="1:5" x14ac:dyDescent="0.3">
      <c r="A199" s="7" t="s">
        <v>228</v>
      </c>
      <c r="B199">
        <v>1</v>
      </c>
      <c r="D199" t="s">
        <v>232</v>
      </c>
      <c r="E199">
        <v>1</v>
      </c>
    </row>
    <row r="200" spans="1:5" x14ac:dyDescent="0.3">
      <c r="A200" s="7" t="s">
        <v>229</v>
      </c>
      <c r="B200">
        <v>1</v>
      </c>
      <c r="D200" t="s">
        <v>233</v>
      </c>
      <c r="E200">
        <v>1</v>
      </c>
    </row>
    <row r="201" spans="1:5" x14ac:dyDescent="0.3">
      <c r="A201" s="7" t="s">
        <v>230</v>
      </c>
      <c r="B201">
        <v>1</v>
      </c>
      <c r="D201" t="s">
        <v>234</v>
      </c>
      <c r="E201">
        <v>1</v>
      </c>
    </row>
    <row r="202" spans="1:5" x14ac:dyDescent="0.3">
      <c r="A202" s="7" t="s">
        <v>231</v>
      </c>
      <c r="B202">
        <v>1</v>
      </c>
      <c r="D202" t="s">
        <v>235</v>
      </c>
      <c r="E202">
        <v>1</v>
      </c>
    </row>
    <row r="203" spans="1:5" x14ac:dyDescent="0.3">
      <c r="A203" s="7" t="s">
        <v>232</v>
      </c>
      <c r="B203">
        <v>1</v>
      </c>
      <c r="D203" t="s">
        <v>236</v>
      </c>
      <c r="E203">
        <v>1</v>
      </c>
    </row>
    <row r="204" spans="1:5" x14ac:dyDescent="0.3">
      <c r="A204" s="7" t="s">
        <v>233</v>
      </c>
      <c r="B204">
        <v>1</v>
      </c>
      <c r="D204" t="s">
        <v>237</v>
      </c>
      <c r="E204">
        <v>1</v>
      </c>
    </row>
    <row r="205" spans="1:5" x14ac:dyDescent="0.3">
      <c r="A205" s="7" t="s">
        <v>234</v>
      </c>
      <c r="B205">
        <v>1</v>
      </c>
      <c r="D205" t="s">
        <v>238</v>
      </c>
      <c r="E205">
        <v>1</v>
      </c>
    </row>
    <row r="206" spans="1:5" x14ac:dyDescent="0.3">
      <c r="A206" s="7" t="s">
        <v>235</v>
      </c>
      <c r="B206">
        <v>1</v>
      </c>
      <c r="D206" t="s">
        <v>239</v>
      </c>
      <c r="E206">
        <v>1</v>
      </c>
    </row>
    <row r="207" spans="1:5" x14ac:dyDescent="0.3">
      <c r="A207" s="7" t="s">
        <v>236</v>
      </c>
      <c r="B207">
        <v>1</v>
      </c>
      <c r="D207" t="s">
        <v>240</v>
      </c>
      <c r="E207">
        <v>1</v>
      </c>
    </row>
    <row r="208" spans="1:5" x14ac:dyDescent="0.3">
      <c r="A208" s="7" t="s">
        <v>237</v>
      </c>
      <c r="B208">
        <v>1</v>
      </c>
      <c r="D208" t="s">
        <v>241</v>
      </c>
      <c r="E208">
        <v>1</v>
      </c>
    </row>
    <row r="209" spans="1:5" x14ac:dyDescent="0.3">
      <c r="A209" s="7" t="s">
        <v>238</v>
      </c>
      <c r="B209">
        <v>1</v>
      </c>
      <c r="D209" t="s">
        <v>242</v>
      </c>
      <c r="E209">
        <v>1</v>
      </c>
    </row>
    <row r="210" spans="1:5" x14ac:dyDescent="0.3">
      <c r="A210" s="7" t="s">
        <v>239</v>
      </c>
      <c r="B210">
        <v>1</v>
      </c>
      <c r="D210" t="s">
        <v>243</v>
      </c>
      <c r="E210">
        <v>1</v>
      </c>
    </row>
    <row r="211" spans="1:5" x14ac:dyDescent="0.3">
      <c r="A211" s="7" t="s">
        <v>244</v>
      </c>
      <c r="B211">
        <v>0.99999999999999989</v>
      </c>
      <c r="D211" t="s">
        <v>245</v>
      </c>
      <c r="E211">
        <v>1</v>
      </c>
    </row>
    <row r="212" spans="1:5" x14ac:dyDescent="0.3">
      <c r="A212" s="7" t="s">
        <v>240</v>
      </c>
      <c r="B212">
        <v>0.8</v>
      </c>
      <c r="D212" t="s">
        <v>246</v>
      </c>
      <c r="E212">
        <v>1</v>
      </c>
    </row>
    <row r="213" spans="1:5" x14ac:dyDescent="0.3">
      <c r="A213" s="7" t="s">
        <v>241</v>
      </c>
      <c r="B213">
        <v>1</v>
      </c>
      <c r="D213" t="s">
        <v>247</v>
      </c>
      <c r="E213">
        <v>1</v>
      </c>
    </row>
    <row r="214" spans="1:5" x14ac:dyDescent="0.3">
      <c r="A214" s="7" t="s">
        <v>248</v>
      </c>
      <c r="B214">
        <v>0.99999999999999989</v>
      </c>
      <c r="D214" t="s">
        <v>249</v>
      </c>
      <c r="E214">
        <v>1</v>
      </c>
    </row>
    <row r="215" spans="1:5" x14ac:dyDescent="0.3">
      <c r="A215" s="7" t="s">
        <v>242</v>
      </c>
      <c r="B215">
        <v>1</v>
      </c>
      <c r="D215" t="s">
        <v>250</v>
      </c>
      <c r="E215">
        <v>1</v>
      </c>
    </row>
    <row r="216" spans="1:5" x14ac:dyDescent="0.3">
      <c r="A216" s="7" t="s">
        <v>251</v>
      </c>
      <c r="B216">
        <v>0.90000000000000013</v>
      </c>
      <c r="D216" t="s">
        <v>252</v>
      </c>
      <c r="E216">
        <v>1</v>
      </c>
    </row>
    <row r="217" spans="1:5" x14ac:dyDescent="0.3">
      <c r="A217" s="7" t="s">
        <v>243</v>
      </c>
      <c r="B217">
        <v>1</v>
      </c>
      <c r="D217" t="s">
        <v>253</v>
      </c>
      <c r="E217">
        <v>1</v>
      </c>
    </row>
    <row r="218" spans="1:5" x14ac:dyDescent="0.3">
      <c r="A218" s="7" t="s">
        <v>245</v>
      </c>
      <c r="B218">
        <v>1</v>
      </c>
      <c r="D218" t="s">
        <v>254</v>
      </c>
      <c r="E218">
        <v>1</v>
      </c>
    </row>
    <row r="219" spans="1:5" x14ac:dyDescent="0.3">
      <c r="A219" s="7" t="s">
        <v>246</v>
      </c>
      <c r="B219">
        <v>1</v>
      </c>
      <c r="D219" t="s">
        <v>255</v>
      </c>
      <c r="E219">
        <v>1</v>
      </c>
    </row>
    <row r="220" spans="1:5" x14ac:dyDescent="0.3">
      <c r="A220" s="7" t="s">
        <v>247</v>
      </c>
      <c r="B220">
        <v>1</v>
      </c>
      <c r="D220" t="s">
        <v>256</v>
      </c>
      <c r="E220">
        <v>1</v>
      </c>
    </row>
    <row r="221" spans="1:5" x14ac:dyDescent="0.3">
      <c r="A221" s="7" t="s">
        <v>249</v>
      </c>
      <c r="B221">
        <v>1</v>
      </c>
      <c r="D221" t="s">
        <v>257</v>
      </c>
      <c r="E221">
        <v>1</v>
      </c>
    </row>
    <row r="222" spans="1:5" x14ac:dyDescent="0.3">
      <c r="A222" s="7" t="s">
        <v>250</v>
      </c>
      <c r="B222">
        <v>1</v>
      </c>
      <c r="D222" t="s">
        <v>258</v>
      </c>
      <c r="E222">
        <v>1</v>
      </c>
    </row>
    <row r="223" spans="1:5" x14ac:dyDescent="0.3">
      <c r="A223" s="7" t="s">
        <v>252</v>
      </c>
      <c r="B223">
        <v>1</v>
      </c>
      <c r="D223" t="s">
        <v>259</v>
      </c>
      <c r="E223">
        <v>1</v>
      </c>
    </row>
    <row r="224" spans="1:5" x14ac:dyDescent="0.3">
      <c r="A224" s="7" t="s">
        <v>253</v>
      </c>
      <c r="B224">
        <v>1</v>
      </c>
      <c r="D224" t="s">
        <v>260</v>
      </c>
      <c r="E224">
        <v>1</v>
      </c>
    </row>
    <row r="225" spans="1:5" x14ac:dyDescent="0.3">
      <c r="A225" s="7" t="s">
        <v>254</v>
      </c>
      <c r="B225">
        <v>1</v>
      </c>
      <c r="D225" t="s">
        <v>261</v>
      </c>
      <c r="E225">
        <v>1</v>
      </c>
    </row>
    <row r="226" spans="1:5" x14ac:dyDescent="0.3">
      <c r="A226" s="7" t="s">
        <v>255</v>
      </c>
      <c r="B226">
        <v>1</v>
      </c>
      <c r="D226" t="s">
        <v>262</v>
      </c>
      <c r="E226">
        <v>1</v>
      </c>
    </row>
    <row r="227" spans="1:5" x14ac:dyDescent="0.3">
      <c r="A227" s="7" t="s">
        <v>256</v>
      </c>
      <c r="B227">
        <v>1</v>
      </c>
      <c r="D227" t="s">
        <v>263</v>
      </c>
      <c r="E227">
        <v>1</v>
      </c>
    </row>
    <row r="228" spans="1:5" x14ac:dyDescent="0.3">
      <c r="A228" s="7" t="s">
        <v>257</v>
      </c>
      <c r="B228">
        <v>1</v>
      </c>
      <c r="D228" t="s">
        <v>264</v>
      </c>
      <c r="E228">
        <v>1</v>
      </c>
    </row>
    <row r="229" spans="1:5" x14ac:dyDescent="0.3">
      <c r="A229" s="7" t="s">
        <v>258</v>
      </c>
      <c r="B229">
        <v>1</v>
      </c>
      <c r="D229" t="s">
        <v>265</v>
      </c>
      <c r="E229">
        <v>1</v>
      </c>
    </row>
    <row r="230" spans="1:5" x14ac:dyDescent="0.3">
      <c r="A230" s="7" t="s">
        <v>266</v>
      </c>
      <c r="B230">
        <v>0.99999999999999989</v>
      </c>
      <c r="D230" t="s">
        <v>267</v>
      </c>
      <c r="E230">
        <v>1</v>
      </c>
    </row>
    <row r="231" spans="1:5" x14ac:dyDescent="0.3">
      <c r="A231" s="7" t="s">
        <v>259</v>
      </c>
      <c r="B231">
        <v>1</v>
      </c>
      <c r="D231" t="s">
        <v>268</v>
      </c>
      <c r="E231">
        <v>1</v>
      </c>
    </row>
    <row r="232" spans="1:5" x14ac:dyDescent="0.3">
      <c r="A232" s="7" t="s">
        <v>260</v>
      </c>
      <c r="B232">
        <v>1</v>
      </c>
      <c r="D232" t="s">
        <v>269</v>
      </c>
      <c r="E232">
        <v>1</v>
      </c>
    </row>
    <row r="233" spans="1:5" x14ac:dyDescent="0.3">
      <c r="A233" s="7" t="s">
        <v>261</v>
      </c>
      <c r="B233">
        <v>1</v>
      </c>
      <c r="D233" t="s">
        <v>270</v>
      </c>
      <c r="E233">
        <v>1</v>
      </c>
    </row>
    <row r="234" spans="1:5" x14ac:dyDescent="0.3">
      <c r="A234" s="7" t="s">
        <v>262</v>
      </c>
      <c r="B234">
        <v>1</v>
      </c>
      <c r="D234" t="s">
        <v>271</v>
      </c>
      <c r="E234">
        <v>1</v>
      </c>
    </row>
    <row r="235" spans="1:5" x14ac:dyDescent="0.3">
      <c r="A235" s="7" t="s">
        <v>263</v>
      </c>
      <c r="B235">
        <v>1</v>
      </c>
      <c r="D235" t="s">
        <v>272</v>
      </c>
      <c r="E235">
        <v>1</v>
      </c>
    </row>
    <row r="236" spans="1:5" x14ac:dyDescent="0.3">
      <c r="A236" s="7" t="s">
        <v>264</v>
      </c>
      <c r="B236">
        <v>1</v>
      </c>
      <c r="D236" t="s">
        <v>273</v>
      </c>
      <c r="E236">
        <v>1</v>
      </c>
    </row>
    <row r="237" spans="1:5" x14ac:dyDescent="0.3">
      <c r="A237" s="7" t="s">
        <v>265</v>
      </c>
      <c r="B237">
        <v>1</v>
      </c>
      <c r="D237" t="s">
        <v>274</v>
      </c>
      <c r="E237">
        <v>1</v>
      </c>
    </row>
    <row r="238" spans="1:5" x14ac:dyDescent="0.3">
      <c r="A238" s="7" t="s">
        <v>267</v>
      </c>
      <c r="B238">
        <v>1</v>
      </c>
      <c r="D238" t="s">
        <v>275</v>
      </c>
      <c r="E238">
        <v>1</v>
      </c>
    </row>
    <row r="239" spans="1:5" x14ac:dyDescent="0.3">
      <c r="A239" s="7" t="s">
        <v>268</v>
      </c>
      <c r="B239">
        <v>1</v>
      </c>
      <c r="D239" t="s">
        <v>276</v>
      </c>
      <c r="E239">
        <v>1</v>
      </c>
    </row>
    <row r="240" spans="1:5" x14ac:dyDescent="0.3">
      <c r="A240" s="7" t="s">
        <v>269</v>
      </c>
      <c r="B240">
        <v>1</v>
      </c>
      <c r="D240" t="s">
        <v>277</v>
      </c>
      <c r="E240">
        <v>1</v>
      </c>
    </row>
    <row r="241" spans="1:5" x14ac:dyDescent="0.3">
      <c r="A241" s="7" t="s">
        <v>270</v>
      </c>
      <c r="B241">
        <v>1</v>
      </c>
      <c r="D241" t="s">
        <v>278</v>
      </c>
      <c r="E241">
        <v>1</v>
      </c>
    </row>
    <row r="242" spans="1:5" x14ac:dyDescent="0.3">
      <c r="A242" s="7" t="s">
        <v>271</v>
      </c>
      <c r="B242">
        <v>1</v>
      </c>
      <c r="D242" t="s">
        <v>279</v>
      </c>
      <c r="E242">
        <v>1</v>
      </c>
    </row>
    <row r="243" spans="1:5" x14ac:dyDescent="0.3">
      <c r="A243" s="7" t="s">
        <v>273</v>
      </c>
      <c r="B243">
        <v>1</v>
      </c>
      <c r="D243" t="s">
        <v>280</v>
      </c>
      <c r="E243">
        <v>1</v>
      </c>
    </row>
    <row r="244" spans="1:5" x14ac:dyDescent="0.3">
      <c r="A244" s="7" t="s">
        <v>274</v>
      </c>
      <c r="B244">
        <v>1</v>
      </c>
      <c r="D244" t="s">
        <v>281</v>
      </c>
      <c r="E244">
        <v>1</v>
      </c>
    </row>
    <row r="245" spans="1:5" x14ac:dyDescent="0.3">
      <c r="A245" s="7" t="s">
        <v>275</v>
      </c>
      <c r="B245">
        <v>1</v>
      </c>
      <c r="D245" t="s">
        <v>282</v>
      </c>
      <c r="E245">
        <v>1</v>
      </c>
    </row>
    <row r="246" spans="1:5" x14ac:dyDescent="0.3">
      <c r="A246" s="7" t="s">
        <v>276</v>
      </c>
      <c r="B246">
        <v>1</v>
      </c>
      <c r="D246" t="s">
        <v>283</v>
      </c>
      <c r="E246">
        <v>1</v>
      </c>
    </row>
    <row r="247" spans="1:5" x14ac:dyDescent="0.3">
      <c r="A247" s="7" t="s">
        <v>277</v>
      </c>
      <c r="B247">
        <v>1</v>
      </c>
      <c r="D247" t="s">
        <v>284</v>
      </c>
      <c r="E247">
        <v>1</v>
      </c>
    </row>
    <row r="248" spans="1:5" x14ac:dyDescent="0.3">
      <c r="A248" s="7" t="s">
        <v>30</v>
      </c>
      <c r="B248">
        <v>1</v>
      </c>
      <c r="D248" t="s">
        <v>285</v>
      </c>
      <c r="E248">
        <v>1</v>
      </c>
    </row>
    <row r="249" spans="1:5" x14ac:dyDescent="0.3">
      <c r="A249" s="7" t="s">
        <v>278</v>
      </c>
      <c r="B249">
        <v>1</v>
      </c>
      <c r="D249" t="s">
        <v>286</v>
      </c>
      <c r="E249">
        <v>1</v>
      </c>
    </row>
    <row r="250" spans="1:5" x14ac:dyDescent="0.3">
      <c r="A250" s="7" t="s">
        <v>279</v>
      </c>
      <c r="B250">
        <v>1</v>
      </c>
      <c r="D250" t="s">
        <v>287</v>
      </c>
      <c r="E250">
        <v>1</v>
      </c>
    </row>
    <row r="251" spans="1:5" x14ac:dyDescent="0.3">
      <c r="A251" s="7" t="s">
        <v>280</v>
      </c>
      <c r="B251">
        <v>1</v>
      </c>
      <c r="D251" t="s">
        <v>288</v>
      </c>
      <c r="E251">
        <v>1</v>
      </c>
    </row>
    <row r="252" spans="1:5" x14ac:dyDescent="0.3">
      <c r="A252" s="7" t="s">
        <v>281</v>
      </c>
      <c r="B252">
        <v>1</v>
      </c>
      <c r="D252" t="s">
        <v>289</v>
      </c>
      <c r="E252">
        <v>1</v>
      </c>
    </row>
    <row r="253" spans="1:5" x14ac:dyDescent="0.3">
      <c r="A253" s="7" t="s">
        <v>282</v>
      </c>
      <c r="B253">
        <v>1</v>
      </c>
      <c r="D253" t="s">
        <v>290</v>
      </c>
      <c r="E253">
        <v>1</v>
      </c>
    </row>
    <row r="254" spans="1:5" x14ac:dyDescent="0.3">
      <c r="A254" s="7" t="s">
        <v>291</v>
      </c>
      <c r="B254">
        <v>0.99999999999999989</v>
      </c>
      <c r="D254" t="s">
        <v>292</v>
      </c>
      <c r="E254">
        <v>1</v>
      </c>
    </row>
    <row r="255" spans="1:5" x14ac:dyDescent="0.3">
      <c r="A255" s="7" t="s">
        <v>283</v>
      </c>
      <c r="B255">
        <v>1</v>
      </c>
      <c r="D255" t="s">
        <v>293</v>
      </c>
      <c r="E255">
        <v>1</v>
      </c>
    </row>
    <row r="256" spans="1:5" x14ac:dyDescent="0.3">
      <c r="A256" s="7" t="s">
        <v>284</v>
      </c>
      <c r="B256">
        <v>1</v>
      </c>
      <c r="D256" t="s">
        <v>294</v>
      </c>
      <c r="E256">
        <v>1</v>
      </c>
    </row>
    <row r="257" spans="1:5" x14ac:dyDescent="0.3">
      <c r="A257" s="7" t="s">
        <v>285</v>
      </c>
      <c r="B257">
        <v>1</v>
      </c>
      <c r="D257" t="s">
        <v>295</v>
      </c>
      <c r="E257">
        <v>1</v>
      </c>
    </row>
    <row r="258" spans="1:5" x14ac:dyDescent="0.3">
      <c r="A258" s="7" t="s">
        <v>286</v>
      </c>
      <c r="B258">
        <v>1</v>
      </c>
      <c r="D258" t="s">
        <v>296</v>
      </c>
      <c r="E258">
        <v>1</v>
      </c>
    </row>
    <row r="259" spans="1:5" x14ac:dyDescent="0.3">
      <c r="A259" s="7" t="s">
        <v>287</v>
      </c>
      <c r="B259">
        <v>1</v>
      </c>
      <c r="D259" t="s">
        <v>297</v>
      </c>
      <c r="E259">
        <v>1</v>
      </c>
    </row>
    <row r="260" spans="1:5" x14ac:dyDescent="0.3">
      <c r="A260" s="7" t="s">
        <v>288</v>
      </c>
      <c r="B260">
        <v>1</v>
      </c>
      <c r="D260" t="s">
        <v>298</v>
      </c>
      <c r="E260">
        <v>1</v>
      </c>
    </row>
    <row r="261" spans="1:5" x14ac:dyDescent="0.3">
      <c r="A261" s="7" t="s">
        <v>289</v>
      </c>
      <c r="B261">
        <v>1</v>
      </c>
      <c r="D261" t="s">
        <v>299</v>
      </c>
      <c r="E261">
        <v>1</v>
      </c>
    </row>
    <row r="262" spans="1:5" x14ac:dyDescent="0.3">
      <c r="A262" s="7" t="s">
        <v>290</v>
      </c>
      <c r="B262">
        <v>1</v>
      </c>
      <c r="D262" t="s">
        <v>300</v>
      </c>
      <c r="E262">
        <v>1</v>
      </c>
    </row>
    <row r="263" spans="1:5" x14ac:dyDescent="0.3">
      <c r="A263" s="7" t="s">
        <v>292</v>
      </c>
      <c r="B263">
        <v>1</v>
      </c>
      <c r="D263" t="s">
        <v>301</v>
      </c>
      <c r="E263">
        <v>1</v>
      </c>
    </row>
    <row r="264" spans="1:5" x14ac:dyDescent="0.3">
      <c r="A264" s="7" t="s">
        <v>293</v>
      </c>
      <c r="B264">
        <v>1</v>
      </c>
      <c r="D264" t="s">
        <v>302</v>
      </c>
      <c r="E264">
        <v>1</v>
      </c>
    </row>
    <row r="265" spans="1:5" x14ac:dyDescent="0.3">
      <c r="A265" s="7" t="s">
        <v>294</v>
      </c>
      <c r="B265">
        <v>1</v>
      </c>
      <c r="D265" t="s">
        <v>303</v>
      </c>
      <c r="E265">
        <v>1</v>
      </c>
    </row>
    <row r="266" spans="1:5" x14ac:dyDescent="0.3">
      <c r="A266" s="7" t="s">
        <v>295</v>
      </c>
      <c r="B266">
        <v>1</v>
      </c>
      <c r="D266" t="s">
        <v>304</v>
      </c>
      <c r="E266">
        <v>1</v>
      </c>
    </row>
    <row r="267" spans="1:5" x14ac:dyDescent="0.3">
      <c r="A267" s="7" t="s">
        <v>296</v>
      </c>
      <c r="B267">
        <v>1</v>
      </c>
      <c r="D267" t="s">
        <v>305</v>
      </c>
      <c r="E267">
        <v>1</v>
      </c>
    </row>
    <row r="268" spans="1:5" x14ac:dyDescent="0.3">
      <c r="A268" s="7" t="s">
        <v>297</v>
      </c>
      <c r="B268">
        <v>1</v>
      </c>
      <c r="D268" t="s">
        <v>306</v>
      </c>
      <c r="E268">
        <v>1</v>
      </c>
    </row>
    <row r="269" spans="1:5" x14ac:dyDescent="0.3">
      <c r="A269" s="7" t="s">
        <v>298</v>
      </c>
      <c r="B269">
        <v>1</v>
      </c>
      <c r="D269" t="s">
        <v>307</v>
      </c>
      <c r="E269">
        <v>1</v>
      </c>
    </row>
    <row r="270" spans="1:5" x14ac:dyDescent="0.3">
      <c r="A270" s="7" t="s">
        <v>299</v>
      </c>
      <c r="B270">
        <v>1</v>
      </c>
      <c r="D270" t="s">
        <v>308</v>
      </c>
      <c r="E270">
        <v>1</v>
      </c>
    </row>
    <row r="271" spans="1:5" x14ac:dyDescent="0.3">
      <c r="A271" s="7" t="s">
        <v>300</v>
      </c>
      <c r="B271">
        <v>1</v>
      </c>
      <c r="D271" t="s">
        <v>309</v>
      </c>
      <c r="E271">
        <v>1</v>
      </c>
    </row>
    <row r="272" spans="1:5" x14ac:dyDescent="0.3">
      <c r="A272" s="7" t="s">
        <v>301</v>
      </c>
      <c r="B272">
        <v>1</v>
      </c>
      <c r="D272" t="s">
        <v>310</v>
      </c>
      <c r="E272">
        <v>1</v>
      </c>
    </row>
    <row r="273" spans="1:5" x14ac:dyDescent="0.3">
      <c r="A273" s="7" t="s">
        <v>302</v>
      </c>
      <c r="B273">
        <v>1</v>
      </c>
      <c r="D273" t="s">
        <v>311</v>
      </c>
      <c r="E273">
        <v>1</v>
      </c>
    </row>
    <row r="274" spans="1:5" x14ac:dyDescent="0.3">
      <c r="A274" s="7" t="s">
        <v>312</v>
      </c>
      <c r="B274">
        <v>0.8</v>
      </c>
      <c r="D274" t="s">
        <v>313</v>
      </c>
      <c r="E274">
        <v>1</v>
      </c>
    </row>
    <row r="275" spans="1:5" x14ac:dyDescent="0.3">
      <c r="A275" s="7" t="s">
        <v>303</v>
      </c>
      <c r="B275">
        <v>1</v>
      </c>
      <c r="D275" t="s">
        <v>314</v>
      </c>
      <c r="E275">
        <v>1</v>
      </c>
    </row>
    <row r="276" spans="1:5" x14ac:dyDescent="0.3">
      <c r="A276" s="7" t="s">
        <v>304</v>
      </c>
      <c r="B276">
        <v>1</v>
      </c>
      <c r="D276" t="s">
        <v>315</v>
      </c>
      <c r="E276">
        <v>1</v>
      </c>
    </row>
    <row r="277" spans="1:5" x14ac:dyDescent="0.3">
      <c r="A277" s="7" t="s">
        <v>305</v>
      </c>
      <c r="B277">
        <v>1</v>
      </c>
      <c r="D277" t="s">
        <v>316</v>
      </c>
      <c r="E277">
        <v>1</v>
      </c>
    </row>
    <row r="278" spans="1:5" x14ac:dyDescent="0.3">
      <c r="A278" s="7" t="s">
        <v>306</v>
      </c>
      <c r="B278">
        <v>1</v>
      </c>
      <c r="D278" t="s">
        <v>317</v>
      </c>
      <c r="E278">
        <v>1</v>
      </c>
    </row>
    <row r="279" spans="1:5" x14ac:dyDescent="0.3">
      <c r="A279" s="7" t="s">
        <v>307</v>
      </c>
      <c r="B279">
        <v>1</v>
      </c>
      <c r="D279" t="s">
        <v>318</v>
      </c>
      <c r="E279">
        <v>1</v>
      </c>
    </row>
    <row r="280" spans="1:5" x14ac:dyDescent="0.3">
      <c r="A280" s="7" t="s">
        <v>308</v>
      </c>
      <c r="B280">
        <v>1</v>
      </c>
      <c r="D280" t="s">
        <v>319</v>
      </c>
      <c r="E280">
        <v>1</v>
      </c>
    </row>
    <row r="281" spans="1:5" x14ac:dyDescent="0.3">
      <c r="A281" s="7" t="s">
        <v>309</v>
      </c>
      <c r="B281">
        <v>1</v>
      </c>
      <c r="D281" t="s">
        <v>320</v>
      </c>
      <c r="E281">
        <v>1</v>
      </c>
    </row>
    <row r="282" spans="1:5" x14ac:dyDescent="0.3">
      <c r="A282" s="7" t="s">
        <v>310</v>
      </c>
      <c r="B282">
        <v>1</v>
      </c>
      <c r="D282" t="s">
        <v>321</v>
      </c>
      <c r="E282">
        <v>1</v>
      </c>
    </row>
    <row r="283" spans="1:5" x14ac:dyDescent="0.3">
      <c r="A283" s="7" t="s">
        <v>311</v>
      </c>
      <c r="B283">
        <v>1</v>
      </c>
      <c r="D283" t="s">
        <v>322</v>
      </c>
      <c r="E283">
        <v>1</v>
      </c>
    </row>
    <row r="284" spans="1:5" x14ac:dyDescent="0.3">
      <c r="A284" s="7" t="s">
        <v>323</v>
      </c>
      <c r="B284">
        <v>0.2</v>
      </c>
      <c r="D284" t="s">
        <v>324</v>
      </c>
      <c r="E284">
        <v>1</v>
      </c>
    </row>
    <row r="285" spans="1:5" x14ac:dyDescent="0.3">
      <c r="A285" s="7" t="s">
        <v>313</v>
      </c>
      <c r="B285">
        <v>1</v>
      </c>
      <c r="D285" t="s">
        <v>325</v>
      </c>
      <c r="E285">
        <v>1</v>
      </c>
    </row>
    <row r="286" spans="1:5" x14ac:dyDescent="0.3">
      <c r="A286" s="7" t="s">
        <v>314</v>
      </c>
      <c r="B286">
        <v>1</v>
      </c>
      <c r="D286" t="s">
        <v>326</v>
      </c>
      <c r="E286">
        <v>1</v>
      </c>
    </row>
    <row r="287" spans="1:5" x14ac:dyDescent="0.3">
      <c r="A287" s="7" t="s">
        <v>316</v>
      </c>
      <c r="B287">
        <v>1</v>
      </c>
      <c r="D287" t="s">
        <v>327</v>
      </c>
      <c r="E287">
        <v>1</v>
      </c>
    </row>
    <row r="288" spans="1:5" x14ac:dyDescent="0.3">
      <c r="A288" s="7" t="s">
        <v>317</v>
      </c>
      <c r="B288">
        <v>1</v>
      </c>
      <c r="D288" t="s">
        <v>328</v>
      </c>
      <c r="E288">
        <v>1</v>
      </c>
    </row>
    <row r="289" spans="1:5" x14ac:dyDescent="0.3">
      <c r="A289" s="7" t="s">
        <v>318</v>
      </c>
      <c r="B289">
        <v>1</v>
      </c>
      <c r="D289" t="s">
        <v>329</v>
      </c>
      <c r="E289">
        <v>1</v>
      </c>
    </row>
    <row r="290" spans="1:5" x14ac:dyDescent="0.3">
      <c r="A290" s="7" t="s">
        <v>319</v>
      </c>
      <c r="B290">
        <v>1</v>
      </c>
      <c r="D290" t="s">
        <v>330</v>
      </c>
      <c r="E290">
        <v>1</v>
      </c>
    </row>
    <row r="291" spans="1:5" x14ac:dyDescent="0.3">
      <c r="A291" s="7" t="s">
        <v>320</v>
      </c>
      <c r="B291">
        <v>1</v>
      </c>
      <c r="D291" t="s">
        <v>331</v>
      </c>
      <c r="E291">
        <v>1</v>
      </c>
    </row>
    <row r="292" spans="1:5" x14ac:dyDescent="0.3">
      <c r="A292" s="7" t="s">
        <v>321</v>
      </c>
      <c r="B292">
        <v>1</v>
      </c>
      <c r="D292" t="s">
        <v>332</v>
      </c>
      <c r="E292">
        <v>1</v>
      </c>
    </row>
    <row r="293" spans="1:5" x14ac:dyDescent="0.3">
      <c r="A293" s="7" t="s">
        <v>322</v>
      </c>
      <c r="B293">
        <v>1</v>
      </c>
      <c r="D293" t="s">
        <v>333</v>
      </c>
      <c r="E293">
        <v>1</v>
      </c>
    </row>
    <row r="294" spans="1:5" x14ac:dyDescent="0.3">
      <c r="A294" s="7" t="s">
        <v>324</v>
      </c>
      <c r="B294">
        <v>1</v>
      </c>
      <c r="D294" t="s">
        <v>334</v>
      </c>
      <c r="E294">
        <v>1</v>
      </c>
    </row>
    <row r="295" spans="1:5" x14ac:dyDescent="0.3">
      <c r="A295" s="7" t="s">
        <v>325</v>
      </c>
      <c r="B295">
        <v>1</v>
      </c>
      <c r="D295" t="s">
        <v>335</v>
      </c>
      <c r="E295">
        <v>1</v>
      </c>
    </row>
    <row r="296" spans="1:5" x14ac:dyDescent="0.3">
      <c r="A296" s="7" t="s">
        <v>326</v>
      </c>
      <c r="B296">
        <v>1</v>
      </c>
      <c r="D296" t="s">
        <v>336</v>
      </c>
      <c r="E296">
        <v>1</v>
      </c>
    </row>
    <row r="297" spans="1:5" x14ac:dyDescent="0.3">
      <c r="A297" s="7" t="s">
        <v>327</v>
      </c>
      <c r="B297">
        <v>1</v>
      </c>
      <c r="D297" t="s">
        <v>337</v>
      </c>
      <c r="E297">
        <v>1</v>
      </c>
    </row>
    <row r="298" spans="1:5" x14ac:dyDescent="0.3">
      <c r="A298" s="7" t="s">
        <v>328</v>
      </c>
      <c r="B298">
        <v>1</v>
      </c>
      <c r="D298" t="s">
        <v>338</v>
      </c>
      <c r="E298">
        <v>1</v>
      </c>
    </row>
    <row r="299" spans="1:5" x14ac:dyDescent="0.3">
      <c r="A299" s="7" t="s">
        <v>329</v>
      </c>
      <c r="B299">
        <v>1</v>
      </c>
      <c r="D299" t="s">
        <v>339</v>
      </c>
      <c r="E299">
        <v>1</v>
      </c>
    </row>
    <row r="300" spans="1:5" x14ac:dyDescent="0.3">
      <c r="A300" s="7" t="s">
        <v>330</v>
      </c>
      <c r="B300">
        <v>1</v>
      </c>
      <c r="D300" t="s">
        <v>340</v>
      </c>
      <c r="E300">
        <v>1</v>
      </c>
    </row>
    <row r="301" spans="1:5" x14ac:dyDescent="0.3">
      <c r="A301" s="7" t="s">
        <v>331</v>
      </c>
      <c r="B301">
        <v>1</v>
      </c>
      <c r="D301" t="s">
        <v>341</v>
      </c>
      <c r="E301">
        <v>1</v>
      </c>
    </row>
    <row r="302" spans="1:5" x14ac:dyDescent="0.3">
      <c r="A302" s="7" t="s">
        <v>332</v>
      </c>
      <c r="B302">
        <v>1</v>
      </c>
      <c r="D302" t="s">
        <v>342</v>
      </c>
      <c r="E302">
        <v>1</v>
      </c>
    </row>
    <row r="303" spans="1:5" x14ac:dyDescent="0.3">
      <c r="A303" s="7" t="s">
        <v>333</v>
      </c>
      <c r="B303">
        <v>1</v>
      </c>
      <c r="D303" t="s">
        <v>343</v>
      </c>
      <c r="E303">
        <v>1</v>
      </c>
    </row>
    <row r="304" spans="1:5" x14ac:dyDescent="0.3">
      <c r="A304" s="7" t="s">
        <v>334</v>
      </c>
      <c r="B304">
        <v>1</v>
      </c>
      <c r="D304" t="s">
        <v>344</v>
      </c>
      <c r="E304">
        <v>1</v>
      </c>
    </row>
    <row r="305" spans="1:5" x14ac:dyDescent="0.3">
      <c r="A305" s="7" t="s">
        <v>335</v>
      </c>
      <c r="B305">
        <v>1</v>
      </c>
      <c r="D305" t="s">
        <v>345</v>
      </c>
      <c r="E305">
        <v>1</v>
      </c>
    </row>
    <row r="306" spans="1:5" x14ac:dyDescent="0.3">
      <c r="A306" s="7" t="s">
        <v>336</v>
      </c>
      <c r="B306">
        <v>1</v>
      </c>
      <c r="D306" t="s">
        <v>346</v>
      </c>
      <c r="E306">
        <v>1</v>
      </c>
    </row>
    <row r="307" spans="1:5" x14ac:dyDescent="0.3">
      <c r="A307" s="7" t="s">
        <v>337</v>
      </c>
      <c r="B307">
        <v>1</v>
      </c>
      <c r="D307" t="s">
        <v>347</v>
      </c>
      <c r="E307">
        <v>1</v>
      </c>
    </row>
    <row r="308" spans="1:5" x14ac:dyDescent="0.3">
      <c r="A308" s="7" t="s">
        <v>338</v>
      </c>
      <c r="B308">
        <v>1</v>
      </c>
      <c r="D308" t="s">
        <v>348</v>
      </c>
      <c r="E308">
        <v>1</v>
      </c>
    </row>
    <row r="309" spans="1:5" x14ac:dyDescent="0.3">
      <c r="A309" s="7" t="s">
        <v>339</v>
      </c>
      <c r="B309">
        <v>1</v>
      </c>
      <c r="D309" t="s">
        <v>349</v>
      </c>
      <c r="E309">
        <v>1</v>
      </c>
    </row>
    <row r="310" spans="1:5" x14ac:dyDescent="0.3">
      <c r="A310" s="7" t="s">
        <v>340</v>
      </c>
      <c r="B310">
        <v>1</v>
      </c>
      <c r="D310" t="s">
        <v>350</v>
      </c>
      <c r="E310">
        <v>1</v>
      </c>
    </row>
    <row r="311" spans="1:5" x14ac:dyDescent="0.3">
      <c r="A311" s="7" t="s">
        <v>341</v>
      </c>
      <c r="B311">
        <v>1</v>
      </c>
      <c r="D311" t="s">
        <v>351</v>
      </c>
      <c r="E311">
        <v>1</v>
      </c>
    </row>
    <row r="312" spans="1:5" x14ac:dyDescent="0.3">
      <c r="A312" s="7" t="s">
        <v>342</v>
      </c>
      <c r="B312">
        <v>1</v>
      </c>
      <c r="D312" t="s">
        <v>352</v>
      </c>
      <c r="E312">
        <v>1</v>
      </c>
    </row>
    <row r="313" spans="1:5" x14ac:dyDescent="0.3">
      <c r="A313" s="7" t="s">
        <v>343</v>
      </c>
      <c r="B313">
        <v>1</v>
      </c>
      <c r="D313" t="s">
        <v>353</v>
      </c>
      <c r="E313">
        <v>1</v>
      </c>
    </row>
    <row r="314" spans="1:5" x14ac:dyDescent="0.3">
      <c r="A314" s="7" t="s">
        <v>344</v>
      </c>
      <c r="B314">
        <v>1</v>
      </c>
      <c r="D314" t="s">
        <v>354</v>
      </c>
      <c r="E314">
        <v>1</v>
      </c>
    </row>
    <row r="315" spans="1:5" x14ac:dyDescent="0.3">
      <c r="A315" s="7" t="s">
        <v>345</v>
      </c>
      <c r="B315">
        <v>1</v>
      </c>
      <c r="D315" t="s">
        <v>355</v>
      </c>
      <c r="E315">
        <v>1</v>
      </c>
    </row>
    <row r="316" spans="1:5" x14ac:dyDescent="0.3">
      <c r="A316" s="7" t="s">
        <v>346</v>
      </c>
      <c r="B316">
        <v>1</v>
      </c>
      <c r="D316" t="s">
        <v>356</v>
      </c>
      <c r="E316">
        <v>1</v>
      </c>
    </row>
    <row r="317" spans="1:5" x14ac:dyDescent="0.3">
      <c r="A317" s="7" t="s">
        <v>347</v>
      </c>
      <c r="B317">
        <v>1</v>
      </c>
      <c r="D317" t="s">
        <v>357</v>
      </c>
      <c r="E317">
        <v>1</v>
      </c>
    </row>
    <row r="318" spans="1:5" x14ac:dyDescent="0.3">
      <c r="A318" s="7" t="s">
        <v>348</v>
      </c>
      <c r="B318">
        <v>1</v>
      </c>
      <c r="D318" t="s">
        <v>358</v>
      </c>
      <c r="E318">
        <v>1</v>
      </c>
    </row>
    <row r="319" spans="1:5" x14ac:dyDescent="0.3">
      <c r="A319" s="7" t="s">
        <v>359</v>
      </c>
      <c r="B319">
        <v>0.7</v>
      </c>
      <c r="D319" t="s">
        <v>360</v>
      </c>
      <c r="E319">
        <v>1</v>
      </c>
    </row>
    <row r="320" spans="1:5" x14ac:dyDescent="0.3">
      <c r="A320" s="7" t="s">
        <v>349</v>
      </c>
      <c r="B320">
        <v>1</v>
      </c>
      <c r="D320" t="s">
        <v>361</v>
      </c>
      <c r="E320">
        <v>1</v>
      </c>
    </row>
    <row r="321" spans="1:5" x14ac:dyDescent="0.3">
      <c r="A321" s="7" t="s">
        <v>350</v>
      </c>
      <c r="B321">
        <v>1</v>
      </c>
      <c r="D321" t="s">
        <v>362</v>
      </c>
      <c r="E321">
        <v>1</v>
      </c>
    </row>
    <row r="322" spans="1:5" x14ac:dyDescent="0.3">
      <c r="A322" s="7" t="s">
        <v>351</v>
      </c>
      <c r="B322">
        <v>1</v>
      </c>
      <c r="D322" t="s">
        <v>363</v>
      </c>
      <c r="E322">
        <v>1</v>
      </c>
    </row>
    <row r="323" spans="1:5" x14ac:dyDescent="0.3">
      <c r="A323" s="7" t="s">
        <v>352</v>
      </c>
      <c r="B323">
        <v>1</v>
      </c>
      <c r="D323" t="s">
        <v>364</v>
      </c>
      <c r="E323">
        <v>1</v>
      </c>
    </row>
    <row r="324" spans="1:5" x14ac:dyDescent="0.3">
      <c r="A324" s="7" t="s">
        <v>353</v>
      </c>
      <c r="B324">
        <v>1</v>
      </c>
      <c r="D324" t="s">
        <v>365</v>
      </c>
      <c r="E324">
        <v>1</v>
      </c>
    </row>
    <row r="325" spans="1:5" x14ac:dyDescent="0.3">
      <c r="A325" s="7" t="s">
        <v>354</v>
      </c>
      <c r="B325">
        <v>1</v>
      </c>
      <c r="D325" t="s">
        <v>366</v>
      </c>
      <c r="E325">
        <v>1</v>
      </c>
    </row>
    <row r="326" spans="1:5" x14ac:dyDescent="0.3">
      <c r="A326" s="7" t="s">
        <v>43</v>
      </c>
      <c r="B326">
        <v>1.1499999999999999</v>
      </c>
      <c r="D326" t="s">
        <v>367</v>
      </c>
      <c r="E326">
        <v>1</v>
      </c>
    </row>
    <row r="327" spans="1:5" x14ac:dyDescent="0.3">
      <c r="A327" s="7" t="s">
        <v>355</v>
      </c>
      <c r="B327">
        <v>1</v>
      </c>
      <c r="D327" t="s">
        <v>368</v>
      </c>
      <c r="E327">
        <v>1</v>
      </c>
    </row>
    <row r="328" spans="1:5" x14ac:dyDescent="0.3">
      <c r="A328" s="7" t="s">
        <v>356</v>
      </c>
      <c r="B328">
        <v>1</v>
      </c>
      <c r="D328" t="s">
        <v>369</v>
      </c>
      <c r="E328">
        <v>1</v>
      </c>
    </row>
    <row r="329" spans="1:5" x14ac:dyDescent="0.3">
      <c r="A329" s="7" t="s">
        <v>357</v>
      </c>
      <c r="B329">
        <v>1</v>
      </c>
      <c r="D329" t="s">
        <v>370</v>
      </c>
      <c r="E329">
        <v>1</v>
      </c>
    </row>
    <row r="330" spans="1:5" x14ac:dyDescent="0.3">
      <c r="A330" s="7" t="s">
        <v>358</v>
      </c>
      <c r="B330">
        <v>1</v>
      </c>
      <c r="D330" t="s">
        <v>371</v>
      </c>
      <c r="E330">
        <v>1</v>
      </c>
    </row>
    <row r="331" spans="1:5" x14ac:dyDescent="0.3">
      <c r="A331" s="7" t="s">
        <v>360</v>
      </c>
      <c r="B331">
        <v>1</v>
      </c>
      <c r="D331" t="s">
        <v>372</v>
      </c>
      <c r="E331">
        <v>1</v>
      </c>
    </row>
    <row r="332" spans="1:5" x14ac:dyDescent="0.3">
      <c r="A332" s="7" t="s">
        <v>361</v>
      </c>
      <c r="B332">
        <v>1</v>
      </c>
      <c r="D332" t="s">
        <v>373</v>
      </c>
      <c r="E332">
        <v>1</v>
      </c>
    </row>
    <row r="333" spans="1:5" x14ac:dyDescent="0.3">
      <c r="A333" s="7" t="s">
        <v>362</v>
      </c>
      <c r="B333">
        <v>1</v>
      </c>
      <c r="D333" t="s">
        <v>374</v>
      </c>
      <c r="E333">
        <v>1</v>
      </c>
    </row>
    <row r="334" spans="1:5" x14ac:dyDescent="0.3">
      <c r="A334" s="7" t="s">
        <v>363</v>
      </c>
      <c r="B334">
        <v>1</v>
      </c>
      <c r="D334" t="s">
        <v>375</v>
      </c>
      <c r="E334">
        <v>1</v>
      </c>
    </row>
    <row r="335" spans="1:5" x14ac:dyDescent="0.3">
      <c r="A335" s="7" t="s">
        <v>364</v>
      </c>
      <c r="B335">
        <v>1</v>
      </c>
      <c r="D335" t="s">
        <v>376</v>
      </c>
      <c r="E335">
        <v>1</v>
      </c>
    </row>
    <row r="336" spans="1:5" x14ac:dyDescent="0.3">
      <c r="A336" s="7" t="s">
        <v>365</v>
      </c>
      <c r="B336">
        <v>1</v>
      </c>
      <c r="D336" t="s">
        <v>377</v>
      </c>
      <c r="E336">
        <v>1</v>
      </c>
    </row>
    <row r="337" spans="1:5" x14ac:dyDescent="0.3">
      <c r="A337" s="7" t="s">
        <v>366</v>
      </c>
      <c r="B337">
        <v>1</v>
      </c>
      <c r="D337" t="s">
        <v>378</v>
      </c>
      <c r="E337">
        <v>1</v>
      </c>
    </row>
    <row r="338" spans="1:5" x14ac:dyDescent="0.3">
      <c r="A338" s="7" t="s">
        <v>367</v>
      </c>
      <c r="B338">
        <v>1</v>
      </c>
      <c r="D338" t="s">
        <v>379</v>
      </c>
      <c r="E338">
        <v>1</v>
      </c>
    </row>
    <row r="339" spans="1:5" x14ac:dyDescent="0.3">
      <c r="A339" s="7" t="s">
        <v>380</v>
      </c>
      <c r="B339">
        <v>0.8</v>
      </c>
      <c r="D339" t="s">
        <v>381</v>
      </c>
      <c r="E339">
        <v>1</v>
      </c>
    </row>
    <row r="340" spans="1:5" x14ac:dyDescent="0.3">
      <c r="A340" s="7" t="s">
        <v>368</v>
      </c>
      <c r="B340">
        <v>1</v>
      </c>
      <c r="D340" t="s">
        <v>382</v>
      </c>
      <c r="E340">
        <v>1</v>
      </c>
    </row>
    <row r="341" spans="1:5" x14ac:dyDescent="0.3">
      <c r="A341" s="7" t="s">
        <v>369</v>
      </c>
      <c r="B341">
        <v>1</v>
      </c>
      <c r="D341" t="s">
        <v>383</v>
      </c>
      <c r="E341">
        <v>1</v>
      </c>
    </row>
    <row r="342" spans="1:5" x14ac:dyDescent="0.3">
      <c r="A342" s="7" t="s">
        <v>370</v>
      </c>
      <c r="B342">
        <v>1</v>
      </c>
      <c r="D342" t="s">
        <v>384</v>
      </c>
      <c r="E342">
        <v>1</v>
      </c>
    </row>
    <row r="343" spans="1:5" x14ac:dyDescent="0.3">
      <c r="A343" s="7" t="s">
        <v>371</v>
      </c>
      <c r="B343">
        <v>1</v>
      </c>
      <c r="D343" t="s">
        <v>385</v>
      </c>
      <c r="E343">
        <v>1</v>
      </c>
    </row>
    <row r="344" spans="1:5" x14ac:dyDescent="0.3">
      <c r="A344" s="7" t="s">
        <v>372</v>
      </c>
      <c r="B344">
        <v>1</v>
      </c>
      <c r="D344" t="s">
        <v>386</v>
      </c>
      <c r="E344">
        <v>1</v>
      </c>
    </row>
    <row r="345" spans="1:5" x14ac:dyDescent="0.3">
      <c r="A345" s="7" t="s">
        <v>373</v>
      </c>
      <c r="B345">
        <v>1</v>
      </c>
      <c r="D345" t="s">
        <v>387</v>
      </c>
      <c r="E345">
        <v>1</v>
      </c>
    </row>
    <row r="346" spans="1:5" x14ac:dyDescent="0.3">
      <c r="A346" s="7" t="s">
        <v>374</v>
      </c>
      <c r="B346">
        <v>1</v>
      </c>
      <c r="D346" t="s">
        <v>388</v>
      </c>
      <c r="E346">
        <v>1</v>
      </c>
    </row>
    <row r="347" spans="1:5" x14ac:dyDescent="0.3">
      <c r="A347" s="7" t="s">
        <v>375</v>
      </c>
      <c r="B347">
        <v>1</v>
      </c>
      <c r="D347" t="s">
        <v>389</v>
      </c>
      <c r="E347">
        <v>1</v>
      </c>
    </row>
    <row r="348" spans="1:5" x14ac:dyDescent="0.3">
      <c r="A348" s="7" t="s">
        <v>376</v>
      </c>
      <c r="B348">
        <v>1</v>
      </c>
      <c r="D348" t="s">
        <v>390</v>
      </c>
      <c r="E348">
        <v>1</v>
      </c>
    </row>
    <row r="349" spans="1:5" x14ac:dyDescent="0.3">
      <c r="A349" s="7" t="s">
        <v>377</v>
      </c>
      <c r="B349">
        <v>1</v>
      </c>
      <c r="D349" t="s">
        <v>391</v>
      </c>
      <c r="E349">
        <v>1</v>
      </c>
    </row>
    <row r="350" spans="1:5" x14ac:dyDescent="0.3">
      <c r="A350" s="7" t="s">
        <v>378</v>
      </c>
      <c r="B350">
        <v>1</v>
      </c>
      <c r="D350" t="s">
        <v>392</v>
      </c>
      <c r="E350">
        <v>1</v>
      </c>
    </row>
    <row r="351" spans="1:5" x14ac:dyDescent="0.3">
      <c r="A351" s="7" t="s">
        <v>379</v>
      </c>
      <c r="B351">
        <v>1</v>
      </c>
      <c r="D351" t="s">
        <v>393</v>
      </c>
      <c r="E351">
        <v>1</v>
      </c>
    </row>
    <row r="352" spans="1:5" x14ac:dyDescent="0.3">
      <c r="A352" s="7" t="s">
        <v>381</v>
      </c>
      <c r="B352">
        <v>1</v>
      </c>
      <c r="D352" t="s">
        <v>394</v>
      </c>
      <c r="E352">
        <v>1</v>
      </c>
    </row>
    <row r="353" spans="1:5" x14ac:dyDescent="0.3">
      <c r="A353" s="7" t="s">
        <v>382</v>
      </c>
      <c r="B353">
        <v>1</v>
      </c>
      <c r="D353" t="s">
        <v>395</v>
      </c>
      <c r="E353">
        <v>1</v>
      </c>
    </row>
    <row r="354" spans="1:5" x14ac:dyDescent="0.3">
      <c r="A354" s="7" t="s">
        <v>383</v>
      </c>
      <c r="B354">
        <v>1</v>
      </c>
      <c r="D354" t="s">
        <v>396</v>
      </c>
      <c r="E354">
        <v>1</v>
      </c>
    </row>
    <row r="355" spans="1:5" x14ac:dyDescent="0.3">
      <c r="A355" s="7" t="s">
        <v>384</v>
      </c>
      <c r="B355">
        <v>1</v>
      </c>
      <c r="D355" t="s">
        <v>397</v>
      </c>
      <c r="E355">
        <v>1</v>
      </c>
    </row>
    <row r="356" spans="1:5" x14ac:dyDescent="0.3">
      <c r="A356" s="7" t="s">
        <v>398</v>
      </c>
      <c r="B356">
        <v>0.8</v>
      </c>
      <c r="D356" t="s">
        <v>399</v>
      </c>
      <c r="E356">
        <v>1</v>
      </c>
    </row>
    <row r="357" spans="1:5" x14ac:dyDescent="0.3">
      <c r="A357" s="7" t="s">
        <v>385</v>
      </c>
      <c r="B357">
        <v>1</v>
      </c>
      <c r="D357" t="s">
        <v>400</v>
      </c>
      <c r="E357">
        <v>1</v>
      </c>
    </row>
    <row r="358" spans="1:5" x14ac:dyDescent="0.3">
      <c r="A358" s="7" t="s">
        <v>386</v>
      </c>
      <c r="B358">
        <v>1</v>
      </c>
      <c r="D358" t="s">
        <v>401</v>
      </c>
      <c r="E358">
        <v>1</v>
      </c>
    </row>
    <row r="359" spans="1:5" x14ac:dyDescent="0.3">
      <c r="A359" s="7" t="s">
        <v>387</v>
      </c>
      <c r="B359">
        <v>1</v>
      </c>
      <c r="D359" t="s">
        <v>402</v>
      </c>
      <c r="E359">
        <v>1</v>
      </c>
    </row>
    <row r="360" spans="1:5" x14ac:dyDescent="0.3">
      <c r="A360" s="7" t="s">
        <v>388</v>
      </c>
      <c r="B360">
        <v>1</v>
      </c>
      <c r="D360" t="s">
        <v>403</v>
      </c>
      <c r="E360">
        <v>1</v>
      </c>
    </row>
    <row r="361" spans="1:5" x14ac:dyDescent="0.3">
      <c r="A361" s="7" t="s">
        <v>389</v>
      </c>
      <c r="B361">
        <v>1</v>
      </c>
      <c r="D361" t="s">
        <v>404</v>
      </c>
      <c r="E361">
        <v>1</v>
      </c>
    </row>
    <row r="362" spans="1:5" x14ac:dyDescent="0.3">
      <c r="A362" s="7" t="s">
        <v>390</v>
      </c>
      <c r="B362">
        <v>1</v>
      </c>
      <c r="D362" t="s">
        <v>405</v>
      </c>
      <c r="E362">
        <v>1</v>
      </c>
    </row>
    <row r="363" spans="1:5" x14ac:dyDescent="0.3">
      <c r="A363" s="7" t="s">
        <v>391</v>
      </c>
      <c r="B363">
        <v>1</v>
      </c>
      <c r="D363" t="s">
        <v>406</v>
      </c>
      <c r="E363">
        <v>1</v>
      </c>
    </row>
    <row r="364" spans="1:5" x14ac:dyDescent="0.3">
      <c r="A364" s="7" t="s">
        <v>392</v>
      </c>
      <c r="B364">
        <v>1</v>
      </c>
      <c r="D364" t="s">
        <v>407</v>
      </c>
      <c r="E364">
        <v>1</v>
      </c>
    </row>
    <row r="365" spans="1:5" x14ac:dyDescent="0.3">
      <c r="A365" s="7" t="s">
        <v>393</v>
      </c>
      <c r="B365">
        <v>1</v>
      </c>
      <c r="D365" t="s">
        <v>408</v>
      </c>
      <c r="E365">
        <v>1</v>
      </c>
    </row>
    <row r="366" spans="1:5" x14ac:dyDescent="0.3">
      <c r="A366" s="7" t="s">
        <v>394</v>
      </c>
      <c r="B366">
        <v>1</v>
      </c>
      <c r="D366" t="s">
        <v>409</v>
      </c>
      <c r="E366">
        <v>1</v>
      </c>
    </row>
    <row r="367" spans="1:5" x14ac:dyDescent="0.3">
      <c r="A367" s="7" t="s">
        <v>395</v>
      </c>
      <c r="B367">
        <v>1</v>
      </c>
      <c r="D367" t="s">
        <v>410</v>
      </c>
      <c r="E367">
        <v>1</v>
      </c>
    </row>
    <row r="368" spans="1:5" x14ac:dyDescent="0.3">
      <c r="A368" s="7" t="s">
        <v>411</v>
      </c>
      <c r="B368">
        <v>0.99999999999999989</v>
      </c>
      <c r="D368" t="s">
        <v>412</v>
      </c>
      <c r="E368">
        <v>1</v>
      </c>
    </row>
    <row r="369" spans="1:5" x14ac:dyDescent="0.3">
      <c r="A369" s="7" t="s">
        <v>396</v>
      </c>
      <c r="B369">
        <v>1</v>
      </c>
      <c r="D369" t="s">
        <v>413</v>
      </c>
      <c r="E369">
        <v>1</v>
      </c>
    </row>
    <row r="370" spans="1:5" x14ac:dyDescent="0.3">
      <c r="A370" s="7" t="s">
        <v>397</v>
      </c>
      <c r="B370">
        <v>1</v>
      </c>
      <c r="D370" t="s">
        <v>414</v>
      </c>
      <c r="E370">
        <v>1</v>
      </c>
    </row>
    <row r="371" spans="1:5" x14ac:dyDescent="0.3">
      <c r="A371" s="7" t="s">
        <v>399</v>
      </c>
      <c r="B371">
        <v>1</v>
      </c>
      <c r="D371" t="s">
        <v>415</v>
      </c>
      <c r="E371">
        <v>1</v>
      </c>
    </row>
    <row r="372" spans="1:5" x14ac:dyDescent="0.3">
      <c r="A372" s="7" t="s">
        <v>400</v>
      </c>
      <c r="B372">
        <v>1</v>
      </c>
      <c r="D372" t="s">
        <v>416</v>
      </c>
      <c r="E372">
        <v>1</v>
      </c>
    </row>
    <row r="373" spans="1:5" x14ac:dyDescent="0.3">
      <c r="A373" s="7" t="s">
        <v>401</v>
      </c>
      <c r="B373">
        <v>1</v>
      </c>
      <c r="D373" t="s">
        <v>417</v>
      </c>
      <c r="E373">
        <v>1</v>
      </c>
    </row>
    <row r="374" spans="1:5" x14ac:dyDescent="0.3">
      <c r="A374" s="7" t="s">
        <v>402</v>
      </c>
      <c r="B374">
        <v>1</v>
      </c>
      <c r="D374" t="s">
        <v>418</v>
      </c>
      <c r="E374">
        <v>1</v>
      </c>
    </row>
    <row r="375" spans="1:5" x14ac:dyDescent="0.3">
      <c r="A375" s="7" t="s">
        <v>403</v>
      </c>
      <c r="B375">
        <v>1</v>
      </c>
      <c r="D375" t="s">
        <v>419</v>
      </c>
      <c r="E375">
        <v>1</v>
      </c>
    </row>
    <row r="376" spans="1:5" x14ac:dyDescent="0.3">
      <c r="A376" s="7" t="s">
        <v>404</v>
      </c>
      <c r="B376">
        <v>1</v>
      </c>
      <c r="D376" t="s">
        <v>420</v>
      </c>
      <c r="E376">
        <v>1</v>
      </c>
    </row>
    <row r="377" spans="1:5" x14ac:dyDescent="0.3">
      <c r="A377" s="7" t="s">
        <v>405</v>
      </c>
      <c r="B377">
        <v>1</v>
      </c>
      <c r="D377" t="s">
        <v>421</v>
      </c>
      <c r="E377">
        <v>1</v>
      </c>
    </row>
    <row r="378" spans="1:5" x14ac:dyDescent="0.3">
      <c r="A378" s="7" t="s">
        <v>406</v>
      </c>
      <c r="B378">
        <v>1</v>
      </c>
      <c r="D378" t="s">
        <v>422</v>
      </c>
      <c r="E378">
        <v>1</v>
      </c>
    </row>
    <row r="379" spans="1:5" x14ac:dyDescent="0.3">
      <c r="A379" s="7" t="s">
        <v>407</v>
      </c>
      <c r="B379">
        <v>1</v>
      </c>
      <c r="D379" t="s">
        <v>423</v>
      </c>
      <c r="E379">
        <v>1</v>
      </c>
    </row>
    <row r="380" spans="1:5" x14ac:dyDescent="0.3">
      <c r="A380" s="7" t="s">
        <v>408</v>
      </c>
      <c r="B380">
        <v>1</v>
      </c>
      <c r="D380" t="s">
        <v>424</v>
      </c>
      <c r="E380">
        <v>1</v>
      </c>
    </row>
    <row r="381" spans="1:5" x14ac:dyDescent="0.3">
      <c r="A381" s="7" t="s">
        <v>409</v>
      </c>
      <c r="B381">
        <v>1</v>
      </c>
      <c r="D381" t="s">
        <v>425</v>
      </c>
      <c r="E381">
        <v>1</v>
      </c>
    </row>
    <row r="382" spans="1:5" x14ac:dyDescent="0.3">
      <c r="A382" s="7" t="s">
        <v>410</v>
      </c>
      <c r="B382">
        <v>1</v>
      </c>
      <c r="D382" t="s">
        <v>426</v>
      </c>
      <c r="E382">
        <v>1</v>
      </c>
    </row>
    <row r="383" spans="1:5" x14ac:dyDescent="0.3">
      <c r="A383" s="7" t="s">
        <v>412</v>
      </c>
      <c r="B383">
        <v>1</v>
      </c>
      <c r="D383" t="s">
        <v>427</v>
      </c>
      <c r="E383">
        <v>1</v>
      </c>
    </row>
    <row r="384" spans="1:5" x14ac:dyDescent="0.3">
      <c r="A384" s="7" t="s">
        <v>413</v>
      </c>
      <c r="B384">
        <v>1</v>
      </c>
      <c r="D384" t="s">
        <v>428</v>
      </c>
      <c r="E384">
        <v>1</v>
      </c>
    </row>
    <row r="385" spans="1:5" x14ac:dyDescent="0.3">
      <c r="A385" s="7" t="s">
        <v>414</v>
      </c>
      <c r="B385">
        <v>1</v>
      </c>
      <c r="D385" t="s">
        <v>429</v>
      </c>
      <c r="E385">
        <v>1</v>
      </c>
    </row>
    <row r="386" spans="1:5" x14ac:dyDescent="0.3">
      <c r="A386" s="7" t="s">
        <v>415</v>
      </c>
      <c r="B386">
        <v>1</v>
      </c>
      <c r="D386" t="s">
        <v>430</v>
      </c>
      <c r="E386">
        <v>1</v>
      </c>
    </row>
    <row r="387" spans="1:5" x14ac:dyDescent="0.3">
      <c r="A387" s="7" t="s">
        <v>416</v>
      </c>
      <c r="B387">
        <v>1</v>
      </c>
      <c r="D387" t="s">
        <v>431</v>
      </c>
      <c r="E387">
        <v>1</v>
      </c>
    </row>
    <row r="388" spans="1:5" x14ac:dyDescent="0.3">
      <c r="A388" s="7" t="s">
        <v>417</v>
      </c>
      <c r="B388">
        <v>1</v>
      </c>
      <c r="D388" t="s">
        <v>432</v>
      </c>
      <c r="E388">
        <v>1</v>
      </c>
    </row>
    <row r="389" spans="1:5" x14ac:dyDescent="0.3">
      <c r="A389" s="7" t="s">
        <v>418</v>
      </c>
      <c r="B389">
        <v>1</v>
      </c>
      <c r="D389" t="s">
        <v>433</v>
      </c>
      <c r="E389">
        <v>1</v>
      </c>
    </row>
    <row r="390" spans="1:5" x14ac:dyDescent="0.3">
      <c r="A390" s="7" t="s">
        <v>419</v>
      </c>
      <c r="B390">
        <v>1</v>
      </c>
      <c r="D390" t="s">
        <v>434</v>
      </c>
      <c r="E390">
        <v>1</v>
      </c>
    </row>
    <row r="391" spans="1:5" x14ac:dyDescent="0.3">
      <c r="A391" s="7" t="s">
        <v>420</v>
      </c>
      <c r="B391">
        <v>1</v>
      </c>
      <c r="D391" t="s">
        <v>435</v>
      </c>
      <c r="E391">
        <v>1</v>
      </c>
    </row>
    <row r="392" spans="1:5" x14ac:dyDescent="0.3">
      <c r="A392" s="7" t="s">
        <v>421</v>
      </c>
      <c r="B392">
        <v>1</v>
      </c>
      <c r="D392" t="s">
        <v>436</v>
      </c>
      <c r="E392">
        <v>1</v>
      </c>
    </row>
    <row r="393" spans="1:5" x14ac:dyDescent="0.3">
      <c r="A393" s="7" t="s">
        <v>422</v>
      </c>
      <c r="B393">
        <v>1</v>
      </c>
      <c r="D393" t="s">
        <v>437</v>
      </c>
      <c r="E393">
        <v>1</v>
      </c>
    </row>
    <row r="394" spans="1:5" x14ac:dyDescent="0.3">
      <c r="A394" s="7" t="s">
        <v>423</v>
      </c>
      <c r="B394">
        <v>1</v>
      </c>
      <c r="D394" t="s">
        <v>438</v>
      </c>
      <c r="E394">
        <v>1</v>
      </c>
    </row>
    <row r="395" spans="1:5" x14ac:dyDescent="0.3">
      <c r="A395" s="7" t="s">
        <v>424</v>
      </c>
      <c r="B395">
        <v>1</v>
      </c>
      <c r="D395" t="s">
        <v>439</v>
      </c>
      <c r="E395">
        <v>1</v>
      </c>
    </row>
    <row r="396" spans="1:5" x14ac:dyDescent="0.3">
      <c r="A396" s="7" t="s">
        <v>425</v>
      </c>
      <c r="B396">
        <v>1</v>
      </c>
      <c r="D396" t="s">
        <v>440</v>
      </c>
      <c r="E396">
        <v>1</v>
      </c>
    </row>
    <row r="397" spans="1:5" x14ac:dyDescent="0.3">
      <c r="A397" s="7" t="s">
        <v>426</v>
      </c>
      <c r="B397">
        <v>1</v>
      </c>
      <c r="D397" t="s">
        <v>441</v>
      </c>
      <c r="E397">
        <v>1</v>
      </c>
    </row>
    <row r="398" spans="1:5" x14ac:dyDescent="0.3">
      <c r="A398" s="7" t="s">
        <v>427</v>
      </c>
      <c r="B398">
        <v>1</v>
      </c>
      <c r="D398" t="s">
        <v>442</v>
      </c>
      <c r="E398">
        <v>1</v>
      </c>
    </row>
    <row r="399" spans="1:5" x14ac:dyDescent="0.3">
      <c r="A399" s="7" t="s">
        <v>428</v>
      </c>
      <c r="B399">
        <v>1</v>
      </c>
      <c r="D399" t="s">
        <v>443</v>
      </c>
      <c r="E399">
        <v>1</v>
      </c>
    </row>
    <row r="400" spans="1:5" x14ac:dyDescent="0.3">
      <c r="A400" s="7" t="s">
        <v>429</v>
      </c>
      <c r="B400">
        <v>1</v>
      </c>
      <c r="D400" t="s">
        <v>444</v>
      </c>
      <c r="E400">
        <v>1</v>
      </c>
    </row>
    <row r="401" spans="1:5" x14ac:dyDescent="0.3">
      <c r="A401" s="7" t="s">
        <v>430</v>
      </c>
      <c r="B401">
        <v>1</v>
      </c>
      <c r="D401" t="s">
        <v>445</v>
      </c>
      <c r="E401">
        <v>1</v>
      </c>
    </row>
    <row r="402" spans="1:5" x14ac:dyDescent="0.3">
      <c r="A402" s="7" t="s">
        <v>431</v>
      </c>
      <c r="B402">
        <v>1</v>
      </c>
      <c r="D402" t="s">
        <v>446</v>
      </c>
      <c r="E402">
        <v>1</v>
      </c>
    </row>
    <row r="403" spans="1:5" x14ac:dyDescent="0.3">
      <c r="A403" s="7" t="s">
        <v>432</v>
      </c>
      <c r="B403">
        <v>1</v>
      </c>
      <c r="D403" t="s">
        <v>447</v>
      </c>
      <c r="E403">
        <v>1</v>
      </c>
    </row>
    <row r="404" spans="1:5" x14ac:dyDescent="0.3">
      <c r="A404" s="7" t="s">
        <v>433</v>
      </c>
      <c r="B404">
        <v>1</v>
      </c>
      <c r="D404" t="s">
        <v>448</v>
      </c>
      <c r="E404">
        <v>1</v>
      </c>
    </row>
    <row r="405" spans="1:5" x14ac:dyDescent="0.3">
      <c r="A405" s="7" t="s">
        <v>434</v>
      </c>
      <c r="B405">
        <v>1</v>
      </c>
      <c r="D405" t="s">
        <v>449</v>
      </c>
      <c r="E405">
        <v>1</v>
      </c>
    </row>
    <row r="406" spans="1:5" x14ac:dyDescent="0.3">
      <c r="A406" s="7" t="s">
        <v>435</v>
      </c>
      <c r="B406">
        <v>1</v>
      </c>
      <c r="D406" t="s">
        <v>450</v>
      </c>
      <c r="E406">
        <v>1</v>
      </c>
    </row>
    <row r="407" spans="1:5" x14ac:dyDescent="0.3">
      <c r="A407" s="7" t="s">
        <v>436</v>
      </c>
      <c r="B407">
        <v>1</v>
      </c>
      <c r="D407" t="s">
        <v>451</v>
      </c>
      <c r="E407">
        <v>1</v>
      </c>
    </row>
    <row r="408" spans="1:5" x14ac:dyDescent="0.3">
      <c r="A408" s="7" t="s">
        <v>452</v>
      </c>
      <c r="B408">
        <v>0.99999999999999989</v>
      </c>
      <c r="D408" t="s">
        <v>453</v>
      </c>
      <c r="E408">
        <v>1</v>
      </c>
    </row>
    <row r="409" spans="1:5" x14ac:dyDescent="0.3">
      <c r="A409" s="7" t="s">
        <v>437</v>
      </c>
      <c r="B409">
        <v>1</v>
      </c>
      <c r="D409" t="s">
        <v>454</v>
      </c>
      <c r="E409">
        <v>1</v>
      </c>
    </row>
    <row r="410" spans="1:5" x14ac:dyDescent="0.3">
      <c r="A410" s="7" t="s">
        <v>438</v>
      </c>
      <c r="B410">
        <v>1</v>
      </c>
      <c r="D410" t="s">
        <v>455</v>
      </c>
      <c r="E410">
        <v>1</v>
      </c>
    </row>
    <row r="411" spans="1:5" x14ac:dyDescent="0.3">
      <c r="A411" s="7" t="s">
        <v>439</v>
      </c>
      <c r="B411">
        <v>1</v>
      </c>
      <c r="D411" t="s">
        <v>456</v>
      </c>
      <c r="E411">
        <v>1</v>
      </c>
    </row>
    <row r="412" spans="1:5" x14ac:dyDescent="0.3">
      <c r="A412" s="7" t="s">
        <v>440</v>
      </c>
      <c r="B412">
        <v>1</v>
      </c>
      <c r="D412" t="s">
        <v>457</v>
      </c>
      <c r="E412">
        <v>1</v>
      </c>
    </row>
    <row r="413" spans="1:5" x14ac:dyDescent="0.3">
      <c r="A413" s="7" t="s">
        <v>441</v>
      </c>
      <c r="B413">
        <v>1</v>
      </c>
      <c r="D413" t="s">
        <v>458</v>
      </c>
      <c r="E413">
        <v>1</v>
      </c>
    </row>
    <row r="414" spans="1:5" x14ac:dyDescent="0.3">
      <c r="A414" s="7" t="s">
        <v>442</v>
      </c>
      <c r="B414">
        <v>1</v>
      </c>
      <c r="D414" t="s">
        <v>459</v>
      </c>
      <c r="E414">
        <v>1</v>
      </c>
    </row>
    <row r="415" spans="1:5" x14ac:dyDescent="0.3">
      <c r="A415" s="7" t="s">
        <v>443</v>
      </c>
      <c r="B415">
        <v>1</v>
      </c>
      <c r="D415" t="s">
        <v>460</v>
      </c>
      <c r="E415">
        <v>1</v>
      </c>
    </row>
    <row r="416" spans="1:5" x14ac:dyDescent="0.3">
      <c r="A416" s="7" t="s">
        <v>444</v>
      </c>
      <c r="B416">
        <v>1</v>
      </c>
      <c r="D416" t="s">
        <v>461</v>
      </c>
      <c r="E416">
        <v>1</v>
      </c>
    </row>
    <row r="417" spans="1:5" x14ac:dyDescent="0.3">
      <c r="A417" s="7" t="s">
        <v>445</v>
      </c>
      <c r="B417">
        <v>1</v>
      </c>
      <c r="D417" t="s">
        <v>462</v>
      </c>
      <c r="E417">
        <v>1</v>
      </c>
    </row>
    <row r="418" spans="1:5" x14ac:dyDescent="0.3">
      <c r="A418" s="7" t="s">
        <v>446</v>
      </c>
      <c r="B418">
        <v>1</v>
      </c>
      <c r="D418" t="s">
        <v>463</v>
      </c>
      <c r="E418">
        <v>1</v>
      </c>
    </row>
    <row r="419" spans="1:5" x14ac:dyDescent="0.3">
      <c r="A419" s="7" t="s">
        <v>447</v>
      </c>
      <c r="B419">
        <v>1</v>
      </c>
      <c r="D419" t="s">
        <v>464</v>
      </c>
      <c r="E419">
        <v>1</v>
      </c>
    </row>
    <row r="420" spans="1:5" x14ac:dyDescent="0.3">
      <c r="A420" s="7" t="s">
        <v>448</v>
      </c>
      <c r="B420">
        <v>1</v>
      </c>
      <c r="D420" t="s">
        <v>465</v>
      </c>
      <c r="E420">
        <v>1</v>
      </c>
    </row>
    <row r="421" spans="1:5" x14ac:dyDescent="0.3">
      <c r="A421" s="7" t="s">
        <v>449</v>
      </c>
      <c r="B421">
        <v>1</v>
      </c>
      <c r="D421" t="s">
        <v>466</v>
      </c>
      <c r="E421">
        <v>1</v>
      </c>
    </row>
    <row r="422" spans="1:5" x14ac:dyDescent="0.3">
      <c r="A422" s="7" t="s">
        <v>450</v>
      </c>
      <c r="B422">
        <v>1</v>
      </c>
      <c r="D422" t="s">
        <v>467</v>
      </c>
      <c r="E422">
        <v>1</v>
      </c>
    </row>
    <row r="423" spans="1:5" x14ac:dyDescent="0.3">
      <c r="A423" s="7" t="s">
        <v>451</v>
      </c>
      <c r="B423">
        <v>1</v>
      </c>
      <c r="D423" t="s">
        <v>468</v>
      </c>
      <c r="E423">
        <v>1</v>
      </c>
    </row>
    <row r="424" spans="1:5" x14ac:dyDescent="0.3">
      <c r="A424" s="7" t="s">
        <v>453</v>
      </c>
      <c r="B424">
        <v>1</v>
      </c>
      <c r="D424" t="s">
        <v>469</v>
      </c>
      <c r="E424">
        <v>1</v>
      </c>
    </row>
    <row r="425" spans="1:5" x14ac:dyDescent="0.3">
      <c r="A425" s="7" t="s">
        <v>454</v>
      </c>
      <c r="B425">
        <v>1</v>
      </c>
      <c r="D425" t="s">
        <v>470</v>
      </c>
      <c r="E425">
        <v>1</v>
      </c>
    </row>
    <row r="426" spans="1:5" x14ac:dyDescent="0.3">
      <c r="A426" s="7" t="s">
        <v>455</v>
      </c>
      <c r="B426">
        <v>1</v>
      </c>
      <c r="D426" t="s">
        <v>471</v>
      </c>
      <c r="E426">
        <v>1</v>
      </c>
    </row>
    <row r="427" spans="1:5" x14ac:dyDescent="0.3">
      <c r="A427" s="7" t="s">
        <v>456</v>
      </c>
      <c r="B427">
        <v>1</v>
      </c>
      <c r="D427" t="s">
        <v>472</v>
      </c>
      <c r="E427">
        <v>1</v>
      </c>
    </row>
    <row r="428" spans="1:5" x14ac:dyDescent="0.3">
      <c r="A428" s="7" t="s">
        <v>457</v>
      </c>
      <c r="B428">
        <v>1</v>
      </c>
      <c r="D428" t="s">
        <v>473</v>
      </c>
      <c r="E428">
        <v>1</v>
      </c>
    </row>
    <row r="429" spans="1:5" x14ac:dyDescent="0.3">
      <c r="A429" s="7" t="s">
        <v>458</v>
      </c>
      <c r="B429">
        <v>1</v>
      </c>
      <c r="D429" t="s">
        <v>474</v>
      </c>
      <c r="E429">
        <v>1</v>
      </c>
    </row>
    <row r="430" spans="1:5" x14ac:dyDescent="0.3">
      <c r="A430" s="7" t="s">
        <v>459</v>
      </c>
      <c r="B430">
        <v>1</v>
      </c>
      <c r="D430" t="s">
        <v>475</v>
      </c>
      <c r="E430">
        <v>1</v>
      </c>
    </row>
    <row r="431" spans="1:5" x14ac:dyDescent="0.3">
      <c r="A431" s="7" t="s">
        <v>460</v>
      </c>
      <c r="B431">
        <v>1</v>
      </c>
      <c r="D431" t="s">
        <v>476</v>
      </c>
      <c r="E431">
        <v>1</v>
      </c>
    </row>
    <row r="432" spans="1:5" x14ac:dyDescent="0.3">
      <c r="A432" s="7" t="s">
        <v>461</v>
      </c>
      <c r="B432">
        <v>1</v>
      </c>
      <c r="D432" t="s">
        <v>477</v>
      </c>
      <c r="E432">
        <v>1</v>
      </c>
    </row>
    <row r="433" spans="1:5" x14ac:dyDescent="0.3">
      <c r="A433" s="7" t="s">
        <v>462</v>
      </c>
      <c r="B433">
        <v>1</v>
      </c>
      <c r="D433" t="s">
        <v>478</v>
      </c>
      <c r="E433">
        <v>1</v>
      </c>
    </row>
    <row r="434" spans="1:5" x14ac:dyDescent="0.3">
      <c r="A434" s="7" t="s">
        <v>463</v>
      </c>
      <c r="B434">
        <v>1</v>
      </c>
      <c r="D434" t="s">
        <v>479</v>
      </c>
      <c r="E434">
        <v>1</v>
      </c>
    </row>
    <row r="435" spans="1:5" x14ac:dyDescent="0.3">
      <c r="A435" s="7" t="s">
        <v>464</v>
      </c>
      <c r="B435">
        <v>1</v>
      </c>
      <c r="D435" t="s">
        <v>480</v>
      </c>
      <c r="E435">
        <v>1</v>
      </c>
    </row>
    <row r="436" spans="1:5" x14ac:dyDescent="0.3">
      <c r="A436" s="7" t="s">
        <v>465</v>
      </c>
      <c r="B436">
        <v>1</v>
      </c>
      <c r="D436" t="s">
        <v>481</v>
      </c>
      <c r="E436">
        <v>1</v>
      </c>
    </row>
    <row r="437" spans="1:5" x14ac:dyDescent="0.3">
      <c r="A437" s="7" t="s">
        <v>47</v>
      </c>
      <c r="B437">
        <v>1.1000000000000001</v>
      </c>
      <c r="D437" t="s">
        <v>482</v>
      </c>
      <c r="E437">
        <v>1</v>
      </c>
    </row>
    <row r="438" spans="1:5" x14ac:dyDescent="0.3">
      <c r="A438" s="7" t="s">
        <v>466</v>
      </c>
      <c r="B438">
        <v>1</v>
      </c>
      <c r="D438" t="s">
        <v>483</v>
      </c>
      <c r="E438">
        <v>1</v>
      </c>
    </row>
    <row r="439" spans="1:5" x14ac:dyDescent="0.3">
      <c r="A439" s="7" t="s">
        <v>467</v>
      </c>
      <c r="B439">
        <v>1</v>
      </c>
      <c r="D439" t="s">
        <v>484</v>
      </c>
      <c r="E439">
        <v>1</v>
      </c>
    </row>
    <row r="440" spans="1:5" x14ac:dyDescent="0.3">
      <c r="A440" s="7" t="s">
        <v>468</v>
      </c>
      <c r="B440">
        <v>1</v>
      </c>
      <c r="D440" t="s">
        <v>485</v>
      </c>
      <c r="E440">
        <v>1</v>
      </c>
    </row>
    <row r="441" spans="1:5" x14ac:dyDescent="0.3">
      <c r="A441" s="7" t="s">
        <v>469</v>
      </c>
      <c r="B441">
        <v>1</v>
      </c>
      <c r="D441" t="s">
        <v>486</v>
      </c>
      <c r="E441">
        <v>1</v>
      </c>
    </row>
    <row r="442" spans="1:5" x14ac:dyDescent="0.3">
      <c r="A442" s="7" t="s">
        <v>470</v>
      </c>
      <c r="B442">
        <v>1</v>
      </c>
      <c r="D442" t="s">
        <v>487</v>
      </c>
      <c r="E442">
        <v>1</v>
      </c>
    </row>
    <row r="443" spans="1:5" x14ac:dyDescent="0.3">
      <c r="A443" s="7" t="s">
        <v>471</v>
      </c>
      <c r="B443">
        <v>1</v>
      </c>
      <c r="D443" t="s">
        <v>488</v>
      </c>
      <c r="E443">
        <v>1</v>
      </c>
    </row>
    <row r="444" spans="1:5" x14ac:dyDescent="0.3">
      <c r="A444" s="7" t="s">
        <v>472</v>
      </c>
      <c r="B444">
        <v>1</v>
      </c>
      <c r="D444" t="s">
        <v>489</v>
      </c>
      <c r="E444">
        <v>1</v>
      </c>
    </row>
    <row r="445" spans="1:5" x14ac:dyDescent="0.3">
      <c r="A445" s="7" t="s">
        <v>32</v>
      </c>
      <c r="B445">
        <v>1</v>
      </c>
      <c r="D445" t="s">
        <v>490</v>
      </c>
      <c r="E445">
        <v>1</v>
      </c>
    </row>
    <row r="446" spans="1:5" x14ac:dyDescent="0.3">
      <c r="A446" s="7" t="s">
        <v>473</v>
      </c>
      <c r="B446">
        <v>1</v>
      </c>
      <c r="D446" t="s">
        <v>491</v>
      </c>
      <c r="E446">
        <v>1</v>
      </c>
    </row>
    <row r="447" spans="1:5" x14ac:dyDescent="0.3">
      <c r="A447" s="7" t="s">
        <v>474</v>
      </c>
      <c r="B447">
        <v>1</v>
      </c>
      <c r="D447" t="s">
        <v>492</v>
      </c>
      <c r="E447">
        <v>1</v>
      </c>
    </row>
    <row r="448" spans="1:5" x14ac:dyDescent="0.3">
      <c r="A448" s="7" t="s">
        <v>475</v>
      </c>
      <c r="B448">
        <v>1</v>
      </c>
      <c r="D448" t="s">
        <v>493</v>
      </c>
      <c r="E448">
        <v>1</v>
      </c>
    </row>
    <row r="449" spans="1:5" x14ac:dyDescent="0.3">
      <c r="A449" s="7" t="s">
        <v>476</v>
      </c>
      <c r="B449">
        <v>1</v>
      </c>
      <c r="D449" t="s">
        <v>494</v>
      </c>
      <c r="E449">
        <v>1</v>
      </c>
    </row>
    <row r="450" spans="1:5" x14ac:dyDescent="0.3">
      <c r="A450" s="7" t="s">
        <v>35</v>
      </c>
      <c r="B450">
        <v>1.95</v>
      </c>
      <c r="D450" t="s">
        <v>495</v>
      </c>
      <c r="E450">
        <v>1</v>
      </c>
    </row>
    <row r="451" spans="1:5" x14ac:dyDescent="0.3">
      <c r="A451" s="7" t="s">
        <v>477</v>
      </c>
      <c r="B451">
        <v>1</v>
      </c>
      <c r="D451" t="s">
        <v>496</v>
      </c>
      <c r="E451">
        <v>1</v>
      </c>
    </row>
    <row r="452" spans="1:5" x14ac:dyDescent="0.3">
      <c r="A452" s="7" t="s">
        <v>478</v>
      </c>
      <c r="B452">
        <v>1</v>
      </c>
      <c r="D452" t="s">
        <v>497</v>
      </c>
      <c r="E452">
        <v>1</v>
      </c>
    </row>
    <row r="453" spans="1:5" x14ac:dyDescent="0.3">
      <c r="A453" s="7" t="s">
        <v>479</v>
      </c>
      <c r="B453">
        <v>1</v>
      </c>
      <c r="D453" t="s">
        <v>498</v>
      </c>
      <c r="E453">
        <v>1</v>
      </c>
    </row>
    <row r="454" spans="1:5" x14ac:dyDescent="0.3">
      <c r="A454" s="7" t="s">
        <v>480</v>
      </c>
      <c r="B454">
        <v>1</v>
      </c>
      <c r="D454" t="s">
        <v>499</v>
      </c>
      <c r="E454">
        <v>1</v>
      </c>
    </row>
    <row r="455" spans="1:5" x14ac:dyDescent="0.3">
      <c r="A455" s="7" t="s">
        <v>481</v>
      </c>
      <c r="B455">
        <v>1</v>
      </c>
      <c r="D455" t="s">
        <v>500</v>
      </c>
      <c r="E455">
        <v>1</v>
      </c>
    </row>
    <row r="456" spans="1:5" x14ac:dyDescent="0.3">
      <c r="A456" s="7" t="s">
        <v>482</v>
      </c>
      <c r="B456">
        <v>1</v>
      </c>
      <c r="D456" t="s">
        <v>501</v>
      </c>
      <c r="E456">
        <v>1</v>
      </c>
    </row>
    <row r="457" spans="1:5" x14ac:dyDescent="0.3">
      <c r="A457" s="7" t="s">
        <v>483</v>
      </c>
      <c r="B457">
        <v>1</v>
      </c>
      <c r="D457" t="s">
        <v>502</v>
      </c>
      <c r="E457">
        <v>1</v>
      </c>
    </row>
    <row r="458" spans="1:5" x14ac:dyDescent="0.3">
      <c r="A458" s="7" t="s">
        <v>484</v>
      </c>
      <c r="B458">
        <v>1</v>
      </c>
      <c r="D458" t="s">
        <v>503</v>
      </c>
      <c r="E458">
        <v>1</v>
      </c>
    </row>
    <row r="459" spans="1:5" x14ac:dyDescent="0.3">
      <c r="A459" s="7" t="s">
        <v>485</v>
      </c>
      <c r="B459">
        <v>1</v>
      </c>
      <c r="D459" t="s">
        <v>504</v>
      </c>
      <c r="E459">
        <v>1</v>
      </c>
    </row>
    <row r="460" spans="1:5" x14ac:dyDescent="0.3">
      <c r="A460" s="7" t="s">
        <v>486</v>
      </c>
      <c r="B460">
        <v>1</v>
      </c>
      <c r="D460" t="s">
        <v>505</v>
      </c>
      <c r="E460">
        <v>1</v>
      </c>
    </row>
    <row r="461" spans="1:5" x14ac:dyDescent="0.3">
      <c r="A461" s="7" t="s">
        <v>487</v>
      </c>
      <c r="B461">
        <v>1</v>
      </c>
      <c r="D461" t="s">
        <v>506</v>
      </c>
      <c r="E461">
        <v>1</v>
      </c>
    </row>
    <row r="462" spans="1:5" x14ac:dyDescent="0.3">
      <c r="A462" s="7" t="s">
        <v>488</v>
      </c>
      <c r="B462">
        <v>1</v>
      </c>
      <c r="D462" t="s">
        <v>507</v>
      </c>
      <c r="E462">
        <v>1</v>
      </c>
    </row>
    <row r="463" spans="1:5" x14ac:dyDescent="0.3">
      <c r="A463" s="7" t="s">
        <v>489</v>
      </c>
      <c r="B463">
        <v>1</v>
      </c>
      <c r="D463" t="s">
        <v>508</v>
      </c>
      <c r="E463">
        <v>1</v>
      </c>
    </row>
    <row r="464" spans="1:5" x14ac:dyDescent="0.3">
      <c r="A464" s="7" t="s">
        <v>490</v>
      </c>
      <c r="B464">
        <v>1</v>
      </c>
      <c r="D464" t="s">
        <v>509</v>
      </c>
      <c r="E464">
        <v>1</v>
      </c>
    </row>
    <row r="465" spans="1:5" x14ac:dyDescent="0.3">
      <c r="A465" s="7" t="s">
        <v>491</v>
      </c>
      <c r="B465">
        <v>1</v>
      </c>
      <c r="D465" t="s">
        <v>510</v>
      </c>
      <c r="E465">
        <v>1</v>
      </c>
    </row>
    <row r="466" spans="1:5" x14ac:dyDescent="0.3">
      <c r="A466" s="7" t="s">
        <v>492</v>
      </c>
      <c r="B466">
        <v>1</v>
      </c>
      <c r="D466" t="s">
        <v>511</v>
      </c>
      <c r="E466">
        <v>1</v>
      </c>
    </row>
    <row r="467" spans="1:5" x14ac:dyDescent="0.3">
      <c r="A467" s="7" t="s">
        <v>493</v>
      </c>
      <c r="B467">
        <v>1</v>
      </c>
      <c r="D467" t="s">
        <v>512</v>
      </c>
      <c r="E467">
        <v>1</v>
      </c>
    </row>
    <row r="468" spans="1:5" x14ac:dyDescent="0.3">
      <c r="A468" s="7" t="s">
        <v>494</v>
      </c>
      <c r="B468">
        <v>1</v>
      </c>
      <c r="D468" t="s">
        <v>513</v>
      </c>
      <c r="E468">
        <v>1</v>
      </c>
    </row>
    <row r="469" spans="1:5" x14ac:dyDescent="0.3">
      <c r="A469" s="7" t="s">
        <v>514</v>
      </c>
      <c r="B469">
        <v>0.79999999999999993</v>
      </c>
      <c r="D469" t="s">
        <v>515</v>
      </c>
      <c r="E469">
        <v>1</v>
      </c>
    </row>
    <row r="470" spans="1:5" x14ac:dyDescent="0.3">
      <c r="A470" s="7" t="s">
        <v>495</v>
      </c>
      <c r="B470">
        <v>1</v>
      </c>
      <c r="D470" t="s">
        <v>516</v>
      </c>
      <c r="E470">
        <v>1</v>
      </c>
    </row>
    <row r="471" spans="1:5" x14ac:dyDescent="0.3">
      <c r="A471" s="7" t="s">
        <v>496</v>
      </c>
      <c r="B471">
        <v>1</v>
      </c>
      <c r="D471" t="s">
        <v>517</v>
      </c>
      <c r="E471">
        <v>1</v>
      </c>
    </row>
    <row r="472" spans="1:5" x14ac:dyDescent="0.3">
      <c r="A472" s="7" t="s">
        <v>497</v>
      </c>
      <c r="B472">
        <v>1</v>
      </c>
      <c r="D472" t="s">
        <v>518</v>
      </c>
      <c r="E472">
        <v>1</v>
      </c>
    </row>
    <row r="473" spans="1:5" x14ac:dyDescent="0.3">
      <c r="A473" s="7" t="s">
        <v>498</v>
      </c>
      <c r="B473">
        <v>1</v>
      </c>
      <c r="D473" t="s">
        <v>519</v>
      </c>
      <c r="E473">
        <v>1</v>
      </c>
    </row>
    <row r="474" spans="1:5" x14ac:dyDescent="0.3">
      <c r="A474" s="7" t="s">
        <v>499</v>
      </c>
      <c r="B474">
        <v>1</v>
      </c>
      <c r="D474" t="s">
        <v>520</v>
      </c>
      <c r="E474">
        <v>1</v>
      </c>
    </row>
    <row r="475" spans="1:5" x14ac:dyDescent="0.3">
      <c r="A475" s="7" t="s">
        <v>500</v>
      </c>
      <c r="B475">
        <v>1</v>
      </c>
      <c r="D475" t="s">
        <v>521</v>
      </c>
      <c r="E475">
        <v>1</v>
      </c>
    </row>
    <row r="476" spans="1:5" x14ac:dyDescent="0.3">
      <c r="A476" s="7" t="s">
        <v>501</v>
      </c>
      <c r="B476">
        <v>1</v>
      </c>
      <c r="D476" t="s">
        <v>522</v>
      </c>
      <c r="E476">
        <v>1</v>
      </c>
    </row>
    <row r="477" spans="1:5" x14ac:dyDescent="0.3">
      <c r="A477" s="7" t="s">
        <v>502</v>
      </c>
      <c r="B477">
        <v>1</v>
      </c>
      <c r="D477" t="s">
        <v>523</v>
      </c>
      <c r="E477">
        <v>1</v>
      </c>
    </row>
    <row r="478" spans="1:5" x14ac:dyDescent="0.3">
      <c r="A478" s="7" t="s">
        <v>503</v>
      </c>
      <c r="B478">
        <v>1</v>
      </c>
      <c r="D478" t="s">
        <v>524</v>
      </c>
      <c r="E478">
        <v>1</v>
      </c>
    </row>
    <row r="479" spans="1:5" x14ac:dyDescent="0.3">
      <c r="A479" s="7" t="s">
        <v>504</v>
      </c>
      <c r="B479">
        <v>1</v>
      </c>
      <c r="D479" t="s">
        <v>525</v>
      </c>
      <c r="E479">
        <v>1</v>
      </c>
    </row>
    <row r="480" spans="1:5" x14ac:dyDescent="0.3">
      <c r="A480" s="7" t="s">
        <v>505</v>
      </c>
      <c r="B480">
        <v>1</v>
      </c>
      <c r="D480" t="s">
        <v>526</v>
      </c>
      <c r="E480">
        <v>1</v>
      </c>
    </row>
    <row r="481" spans="1:5" x14ac:dyDescent="0.3">
      <c r="A481" s="7" t="s">
        <v>506</v>
      </c>
      <c r="B481">
        <v>1</v>
      </c>
      <c r="D481" t="s">
        <v>527</v>
      </c>
      <c r="E481">
        <v>1</v>
      </c>
    </row>
    <row r="482" spans="1:5" x14ac:dyDescent="0.3">
      <c r="A482" s="7" t="s">
        <v>507</v>
      </c>
      <c r="B482">
        <v>1</v>
      </c>
      <c r="D482" t="s">
        <v>528</v>
      </c>
      <c r="E482">
        <v>1</v>
      </c>
    </row>
    <row r="483" spans="1:5" x14ac:dyDescent="0.3">
      <c r="A483" s="7" t="s">
        <v>508</v>
      </c>
      <c r="B483">
        <v>1</v>
      </c>
      <c r="D483" t="s">
        <v>529</v>
      </c>
      <c r="E483">
        <v>1</v>
      </c>
    </row>
    <row r="484" spans="1:5" x14ac:dyDescent="0.3">
      <c r="A484" s="7" t="s">
        <v>509</v>
      </c>
      <c r="B484">
        <v>1</v>
      </c>
      <c r="D484" t="s">
        <v>530</v>
      </c>
      <c r="E484">
        <v>1</v>
      </c>
    </row>
    <row r="485" spans="1:5" x14ac:dyDescent="0.3">
      <c r="A485" s="7" t="s">
        <v>510</v>
      </c>
      <c r="B485">
        <v>1</v>
      </c>
      <c r="D485" t="s">
        <v>531</v>
      </c>
      <c r="E485">
        <v>1</v>
      </c>
    </row>
    <row r="486" spans="1:5" x14ac:dyDescent="0.3">
      <c r="A486" s="7" t="s">
        <v>511</v>
      </c>
      <c r="B486">
        <v>1</v>
      </c>
      <c r="D486" t="s">
        <v>532</v>
      </c>
      <c r="E486">
        <v>1</v>
      </c>
    </row>
    <row r="487" spans="1:5" x14ac:dyDescent="0.3">
      <c r="A487" s="7" t="s">
        <v>512</v>
      </c>
      <c r="B487">
        <v>1</v>
      </c>
      <c r="D487" t="s">
        <v>533</v>
      </c>
      <c r="E487">
        <v>1</v>
      </c>
    </row>
    <row r="488" spans="1:5" x14ac:dyDescent="0.3">
      <c r="A488" s="7" t="s">
        <v>513</v>
      </c>
      <c r="B488">
        <v>1</v>
      </c>
      <c r="D488" t="s">
        <v>534</v>
      </c>
      <c r="E488">
        <v>1</v>
      </c>
    </row>
    <row r="489" spans="1:5" x14ac:dyDescent="0.3">
      <c r="A489" s="7" t="s">
        <v>515</v>
      </c>
      <c r="B489">
        <v>1</v>
      </c>
      <c r="D489" t="s">
        <v>535</v>
      </c>
      <c r="E489">
        <v>1</v>
      </c>
    </row>
    <row r="490" spans="1:5" x14ac:dyDescent="0.3">
      <c r="A490" s="7" t="s">
        <v>516</v>
      </c>
      <c r="B490">
        <v>1</v>
      </c>
      <c r="D490" t="s">
        <v>536</v>
      </c>
      <c r="E490">
        <v>1</v>
      </c>
    </row>
    <row r="491" spans="1:5" x14ac:dyDescent="0.3">
      <c r="A491" s="7" t="s">
        <v>517</v>
      </c>
      <c r="B491">
        <v>1</v>
      </c>
      <c r="D491" t="s">
        <v>537</v>
      </c>
      <c r="E491">
        <v>1</v>
      </c>
    </row>
    <row r="492" spans="1:5" x14ac:dyDescent="0.3">
      <c r="A492" s="7" t="s">
        <v>518</v>
      </c>
      <c r="B492">
        <v>1</v>
      </c>
      <c r="D492" t="s">
        <v>538</v>
      </c>
      <c r="E492">
        <v>1</v>
      </c>
    </row>
    <row r="493" spans="1:5" x14ac:dyDescent="0.3">
      <c r="A493" s="7" t="s">
        <v>519</v>
      </c>
      <c r="B493">
        <v>1</v>
      </c>
      <c r="D493" t="s">
        <v>539</v>
      </c>
      <c r="E493">
        <v>1</v>
      </c>
    </row>
    <row r="494" spans="1:5" x14ac:dyDescent="0.3">
      <c r="A494" s="7" t="s">
        <v>520</v>
      </c>
      <c r="B494">
        <v>1</v>
      </c>
      <c r="D494" t="s">
        <v>540</v>
      </c>
      <c r="E494">
        <v>1</v>
      </c>
    </row>
    <row r="495" spans="1:5" x14ac:dyDescent="0.3">
      <c r="A495" s="7" t="s">
        <v>521</v>
      </c>
      <c r="B495">
        <v>1</v>
      </c>
      <c r="D495" t="s">
        <v>541</v>
      </c>
      <c r="E495">
        <v>1</v>
      </c>
    </row>
    <row r="496" spans="1:5" x14ac:dyDescent="0.3">
      <c r="A496" s="7" t="s">
        <v>522</v>
      </c>
      <c r="B496">
        <v>1</v>
      </c>
      <c r="D496" t="s">
        <v>542</v>
      </c>
      <c r="E496">
        <v>1</v>
      </c>
    </row>
    <row r="497" spans="1:5" x14ac:dyDescent="0.3">
      <c r="A497" s="7" t="s">
        <v>523</v>
      </c>
      <c r="B497">
        <v>1</v>
      </c>
      <c r="D497" t="s">
        <v>543</v>
      </c>
      <c r="E497">
        <v>1</v>
      </c>
    </row>
    <row r="498" spans="1:5" x14ac:dyDescent="0.3">
      <c r="A498" s="7" t="s">
        <v>524</v>
      </c>
      <c r="B498">
        <v>1</v>
      </c>
      <c r="D498" t="s">
        <v>544</v>
      </c>
      <c r="E498">
        <v>1</v>
      </c>
    </row>
    <row r="499" spans="1:5" x14ac:dyDescent="0.3">
      <c r="A499" s="7" t="s">
        <v>525</v>
      </c>
      <c r="B499">
        <v>1</v>
      </c>
      <c r="D499" t="s">
        <v>545</v>
      </c>
      <c r="E499">
        <v>1</v>
      </c>
    </row>
    <row r="500" spans="1:5" x14ac:dyDescent="0.3">
      <c r="A500" s="7" t="s">
        <v>526</v>
      </c>
      <c r="B500">
        <v>1</v>
      </c>
      <c r="D500" t="s">
        <v>546</v>
      </c>
      <c r="E500">
        <v>1</v>
      </c>
    </row>
    <row r="501" spans="1:5" x14ac:dyDescent="0.3">
      <c r="A501" s="7" t="s">
        <v>527</v>
      </c>
      <c r="B501">
        <v>1</v>
      </c>
      <c r="D501" t="s">
        <v>547</v>
      </c>
      <c r="E501">
        <v>1</v>
      </c>
    </row>
    <row r="502" spans="1:5" x14ac:dyDescent="0.3">
      <c r="A502" s="7" t="s">
        <v>528</v>
      </c>
      <c r="B502">
        <v>1</v>
      </c>
      <c r="D502" t="s">
        <v>548</v>
      </c>
      <c r="E502">
        <v>1</v>
      </c>
    </row>
    <row r="503" spans="1:5" x14ac:dyDescent="0.3">
      <c r="A503" s="7" t="s">
        <v>549</v>
      </c>
      <c r="B503">
        <v>0.5</v>
      </c>
      <c r="D503" t="s">
        <v>550</v>
      </c>
      <c r="E503">
        <v>1</v>
      </c>
    </row>
    <row r="504" spans="1:5" x14ac:dyDescent="0.3">
      <c r="A504" s="7" t="s">
        <v>529</v>
      </c>
      <c r="B504">
        <v>1</v>
      </c>
      <c r="D504" t="s">
        <v>551</v>
      </c>
      <c r="E504">
        <v>1</v>
      </c>
    </row>
    <row r="505" spans="1:5" x14ac:dyDescent="0.3">
      <c r="A505" s="7" t="s">
        <v>530</v>
      </c>
      <c r="B505">
        <v>1</v>
      </c>
      <c r="D505" t="s">
        <v>552</v>
      </c>
      <c r="E505">
        <v>1</v>
      </c>
    </row>
    <row r="506" spans="1:5" x14ac:dyDescent="0.3">
      <c r="A506" s="7" t="s">
        <v>531</v>
      </c>
      <c r="B506">
        <v>1</v>
      </c>
      <c r="D506" t="s">
        <v>553</v>
      </c>
      <c r="E506">
        <v>1</v>
      </c>
    </row>
    <row r="507" spans="1:5" x14ac:dyDescent="0.3">
      <c r="A507" s="7" t="s">
        <v>532</v>
      </c>
      <c r="B507">
        <v>1</v>
      </c>
      <c r="D507" t="s">
        <v>554</v>
      </c>
      <c r="E507">
        <v>1</v>
      </c>
    </row>
    <row r="508" spans="1:5" x14ac:dyDescent="0.3">
      <c r="A508" s="7" t="s">
        <v>533</v>
      </c>
      <c r="B508">
        <v>1</v>
      </c>
      <c r="D508" t="s">
        <v>555</v>
      </c>
      <c r="E508">
        <v>1</v>
      </c>
    </row>
    <row r="509" spans="1:5" x14ac:dyDescent="0.3">
      <c r="A509" s="7" t="s">
        <v>534</v>
      </c>
      <c r="B509">
        <v>1</v>
      </c>
      <c r="D509" t="s">
        <v>556</v>
      </c>
      <c r="E509">
        <v>1</v>
      </c>
    </row>
    <row r="510" spans="1:5" x14ac:dyDescent="0.3">
      <c r="A510" s="7" t="s">
        <v>535</v>
      </c>
      <c r="B510">
        <v>1</v>
      </c>
      <c r="D510" t="s">
        <v>557</v>
      </c>
      <c r="E510">
        <v>1</v>
      </c>
    </row>
    <row r="511" spans="1:5" x14ac:dyDescent="0.3">
      <c r="A511" s="7" t="s">
        <v>536</v>
      </c>
      <c r="B511">
        <v>1</v>
      </c>
      <c r="D511" t="s">
        <v>558</v>
      </c>
      <c r="E511">
        <v>1</v>
      </c>
    </row>
    <row r="512" spans="1:5" x14ac:dyDescent="0.3">
      <c r="A512" s="7" t="s">
        <v>537</v>
      </c>
      <c r="B512">
        <v>1</v>
      </c>
      <c r="D512" t="s">
        <v>559</v>
      </c>
      <c r="E512">
        <v>1</v>
      </c>
    </row>
    <row r="513" spans="1:5" x14ac:dyDescent="0.3">
      <c r="A513" s="7" t="s">
        <v>538</v>
      </c>
      <c r="B513">
        <v>1</v>
      </c>
      <c r="D513" t="s">
        <v>560</v>
      </c>
      <c r="E513">
        <v>1</v>
      </c>
    </row>
    <row r="514" spans="1:5" x14ac:dyDescent="0.3">
      <c r="A514" s="7" t="s">
        <v>539</v>
      </c>
      <c r="B514">
        <v>1</v>
      </c>
      <c r="D514" t="s">
        <v>561</v>
      </c>
      <c r="E514">
        <v>1</v>
      </c>
    </row>
    <row r="515" spans="1:5" x14ac:dyDescent="0.3">
      <c r="A515" s="7" t="s">
        <v>540</v>
      </c>
      <c r="B515">
        <v>1</v>
      </c>
      <c r="D515" t="s">
        <v>562</v>
      </c>
      <c r="E515">
        <v>1</v>
      </c>
    </row>
    <row r="516" spans="1:5" x14ac:dyDescent="0.3">
      <c r="A516" s="7" t="s">
        <v>541</v>
      </c>
      <c r="B516">
        <v>1</v>
      </c>
      <c r="D516" t="s">
        <v>563</v>
      </c>
      <c r="E516">
        <v>1</v>
      </c>
    </row>
    <row r="517" spans="1:5" x14ac:dyDescent="0.3">
      <c r="A517" s="7" t="s">
        <v>542</v>
      </c>
      <c r="B517">
        <v>1</v>
      </c>
      <c r="D517" t="s">
        <v>564</v>
      </c>
      <c r="E517">
        <v>1</v>
      </c>
    </row>
    <row r="518" spans="1:5" x14ac:dyDescent="0.3">
      <c r="A518" s="7" t="s">
        <v>543</v>
      </c>
      <c r="B518">
        <v>1</v>
      </c>
      <c r="D518" t="s">
        <v>565</v>
      </c>
      <c r="E518">
        <v>1</v>
      </c>
    </row>
    <row r="519" spans="1:5" x14ac:dyDescent="0.3">
      <c r="A519" s="7" t="s">
        <v>544</v>
      </c>
      <c r="B519">
        <v>1</v>
      </c>
      <c r="D519" t="s">
        <v>566</v>
      </c>
      <c r="E519">
        <v>1</v>
      </c>
    </row>
    <row r="520" spans="1:5" x14ac:dyDescent="0.3">
      <c r="A520" s="7" t="s">
        <v>545</v>
      </c>
      <c r="B520">
        <v>1</v>
      </c>
      <c r="D520" t="s">
        <v>567</v>
      </c>
      <c r="E520">
        <v>1</v>
      </c>
    </row>
    <row r="521" spans="1:5" x14ac:dyDescent="0.3">
      <c r="A521" s="7" t="s">
        <v>546</v>
      </c>
      <c r="B521">
        <v>1</v>
      </c>
      <c r="D521" t="s">
        <v>568</v>
      </c>
      <c r="E521">
        <v>1</v>
      </c>
    </row>
    <row r="522" spans="1:5" x14ac:dyDescent="0.3">
      <c r="A522" s="7" t="s">
        <v>547</v>
      </c>
      <c r="B522">
        <v>1</v>
      </c>
      <c r="D522" t="s">
        <v>569</v>
      </c>
      <c r="E522">
        <v>1</v>
      </c>
    </row>
    <row r="523" spans="1:5" x14ac:dyDescent="0.3">
      <c r="A523" s="7" t="s">
        <v>548</v>
      </c>
      <c r="B523">
        <v>1</v>
      </c>
      <c r="D523" t="s">
        <v>570</v>
      </c>
      <c r="E523">
        <v>1</v>
      </c>
    </row>
    <row r="524" spans="1:5" x14ac:dyDescent="0.3">
      <c r="A524" s="7" t="s">
        <v>550</v>
      </c>
      <c r="B524">
        <v>1</v>
      </c>
      <c r="D524" t="s">
        <v>571</v>
      </c>
      <c r="E524">
        <v>1</v>
      </c>
    </row>
    <row r="525" spans="1:5" x14ac:dyDescent="0.3">
      <c r="A525" s="7" t="s">
        <v>34</v>
      </c>
      <c r="B525">
        <v>1</v>
      </c>
      <c r="D525" t="s">
        <v>572</v>
      </c>
      <c r="E525">
        <v>1</v>
      </c>
    </row>
    <row r="526" spans="1:5" x14ac:dyDescent="0.3">
      <c r="A526" s="7" t="s">
        <v>551</v>
      </c>
      <c r="B526">
        <v>1</v>
      </c>
      <c r="D526" t="s">
        <v>573</v>
      </c>
      <c r="E526">
        <v>1</v>
      </c>
    </row>
    <row r="527" spans="1:5" x14ac:dyDescent="0.3">
      <c r="A527" s="7" t="s">
        <v>552</v>
      </c>
      <c r="B527">
        <v>1</v>
      </c>
      <c r="D527" t="s">
        <v>574</v>
      </c>
      <c r="E527">
        <v>1</v>
      </c>
    </row>
    <row r="528" spans="1:5" x14ac:dyDescent="0.3">
      <c r="A528" s="7" t="s">
        <v>553</v>
      </c>
      <c r="B528">
        <v>1</v>
      </c>
      <c r="D528" t="s">
        <v>575</v>
      </c>
      <c r="E528">
        <v>1</v>
      </c>
    </row>
    <row r="529" spans="1:5" x14ac:dyDescent="0.3">
      <c r="A529" s="7" t="s">
        <v>554</v>
      </c>
      <c r="B529">
        <v>1</v>
      </c>
      <c r="D529" t="s">
        <v>576</v>
      </c>
      <c r="E529">
        <v>1</v>
      </c>
    </row>
    <row r="530" spans="1:5" x14ac:dyDescent="0.3">
      <c r="A530" s="7" t="s">
        <v>555</v>
      </c>
      <c r="B530">
        <v>1</v>
      </c>
      <c r="D530" t="s">
        <v>577</v>
      </c>
      <c r="E530">
        <v>1</v>
      </c>
    </row>
    <row r="531" spans="1:5" x14ac:dyDescent="0.3">
      <c r="A531" s="7" t="s">
        <v>556</v>
      </c>
      <c r="B531">
        <v>1</v>
      </c>
      <c r="D531" t="s">
        <v>578</v>
      </c>
      <c r="E531">
        <v>1</v>
      </c>
    </row>
    <row r="532" spans="1:5" x14ac:dyDescent="0.3">
      <c r="A532" s="7" t="s">
        <v>557</v>
      </c>
      <c r="B532">
        <v>1</v>
      </c>
      <c r="D532" t="s">
        <v>579</v>
      </c>
      <c r="E532">
        <v>1</v>
      </c>
    </row>
    <row r="533" spans="1:5" x14ac:dyDescent="0.3">
      <c r="A533" s="7" t="s">
        <v>558</v>
      </c>
      <c r="B533">
        <v>1</v>
      </c>
      <c r="D533" t="s">
        <v>580</v>
      </c>
      <c r="E533">
        <v>1</v>
      </c>
    </row>
    <row r="534" spans="1:5" x14ac:dyDescent="0.3">
      <c r="A534" s="7" t="s">
        <v>559</v>
      </c>
      <c r="B534">
        <v>1</v>
      </c>
      <c r="D534" t="s">
        <v>581</v>
      </c>
      <c r="E534">
        <v>1</v>
      </c>
    </row>
    <row r="535" spans="1:5" x14ac:dyDescent="0.3">
      <c r="A535" s="7" t="s">
        <v>560</v>
      </c>
      <c r="B535">
        <v>1</v>
      </c>
      <c r="D535" t="s">
        <v>582</v>
      </c>
      <c r="E535">
        <v>1</v>
      </c>
    </row>
    <row r="536" spans="1:5" x14ac:dyDescent="0.3">
      <c r="A536" s="7" t="s">
        <v>561</v>
      </c>
      <c r="B536">
        <v>1</v>
      </c>
      <c r="D536" t="s">
        <v>583</v>
      </c>
      <c r="E536">
        <v>1</v>
      </c>
    </row>
    <row r="537" spans="1:5" x14ac:dyDescent="0.3">
      <c r="A537" s="7" t="s">
        <v>562</v>
      </c>
      <c r="B537">
        <v>1</v>
      </c>
      <c r="D537" t="s">
        <v>584</v>
      </c>
      <c r="E537">
        <v>1</v>
      </c>
    </row>
    <row r="538" spans="1:5" x14ac:dyDescent="0.3">
      <c r="A538" s="7" t="s">
        <v>563</v>
      </c>
      <c r="B538">
        <v>1</v>
      </c>
      <c r="D538" t="s">
        <v>585</v>
      </c>
      <c r="E538">
        <v>1</v>
      </c>
    </row>
    <row r="539" spans="1:5" x14ac:dyDescent="0.3">
      <c r="A539" s="7" t="s">
        <v>564</v>
      </c>
      <c r="B539">
        <v>1</v>
      </c>
      <c r="D539" t="s">
        <v>586</v>
      </c>
      <c r="E539">
        <v>1</v>
      </c>
    </row>
    <row r="540" spans="1:5" x14ac:dyDescent="0.3">
      <c r="A540" s="7" t="s">
        <v>565</v>
      </c>
      <c r="B540">
        <v>1</v>
      </c>
      <c r="D540" t="s">
        <v>587</v>
      </c>
      <c r="E540">
        <v>1</v>
      </c>
    </row>
    <row r="541" spans="1:5" x14ac:dyDescent="0.3">
      <c r="A541" s="7" t="s">
        <v>566</v>
      </c>
      <c r="B541">
        <v>1</v>
      </c>
      <c r="D541" t="s">
        <v>588</v>
      </c>
      <c r="E541">
        <v>1</v>
      </c>
    </row>
    <row r="542" spans="1:5" x14ac:dyDescent="0.3">
      <c r="A542" s="7" t="s">
        <v>567</v>
      </c>
      <c r="B542">
        <v>1</v>
      </c>
      <c r="D542" t="s">
        <v>589</v>
      </c>
      <c r="E542">
        <v>1</v>
      </c>
    </row>
    <row r="543" spans="1:5" x14ac:dyDescent="0.3">
      <c r="A543" s="7" t="s">
        <v>568</v>
      </c>
      <c r="B543">
        <v>1</v>
      </c>
      <c r="D543" t="s">
        <v>590</v>
      </c>
      <c r="E543">
        <v>1</v>
      </c>
    </row>
    <row r="544" spans="1:5" x14ac:dyDescent="0.3">
      <c r="A544" s="7" t="s">
        <v>569</v>
      </c>
      <c r="B544">
        <v>1</v>
      </c>
      <c r="D544" t="s">
        <v>591</v>
      </c>
      <c r="E544">
        <v>1</v>
      </c>
    </row>
    <row r="545" spans="1:5" x14ac:dyDescent="0.3">
      <c r="A545" s="7" t="s">
        <v>570</v>
      </c>
      <c r="B545">
        <v>1</v>
      </c>
      <c r="D545" t="s">
        <v>592</v>
      </c>
      <c r="E545">
        <v>1</v>
      </c>
    </row>
    <row r="546" spans="1:5" x14ac:dyDescent="0.3">
      <c r="A546" s="7" t="s">
        <v>571</v>
      </c>
      <c r="B546">
        <v>1</v>
      </c>
      <c r="D546" t="s">
        <v>593</v>
      </c>
      <c r="E546">
        <v>1</v>
      </c>
    </row>
    <row r="547" spans="1:5" x14ac:dyDescent="0.3">
      <c r="A547" s="7" t="s">
        <v>572</v>
      </c>
      <c r="B547">
        <v>1</v>
      </c>
      <c r="D547" t="s">
        <v>594</v>
      </c>
      <c r="E547">
        <v>1</v>
      </c>
    </row>
    <row r="548" spans="1:5" x14ac:dyDescent="0.3">
      <c r="A548" s="7" t="s">
        <v>573</v>
      </c>
      <c r="B548">
        <v>1</v>
      </c>
      <c r="D548" t="s">
        <v>595</v>
      </c>
      <c r="E548">
        <v>1</v>
      </c>
    </row>
    <row r="549" spans="1:5" x14ac:dyDescent="0.3">
      <c r="A549" s="7" t="s">
        <v>574</v>
      </c>
      <c r="B549">
        <v>1</v>
      </c>
      <c r="D549" t="s">
        <v>596</v>
      </c>
      <c r="E549">
        <v>1</v>
      </c>
    </row>
    <row r="550" spans="1:5" x14ac:dyDescent="0.3">
      <c r="A550" s="7" t="s">
        <v>575</v>
      </c>
      <c r="B550">
        <v>1</v>
      </c>
      <c r="D550" t="s">
        <v>597</v>
      </c>
      <c r="E550">
        <v>1</v>
      </c>
    </row>
    <row r="551" spans="1:5" x14ac:dyDescent="0.3">
      <c r="A551" s="7" t="s">
        <v>576</v>
      </c>
      <c r="B551">
        <v>1</v>
      </c>
      <c r="D551" t="s">
        <v>598</v>
      </c>
      <c r="E551">
        <v>1</v>
      </c>
    </row>
    <row r="552" spans="1:5" x14ac:dyDescent="0.3">
      <c r="A552" s="7" t="s">
        <v>577</v>
      </c>
      <c r="B552">
        <v>1</v>
      </c>
      <c r="D552" t="s">
        <v>599</v>
      </c>
      <c r="E552">
        <v>1</v>
      </c>
    </row>
    <row r="553" spans="1:5" x14ac:dyDescent="0.3">
      <c r="A553" s="7" t="s">
        <v>578</v>
      </c>
      <c r="B553">
        <v>1</v>
      </c>
      <c r="D553" t="s">
        <v>600</v>
      </c>
      <c r="E553">
        <v>1</v>
      </c>
    </row>
    <row r="554" spans="1:5" x14ac:dyDescent="0.3">
      <c r="A554" s="7" t="s">
        <v>579</v>
      </c>
      <c r="B554">
        <v>1</v>
      </c>
      <c r="D554" t="s">
        <v>601</v>
      </c>
      <c r="E554">
        <v>1</v>
      </c>
    </row>
    <row r="555" spans="1:5" x14ac:dyDescent="0.3">
      <c r="A555" s="7" t="s">
        <v>580</v>
      </c>
      <c r="B555">
        <v>1</v>
      </c>
      <c r="D555" t="s">
        <v>602</v>
      </c>
      <c r="E555">
        <v>1</v>
      </c>
    </row>
    <row r="556" spans="1:5" x14ac:dyDescent="0.3">
      <c r="A556" s="7" t="s">
        <v>581</v>
      </c>
      <c r="B556">
        <v>1</v>
      </c>
      <c r="D556" t="s">
        <v>603</v>
      </c>
      <c r="E556">
        <v>1</v>
      </c>
    </row>
    <row r="557" spans="1:5" x14ac:dyDescent="0.3">
      <c r="A557" s="7" t="s">
        <v>582</v>
      </c>
      <c r="B557">
        <v>1</v>
      </c>
      <c r="D557" t="s">
        <v>604</v>
      </c>
      <c r="E557">
        <v>1</v>
      </c>
    </row>
    <row r="558" spans="1:5" x14ac:dyDescent="0.3">
      <c r="A558" s="7" t="s">
        <v>583</v>
      </c>
      <c r="B558">
        <v>1</v>
      </c>
      <c r="D558" t="s">
        <v>605</v>
      </c>
      <c r="E558">
        <v>1</v>
      </c>
    </row>
    <row r="559" spans="1:5" x14ac:dyDescent="0.3">
      <c r="A559" s="7" t="s">
        <v>584</v>
      </c>
      <c r="B559">
        <v>1</v>
      </c>
      <c r="D559" t="s">
        <v>606</v>
      </c>
      <c r="E559">
        <v>1</v>
      </c>
    </row>
    <row r="560" spans="1:5" x14ac:dyDescent="0.3">
      <c r="A560" s="7" t="s">
        <v>585</v>
      </c>
      <c r="B560">
        <v>1</v>
      </c>
      <c r="D560" t="s">
        <v>607</v>
      </c>
      <c r="E560">
        <v>1</v>
      </c>
    </row>
    <row r="561" spans="1:5" x14ac:dyDescent="0.3">
      <c r="A561" s="7" t="s">
        <v>586</v>
      </c>
      <c r="B561">
        <v>1</v>
      </c>
      <c r="D561" t="s">
        <v>608</v>
      </c>
      <c r="E561">
        <v>1</v>
      </c>
    </row>
    <row r="562" spans="1:5" x14ac:dyDescent="0.3">
      <c r="A562" s="7" t="s">
        <v>587</v>
      </c>
      <c r="B562">
        <v>1</v>
      </c>
      <c r="D562" t="s">
        <v>609</v>
      </c>
      <c r="E562">
        <v>1</v>
      </c>
    </row>
    <row r="563" spans="1:5" x14ac:dyDescent="0.3">
      <c r="A563" s="7" t="s">
        <v>588</v>
      </c>
      <c r="B563">
        <v>1</v>
      </c>
      <c r="D563" t="s">
        <v>610</v>
      </c>
      <c r="E563">
        <v>1</v>
      </c>
    </row>
    <row r="564" spans="1:5" x14ac:dyDescent="0.3">
      <c r="A564" s="7" t="s">
        <v>589</v>
      </c>
      <c r="B564">
        <v>1</v>
      </c>
      <c r="D564" t="s">
        <v>611</v>
      </c>
      <c r="E564">
        <v>1</v>
      </c>
    </row>
    <row r="565" spans="1:5" x14ac:dyDescent="0.3">
      <c r="A565" s="7" t="s">
        <v>590</v>
      </c>
      <c r="B565">
        <v>1</v>
      </c>
      <c r="D565" t="s">
        <v>612</v>
      </c>
      <c r="E565">
        <v>1</v>
      </c>
    </row>
    <row r="566" spans="1:5" x14ac:dyDescent="0.3">
      <c r="A566" s="7" t="s">
        <v>591</v>
      </c>
      <c r="B566">
        <v>1</v>
      </c>
      <c r="D566" t="s">
        <v>613</v>
      </c>
      <c r="E566">
        <v>1</v>
      </c>
    </row>
    <row r="567" spans="1:5" x14ac:dyDescent="0.3">
      <c r="A567" s="7" t="s">
        <v>592</v>
      </c>
      <c r="B567">
        <v>1</v>
      </c>
      <c r="D567" t="s">
        <v>614</v>
      </c>
      <c r="E567">
        <v>1</v>
      </c>
    </row>
    <row r="568" spans="1:5" x14ac:dyDescent="0.3">
      <c r="A568" s="7" t="s">
        <v>593</v>
      </c>
      <c r="B568">
        <v>1</v>
      </c>
      <c r="D568" t="s">
        <v>615</v>
      </c>
      <c r="E568">
        <v>1</v>
      </c>
    </row>
    <row r="569" spans="1:5" x14ac:dyDescent="0.3">
      <c r="A569" s="7" t="s">
        <v>594</v>
      </c>
      <c r="B569">
        <v>1</v>
      </c>
      <c r="D569" t="s">
        <v>616</v>
      </c>
      <c r="E569">
        <v>1</v>
      </c>
    </row>
    <row r="570" spans="1:5" x14ac:dyDescent="0.3">
      <c r="A570" s="7" t="s">
        <v>595</v>
      </c>
      <c r="B570">
        <v>1</v>
      </c>
      <c r="D570" t="s">
        <v>617</v>
      </c>
      <c r="E570">
        <v>1</v>
      </c>
    </row>
    <row r="571" spans="1:5" x14ac:dyDescent="0.3">
      <c r="A571" s="7" t="s">
        <v>596</v>
      </c>
      <c r="B571">
        <v>1</v>
      </c>
      <c r="D571" t="s">
        <v>618</v>
      </c>
      <c r="E571">
        <v>1</v>
      </c>
    </row>
    <row r="572" spans="1:5" x14ac:dyDescent="0.3">
      <c r="A572" s="7" t="s">
        <v>597</v>
      </c>
      <c r="B572">
        <v>1</v>
      </c>
      <c r="D572" t="s">
        <v>619</v>
      </c>
      <c r="E572">
        <v>1</v>
      </c>
    </row>
    <row r="573" spans="1:5" x14ac:dyDescent="0.3">
      <c r="A573" s="7" t="s">
        <v>598</v>
      </c>
      <c r="B573">
        <v>1</v>
      </c>
      <c r="D573" t="s">
        <v>620</v>
      </c>
      <c r="E573">
        <v>1</v>
      </c>
    </row>
    <row r="574" spans="1:5" x14ac:dyDescent="0.3">
      <c r="A574" s="7" t="s">
        <v>599</v>
      </c>
      <c r="B574">
        <v>1</v>
      </c>
      <c r="D574" t="s">
        <v>621</v>
      </c>
      <c r="E574">
        <v>1</v>
      </c>
    </row>
    <row r="575" spans="1:5" x14ac:dyDescent="0.3">
      <c r="A575" s="7" t="s">
        <v>600</v>
      </c>
      <c r="B575">
        <v>1</v>
      </c>
      <c r="D575" t="s">
        <v>622</v>
      </c>
      <c r="E575">
        <v>1</v>
      </c>
    </row>
    <row r="576" spans="1:5" x14ac:dyDescent="0.3">
      <c r="A576" s="7" t="s">
        <v>601</v>
      </c>
      <c r="B576">
        <v>1</v>
      </c>
      <c r="D576" t="s">
        <v>623</v>
      </c>
      <c r="E576">
        <v>1</v>
      </c>
    </row>
    <row r="577" spans="1:5" x14ac:dyDescent="0.3">
      <c r="A577" s="7" t="s">
        <v>602</v>
      </c>
      <c r="B577">
        <v>1</v>
      </c>
      <c r="D577" t="s">
        <v>624</v>
      </c>
      <c r="E577">
        <v>1</v>
      </c>
    </row>
    <row r="578" spans="1:5" x14ac:dyDescent="0.3">
      <c r="A578" s="7" t="s">
        <v>603</v>
      </c>
      <c r="B578">
        <v>1</v>
      </c>
      <c r="D578" t="s">
        <v>625</v>
      </c>
      <c r="E578">
        <v>1</v>
      </c>
    </row>
    <row r="579" spans="1:5" x14ac:dyDescent="0.3">
      <c r="A579" s="7" t="s">
        <v>604</v>
      </c>
      <c r="B579">
        <v>1</v>
      </c>
      <c r="D579" t="s">
        <v>626</v>
      </c>
      <c r="E579">
        <v>1</v>
      </c>
    </row>
    <row r="580" spans="1:5" x14ac:dyDescent="0.3">
      <c r="A580" s="7" t="s">
        <v>605</v>
      </c>
      <c r="B580">
        <v>1</v>
      </c>
      <c r="D580" t="s">
        <v>627</v>
      </c>
      <c r="E580">
        <v>1</v>
      </c>
    </row>
    <row r="581" spans="1:5" x14ac:dyDescent="0.3">
      <c r="A581" s="7" t="s">
        <v>628</v>
      </c>
      <c r="B581">
        <v>0.75</v>
      </c>
      <c r="D581" t="s">
        <v>629</v>
      </c>
      <c r="E581">
        <v>1</v>
      </c>
    </row>
    <row r="582" spans="1:5" x14ac:dyDescent="0.3">
      <c r="A582" s="7" t="s">
        <v>606</v>
      </c>
      <c r="B582">
        <v>1</v>
      </c>
      <c r="D582" t="s">
        <v>630</v>
      </c>
      <c r="E582">
        <v>1</v>
      </c>
    </row>
    <row r="583" spans="1:5" x14ac:dyDescent="0.3">
      <c r="A583" s="7" t="s">
        <v>607</v>
      </c>
      <c r="B583">
        <v>1</v>
      </c>
      <c r="D583" t="s">
        <v>631</v>
      </c>
      <c r="E583">
        <v>1</v>
      </c>
    </row>
    <row r="584" spans="1:5" x14ac:dyDescent="0.3">
      <c r="A584" s="7" t="s">
        <v>608</v>
      </c>
      <c r="B584">
        <v>1</v>
      </c>
      <c r="D584" t="s">
        <v>632</v>
      </c>
      <c r="E584">
        <v>1</v>
      </c>
    </row>
    <row r="585" spans="1:5" x14ac:dyDescent="0.3">
      <c r="A585" s="7" t="s">
        <v>633</v>
      </c>
      <c r="B585">
        <v>0.99999999999999989</v>
      </c>
      <c r="D585" t="s">
        <v>634</v>
      </c>
      <c r="E585">
        <v>1</v>
      </c>
    </row>
    <row r="586" spans="1:5" x14ac:dyDescent="0.3">
      <c r="A586" s="7" t="s">
        <v>609</v>
      </c>
      <c r="B586">
        <v>1</v>
      </c>
      <c r="D586" t="s">
        <v>635</v>
      </c>
      <c r="E586">
        <v>1</v>
      </c>
    </row>
    <row r="587" spans="1:5" x14ac:dyDescent="0.3">
      <c r="A587" s="7" t="s">
        <v>610</v>
      </c>
      <c r="B587">
        <v>1</v>
      </c>
      <c r="D587" t="s">
        <v>636</v>
      </c>
      <c r="E587">
        <v>1</v>
      </c>
    </row>
    <row r="588" spans="1:5" x14ac:dyDescent="0.3">
      <c r="A588" s="7" t="s">
        <v>611</v>
      </c>
      <c r="B588">
        <v>1</v>
      </c>
      <c r="D588" t="s">
        <v>637</v>
      </c>
      <c r="E588">
        <v>1</v>
      </c>
    </row>
    <row r="589" spans="1:5" x14ac:dyDescent="0.3">
      <c r="A589" s="7" t="s">
        <v>612</v>
      </c>
      <c r="B589">
        <v>1</v>
      </c>
      <c r="D589" t="s">
        <v>638</v>
      </c>
      <c r="E589">
        <v>1</v>
      </c>
    </row>
    <row r="590" spans="1:5" x14ac:dyDescent="0.3">
      <c r="A590" s="7" t="s">
        <v>613</v>
      </c>
      <c r="B590">
        <v>1</v>
      </c>
      <c r="D590" t="s">
        <v>639</v>
      </c>
      <c r="E590">
        <v>1</v>
      </c>
    </row>
    <row r="591" spans="1:5" x14ac:dyDescent="0.3">
      <c r="A591" s="7" t="s">
        <v>614</v>
      </c>
      <c r="B591">
        <v>1</v>
      </c>
      <c r="D591" t="s">
        <v>640</v>
      </c>
      <c r="E591">
        <v>1</v>
      </c>
    </row>
    <row r="592" spans="1:5" x14ac:dyDescent="0.3">
      <c r="A592" s="7" t="s">
        <v>615</v>
      </c>
      <c r="B592">
        <v>1</v>
      </c>
      <c r="D592" t="s">
        <v>641</v>
      </c>
      <c r="E592">
        <v>1</v>
      </c>
    </row>
    <row r="593" spans="1:5" x14ac:dyDescent="0.3">
      <c r="A593" s="7" t="s">
        <v>616</v>
      </c>
      <c r="B593">
        <v>1</v>
      </c>
      <c r="D593" t="s">
        <v>642</v>
      </c>
      <c r="E593">
        <v>1</v>
      </c>
    </row>
    <row r="594" spans="1:5" x14ac:dyDescent="0.3">
      <c r="A594" s="7" t="s">
        <v>617</v>
      </c>
      <c r="B594">
        <v>1</v>
      </c>
      <c r="D594" t="s">
        <v>643</v>
      </c>
      <c r="E594">
        <v>1</v>
      </c>
    </row>
    <row r="595" spans="1:5" x14ac:dyDescent="0.3">
      <c r="A595" s="7" t="s">
        <v>644</v>
      </c>
      <c r="B595">
        <v>0.7</v>
      </c>
      <c r="D595" t="s">
        <v>645</v>
      </c>
      <c r="E595">
        <v>1</v>
      </c>
    </row>
    <row r="596" spans="1:5" x14ac:dyDescent="0.3">
      <c r="A596" s="7" t="s">
        <v>618</v>
      </c>
      <c r="B596">
        <v>1</v>
      </c>
      <c r="D596" t="s">
        <v>646</v>
      </c>
      <c r="E596">
        <v>1</v>
      </c>
    </row>
    <row r="597" spans="1:5" x14ac:dyDescent="0.3">
      <c r="A597" s="7" t="s">
        <v>619</v>
      </c>
      <c r="B597">
        <v>1</v>
      </c>
      <c r="D597" t="s">
        <v>647</v>
      </c>
      <c r="E597">
        <v>1</v>
      </c>
    </row>
    <row r="598" spans="1:5" x14ac:dyDescent="0.3">
      <c r="A598" s="7" t="s">
        <v>620</v>
      </c>
      <c r="B598">
        <v>1</v>
      </c>
      <c r="D598" t="s">
        <v>648</v>
      </c>
      <c r="E598">
        <v>1</v>
      </c>
    </row>
    <row r="599" spans="1:5" x14ac:dyDescent="0.3">
      <c r="A599" s="7" t="s">
        <v>621</v>
      </c>
      <c r="B599">
        <v>1</v>
      </c>
      <c r="D599" t="s">
        <v>649</v>
      </c>
      <c r="E599">
        <v>1</v>
      </c>
    </row>
    <row r="600" spans="1:5" x14ac:dyDescent="0.3">
      <c r="A600" s="7" t="s">
        <v>622</v>
      </c>
      <c r="B600">
        <v>1</v>
      </c>
      <c r="D600" t="s">
        <v>89</v>
      </c>
      <c r="E600">
        <v>0.99999999999999989</v>
      </c>
    </row>
    <row r="601" spans="1:5" x14ac:dyDescent="0.3">
      <c r="A601" s="7" t="s">
        <v>623</v>
      </c>
      <c r="B601">
        <v>1</v>
      </c>
      <c r="D601" t="s">
        <v>123</v>
      </c>
      <c r="E601">
        <v>0.99999999999999989</v>
      </c>
    </row>
    <row r="602" spans="1:5" x14ac:dyDescent="0.3">
      <c r="A602" s="7" t="s">
        <v>624</v>
      </c>
      <c r="B602">
        <v>1</v>
      </c>
      <c r="D602" t="s">
        <v>159</v>
      </c>
      <c r="E602">
        <v>0.99999999999999989</v>
      </c>
    </row>
    <row r="603" spans="1:5" x14ac:dyDescent="0.3">
      <c r="A603" s="7" t="s">
        <v>625</v>
      </c>
      <c r="B603">
        <v>1</v>
      </c>
      <c r="D603" t="s">
        <v>183</v>
      </c>
      <c r="E603">
        <v>0.99999999999999989</v>
      </c>
    </row>
    <row r="604" spans="1:5" x14ac:dyDescent="0.3">
      <c r="A604" s="7" t="s">
        <v>626</v>
      </c>
      <c r="B604">
        <v>1</v>
      </c>
      <c r="D604" t="s">
        <v>244</v>
      </c>
      <c r="E604">
        <v>0.99999999999999989</v>
      </c>
    </row>
    <row r="605" spans="1:5" x14ac:dyDescent="0.3">
      <c r="A605" s="7" t="s">
        <v>627</v>
      </c>
      <c r="B605">
        <v>1</v>
      </c>
      <c r="D605" t="s">
        <v>248</v>
      </c>
      <c r="E605">
        <v>0.99999999999999989</v>
      </c>
    </row>
    <row r="606" spans="1:5" x14ac:dyDescent="0.3">
      <c r="A606" s="7" t="s">
        <v>629</v>
      </c>
      <c r="B606">
        <v>1</v>
      </c>
      <c r="D606" t="s">
        <v>266</v>
      </c>
      <c r="E606">
        <v>0.99999999999999989</v>
      </c>
    </row>
    <row r="607" spans="1:5" x14ac:dyDescent="0.3">
      <c r="A607" s="7" t="s">
        <v>630</v>
      </c>
      <c r="B607">
        <v>1</v>
      </c>
      <c r="D607" t="s">
        <v>291</v>
      </c>
      <c r="E607">
        <v>0.99999999999999989</v>
      </c>
    </row>
    <row r="608" spans="1:5" x14ac:dyDescent="0.3">
      <c r="A608" s="7" t="s">
        <v>631</v>
      </c>
      <c r="B608">
        <v>1</v>
      </c>
      <c r="D608" t="s">
        <v>411</v>
      </c>
      <c r="E608">
        <v>0.99999999999999989</v>
      </c>
    </row>
    <row r="609" spans="1:5" x14ac:dyDescent="0.3">
      <c r="A609" s="7" t="s">
        <v>632</v>
      </c>
      <c r="B609">
        <v>1</v>
      </c>
      <c r="D609" t="s">
        <v>452</v>
      </c>
      <c r="E609">
        <v>0.99999999999999989</v>
      </c>
    </row>
    <row r="610" spans="1:5" x14ac:dyDescent="0.3">
      <c r="A610" s="7" t="s">
        <v>634</v>
      </c>
      <c r="B610">
        <v>1</v>
      </c>
      <c r="D610" t="s">
        <v>633</v>
      </c>
      <c r="E610">
        <v>0.99999999999999989</v>
      </c>
    </row>
    <row r="611" spans="1:5" x14ac:dyDescent="0.3">
      <c r="A611" s="7" t="s">
        <v>635</v>
      </c>
      <c r="B611">
        <v>1</v>
      </c>
      <c r="D611" t="s">
        <v>251</v>
      </c>
      <c r="E611">
        <v>0.90000000000000013</v>
      </c>
    </row>
    <row r="612" spans="1:5" x14ac:dyDescent="0.3">
      <c r="A612" s="7" t="s">
        <v>636</v>
      </c>
      <c r="B612">
        <v>1</v>
      </c>
      <c r="D612" t="s">
        <v>56</v>
      </c>
      <c r="E612">
        <v>0.8</v>
      </c>
    </row>
    <row r="613" spans="1:5" x14ac:dyDescent="0.3">
      <c r="A613" s="7" t="s">
        <v>637</v>
      </c>
      <c r="B613">
        <v>1</v>
      </c>
      <c r="D613" t="s">
        <v>150</v>
      </c>
      <c r="E613">
        <v>0.8</v>
      </c>
    </row>
    <row r="614" spans="1:5" x14ac:dyDescent="0.3">
      <c r="A614" s="7" t="s">
        <v>638</v>
      </c>
      <c r="B614">
        <v>1</v>
      </c>
      <c r="D614" t="s">
        <v>162</v>
      </c>
      <c r="E614">
        <v>0.8</v>
      </c>
    </row>
    <row r="615" spans="1:5" x14ac:dyDescent="0.3">
      <c r="A615" s="7" t="s">
        <v>639</v>
      </c>
      <c r="B615">
        <v>1</v>
      </c>
      <c r="D615" t="s">
        <v>203</v>
      </c>
      <c r="E615">
        <v>0.8</v>
      </c>
    </row>
    <row r="616" spans="1:5" x14ac:dyDescent="0.3">
      <c r="A616" s="7" t="s">
        <v>640</v>
      </c>
      <c r="B616">
        <v>1</v>
      </c>
      <c r="D616" t="s">
        <v>312</v>
      </c>
      <c r="E616">
        <v>0.8</v>
      </c>
    </row>
    <row r="617" spans="1:5" x14ac:dyDescent="0.3">
      <c r="A617" s="7" t="s">
        <v>641</v>
      </c>
      <c r="B617">
        <v>1</v>
      </c>
      <c r="D617" t="s">
        <v>380</v>
      </c>
      <c r="E617">
        <v>0.8</v>
      </c>
    </row>
    <row r="618" spans="1:5" x14ac:dyDescent="0.3">
      <c r="A618" s="7" t="s">
        <v>642</v>
      </c>
      <c r="B618">
        <v>1</v>
      </c>
      <c r="D618" t="s">
        <v>398</v>
      </c>
      <c r="E618">
        <v>0.8</v>
      </c>
    </row>
    <row r="619" spans="1:5" x14ac:dyDescent="0.3">
      <c r="A619" s="7" t="s">
        <v>643</v>
      </c>
      <c r="B619">
        <v>1</v>
      </c>
      <c r="D619" t="s">
        <v>650</v>
      </c>
      <c r="E619">
        <v>0.8</v>
      </c>
    </row>
    <row r="620" spans="1:5" x14ac:dyDescent="0.3">
      <c r="A620" s="7" t="s">
        <v>650</v>
      </c>
      <c r="B620">
        <v>0.8</v>
      </c>
      <c r="D620" t="s">
        <v>514</v>
      </c>
      <c r="E620">
        <v>0.79999999999999993</v>
      </c>
    </row>
    <row r="621" spans="1:5" x14ac:dyDescent="0.3">
      <c r="A621" s="7" t="s">
        <v>645</v>
      </c>
      <c r="B621">
        <v>1</v>
      </c>
      <c r="D621" t="s">
        <v>628</v>
      </c>
      <c r="E621">
        <v>0.75</v>
      </c>
    </row>
    <row r="622" spans="1:5" x14ac:dyDescent="0.3">
      <c r="A622" s="7" t="s">
        <v>646</v>
      </c>
      <c r="B622">
        <v>1</v>
      </c>
      <c r="D622" t="s">
        <v>194</v>
      </c>
      <c r="E622">
        <v>0.7</v>
      </c>
    </row>
    <row r="623" spans="1:5" x14ac:dyDescent="0.3">
      <c r="A623" s="7" t="s">
        <v>647</v>
      </c>
      <c r="B623">
        <v>0.5</v>
      </c>
      <c r="D623" t="s">
        <v>359</v>
      </c>
      <c r="E623">
        <v>0.7</v>
      </c>
    </row>
    <row r="624" spans="1:5" x14ac:dyDescent="0.3">
      <c r="A624" s="7" t="s">
        <v>648</v>
      </c>
      <c r="B624">
        <v>1</v>
      </c>
      <c r="D624" t="s">
        <v>644</v>
      </c>
      <c r="E624">
        <v>0.7</v>
      </c>
    </row>
    <row r="625" spans="1:5" x14ac:dyDescent="0.3">
      <c r="A625" s="7" t="s">
        <v>649</v>
      </c>
      <c r="B625">
        <v>1</v>
      </c>
      <c r="D625" t="s">
        <v>208</v>
      </c>
      <c r="E625">
        <v>0.5</v>
      </c>
    </row>
    <row r="626" spans="1:5" x14ac:dyDescent="0.3">
      <c r="A626" s="7" t="s">
        <v>26</v>
      </c>
      <c r="B626">
        <v>616.40000000000009</v>
      </c>
      <c r="D626" t="s">
        <v>549</v>
      </c>
      <c r="E626">
        <v>0.5</v>
      </c>
    </row>
    <row r="627" spans="1:5" x14ac:dyDescent="0.3">
      <c r="D627" t="s">
        <v>323</v>
      </c>
      <c r="E627">
        <v>0.2</v>
      </c>
    </row>
  </sheetData>
  <autoFilter ref="D2:E627" xr:uid="{2FE92096-ED02-4D01-850A-109FCB3AA519}">
    <sortState xmlns:xlrd2="http://schemas.microsoft.com/office/spreadsheetml/2017/richdata2" ref="D3:E627">
      <sortCondition descending="1" ref="E2:E627"/>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5CB8F-2CB3-42EA-87D3-8DA6BFEBF733}">
  <dimension ref="A1:T1048117"/>
  <sheetViews>
    <sheetView topLeftCell="B1" zoomScale="80" zoomScaleNormal="80" zoomScaleSheetLayoutView="70" workbookViewId="0">
      <pane ySplit="2" topLeftCell="A515" activePane="bottomLeft" state="frozen"/>
      <selection activeCell="D9" sqref="D9"/>
      <selection pane="bottomLeft" activeCell="J583" sqref="J583"/>
    </sheetView>
  </sheetViews>
  <sheetFormatPr defaultColWidth="8.5546875" defaultRowHeight="14.4" x14ac:dyDescent="0.3"/>
  <cols>
    <col min="1" max="1" width="27" style="20" customWidth="1"/>
    <col min="2" max="2" width="22" style="7" customWidth="1"/>
    <col min="3" max="3" width="44.5546875" style="7" customWidth="1"/>
    <col min="4" max="4" width="10.44140625" style="7" customWidth="1"/>
    <col min="5" max="5" width="10" style="7" customWidth="1"/>
    <col min="6" max="6" width="12.6640625" style="7" customWidth="1"/>
    <col min="7" max="7" width="11.5546875" style="7" customWidth="1"/>
    <col min="8" max="8" width="16.33203125" style="7" customWidth="1"/>
    <col min="9" max="9" width="28" style="7" bestFit="1" customWidth="1"/>
    <col min="10" max="10" width="11.6640625" style="7" customWidth="1"/>
    <col min="11" max="11" width="15.5546875" style="7" bestFit="1" customWidth="1"/>
    <col min="12" max="12" width="6.44140625" style="7" customWidth="1"/>
    <col min="13" max="13" width="9.5546875" style="7" customWidth="1"/>
    <col min="14" max="14" width="31.109375" style="7" bestFit="1" customWidth="1"/>
    <col min="15" max="15" width="10.33203125" style="7" customWidth="1"/>
    <col min="16" max="16" width="8.5546875" style="7" customWidth="1"/>
    <col min="17" max="17" width="14.5546875" style="7" customWidth="1"/>
    <col min="18" max="18" width="27.5546875" style="7" customWidth="1"/>
    <col min="19" max="19" width="33.33203125" style="7" bestFit="1" customWidth="1"/>
    <col min="20" max="16384" width="8.5546875" style="7"/>
  </cols>
  <sheetData>
    <row r="1" spans="1:19" x14ac:dyDescent="0.3">
      <c r="S1" s="7" t="s">
        <v>651</v>
      </c>
    </row>
    <row r="2" spans="1:19" s="25" customFormat="1" ht="28.8" x14ac:dyDescent="0.3">
      <c r="A2" s="23" t="s">
        <v>652</v>
      </c>
      <c r="B2" s="24" t="s">
        <v>653</v>
      </c>
      <c r="C2" s="24" t="s">
        <v>654</v>
      </c>
      <c r="D2" s="24" t="s">
        <v>655</v>
      </c>
      <c r="E2" s="24" t="s">
        <v>656</v>
      </c>
      <c r="F2" s="24" t="s">
        <v>657</v>
      </c>
      <c r="G2" s="24" t="s">
        <v>658</v>
      </c>
      <c r="H2" s="24" t="s">
        <v>659</v>
      </c>
      <c r="I2" s="24" t="s">
        <v>660</v>
      </c>
      <c r="J2" s="24" t="s">
        <v>661</v>
      </c>
      <c r="K2" s="24" t="s">
        <v>662</v>
      </c>
      <c r="L2" s="24" t="s">
        <v>663</v>
      </c>
      <c r="M2" s="24" t="s">
        <v>664</v>
      </c>
      <c r="N2" s="24" t="s">
        <v>665</v>
      </c>
      <c r="O2" s="24" t="s">
        <v>666</v>
      </c>
      <c r="P2" s="24" t="s">
        <v>667</v>
      </c>
      <c r="Q2" s="24" t="s">
        <v>668</v>
      </c>
      <c r="R2" s="24" t="s">
        <v>669</v>
      </c>
      <c r="S2" s="24" t="s">
        <v>670</v>
      </c>
    </row>
    <row r="3" spans="1:19" x14ac:dyDescent="0.3">
      <c r="A3" s="29" t="s">
        <v>671</v>
      </c>
      <c r="B3" s="30" t="s">
        <v>178</v>
      </c>
      <c r="C3" s="30" t="s">
        <v>672</v>
      </c>
      <c r="D3" s="30" t="s">
        <v>673</v>
      </c>
      <c r="E3" s="30" t="s">
        <v>674</v>
      </c>
      <c r="F3" s="30" t="s">
        <v>675</v>
      </c>
      <c r="G3" s="30" t="s">
        <v>676</v>
      </c>
      <c r="H3" s="30" t="s">
        <v>677</v>
      </c>
      <c r="I3" s="30" t="s">
        <v>678</v>
      </c>
      <c r="J3" s="30" t="s">
        <v>679</v>
      </c>
      <c r="K3" s="30" t="s">
        <v>680</v>
      </c>
      <c r="L3" s="30" t="s">
        <v>681</v>
      </c>
      <c r="M3" s="30">
        <v>0.8</v>
      </c>
      <c r="N3" s="30" t="s">
        <v>206</v>
      </c>
      <c r="O3" s="30" t="s">
        <v>682</v>
      </c>
      <c r="P3" s="30" t="s">
        <v>683</v>
      </c>
      <c r="Q3" s="30" t="s">
        <v>665</v>
      </c>
      <c r="R3" s="30" t="s">
        <v>217</v>
      </c>
      <c r="S3" s="30" t="s">
        <v>684</v>
      </c>
    </row>
    <row r="4" spans="1:19" x14ac:dyDescent="0.3">
      <c r="A4" s="31" t="s">
        <v>692</v>
      </c>
      <c r="B4" s="32" t="s">
        <v>178</v>
      </c>
      <c r="C4" s="32" t="s">
        <v>693</v>
      </c>
      <c r="D4" s="32" t="s">
        <v>673</v>
      </c>
      <c r="E4" s="32" t="s">
        <v>674</v>
      </c>
      <c r="F4" s="32" t="s">
        <v>675</v>
      </c>
      <c r="G4" s="32" t="s">
        <v>676</v>
      </c>
      <c r="H4" s="32" t="s">
        <v>677</v>
      </c>
      <c r="I4" s="32" t="s">
        <v>678</v>
      </c>
      <c r="J4" s="32" t="s">
        <v>679</v>
      </c>
      <c r="K4" s="32" t="s">
        <v>680</v>
      </c>
      <c r="L4" s="32" t="s">
        <v>681</v>
      </c>
      <c r="M4" s="32">
        <v>0.3</v>
      </c>
      <c r="N4" s="32" t="s">
        <v>176</v>
      </c>
      <c r="O4" s="32" t="s">
        <v>682</v>
      </c>
      <c r="P4" s="32" t="s">
        <v>683</v>
      </c>
      <c r="Q4" s="32" t="s">
        <v>665</v>
      </c>
      <c r="R4" s="32" t="s">
        <v>217</v>
      </c>
      <c r="S4" s="30" t="s">
        <v>684</v>
      </c>
    </row>
    <row r="5" spans="1:19" x14ac:dyDescent="0.3">
      <c r="A5" s="29" t="s">
        <v>694</v>
      </c>
      <c r="B5" s="30" t="s">
        <v>695</v>
      </c>
      <c r="C5" s="30" t="s">
        <v>696</v>
      </c>
      <c r="D5" s="30" t="s">
        <v>673</v>
      </c>
      <c r="E5" s="30" t="s">
        <v>674</v>
      </c>
      <c r="F5" s="30" t="s">
        <v>675</v>
      </c>
      <c r="G5" s="30" t="s">
        <v>676</v>
      </c>
      <c r="H5" s="30" t="s">
        <v>677</v>
      </c>
      <c r="I5" s="30" t="s">
        <v>697</v>
      </c>
      <c r="J5" s="30" t="s">
        <v>698</v>
      </c>
      <c r="K5" s="30" t="s">
        <v>690</v>
      </c>
      <c r="L5" s="30" t="s">
        <v>699</v>
      </c>
      <c r="M5" s="30">
        <v>0.8</v>
      </c>
      <c r="N5" s="30" t="s">
        <v>177</v>
      </c>
      <c r="O5" s="30" t="s">
        <v>682</v>
      </c>
      <c r="P5" s="30" t="s">
        <v>683</v>
      </c>
      <c r="Q5" s="30" t="s">
        <v>665</v>
      </c>
      <c r="R5" s="30" t="s">
        <v>217</v>
      </c>
      <c r="S5" s="30" t="s">
        <v>684</v>
      </c>
    </row>
    <row r="6" spans="1:19" x14ac:dyDescent="0.3">
      <c r="A6" s="31" t="s">
        <v>700</v>
      </c>
      <c r="B6" s="32" t="s">
        <v>142</v>
      </c>
      <c r="C6" s="32" t="s">
        <v>701</v>
      </c>
      <c r="D6" s="32" t="s">
        <v>673</v>
      </c>
      <c r="E6" s="32" t="s">
        <v>674</v>
      </c>
      <c r="F6" s="32" t="s">
        <v>675</v>
      </c>
      <c r="G6" s="32" t="s">
        <v>676</v>
      </c>
      <c r="H6" s="32" t="s">
        <v>702</v>
      </c>
      <c r="I6" s="32" t="s">
        <v>678</v>
      </c>
      <c r="J6" s="32" t="s">
        <v>698</v>
      </c>
      <c r="K6" s="32" t="s">
        <v>690</v>
      </c>
      <c r="L6" s="32" t="s">
        <v>699</v>
      </c>
      <c r="M6" s="32">
        <v>0.1</v>
      </c>
      <c r="N6" s="32" t="s">
        <v>177</v>
      </c>
      <c r="O6" s="32" t="s">
        <v>682</v>
      </c>
      <c r="P6" s="32" t="s">
        <v>683</v>
      </c>
      <c r="Q6" s="32" t="s">
        <v>665</v>
      </c>
      <c r="R6" s="32" t="s">
        <v>217</v>
      </c>
      <c r="S6" s="30" t="s">
        <v>684</v>
      </c>
    </row>
    <row r="7" spans="1:19" x14ac:dyDescent="0.3">
      <c r="A7" s="29" t="s">
        <v>703</v>
      </c>
      <c r="B7" s="30" t="s">
        <v>704</v>
      </c>
      <c r="C7" s="30" t="s">
        <v>705</v>
      </c>
      <c r="D7" s="30" t="s">
        <v>673</v>
      </c>
      <c r="E7" s="30" t="s">
        <v>674</v>
      </c>
      <c r="F7" s="30" t="s">
        <v>675</v>
      </c>
      <c r="G7" s="30" t="s">
        <v>676</v>
      </c>
      <c r="H7" s="30" t="s">
        <v>677</v>
      </c>
      <c r="I7" s="30" t="s">
        <v>678</v>
      </c>
      <c r="J7" s="30" t="s">
        <v>679</v>
      </c>
      <c r="K7" s="30" t="s">
        <v>680</v>
      </c>
      <c r="L7" s="30" t="s">
        <v>681</v>
      </c>
      <c r="M7" s="30">
        <v>0.3</v>
      </c>
      <c r="N7" s="30" t="s">
        <v>249</v>
      </c>
      <c r="O7" s="30" t="s">
        <v>682</v>
      </c>
      <c r="P7" s="30" t="s">
        <v>683</v>
      </c>
      <c r="Q7" s="30" t="s">
        <v>665</v>
      </c>
      <c r="R7" s="30" t="s">
        <v>217</v>
      </c>
      <c r="S7" s="30" t="s">
        <v>684</v>
      </c>
    </row>
    <row r="8" spans="1:19" x14ac:dyDescent="0.3">
      <c r="A8" s="31" t="s">
        <v>2276</v>
      </c>
      <c r="B8" s="32" t="s">
        <v>544</v>
      </c>
      <c r="C8" s="32" t="s">
        <v>2277</v>
      </c>
      <c r="D8" s="32" t="s">
        <v>684</v>
      </c>
      <c r="E8" s="32" t="s">
        <v>674</v>
      </c>
      <c r="F8" s="32" t="s">
        <v>716</v>
      </c>
      <c r="G8" s="32" t="s">
        <v>744</v>
      </c>
      <c r="H8" s="32" t="s">
        <v>702</v>
      </c>
      <c r="I8" s="32" t="s">
        <v>736</v>
      </c>
      <c r="J8" s="32" t="s">
        <v>737</v>
      </c>
      <c r="K8" s="32" t="s">
        <v>738</v>
      </c>
      <c r="L8" s="32" t="s">
        <v>699</v>
      </c>
      <c r="M8" s="32">
        <v>0.1</v>
      </c>
      <c r="N8" s="32" t="s">
        <v>41</v>
      </c>
      <c r="O8" s="32" t="s">
        <v>682</v>
      </c>
      <c r="P8" s="32" t="s">
        <v>683</v>
      </c>
      <c r="Q8" s="32" t="s">
        <v>665</v>
      </c>
      <c r="R8" s="32" t="s">
        <v>217</v>
      </c>
      <c r="S8" s="30" t="s">
        <v>684</v>
      </c>
    </row>
    <row r="9" spans="1:19" x14ac:dyDescent="0.3">
      <c r="A9" s="29" t="s">
        <v>2278</v>
      </c>
      <c r="B9" s="30" t="s">
        <v>544</v>
      </c>
      <c r="C9" s="30" t="s">
        <v>2279</v>
      </c>
      <c r="D9" s="30" t="s">
        <v>684</v>
      </c>
      <c r="E9" s="30" t="s">
        <v>674</v>
      </c>
      <c r="F9" s="30" t="s">
        <v>716</v>
      </c>
      <c r="G9" s="30" t="s">
        <v>744</v>
      </c>
      <c r="H9" s="30" t="s">
        <v>702</v>
      </c>
      <c r="I9" s="30" t="s">
        <v>736</v>
      </c>
      <c r="J9" s="30" t="s">
        <v>737</v>
      </c>
      <c r="K9" s="30" t="s">
        <v>738</v>
      </c>
      <c r="L9" s="30" t="s">
        <v>699</v>
      </c>
      <c r="M9" s="30">
        <v>0.1</v>
      </c>
      <c r="N9" s="30" t="s">
        <v>41</v>
      </c>
      <c r="O9" s="30" t="s">
        <v>682</v>
      </c>
      <c r="P9" s="30" t="s">
        <v>683</v>
      </c>
      <c r="Q9" s="30" t="s">
        <v>665</v>
      </c>
      <c r="R9" s="30" t="s">
        <v>217</v>
      </c>
      <c r="S9" s="30" t="s">
        <v>684</v>
      </c>
    </row>
    <row r="10" spans="1:19" x14ac:dyDescent="0.3">
      <c r="A10" s="31" t="s">
        <v>685</v>
      </c>
      <c r="B10" s="32" t="s">
        <v>686</v>
      </c>
      <c r="C10" s="32" t="s">
        <v>687</v>
      </c>
      <c r="D10" s="32" t="s">
        <v>673</v>
      </c>
      <c r="E10" s="32" t="s">
        <v>674</v>
      </c>
      <c r="F10" s="32" t="s">
        <v>675</v>
      </c>
      <c r="G10" s="32" t="s">
        <v>676</v>
      </c>
      <c r="H10" s="32" t="s">
        <v>677</v>
      </c>
      <c r="I10" s="32" t="s">
        <v>688</v>
      </c>
      <c r="J10" s="32" t="s">
        <v>689</v>
      </c>
      <c r="K10" s="32" t="s">
        <v>690</v>
      </c>
      <c r="L10" s="32" t="s">
        <v>691</v>
      </c>
      <c r="M10" s="32">
        <v>0.3</v>
      </c>
      <c r="N10" s="32" t="s">
        <v>197</v>
      </c>
      <c r="O10" s="32" t="s">
        <v>682</v>
      </c>
      <c r="P10" s="32" t="s">
        <v>683</v>
      </c>
      <c r="Q10" s="32" t="s">
        <v>665</v>
      </c>
      <c r="R10" s="32" t="s">
        <v>217</v>
      </c>
      <c r="S10" s="30" t="s">
        <v>684</v>
      </c>
    </row>
    <row r="11" spans="1:19" x14ac:dyDescent="0.3">
      <c r="A11" s="29" t="s">
        <v>725</v>
      </c>
      <c r="B11" s="30" t="s">
        <v>142</v>
      </c>
      <c r="C11" s="30" t="s">
        <v>726</v>
      </c>
      <c r="D11" s="30" t="s">
        <v>673</v>
      </c>
      <c r="E11" s="30" t="s">
        <v>674</v>
      </c>
      <c r="F11" s="30" t="s">
        <v>675</v>
      </c>
      <c r="G11" s="30" t="s">
        <v>676</v>
      </c>
      <c r="H11" s="30" t="s">
        <v>702</v>
      </c>
      <c r="I11" s="30" t="s">
        <v>678</v>
      </c>
      <c r="J11" s="30" t="s">
        <v>698</v>
      </c>
      <c r="K11" s="30" t="s">
        <v>690</v>
      </c>
      <c r="L11" s="30" t="s">
        <v>699</v>
      </c>
      <c r="M11" s="30">
        <v>0.2</v>
      </c>
      <c r="N11" s="30" t="s">
        <v>197</v>
      </c>
      <c r="O11" s="30" t="s">
        <v>682</v>
      </c>
      <c r="P11" s="30" t="s">
        <v>683</v>
      </c>
      <c r="Q11" s="30" t="s">
        <v>665</v>
      </c>
      <c r="R11" s="30" t="s">
        <v>217</v>
      </c>
      <c r="S11" s="30" t="s">
        <v>684</v>
      </c>
    </row>
    <row r="12" spans="1:19" x14ac:dyDescent="0.3">
      <c r="A12" s="31" t="s">
        <v>727</v>
      </c>
      <c r="B12" s="32" t="s">
        <v>704</v>
      </c>
      <c r="C12" s="32" t="s">
        <v>728</v>
      </c>
      <c r="D12" s="32" t="s">
        <v>673</v>
      </c>
      <c r="E12" s="32" t="s">
        <v>674</v>
      </c>
      <c r="F12" s="32" t="s">
        <v>675</v>
      </c>
      <c r="G12" s="32" t="s">
        <v>676</v>
      </c>
      <c r="H12" s="32" t="s">
        <v>677</v>
      </c>
      <c r="I12" s="32" t="s">
        <v>678</v>
      </c>
      <c r="J12" s="32" t="s">
        <v>679</v>
      </c>
      <c r="K12" s="32" t="s">
        <v>680</v>
      </c>
      <c r="L12" s="32" t="s">
        <v>681</v>
      </c>
      <c r="M12" s="32">
        <v>0.3</v>
      </c>
      <c r="N12" s="32" t="s">
        <v>248</v>
      </c>
      <c r="O12" s="32" t="s">
        <v>682</v>
      </c>
      <c r="P12" s="32" t="s">
        <v>683</v>
      </c>
      <c r="Q12" s="32" t="s">
        <v>665</v>
      </c>
      <c r="R12" s="32" t="s">
        <v>217</v>
      </c>
      <c r="S12" s="30" t="s">
        <v>684</v>
      </c>
    </row>
    <row r="13" spans="1:19" x14ac:dyDescent="0.3">
      <c r="A13" s="29" t="s">
        <v>727</v>
      </c>
      <c r="B13" s="30" t="s">
        <v>704</v>
      </c>
      <c r="C13" s="30" t="s">
        <v>728</v>
      </c>
      <c r="D13" s="30" t="s">
        <v>673</v>
      </c>
      <c r="E13" s="30" t="s">
        <v>674</v>
      </c>
      <c r="F13" s="30" t="s">
        <v>675</v>
      </c>
      <c r="G13" s="30" t="s">
        <v>676</v>
      </c>
      <c r="H13" s="30" t="s">
        <v>677</v>
      </c>
      <c r="I13" s="30" t="s">
        <v>678</v>
      </c>
      <c r="J13" s="30" t="s">
        <v>679</v>
      </c>
      <c r="K13" s="30" t="s">
        <v>680</v>
      </c>
      <c r="L13" s="30" t="s">
        <v>681</v>
      </c>
      <c r="M13" s="30">
        <v>1</v>
      </c>
      <c r="N13" s="30" t="s">
        <v>626</v>
      </c>
      <c r="O13" s="30" t="s">
        <v>682</v>
      </c>
      <c r="P13" s="30" t="s">
        <v>683</v>
      </c>
      <c r="Q13" s="30" t="s">
        <v>665</v>
      </c>
      <c r="R13" s="30" t="s">
        <v>447</v>
      </c>
      <c r="S13" s="32" t="s">
        <v>673</v>
      </c>
    </row>
    <row r="14" spans="1:19" x14ac:dyDescent="0.3">
      <c r="A14" s="31" t="s">
        <v>729</v>
      </c>
      <c r="B14" s="32" t="s">
        <v>704</v>
      </c>
      <c r="C14" s="32" t="s">
        <v>730</v>
      </c>
      <c r="D14" s="32" t="s">
        <v>673</v>
      </c>
      <c r="E14" s="32" t="s">
        <v>674</v>
      </c>
      <c r="F14" s="32" t="s">
        <v>675</v>
      </c>
      <c r="G14" s="32" t="s">
        <v>731</v>
      </c>
      <c r="H14" s="32" t="s">
        <v>702</v>
      </c>
      <c r="I14" s="32" t="s">
        <v>688</v>
      </c>
      <c r="J14" s="32" t="s">
        <v>713</v>
      </c>
      <c r="K14" s="32" t="s">
        <v>690</v>
      </c>
      <c r="L14" s="32" t="s">
        <v>681</v>
      </c>
      <c r="M14" s="32">
        <v>1</v>
      </c>
      <c r="N14" s="32" t="s">
        <v>622</v>
      </c>
      <c r="O14" s="32" t="s">
        <v>682</v>
      </c>
      <c r="P14" s="32" t="s">
        <v>683</v>
      </c>
      <c r="Q14" s="32" t="s">
        <v>665</v>
      </c>
      <c r="R14" s="32" t="s">
        <v>447</v>
      </c>
      <c r="S14" s="32" t="s">
        <v>673</v>
      </c>
    </row>
    <row r="15" spans="1:19" x14ac:dyDescent="0.3">
      <c r="A15" s="29" t="s">
        <v>671</v>
      </c>
      <c r="B15" s="30" t="s">
        <v>178</v>
      </c>
      <c r="C15" s="30" t="s">
        <v>672</v>
      </c>
      <c r="D15" s="30" t="s">
        <v>673</v>
      </c>
      <c r="E15" s="30" t="s">
        <v>674</v>
      </c>
      <c r="F15" s="30" t="s">
        <v>675</v>
      </c>
      <c r="G15" s="30" t="s">
        <v>676</v>
      </c>
      <c r="H15" s="30" t="s">
        <v>677</v>
      </c>
      <c r="I15" s="30" t="s">
        <v>678</v>
      </c>
      <c r="J15" s="30" t="s">
        <v>679</v>
      </c>
      <c r="K15" s="30" t="s">
        <v>680</v>
      </c>
      <c r="L15" s="30" t="s">
        <v>681</v>
      </c>
      <c r="M15" s="30">
        <v>1</v>
      </c>
      <c r="N15" s="30" t="s">
        <v>627</v>
      </c>
      <c r="O15" s="30" t="s">
        <v>682</v>
      </c>
      <c r="P15" s="30" t="s">
        <v>683</v>
      </c>
      <c r="Q15" s="30" t="s">
        <v>665</v>
      </c>
      <c r="R15" s="30" t="s">
        <v>447</v>
      </c>
      <c r="S15" s="32" t="s">
        <v>673</v>
      </c>
    </row>
    <row r="16" spans="1:19" x14ac:dyDescent="0.3">
      <c r="A16" s="31" t="s">
        <v>729</v>
      </c>
      <c r="B16" s="32" t="s">
        <v>704</v>
      </c>
      <c r="C16" s="32" t="s">
        <v>730</v>
      </c>
      <c r="D16" s="32" t="s">
        <v>673</v>
      </c>
      <c r="E16" s="32" t="s">
        <v>674</v>
      </c>
      <c r="F16" s="32" t="s">
        <v>675</v>
      </c>
      <c r="G16" s="32" t="s">
        <v>731</v>
      </c>
      <c r="H16" s="32" t="s">
        <v>702</v>
      </c>
      <c r="I16" s="32" t="s">
        <v>688</v>
      </c>
      <c r="J16" s="32" t="s">
        <v>713</v>
      </c>
      <c r="K16" s="32" t="s">
        <v>690</v>
      </c>
      <c r="L16" s="32" t="s">
        <v>681</v>
      </c>
      <c r="M16" s="32">
        <v>1</v>
      </c>
      <c r="N16" s="32" t="s">
        <v>616</v>
      </c>
      <c r="O16" s="32" t="s">
        <v>682</v>
      </c>
      <c r="P16" s="32" t="s">
        <v>683</v>
      </c>
      <c r="Q16" s="32" t="s">
        <v>665</v>
      </c>
      <c r="R16" s="32" t="s">
        <v>447</v>
      </c>
      <c r="S16" s="32" t="s">
        <v>673</v>
      </c>
    </row>
    <row r="17" spans="1:19" x14ac:dyDescent="0.3">
      <c r="A17" s="29" t="s">
        <v>848</v>
      </c>
      <c r="B17" s="30" t="s">
        <v>849</v>
      </c>
      <c r="C17" s="30" t="s">
        <v>850</v>
      </c>
      <c r="D17" s="30" t="s">
        <v>673</v>
      </c>
      <c r="E17" s="30" t="s">
        <v>674</v>
      </c>
      <c r="F17" s="30" t="s">
        <v>675</v>
      </c>
      <c r="G17" s="30" t="s">
        <v>731</v>
      </c>
      <c r="H17" s="30" t="s">
        <v>702</v>
      </c>
      <c r="I17" s="30" t="s">
        <v>811</v>
      </c>
      <c r="J17" s="30" t="s">
        <v>713</v>
      </c>
      <c r="K17" s="30" t="s">
        <v>690</v>
      </c>
      <c r="L17" s="30" t="s">
        <v>681</v>
      </c>
      <c r="M17" s="30">
        <v>0.5</v>
      </c>
      <c r="N17" s="30" t="s">
        <v>649</v>
      </c>
      <c r="O17" s="30" t="s">
        <v>682</v>
      </c>
      <c r="P17" s="30" t="s">
        <v>683</v>
      </c>
      <c r="Q17" s="30" t="s">
        <v>665</v>
      </c>
      <c r="R17" s="30" t="s">
        <v>447</v>
      </c>
      <c r="S17" s="32" t="s">
        <v>673</v>
      </c>
    </row>
    <row r="18" spans="1:19" x14ac:dyDescent="0.3">
      <c r="A18" s="31" t="s">
        <v>851</v>
      </c>
      <c r="B18" s="32" t="s">
        <v>849</v>
      </c>
      <c r="C18" s="32" t="s">
        <v>852</v>
      </c>
      <c r="D18" s="32" t="s">
        <v>673</v>
      </c>
      <c r="E18" s="32" t="s">
        <v>674</v>
      </c>
      <c r="F18" s="32" t="s">
        <v>675</v>
      </c>
      <c r="G18" s="32" t="s">
        <v>731</v>
      </c>
      <c r="H18" s="32" t="s">
        <v>702</v>
      </c>
      <c r="I18" s="32" t="s">
        <v>688</v>
      </c>
      <c r="J18" s="32" t="s">
        <v>713</v>
      </c>
      <c r="K18" s="32" t="s">
        <v>690</v>
      </c>
      <c r="L18" s="32" t="s">
        <v>681</v>
      </c>
      <c r="M18" s="32">
        <v>0.5</v>
      </c>
      <c r="N18" s="32" t="s">
        <v>649</v>
      </c>
      <c r="O18" s="32" t="s">
        <v>682</v>
      </c>
      <c r="P18" s="32" t="s">
        <v>683</v>
      </c>
      <c r="Q18" s="32" t="s">
        <v>665</v>
      </c>
      <c r="R18" s="32" t="s">
        <v>447</v>
      </c>
      <c r="S18" s="32" t="s">
        <v>673</v>
      </c>
    </row>
    <row r="19" spans="1:19" x14ac:dyDescent="0.3">
      <c r="A19" s="29" t="s">
        <v>729</v>
      </c>
      <c r="B19" s="30" t="s">
        <v>704</v>
      </c>
      <c r="C19" s="30" t="s">
        <v>730</v>
      </c>
      <c r="D19" s="30" t="s">
        <v>673</v>
      </c>
      <c r="E19" s="30" t="s">
        <v>674</v>
      </c>
      <c r="F19" s="30" t="s">
        <v>675</v>
      </c>
      <c r="G19" s="30" t="s">
        <v>731</v>
      </c>
      <c r="H19" s="30" t="s">
        <v>702</v>
      </c>
      <c r="I19" s="30" t="s">
        <v>688</v>
      </c>
      <c r="J19" s="30" t="s">
        <v>713</v>
      </c>
      <c r="K19" s="30" t="s">
        <v>690</v>
      </c>
      <c r="L19" s="30" t="s">
        <v>681</v>
      </c>
      <c r="M19" s="30">
        <v>1</v>
      </c>
      <c r="N19" s="30" t="s">
        <v>559</v>
      </c>
      <c r="O19" s="30" t="s">
        <v>682</v>
      </c>
      <c r="P19" s="30" t="s">
        <v>683</v>
      </c>
      <c r="Q19" s="30" t="s">
        <v>665</v>
      </c>
      <c r="R19" s="30" t="s">
        <v>447</v>
      </c>
      <c r="S19" s="32" t="s">
        <v>673</v>
      </c>
    </row>
    <row r="20" spans="1:19" x14ac:dyDescent="0.3">
      <c r="A20" s="31" t="s">
        <v>2280</v>
      </c>
      <c r="B20" s="32" t="s">
        <v>544</v>
      </c>
      <c r="C20" s="32" t="s">
        <v>2281</v>
      </c>
      <c r="D20" s="32" t="s">
        <v>684</v>
      </c>
      <c r="E20" s="32" t="s">
        <v>674</v>
      </c>
      <c r="F20" s="32" t="s">
        <v>716</v>
      </c>
      <c r="G20" s="32" t="s">
        <v>744</v>
      </c>
      <c r="H20" s="32" t="s">
        <v>702</v>
      </c>
      <c r="I20" s="32" t="s">
        <v>736</v>
      </c>
      <c r="J20" s="32" t="s">
        <v>737</v>
      </c>
      <c r="K20" s="32" t="s">
        <v>738</v>
      </c>
      <c r="L20" s="32" t="s">
        <v>699</v>
      </c>
      <c r="M20" s="32">
        <v>0.1</v>
      </c>
      <c r="N20" s="32" t="s">
        <v>41</v>
      </c>
      <c r="O20" s="32" t="s">
        <v>682</v>
      </c>
      <c r="P20" s="32" t="s">
        <v>683</v>
      </c>
      <c r="Q20" s="32" t="s">
        <v>665</v>
      </c>
      <c r="R20" s="32" t="s">
        <v>217</v>
      </c>
      <c r="S20" s="30" t="s">
        <v>684</v>
      </c>
    </row>
    <row r="21" spans="1:19" x14ac:dyDescent="0.3">
      <c r="A21" s="29" t="s">
        <v>2282</v>
      </c>
      <c r="B21" s="30" t="s">
        <v>544</v>
      </c>
      <c r="C21" s="30" t="s">
        <v>2283</v>
      </c>
      <c r="D21" s="30" t="s">
        <v>684</v>
      </c>
      <c r="E21" s="30" t="s">
        <v>674</v>
      </c>
      <c r="F21" s="30" t="s">
        <v>716</v>
      </c>
      <c r="G21" s="30" t="s">
        <v>744</v>
      </c>
      <c r="H21" s="30" t="s">
        <v>702</v>
      </c>
      <c r="I21" s="30" t="s">
        <v>736</v>
      </c>
      <c r="J21" s="30" t="s">
        <v>737</v>
      </c>
      <c r="K21" s="30" t="s">
        <v>738</v>
      </c>
      <c r="L21" s="30" t="s">
        <v>699</v>
      </c>
      <c r="M21" s="30">
        <v>0.1</v>
      </c>
      <c r="N21" s="30" t="s">
        <v>41</v>
      </c>
      <c r="O21" s="30" t="s">
        <v>682</v>
      </c>
      <c r="P21" s="30" t="s">
        <v>683</v>
      </c>
      <c r="Q21" s="30" t="s">
        <v>665</v>
      </c>
      <c r="R21" s="30" t="s">
        <v>217</v>
      </c>
      <c r="S21" s="30" t="s">
        <v>684</v>
      </c>
    </row>
    <row r="22" spans="1:19" x14ac:dyDescent="0.3">
      <c r="A22" s="31" t="s">
        <v>2284</v>
      </c>
      <c r="B22" s="32" t="s">
        <v>544</v>
      </c>
      <c r="C22" s="32" t="s">
        <v>2285</v>
      </c>
      <c r="D22" s="32" t="s">
        <v>684</v>
      </c>
      <c r="E22" s="32" t="s">
        <v>674</v>
      </c>
      <c r="F22" s="32" t="s">
        <v>716</v>
      </c>
      <c r="G22" s="32" t="s">
        <v>744</v>
      </c>
      <c r="H22" s="32" t="s">
        <v>702</v>
      </c>
      <c r="I22" s="32" t="s">
        <v>736</v>
      </c>
      <c r="J22" s="32" t="s">
        <v>737</v>
      </c>
      <c r="K22" s="32" t="s">
        <v>738</v>
      </c>
      <c r="L22" s="32" t="s">
        <v>699</v>
      </c>
      <c r="M22" s="32">
        <v>0.1</v>
      </c>
      <c r="N22" s="32" t="s">
        <v>41</v>
      </c>
      <c r="O22" s="32" t="s">
        <v>682</v>
      </c>
      <c r="P22" s="32" t="s">
        <v>683</v>
      </c>
      <c r="Q22" s="32" t="s">
        <v>665</v>
      </c>
      <c r="R22" s="32" t="s">
        <v>217</v>
      </c>
      <c r="S22" s="30" t="s">
        <v>684</v>
      </c>
    </row>
    <row r="23" spans="1:19" x14ac:dyDescent="0.3">
      <c r="A23" s="29" t="s">
        <v>742</v>
      </c>
      <c r="B23" s="30" t="s">
        <v>470</v>
      </c>
      <c r="C23" s="30" t="s">
        <v>743</v>
      </c>
      <c r="D23" s="30" t="s">
        <v>684</v>
      </c>
      <c r="E23" s="30" t="s">
        <v>674</v>
      </c>
      <c r="F23" s="30" t="s">
        <v>716</v>
      </c>
      <c r="G23" s="30" t="s">
        <v>744</v>
      </c>
      <c r="H23" s="30" t="s">
        <v>702</v>
      </c>
      <c r="I23" s="30" t="s">
        <v>736</v>
      </c>
      <c r="J23" s="30" t="s">
        <v>745</v>
      </c>
      <c r="K23" s="30" t="s">
        <v>738</v>
      </c>
      <c r="L23" s="30" t="s">
        <v>699</v>
      </c>
      <c r="M23" s="30">
        <v>0.3</v>
      </c>
      <c r="N23" s="30" t="s">
        <v>635</v>
      </c>
      <c r="O23" s="30" t="s">
        <v>746</v>
      </c>
      <c r="P23" s="30" t="s">
        <v>683</v>
      </c>
      <c r="Q23" s="30" t="s">
        <v>665</v>
      </c>
      <c r="R23" s="30" t="s">
        <v>324</v>
      </c>
      <c r="S23" s="30" t="s">
        <v>684</v>
      </c>
    </row>
    <row r="24" spans="1:19" x14ac:dyDescent="0.3">
      <c r="A24" s="31" t="s">
        <v>747</v>
      </c>
      <c r="B24" s="32" t="s">
        <v>470</v>
      </c>
      <c r="C24" s="32" t="s">
        <v>747</v>
      </c>
      <c r="D24" s="32" t="s">
        <v>684</v>
      </c>
      <c r="E24" s="32" t="s">
        <v>674</v>
      </c>
      <c r="F24" s="32" t="s">
        <v>716</v>
      </c>
      <c r="G24" s="32" t="s">
        <v>744</v>
      </c>
      <c r="H24" s="32" t="s">
        <v>702</v>
      </c>
      <c r="I24" s="32" t="s">
        <v>736</v>
      </c>
      <c r="J24" s="32" t="s">
        <v>745</v>
      </c>
      <c r="K24" s="32" t="s">
        <v>738</v>
      </c>
      <c r="L24" s="32" t="s">
        <v>699</v>
      </c>
      <c r="M24" s="32">
        <v>0.3</v>
      </c>
      <c r="N24" s="32" t="s">
        <v>557</v>
      </c>
      <c r="O24" s="32" t="s">
        <v>746</v>
      </c>
      <c r="P24" s="32" t="s">
        <v>683</v>
      </c>
      <c r="Q24" s="32" t="s">
        <v>665</v>
      </c>
      <c r="R24" s="32" t="s">
        <v>324</v>
      </c>
      <c r="S24" s="30" t="s">
        <v>684</v>
      </c>
    </row>
    <row r="25" spans="1:19" x14ac:dyDescent="0.3">
      <c r="A25" s="29" t="s">
        <v>988</v>
      </c>
      <c r="B25" s="30" t="s">
        <v>753</v>
      </c>
      <c r="C25" s="30" t="s">
        <v>989</v>
      </c>
      <c r="D25" s="30" t="s">
        <v>755</v>
      </c>
      <c r="E25" s="30" t="s">
        <v>674</v>
      </c>
      <c r="F25" s="30" t="s">
        <v>675</v>
      </c>
      <c r="G25" s="30" t="s">
        <v>676</v>
      </c>
      <c r="H25" s="30" t="s">
        <v>677</v>
      </c>
      <c r="I25" s="30" t="s">
        <v>678</v>
      </c>
      <c r="J25" s="30" t="s">
        <v>679</v>
      </c>
      <c r="K25" s="30" t="s">
        <v>680</v>
      </c>
      <c r="L25" s="30" t="s">
        <v>699</v>
      </c>
      <c r="M25" s="30">
        <v>0.4</v>
      </c>
      <c r="N25" s="30" t="s">
        <v>304</v>
      </c>
      <c r="O25" s="30" t="s">
        <v>682</v>
      </c>
      <c r="P25" s="30" t="s">
        <v>683</v>
      </c>
      <c r="Q25" s="30" t="s">
        <v>665</v>
      </c>
      <c r="R25" s="30" t="s">
        <v>447</v>
      </c>
      <c r="S25" s="32" t="s">
        <v>673</v>
      </c>
    </row>
    <row r="26" spans="1:19" x14ac:dyDescent="0.3">
      <c r="A26" s="31" t="s">
        <v>986</v>
      </c>
      <c r="B26" s="32" t="s">
        <v>753</v>
      </c>
      <c r="C26" s="32" t="s">
        <v>987</v>
      </c>
      <c r="D26" s="32" t="s">
        <v>755</v>
      </c>
      <c r="E26" s="32" t="s">
        <v>674</v>
      </c>
      <c r="F26" s="32" t="s">
        <v>675</v>
      </c>
      <c r="G26" s="32" t="s">
        <v>676</v>
      </c>
      <c r="H26" s="32" t="s">
        <v>677</v>
      </c>
      <c r="I26" s="32" t="s">
        <v>678</v>
      </c>
      <c r="J26" s="32" t="s">
        <v>679</v>
      </c>
      <c r="K26" s="32" t="s">
        <v>680</v>
      </c>
      <c r="L26" s="32" t="s">
        <v>801</v>
      </c>
      <c r="M26" s="32">
        <v>0.2</v>
      </c>
      <c r="N26" s="32" t="s">
        <v>304</v>
      </c>
      <c r="O26" s="32" t="s">
        <v>682</v>
      </c>
      <c r="P26" s="32" t="s">
        <v>683</v>
      </c>
      <c r="Q26" s="32" t="s">
        <v>665</v>
      </c>
      <c r="R26" s="32" t="s">
        <v>447</v>
      </c>
      <c r="S26" s="32" t="s">
        <v>673</v>
      </c>
    </row>
    <row r="27" spans="1:19" x14ac:dyDescent="0.3">
      <c r="A27" s="29" t="s">
        <v>732</v>
      </c>
      <c r="B27" s="30" t="s">
        <v>178</v>
      </c>
      <c r="C27" s="30" t="s">
        <v>733</v>
      </c>
      <c r="D27" s="30" t="s">
        <v>673</v>
      </c>
      <c r="E27" s="30" t="s">
        <v>674</v>
      </c>
      <c r="F27" s="30" t="s">
        <v>675</v>
      </c>
      <c r="G27" s="30" t="s">
        <v>676</v>
      </c>
      <c r="H27" s="30" t="s">
        <v>677</v>
      </c>
      <c r="I27" s="30" t="s">
        <v>678</v>
      </c>
      <c r="J27" s="30" t="s">
        <v>679</v>
      </c>
      <c r="K27" s="30" t="s">
        <v>680</v>
      </c>
      <c r="L27" s="30" t="s">
        <v>699</v>
      </c>
      <c r="M27" s="30">
        <v>0.5</v>
      </c>
      <c r="N27" s="30" t="s">
        <v>629</v>
      </c>
      <c r="O27" s="30" t="s">
        <v>682</v>
      </c>
      <c r="P27" s="30" t="s">
        <v>683</v>
      </c>
      <c r="Q27" s="30" t="s">
        <v>665</v>
      </c>
      <c r="R27" s="30" t="s">
        <v>447</v>
      </c>
      <c r="S27" s="32" t="s">
        <v>673</v>
      </c>
    </row>
    <row r="28" spans="1:19" x14ac:dyDescent="0.3">
      <c r="A28" s="31" t="s">
        <v>804</v>
      </c>
      <c r="B28" s="32" t="s">
        <v>704</v>
      </c>
      <c r="C28" s="32" t="s">
        <v>805</v>
      </c>
      <c r="D28" s="32" t="s">
        <v>673</v>
      </c>
      <c r="E28" s="32" t="s">
        <v>674</v>
      </c>
      <c r="F28" s="32" t="s">
        <v>675</v>
      </c>
      <c r="G28" s="32" t="s">
        <v>676</v>
      </c>
      <c r="H28" s="32" t="s">
        <v>677</v>
      </c>
      <c r="I28" s="32" t="s">
        <v>678</v>
      </c>
      <c r="J28" s="32" t="s">
        <v>679</v>
      </c>
      <c r="K28" s="32" t="s">
        <v>680</v>
      </c>
      <c r="L28" s="32" t="s">
        <v>681</v>
      </c>
      <c r="M28" s="32">
        <v>1</v>
      </c>
      <c r="N28" s="32" t="s">
        <v>236</v>
      </c>
      <c r="O28" s="32" t="s">
        <v>682</v>
      </c>
      <c r="P28" s="32" t="s">
        <v>683</v>
      </c>
      <c r="Q28" s="32" t="s">
        <v>665</v>
      </c>
      <c r="R28" s="32" t="s">
        <v>447</v>
      </c>
      <c r="S28" s="32" t="s">
        <v>673</v>
      </c>
    </row>
    <row r="29" spans="1:19" x14ac:dyDescent="0.3">
      <c r="A29" s="29" t="s">
        <v>752</v>
      </c>
      <c r="B29" s="30" t="s">
        <v>753</v>
      </c>
      <c r="C29" s="30" t="s">
        <v>754</v>
      </c>
      <c r="D29" s="30" t="s">
        <v>755</v>
      </c>
      <c r="E29" s="30" t="s">
        <v>674</v>
      </c>
      <c r="F29" s="30" t="s">
        <v>716</v>
      </c>
      <c r="G29" s="30" t="s">
        <v>744</v>
      </c>
      <c r="H29" s="30" t="s">
        <v>677</v>
      </c>
      <c r="I29" s="30" t="s">
        <v>678</v>
      </c>
      <c r="J29" s="30" t="s">
        <v>679</v>
      </c>
      <c r="K29" s="30" t="s">
        <v>680</v>
      </c>
      <c r="L29" s="30" t="s">
        <v>699</v>
      </c>
      <c r="M29" s="30">
        <v>1</v>
      </c>
      <c r="N29" s="30" t="s">
        <v>29</v>
      </c>
      <c r="O29" s="30" t="s">
        <v>746</v>
      </c>
      <c r="P29" s="30" t="s">
        <v>683</v>
      </c>
      <c r="Q29" s="30" t="s">
        <v>665</v>
      </c>
      <c r="R29" s="30" t="s">
        <v>285</v>
      </c>
      <c r="S29" s="30" t="s">
        <v>755</v>
      </c>
    </row>
    <row r="30" spans="1:19" x14ac:dyDescent="0.3">
      <c r="A30" s="31" t="s">
        <v>757</v>
      </c>
      <c r="B30" s="32" t="s">
        <v>753</v>
      </c>
      <c r="C30" s="32" t="s">
        <v>758</v>
      </c>
      <c r="D30" s="32" t="s">
        <v>755</v>
      </c>
      <c r="E30" s="32" t="s">
        <v>674</v>
      </c>
      <c r="F30" s="32" t="s">
        <v>675</v>
      </c>
      <c r="G30" s="32" t="s">
        <v>676</v>
      </c>
      <c r="H30" s="32" t="s">
        <v>677</v>
      </c>
      <c r="I30" s="32" t="s">
        <v>678</v>
      </c>
      <c r="J30" s="32" t="s">
        <v>679</v>
      </c>
      <c r="K30" s="32" t="s">
        <v>680</v>
      </c>
      <c r="L30" s="32" t="s">
        <v>699</v>
      </c>
      <c r="M30" s="32">
        <v>0.5</v>
      </c>
      <c r="N30" s="32" t="s">
        <v>314</v>
      </c>
      <c r="O30" s="32" t="s">
        <v>746</v>
      </c>
      <c r="P30" s="32" t="s">
        <v>683</v>
      </c>
      <c r="Q30" s="32" t="s">
        <v>665</v>
      </c>
      <c r="R30" s="32" t="s">
        <v>285</v>
      </c>
      <c r="S30" s="30" t="s">
        <v>755</v>
      </c>
    </row>
    <row r="31" spans="1:19" x14ac:dyDescent="0.3">
      <c r="A31" s="29" t="s">
        <v>759</v>
      </c>
      <c r="B31" s="30" t="s">
        <v>760</v>
      </c>
      <c r="C31" s="30" t="s">
        <v>761</v>
      </c>
      <c r="D31" s="30" t="s">
        <v>755</v>
      </c>
      <c r="E31" s="30" t="s">
        <v>674</v>
      </c>
      <c r="F31" s="30" t="s">
        <v>716</v>
      </c>
      <c r="G31" s="30" t="s">
        <v>744</v>
      </c>
      <c r="H31" s="30" t="s">
        <v>677</v>
      </c>
      <c r="I31" s="30" t="s">
        <v>678</v>
      </c>
      <c r="J31" s="30" t="s">
        <v>679</v>
      </c>
      <c r="K31" s="30" t="s">
        <v>680</v>
      </c>
      <c r="L31" s="30" t="s">
        <v>699</v>
      </c>
      <c r="M31" s="30">
        <v>0.5</v>
      </c>
      <c r="N31" s="30" t="s">
        <v>314</v>
      </c>
      <c r="O31" s="30" t="s">
        <v>746</v>
      </c>
      <c r="P31" s="30" t="s">
        <v>683</v>
      </c>
      <c r="Q31" s="30" t="s">
        <v>665</v>
      </c>
      <c r="R31" s="30" t="s">
        <v>285</v>
      </c>
      <c r="S31" s="30" t="s">
        <v>755</v>
      </c>
    </row>
    <row r="32" spans="1:19" x14ac:dyDescent="0.3">
      <c r="A32" s="31" t="s">
        <v>759</v>
      </c>
      <c r="B32" s="32" t="s">
        <v>760</v>
      </c>
      <c r="C32" s="32" t="s">
        <v>761</v>
      </c>
      <c r="D32" s="32" t="s">
        <v>755</v>
      </c>
      <c r="E32" s="32" t="s">
        <v>674</v>
      </c>
      <c r="F32" s="32" t="s">
        <v>716</v>
      </c>
      <c r="G32" s="32" t="s">
        <v>744</v>
      </c>
      <c r="H32" s="32" t="s">
        <v>677</v>
      </c>
      <c r="I32" s="32" t="s">
        <v>678</v>
      </c>
      <c r="J32" s="32" t="s">
        <v>679</v>
      </c>
      <c r="K32" s="32" t="s">
        <v>680</v>
      </c>
      <c r="L32" s="32" t="s">
        <v>699</v>
      </c>
      <c r="M32" s="32">
        <v>1</v>
      </c>
      <c r="N32" s="32" t="s">
        <v>184</v>
      </c>
      <c r="O32" s="32" t="s">
        <v>746</v>
      </c>
      <c r="P32" s="32" t="s">
        <v>683</v>
      </c>
      <c r="Q32" s="32" t="s">
        <v>665</v>
      </c>
      <c r="R32" s="32" t="s">
        <v>285</v>
      </c>
      <c r="S32" s="30" t="s">
        <v>755</v>
      </c>
    </row>
    <row r="33" spans="1:19" x14ac:dyDescent="0.3">
      <c r="A33" s="29" t="s">
        <v>759</v>
      </c>
      <c r="B33" s="30" t="s">
        <v>760</v>
      </c>
      <c r="C33" s="30" t="s">
        <v>761</v>
      </c>
      <c r="D33" s="30" t="s">
        <v>755</v>
      </c>
      <c r="E33" s="30" t="s">
        <v>674</v>
      </c>
      <c r="F33" s="30" t="s">
        <v>716</v>
      </c>
      <c r="G33" s="30" t="s">
        <v>744</v>
      </c>
      <c r="H33" s="30" t="s">
        <v>677</v>
      </c>
      <c r="I33" s="30" t="s">
        <v>678</v>
      </c>
      <c r="J33" s="30" t="s">
        <v>679</v>
      </c>
      <c r="K33" s="30" t="s">
        <v>680</v>
      </c>
      <c r="L33" s="30" t="s">
        <v>699</v>
      </c>
      <c r="M33" s="30">
        <v>1</v>
      </c>
      <c r="N33" s="30" t="s">
        <v>583</v>
      </c>
      <c r="O33" s="30" t="s">
        <v>746</v>
      </c>
      <c r="P33" s="30" t="s">
        <v>683</v>
      </c>
      <c r="Q33" s="30" t="s">
        <v>665</v>
      </c>
      <c r="R33" s="30" t="s">
        <v>285</v>
      </c>
      <c r="S33" s="30" t="s">
        <v>755</v>
      </c>
    </row>
    <row r="34" spans="1:19" x14ac:dyDescent="0.3">
      <c r="A34" s="31" t="s">
        <v>762</v>
      </c>
      <c r="B34" s="32" t="s">
        <v>760</v>
      </c>
      <c r="C34" s="32" t="s">
        <v>763</v>
      </c>
      <c r="D34" s="32" t="s">
        <v>755</v>
      </c>
      <c r="E34" s="32" t="s">
        <v>674</v>
      </c>
      <c r="F34" s="32" t="s">
        <v>716</v>
      </c>
      <c r="G34" s="32" t="s">
        <v>744</v>
      </c>
      <c r="H34" s="32" t="s">
        <v>677</v>
      </c>
      <c r="I34" s="32" t="s">
        <v>678</v>
      </c>
      <c r="J34" s="32" t="s">
        <v>679</v>
      </c>
      <c r="K34" s="32" t="s">
        <v>680</v>
      </c>
      <c r="L34" s="32" t="s">
        <v>699</v>
      </c>
      <c r="M34" s="32">
        <v>1</v>
      </c>
      <c r="N34" s="32" t="s">
        <v>231</v>
      </c>
      <c r="O34" s="32" t="s">
        <v>746</v>
      </c>
      <c r="P34" s="32" t="s">
        <v>683</v>
      </c>
      <c r="Q34" s="32" t="s">
        <v>665</v>
      </c>
      <c r="R34" s="32" t="s">
        <v>285</v>
      </c>
      <c r="S34" s="30" t="s">
        <v>755</v>
      </c>
    </row>
    <row r="35" spans="1:19" x14ac:dyDescent="0.3">
      <c r="A35" s="29" t="s">
        <v>759</v>
      </c>
      <c r="B35" s="30" t="s">
        <v>760</v>
      </c>
      <c r="C35" s="30" t="s">
        <v>761</v>
      </c>
      <c r="D35" s="30" t="s">
        <v>755</v>
      </c>
      <c r="E35" s="30" t="s">
        <v>674</v>
      </c>
      <c r="F35" s="30" t="s">
        <v>716</v>
      </c>
      <c r="G35" s="30" t="s">
        <v>744</v>
      </c>
      <c r="H35" s="30" t="s">
        <v>677</v>
      </c>
      <c r="I35" s="30" t="s">
        <v>678</v>
      </c>
      <c r="J35" s="30" t="s">
        <v>679</v>
      </c>
      <c r="K35" s="30" t="s">
        <v>680</v>
      </c>
      <c r="L35" s="30" t="s">
        <v>699</v>
      </c>
      <c r="M35" s="30">
        <v>0.7</v>
      </c>
      <c r="N35" s="30" t="s">
        <v>240</v>
      </c>
      <c r="O35" s="30" t="s">
        <v>746</v>
      </c>
      <c r="P35" s="30" t="s">
        <v>683</v>
      </c>
      <c r="Q35" s="30" t="s">
        <v>665</v>
      </c>
      <c r="R35" s="30" t="s">
        <v>285</v>
      </c>
      <c r="S35" s="30" t="s">
        <v>755</v>
      </c>
    </row>
    <row r="36" spans="1:19" x14ac:dyDescent="0.3">
      <c r="A36" s="31" t="s">
        <v>764</v>
      </c>
      <c r="B36" s="32" t="s">
        <v>753</v>
      </c>
      <c r="C36" s="32" t="s">
        <v>765</v>
      </c>
      <c r="D36" s="32" t="s">
        <v>755</v>
      </c>
      <c r="E36" s="32" t="s">
        <v>674</v>
      </c>
      <c r="F36" s="32" t="s">
        <v>716</v>
      </c>
      <c r="G36" s="32" t="s">
        <v>744</v>
      </c>
      <c r="H36" s="32" t="s">
        <v>702</v>
      </c>
      <c r="I36" s="32" t="s">
        <v>678</v>
      </c>
      <c r="J36" s="32" t="s">
        <v>679</v>
      </c>
      <c r="K36" s="32" t="s">
        <v>680</v>
      </c>
      <c r="L36" s="32" t="s">
        <v>766</v>
      </c>
      <c r="M36" s="32">
        <v>0.3</v>
      </c>
      <c r="N36" s="32" t="s">
        <v>240</v>
      </c>
      <c r="O36" s="32" t="s">
        <v>746</v>
      </c>
      <c r="P36" s="32" t="s">
        <v>683</v>
      </c>
      <c r="Q36" s="32" t="s">
        <v>665</v>
      </c>
      <c r="R36" s="32" t="s">
        <v>285</v>
      </c>
      <c r="S36" s="30" t="s">
        <v>755</v>
      </c>
    </row>
    <row r="37" spans="1:19" x14ac:dyDescent="0.3">
      <c r="A37" s="29" t="s">
        <v>762</v>
      </c>
      <c r="B37" s="30" t="s">
        <v>760</v>
      </c>
      <c r="C37" s="30" t="s">
        <v>763</v>
      </c>
      <c r="D37" s="30" t="s">
        <v>755</v>
      </c>
      <c r="E37" s="30" t="s">
        <v>674</v>
      </c>
      <c r="F37" s="30" t="s">
        <v>716</v>
      </c>
      <c r="G37" s="30" t="s">
        <v>744</v>
      </c>
      <c r="H37" s="30" t="s">
        <v>677</v>
      </c>
      <c r="I37" s="30" t="s">
        <v>678</v>
      </c>
      <c r="J37" s="30" t="s">
        <v>679</v>
      </c>
      <c r="K37" s="30" t="s">
        <v>680</v>
      </c>
      <c r="L37" s="30" t="s">
        <v>699</v>
      </c>
      <c r="M37" s="30">
        <v>1</v>
      </c>
      <c r="N37" s="30" t="s">
        <v>282</v>
      </c>
      <c r="O37" s="30" t="s">
        <v>746</v>
      </c>
      <c r="P37" s="30" t="s">
        <v>683</v>
      </c>
      <c r="Q37" s="30" t="s">
        <v>665</v>
      </c>
      <c r="R37" s="30" t="s">
        <v>285</v>
      </c>
      <c r="S37" s="30" t="s">
        <v>755</v>
      </c>
    </row>
    <row r="38" spans="1:19" x14ac:dyDescent="0.3">
      <c r="A38" s="31" t="s">
        <v>759</v>
      </c>
      <c r="B38" s="32" t="s">
        <v>760</v>
      </c>
      <c r="C38" s="32" t="s">
        <v>761</v>
      </c>
      <c r="D38" s="32" t="s">
        <v>755</v>
      </c>
      <c r="E38" s="32" t="s">
        <v>674</v>
      </c>
      <c r="F38" s="32" t="s">
        <v>716</v>
      </c>
      <c r="G38" s="32" t="s">
        <v>744</v>
      </c>
      <c r="H38" s="32" t="s">
        <v>677</v>
      </c>
      <c r="I38" s="32" t="s">
        <v>678</v>
      </c>
      <c r="J38" s="32" t="s">
        <v>679</v>
      </c>
      <c r="K38" s="32" t="s">
        <v>680</v>
      </c>
      <c r="L38" s="32" t="s">
        <v>699</v>
      </c>
      <c r="M38" s="32">
        <v>1</v>
      </c>
      <c r="N38" s="32" t="s">
        <v>403</v>
      </c>
      <c r="O38" s="32" t="s">
        <v>746</v>
      </c>
      <c r="P38" s="32" t="s">
        <v>683</v>
      </c>
      <c r="Q38" s="32" t="s">
        <v>665</v>
      </c>
      <c r="R38" s="32" t="s">
        <v>285</v>
      </c>
      <c r="S38" s="30" t="s">
        <v>755</v>
      </c>
    </row>
    <row r="39" spans="1:19" x14ac:dyDescent="0.3">
      <c r="A39" s="29" t="s">
        <v>759</v>
      </c>
      <c r="B39" s="30" t="s">
        <v>760</v>
      </c>
      <c r="C39" s="30" t="s">
        <v>761</v>
      </c>
      <c r="D39" s="30" t="s">
        <v>755</v>
      </c>
      <c r="E39" s="30" t="s">
        <v>674</v>
      </c>
      <c r="F39" s="30" t="s">
        <v>716</v>
      </c>
      <c r="G39" s="30" t="s">
        <v>744</v>
      </c>
      <c r="H39" s="30" t="s">
        <v>677</v>
      </c>
      <c r="I39" s="30" t="s">
        <v>678</v>
      </c>
      <c r="J39" s="30" t="s">
        <v>679</v>
      </c>
      <c r="K39" s="30" t="s">
        <v>680</v>
      </c>
      <c r="L39" s="30" t="s">
        <v>699</v>
      </c>
      <c r="M39" s="30">
        <v>1</v>
      </c>
      <c r="N39" s="30" t="s">
        <v>434</v>
      </c>
      <c r="O39" s="30" t="s">
        <v>746</v>
      </c>
      <c r="P39" s="30" t="s">
        <v>683</v>
      </c>
      <c r="Q39" s="30" t="s">
        <v>665</v>
      </c>
      <c r="R39" s="30" t="s">
        <v>285</v>
      </c>
      <c r="S39" s="30" t="s">
        <v>755</v>
      </c>
    </row>
    <row r="40" spans="1:19" x14ac:dyDescent="0.3">
      <c r="A40" s="31" t="s">
        <v>759</v>
      </c>
      <c r="B40" s="32" t="s">
        <v>760</v>
      </c>
      <c r="C40" s="32" t="s">
        <v>761</v>
      </c>
      <c r="D40" s="32" t="s">
        <v>755</v>
      </c>
      <c r="E40" s="32" t="s">
        <v>674</v>
      </c>
      <c r="F40" s="32" t="s">
        <v>716</v>
      </c>
      <c r="G40" s="32" t="s">
        <v>744</v>
      </c>
      <c r="H40" s="32" t="s">
        <v>677</v>
      </c>
      <c r="I40" s="32" t="s">
        <v>678</v>
      </c>
      <c r="J40" s="32" t="s">
        <v>679</v>
      </c>
      <c r="K40" s="32" t="s">
        <v>680</v>
      </c>
      <c r="L40" s="32" t="s">
        <v>699</v>
      </c>
      <c r="M40" s="32">
        <v>1</v>
      </c>
      <c r="N40" s="32" t="s">
        <v>385</v>
      </c>
      <c r="O40" s="32" t="s">
        <v>2162</v>
      </c>
      <c r="P40" s="32" t="s">
        <v>683</v>
      </c>
      <c r="Q40" s="32" t="s">
        <v>767</v>
      </c>
      <c r="R40" s="32" t="s">
        <v>285</v>
      </c>
      <c r="S40" s="30" t="s">
        <v>755</v>
      </c>
    </row>
    <row r="41" spans="1:19" x14ac:dyDescent="0.3">
      <c r="A41" s="29" t="s">
        <v>762</v>
      </c>
      <c r="B41" s="30" t="s">
        <v>760</v>
      </c>
      <c r="C41" s="30" t="s">
        <v>763</v>
      </c>
      <c r="D41" s="30" t="s">
        <v>755</v>
      </c>
      <c r="E41" s="30" t="s">
        <v>674</v>
      </c>
      <c r="F41" s="30" t="s">
        <v>716</v>
      </c>
      <c r="G41" s="30" t="s">
        <v>744</v>
      </c>
      <c r="H41" s="30" t="s">
        <v>677</v>
      </c>
      <c r="I41" s="30" t="s">
        <v>678</v>
      </c>
      <c r="J41" s="30" t="s">
        <v>679</v>
      </c>
      <c r="K41" s="30" t="s">
        <v>680</v>
      </c>
      <c r="L41" s="30" t="s">
        <v>699</v>
      </c>
      <c r="M41" s="30">
        <v>1</v>
      </c>
      <c r="N41" s="30" t="s">
        <v>553</v>
      </c>
      <c r="O41" s="30" t="s">
        <v>1915</v>
      </c>
      <c r="P41" s="30" t="s">
        <v>683</v>
      </c>
      <c r="Q41" s="30" t="s">
        <v>767</v>
      </c>
      <c r="R41" s="30" t="s">
        <v>285</v>
      </c>
      <c r="S41" s="30" t="s">
        <v>755</v>
      </c>
    </row>
    <row r="42" spans="1:19" x14ac:dyDescent="0.3">
      <c r="A42" s="31" t="s">
        <v>759</v>
      </c>
      <c r="B42" s="32" t="s">
        <v>760</v>
      </c>
      <c r="C42" s="32" t="s">
        <v>761</v>
      </c>
      <c r="D42" s="32" t="s">
        <v>755</v>
      </c>
      <c r="E42" s="32" t="s">
        <v>674</v>
      </c>
      <c r="F42" s="32" t="s">
        <v>716</v>
      </c>
      <c r="G42" s="32" t="s">
        <v>744</v>
      </c>
      <c r="H42" s="32" t="s">
        <v>677</v>
      </c>
      <c r="I42" s="32" t="s">
        <v>678</v>
      </c>
      <c r="J42" s="32" t="s">
        <v>679</v>
      </c>
      <c r="K42" s="32" t="s">
        <v>680</v>
      </c>
      <c r="L42" s="32" t="s">
        <v>699</v>
      </c>
      <c r="M42" s="32">
        <v>1</v>
      </c>
      <c r="N42" s="32" t="s">
        <v>424</v>
      </c>
      <c r="O42" s="32" t="s">
        <v>1915</v>
      </c>
      <c r="P42" s="32" t="s">
        <v>683</v>
      </c>
      <c r="Q42" s="32" t="s">
        <v>767</v>
      </c>
      <c r="R42" s="32" t="s">
        <v>285</v>
      </c>
      <c r="S42" s="30" t="s">
        <v>755</v>
      </c>
    </row>
    <row r="43" spans="1:19" x14ac:dyDescent="0.3">
      <c r="A43" s="29" t="s">
        <v>759</v>
      </c>
      <c r="B43" s="30" t="s">
        <v>760</v>
      </c>
      <c r="C43" s="30" t="s">
        <v>761</v>
      </c>
      <c r="D43" s="30" t="s">
        <v>755</v>
      </c>
      <c r="E43" s="30" t="s">
        <v>674</v>
      </c>
      <c r="F43" s="30" t="s">
        <v>716</v>
      </c>
      <c r="G43" s="30" t="s">
        <v>744</v>
      </c>
      <c r="H43" s="30" t="s">
        <v>677</v>
      </c>
      <c r="I43" s="30" t="s">
        <v>678</v>
      </c>
      <c r="J43" s="30" t="s">
        <v>679</v>
      </c>
      <c r="K43" s="30" t="s">
        <v>680</v>
      </c>
      <c r="L43" s="30" t="s">
        <v>699</v>
      </c>
      <c r="M43" s="30">
        <v>1</v>
      </c>
      <c r="N43" s="30" t="s">
        <v>402</v>
      </c>
      <c r="O43" s="30" t="s">
        <v>1919</v>
      </c>
      <c r="P43" s="30" t="s">
        <v>683</v>
      </c>
      <c r="Q43" s="30" t="s">
        <v>767</v>
      </c>
      <c r="R43" s="30" t="s">
        <v>285</v>
      </c>
      <c r="S43" s="30" t="s">
        <v>755</v>
      </c>
    </row>
    <row r="44" spans="1:19" x14ac:dyDescent="0.3">
      <c r="A44" s="31" t="s">
        <v>752</v>
      </c>
      <c r="B44" s="32" t="s">
        <v>753</v>
      </c>
      <c r="C44" s="32" t="s">
        <v>754</v>
      </c>
      <c r="D44" s="32" t="s">
        <v>755</v>
      </c>
      <c r="E44" s="32" t="s">
        <v>674</v>
      </c>
      <c r="F44" s="32" t="s">
        <v>716</v>
      </c>
      <c r="G44" s="32" t="s">
        <v>744</v>
      </c>
      <c r="H44" s="32" t="s">
        <v>677</v>
      </c>
      <c r="I44" s="32" t="s">
        <v>678</v>
      </c>
      <c r="J44" s="32" t="s">
        <v>679</v>
      </c>
      <c r="K44" s="32" t="s">
        <v>680</v>
      </c>
      <c r="L44" s="32" t="s">
        <v>699</v>
      </c>
      <c r="M44" s="32">
        <v>1</v>
      </c>
      <c r="N44" s="32" t="s">
        <v>537</v>
      </c>
      <c r="O44" s="32" t="s">
        <v>1919</v>
      </c>
      <c r="P44" s="32" t="s">
        <v>683</v>
      </c>
      <c r="Q44" s="32" t="s">
        <v>767</v>
      </c>
      <c r="R44" s="32" t="s">
        <v>285</v>
      </c>
      <c r="S44" s="30" t="s">
        <v>755</v>
      </c>
    </row>
    <row r="45" spans="1:19" x14ac:dyDescent="0.3">
      <c r="A45" s="29" t="s">
        <v>768</v>
      </c>
      <c r="B45" s="30" t="s">
        <v>753</v>
      </c>
      <c r="C45" s="30" t="s">
        <v>769</v>
      </c>
      <c r="D45" s="30" t="s">
        <v>755</v>
      </c>
      <c r="E45" s="30" t="s">
        <v>674</v>
      </c>
      <c r="F45" s="30" t="s">
        <v>716</v>
      </c>
      <c r="G45" s="30" t="s">
        <v>744</v>
      </c>
      <c r="H45" s="30" t="s">
        <v>677</v>
      </c>
      <c r="I45" s="30" t="s">
        <v>688</v>
      </c>
      <c r="J45" s="30" t="s">
        <v>679</v>
      </c>
      <c r="K45" s="30" t="s">
        <v>680</v>
      </c>
      <c r="L45" s="30" t="s">
        <v>739</v>
      </c>
      <c r="M45" s="30">
        <v>0.7</v>
      </c>
      <c r="N45" s="30" t="s">
        <v>532</v>
      </c>
      <c r="O45" s="30" t="s">
        <v>746</v>
      </c>
      <c r="P45" s="30" t="s">
        <v>683</v>
      </c>
      <c r="Q45" s="30" t="s">
        <v>665</v>
      </c>
      <c r="R45" s="30" t="s">
        <v>293</v>
      </c>
      <c r="S45" s="30" t="s">
        <v>755</v>
      </c>
    </row>
    <row r="46" spans="1:19" x14ac:dyDescent="0.3">
      <c r="A46" s="31" t="s">
        <v>770</v>
      </c>
      <c r="B46" s="32" t="s">
        <v>753</v>
      </c>
      <c r="C46" s="32" t="s">
        <v>771</v>
      </c>
      <c r="D46" s="32" t="s">
        <v>755</v>
      </c>
      <c r="E46" s="32" t="s">
        <v>674</v>
      </c>
      <c r="F46" s="32" t="s">
        <v>716</v>
      </c>
      <c r="G46" s="32" t="s">
        <v>744</v>
      </c>
      <c r="H46" s="32" t="s">
        <v>677</v>
      </c>
      <c r="I46" s="32" t="s">
        <v>688</v>
      </c>
      <c r="J46" s="32" t="s">
        <v>679</v>
      </c>
      <c r="K46" s="32" t="s">
        <v>680</v>
      </c>
      <c r="L46" s="32" t="s">
        <v>691</v>
      </c>
      <c r="M46" s="32">
        <v>0.3</v>
      </c>
      <c r="N46" s="32" t="s">
        <v>532</v>
      </c>
      <c r="O46" s="32" t="s">
        <v>746</v>
      </c>
      <c r="P46" s="32" t="s">
        <v>683</v>
      </c>
      <c r="Q46" s="32" t="s">
        <v>665</v>
      </c>
      <c r="R46" s="32" t="s">
        <v>293</v>
      </c>
      <c r="S46" s="30" t="s">
        <v>755</v>
      </c>
    </row>
    <row r="47" spans="1:19" x14ac:dyDescent="0.3">
      <c r="A47" s="29" t="s">
        <v>762</v>
      </c>
      <c r="B47" s="30" t="s">
        <v>760</v>
      </c>
      <c r="C47" s="30" t="s">
        <v>763</v>
      </c>
      <c r="D47" s="30" t="s">
        <v>755</v>
      </c>
      <c r="E47" s="30" t="s">
        <v>674</v>
      </c>
      <c r="F47" s="30" t="s">
        <v>716</v>
      </c>
      <c r="G47" s="30" t="s">
        <v>744</v>
      </c>
      <c r="H47" s="30" t="s">
        <v>677</v>
      </c>
      <c r="I47" s="30" t="s">
        <v>678</v>
      </c>
      <c r="J47" s="30" t="s">
        <v>679</v>
      </c>
      <c r="K47" s="30" t="s">
        <v>680</v>
      </c>
      <c r="L47" s="30" t="s">
        <v>699</v>
      </c>
      <c r="M47" s="30">
        <v>1</v>
      </c>
      <c r="N47" s="30" t="s">
        <v>44</v>
      </c>
      <c r="O47" s="30" t="s">
        <v>746</v>
      </c>
      <c r="P47" s="30" t="s">
        <v>683</v>
      </c>
      <c r="Q47" s="30" t="s">
        <v>665</v>
      </c>
      <c r="R47" s="30" t="s">
        <v>293</v>
      </c>
      <c r="S47" s="30" t="s">
        <v>755</v>
      </c>
    </row>
    <row r="48" spans="1:19" x14ac:dyDescent="0.3">
      <c r="A48" s="31" t="s">
        <v>762</v>
      </c>
      <c r="B48" s="32" t="s">
        <v>760</v>
      </c>
      <c r="C48" s="32" t="s">
        <v>763</v>
      </c>
      <c r="D48" s="32" t="s">
        <v>755</v>
      </c>
      <c r="E48" s="32" t="s">
        <v>674</v>
      </c>
      <c r="F48" s="32" t="s">
        <v>716</v>
      </c>
      <c r="G48" s="32" t="s">
        <v>744</v>
      </c>
      <c r="H48" s="32" t="s">
        <v>677</v>
      </c>
      <c r="I48" s="32" t="s">
        <v>678</v>
      </c>
      <c r="J48" s="32" t="s">
        <v>679</v>
      </c>
      <c r="K48" s="32" t="s">
        <v>680</v>
      </c>
      <c r="L48" s="32" t="s">
        <v>699</v>
      </c>
      <c r="M48" s="32">
        <v>1</v>
      </c>
      <c r="N48" s="32" t="s">
        <v>58</v>
      </c>
      <c r="O48" s="32" t="s">
        <v>746</v>
      </c>
      <c r="P48" s="32" t="s">
        <v>683</v>
      </c>
      <c r="Q48" s="32" t="s">
        <v>665</v>
      </c>
      <c r="R48" s="32" t="s">
        <v>293</v>
      </c>
      <c r="S48" s="30" t="s">
        <v>755</v>
      </c>
    </row>
    <row r="49" spans="1:19" x14ac:dyDescent="0.3">
      <c r="A49" s="29" t="s">
        <v>762</v>
      </c>
      <c r="B49" s="30" t="s">
        <v>760</v>
      </c>
      <c r="C49" s="30" t="s">
        <v>763</v>
      </c>
      <c r="D49" s="30" t="s">
        <v>755</v>
      </c>
      <c r="E49" s="30" t="s">
        <v>674</v>
      </c>
      <c r="F49" s="30" t="s">
        <v>716</v>
      </c>
      <c r="G49" s="30" t="s">
        <v>744</v>
      </c>
      <c r="H49" s="30" t="s">
        <v>677</v>
      </c>
      <c r="I49" s="30" t="s">
        <v>678</v>
      </c>
      <c r="J49" s="30" t="s">
        <v>679</v>
      </c>
      <c r="K49" s="30" t="s">
        <v>680</v>
      </c>
      <c r="L49" s="30" t="s">
        <v>699</v>
      </c>
      <c r="M49" s="30">
        <v>1</v>
      </c>
      <c r="N49" s="30" t="s">
        <v>562</v>
      </c>
      <c r="O49" s="30" t="s">
        <v>746</v>
      </c>
      <c r="P49" s="30" t="s">
        <v>683</v>
      </c>
      <c r="Q49" s="30" t="s">
        <v>665</v>
      </c>
      <c r="R49" s="30" t="s">
        <v>293</v>
      </c>
      <c r="S49" s="30" t="s">
        <v>755</v>
      </c>
    </row>
    <row r="50" spans="1:19" x14ac:dyDescent="0.3">
      <c r="A50" s="31" t="s">
        <v>762</v>
      </c>
      <c r="B50" s="32" t="s">
        <v>760</v>
      </c>
      <c r="C50" s="32" t="s">
        <v>763</v>
      </c>
      <c r="D50" s="32" t="s">
        <v>755</v>
      </c>
      <c r="E50" s="32" t="s">
        <v>674</v>
      </c>
      <c r="F50" s="32" t="s">
        <v>716</v>
      </c>
      <c r="G50" s="32" t="s">
        <v>744</v>
      </c>
      <c r="H50" s="32" t="s">
        <v>677</v>
      </c>
      <c r="I50" s="32" t="s">
        <v>678</v>
      </c>
      <c r="J50" s="32" t="s">
        <v>679</v>
      </c>
      <c r="K50" s="32" t="s">
        <v>680</v>
      </c>
      <c r="L50" s="32" t="s">
        <v>699</v>
      </c>
      <c r="M50" s="32">
        <v>1</v>
      </c>
      <c r="N50" s="32" t="s">
        <v>401</v>
      </c>
      <c r="O50" s="32" t="s">
        <v>1915</v>
      </c>
      <c r="P50" s="32" t="s">
        <v>683</v>
      </c>
      <c r="Q50" s="32" t="s">
        <v>767</v>
      </c>
      <c r="R50" s="32" t="s">
        <v>293</v>
      </c>
      <c r="S50" s="30" t="s">
        <v>755</v>
      </c>
    </row>
    <row r="51" spans="1:19" x14ac:dyDescent="0.3">
      <c r="A51" s="29" t="s">
        <v>759</v>
      </c>
      <c r="B51" s="30" t="s">
        <v>760</v>
      </c>
      <c r="C51" s="30" t="s">
        <v>761</v>
      </c>
      <c r="D51" s="30" t="s">
        <v>755</v>
      </c>
      <c r="E51" s="30" t="s">
        <v>674</v>
      </c>
      <c r="F51" s="30" t="s">
        <v>716</v>
      </c>
      <c r="G51" s="30" t="s">
        <v>744</v>
      </c>
      <c r="H51" s="30" t="s">
        <v>677</v>
      </c>
      <c r="I51" s="30" t="s">
        <v>678</v>
      </c>
      <c r="J51" s="30" t="s">
        <v>679</v>
      </c>
      <c r="K51" s="30" t="s">
        <v>680</v>
      </c>
      <c r="L51" s="30" t="s">
        <v>699</v>
      </c>
      <c r="M51" s="30">
        <v>1</v>
      </c>
      <c r="N51" s="30" t="s">
        <v>128</v>
      </c>
      <c r="O51" s="30" t="s">
        <v>746</v>
      </c>
      <c r="P51" s="30" t="s">
        <v>683</v>
      </c>
      <c r="Q51" s="30" t="s">
        <v>665</v>
      </c>
      <c r="R51" s="30" t="s">
        <v>293</v>
      </c>
      <c r="S51" s="30" t="s">
        <v>755</v>
      </c>
    </row>
    <row r="52" spans="1:19" x14ac:dyDescent="0.3">
      <c r="A52" s="31" t="s">
        <v>762</v>
      </c>
      <c r="B52" s="32" t="s">
        <v>760</v>
      </c>
      <c r="C52" s="32" t="s">
        <v>763</v>
      </c>
      <c r="D52" s="32" t="s">
        <v>755</v>
      </c>
      <c r="E52" s="32" t="s">
        <v>674</v>
      </c>
      <c r="F52" s="32" t="s">
        <v>716</v>
      </c>
      <c r="G52" s="32" t="s">
        <v>744</v>
      </c>
      <c r="H52" s="32" t="s">
        <v>677</v>
      </c>
      <c r="I52" s="32" t="s">
        <v>678</v>
      </c>
      <c r="J52" s="32" t="s">
        <v>679</v>
      </c>
      <c r="K52" s="32" t="s">
        <v>680</v>
      </c>
      <c r="L52" s="32" t="s">
        <v>699</v>
      </c>
      <c r="M52" s="32">
        <v>1</v>
      </c>
      <c r="N52" s="32" t="s">
        <v>389</v>
      </c>
      <c r="O52" s="32" t="s">
        <v>746</v>
      </c>
      <c r="P52" s="32" t="s">
        <v>683</v>
      </c>
      <c r="Q52" s="32" t="s">
        <v>665</v>
      </c>
      <c r="R52" s="32" t="s">
        <v>293</v>
      </c>
      <c r="S52" s="30" t="s">
        <v>755</v>
      </c>
    </row>
    <row r="53" spans="1:19" x14ac:dyDescent="0.3">
      <c r="A53" s="29" t="s">
        <v>762</v>
      </c>
      <c r="B53" s="30" t="s">
        <v>760</v>
      </c>
      <c r="C53" s="30" t="s">
        <v>763</v>
      </c>
      <c r="D53" s="30" t="s">
        <v>755</v>
      </c>
      <c r="E53" s="30" t="s">
        <v>674</v>
      </c>
      <c r="F53" s="30" t="s">
        <v>716</v>
      </c>
      <c r="G53" s="30" t="s">
        <v>744</v>
      </c>
      <c r="H53" s="30" t="s">
        <v>677</v>
      </c>
      <c r="I53" s="30" t="s">
        <v>678</v>
      </c>
      <c r="J53" s="30" t="s">
        <v>679</v>
      </c>
      <c r="K53" s="30" t="s">
        <v>680</v>
      </c>
      <c r="L53" s="30" t="s">
        <v>699</v>
      </c>
      <c r="M53" s="30">
        <v>1</v>
      </c>
      <c r="N53" s="30" t="s">
        <v>545</v>
      </c>
      <c r="O53" s="30" t="s">
        <v>746</v>
      </c>
      <c r="P53" s="30" t="s">
        <v>683</v>
      </c>
      <c r="Q53" s="30" t="s">
        <v>665</v>
      </c>
      <c r="R53" s="30" t="s">
        <v>293</v>
      </c>
      <c r="S53" s="30" t="s">
        <v>755</v>
      </c>
    </row>
    <row r="54" spans="1:19" x14ac:dyDescent="0.3">
      <c r="A54" s="31" t="s">
        <v>762</v>
      </c>
      <c r="B54" s="32" t="s">
        <v>760</v>
      </c>
      <c r="C54" s="32" t="s">
        <v>763</v>
      </c>
      <c r="D54" s="32" t="s">
        <v>755</v>
      </c>
      <c r="E54" s="32" t="s">
        <v>674</v>
      </c>
      <c r="F54" s="32" t="s">
        <v>716</v>
      </c>
      <c r="G54" s="32" t="s">
        <v>744</v>
      </c>
      <c r="H54" s="32" t="s">
        <v>677</v>
      </c>
      <c r="I54" s="32" t="s">
        <v>678</v>
      </c>
      <c r="J54" s="32" t="s">
        <v>679</v>
      </c>
      <c r="K54" s="32" t="s">
        <v>680</v>
      </c>
      <c r="L54" s="32" t="s">
        <v>699</v>
      </c>
      <c r="M54" s="32">
        <v>1</v>
      </c>
      <c r="N54" s="32" t="s">
        <v>593</v>
      </c>
      <c r="O54" s="32" t="s">
        <v>746</v>
      </c>
      <c r="P54" s="32" t="s">
        <v>683</v>
      </c>
      <c r="Q54" s="32" t="s">
        <v>665</v>
      </c>
      <c r="R54" s="32" t="s">
        <v>293</v>
      </c>
      <c r="S54" s="30" t="s">
        <v>755</v>
      </c>
    </row>
    <row r="55" spans="1:19" x14ac:dyDescent="0.3">
      <c r="A55" s="29" t="s">
        <v>762</v>
      </c>
      <c r="B55" s="30" t="s">
        <v>760</v>
      </c>
      <c r="C55" s="30" t="s">
        <v>763</v>
      </c>
      <c r="D55" s="30" t="s">
        <v>755</v>
      </c>
      <c r="E55" s="30" t="s">
        <v>674</v>
      </c>
      <c r="F55" s="30" t="s">
        <v>716</v>
      </c>
      <c r="G55" s="30" t="s">
        <v>744</v>
      </c>
      <c r="H55" s="30" t="s">
        <v>677</v>
      </c>
      <c r="I55" s="30" t="s">
        <v>678</v>
      </c>
      <c r="J55" s="30" t="s">
        <v>679</v>
      </c>
      <c r="K55" s="30" t="s">
        <v>680</v>
      </c>
      <c r="L55" s="30" t="s">
        <v>699</v>
      </c>
      <c r="M55" s="30">
        <v>1</v>
      </c>
      <c r="N55" s="30" t="s">
        <v>91</v>
      </c>
      <c r="O55" s="30" t="s">
        <v>746</v>
      </c>
      <c r="P55" s="30" t="s">
        <v>683</v>
      </c>
      <c r="Q55" s="30" t="s">
        <v>665</v>
      </c>
      <c r="R55" s="30" t="s">
        <v>293</v>
      </c>
      <c r="S55" s="30" t="s">
        <v>755</v>
      </c>
    </row>
    <row r="56" spans="1:19" x14ac:dyDescent="0.3">
      <c r="A56" s="31" t="s">
        <v>762</v>
      </c>
      <c r="B56" s="32" t="s">
        <v>760</v>
      </c>
      <c r="C56" s="32" t="s">
        <v>763</v>
      </c>
      <c r="D56" s="32" t="s">
        <v>755</v>
      </c>
      <c r="E56" s="32" t="s">
        <v>674</v>
      </c>
      <c r="F56" s="32" t="s">
        <v>716</v>
      </c>
      <c r="G56" s="32" t="s">
        <v>744</v>
      </c>
      <c r="H56" s="32" t="s">
        <v>677</v>
      </c>
      <c r="I56" s="32" t="s">
        <v>678</v>
      </c>
      <c r="J56" s="32" t="s">
        <v>679</v>
      </c>
      <c r="K56" s="32" t="s">
        <v>680</v>
      </c>
      <c r="L56" s="32" t="s">
        <v>699</v>
      </c>
      <c r="M56" s="32">
        <v>1</v>
      </c>
      <c r="N56" s="32" t="s">
        <v>379</v>
      </c>
      <c r="O56" s="32" t="s">
        <v>746</v>
      </c>
      <c r="P56" s="32" t="s">
        <v>683</v>
      </c>
      <c r="Q56" s="32" t="s">
        <v>665</v>
      </c>
      <c r="R56" s="32" t="s">
        <v>293</v>
      </c>
      <c r="S56" s="30" t="s">
        <v>755</v>
      </c>
    </row>
    <row r="57" spans="1:19" x14ac:dyDescent="0.3">
      <c r="A57" s="29" t="s">
        <v>772</v>
      </c>
      <c r="B57" s="30" t="s">
        <v>707</v>
      </c>
      <c r="C57" s="30" t="s">
        <v>773</v>
      </c>
      <c r="D57" s="30" t="s">
        <v>755</v>
      </c>
      <c r="E57" s="30" t="s">
        <v>674</v>
      </c>
      <c r="F57" s="30" t="s">
        <v>773</v>
      </c>
      <c r="G57" s="30" t="s">
        <v>773</v>
      </c>
      <c r="H57" s="30" t="s">
        <v>773</v>
      </c>
      <c r="I57" s="30" t="s">
        <v>773</v>
      </c>
      <c r="J57" s="30" t="s">
        <v>774</v>
      </c>
      <c r="K57" s="30" t="s">
        <v>680</v>
      </c>
      <c r="L57" s="30" t="s">
        <v>699</v>
      </c>
      <c r="M57" s="30">
        <v>1</v>
      </c>
      <c r="N57" s="30" t="s">
        <v>455</v>
      </c>
      <c r="O57" s="30" t="s">
        <v>746</v>
      </c>
      <c r="P57" s="30" t="s">
        <v>683</v>
      </c>
      <c r="Q57" s="30" t="s">
        <v>665</v>
      </c>
      <c r="R57" s="30" t="s">
        <v>293</v>
      </c>
      <c r="S57" s="30" t="s">
        <v>755</v>
      </c>
    </row>
    <row r="58" spans="1:19" x14ac:dyDescent="0.3">
      <c r="A58" s="31" t="s">
        <v>762</v>
      </c>
      <c r="B58" s="32" t="s">
        <v>760</v>
      </c>
      <c r="C58" s="32" t="s">
        <v>763</v>
      </c>
      <c r="D58" s="32" t="s">
        <v>755</v>
      </c>
      <c r="E58" s="32" t="s">
        <v>674</v>
      </c>
      <c r="F58" s="32" t="s">
        <v>716</v>
      </c>
      <c r="G58" s="32" t="s">
        <v>744</v>
      </c>
      <c r="H58" s="32" t="s">
        <v>677</v>
      </c>
      <c r="I58" s="32" t="s">
        <v>678</v>
      </c>
      <c r="J58" s="32" t="s">
        <v>679</v>
      </c>
      <c r="K58" s="32" t="s">
        <v>680</v>
      </c>
      <c r="L58" s="32" t="s">
        <v>699</v>
      </c>
      <c r="M58" s="32">
        <v>0.5</v>
      </c>
      <c r="N58" s="32" t="s">
        <v>42</v>
      </c>
      <c r="O58" s="32" t="s">
        <v>746</v>
      </c>
      <c r="P58" s="32" t="s">
        <v>683</v>
      </c>
      <c r="Q58" s="32" t="s">
        <v>665</v>
      </c>
      <c r="R58" s="32" t="s">
        <v>293</v>
      </c>
      <c r="S58" s="30" t="s">
        <v>755</v>
      </c>
    </row>
    <row r="59" spans="1:19" x14ac:dyDescent="0.3">
      <c r="A59" s="29" t="s">
        <v>762</v>
      </c>
      <c r="B59" s="30" t="s">
        <v>760</v>
      </c>
      <c r="C59" s="30" t="s">
        <v>763</v>
      </c>
      <c r="D59" s="30" t="s">
        <v>755</v>
      </c>
      <c r="E59" s="30" t="s">
        <v>674</v>
      </c>
      <c r="F59" s="30" t="s">
        <v>716</v>
      </c>
      <c r="G59" s="30" t="s">
        <v>744</v>
      </c>
      <c r="H59" s="30" t="s">
        <v>677</v>
      </c>
      <c r="I59" s="30" t="s">
        <v>678</v>
      </c>
      <c r="J59" s="30" t="s">
        <v>679</v>
      </c>
      <c r="K59" s="30" t="s">
        <v>680</v>
      </c>
      <c r="L59" s="30" t="s">
        <v>699</v>
      </c>
      <c r="M59" s="30">
        <v>1</v>
      </c>
      <c r="N59" s="30" t="s">
        <v>564</v>
      </c>
      <c r="O59" s="30" t="s">
        <v>2180</v>
      </c>
      <c r="P59" s="30" t="s">
        <v>683</v>
      </c>
      <c r="Q59" s="30" t="s">
        <v>767</v>
      </c>
      <c r="R59" s="30" t="s">
        <v>293</v>
      </c>
      <c r="S59" s="30" t="s">
        <v>755</v>
      </c>
    </row>
    <row r="60" spans="1:19" x14ac:dyDescent="0.3">
      <c r="A60" s="31" t="s">
        <v>752</v>
      </c>
      <c r="B60" s="32" t="s">
        <v>753</v>
      </c>
      <c r="C60" s="32" t="s">
        <v>754</v>
      </c>
      <c r="D60" s="32" t="s">
        <v>755</v>
      </c>
      <c r="E60" s="32" t="s">
        <v>674</v>
      </c>
      <c r="F60" s="32" t="s">
        <v>716</v>
      </c>
      <c r="G60" s="32" t="s">
        <v>744</v>
      </c>
      <c r="H60" s="32" t="s">
        <v>677</v>
      </c>
      <c r="I60" s="32" t="s">
        <v>678</v>
      </c>
      <c r="J60" s="32" t="s">
        <v>679</v>
      </c>
      <c r="K60" s="32" t="s">
        <v>680</v>
      </c>
      <c r="L60" s="32" t="s">
        <v>699</v>
      </c>
      <c r="M60" s="32">
        <v>1</v>
      </c>
      <c r="N60" s="32" t="s">
        <v>245</v>
      </c>
      <c r="O60" s="32" t="s">
        <v>746</v>
      </c>
      <c r="P60" s="32" t="s">
        <v>683</v>
      </c>
      <c r="Q60" s="32" t="s">
        <v>665</v>
      </c>
      <c r="R60" s="32" t="s">
        <v>285</v>
      </c>
      <c r="S60" s="30" t="s">
        <v>755</v>
      </c>
    </row>
    <row r="61" spans="1:19" x14ac:dyDescent="0.3">
      <c r="A61" s="29" t="s">
        <v>762</v>
      </c>
      <c r="B61" s="30" t="s">
        <v>760</v>
      </c>
      <c r="C61" s="30" t="s">
        <v>763</v>
      </c>
      <c r="D61" s="30" t="s">
        <v>755</v>
      </c>
      <c r="E61" s="30" t="s">
        <v>674</v>
      </c>
      <c r="F61" s="30" t="s">
        <v>716</v>
      </c>
      <c r="G61" s="30" t="s">
        <v>744</v>
      </c>
      <c r="H61" s="30" t="s">
        <v>677</v>
      </c>
      <c r="I61" s="30" t="s">
        <v>678</v>
      </c>
      <c r="J61" s="30" t="s">
        <v>679</v>
      </c>
      <c r="K61" s="30" t="s">
        <v>680</v>
      </c>
      <c r="L61" s="30" t="s">
        <v>699</v>
      </c>
      <c r="M61" s="30">
        <v>1</v>
      </c>
      <c r="N61" s="30" t="s">
        <v>360</v>
      </c>
      <c r="O61" s="30" t="s">
        <v>746</v>
      </c>
      <c r="P61" s="30" t="s">
        <v>683</v>
      </c>
      <c r="Q61" s="30" t="s">
        <v>665</v>
      </c>
      <c r="R61" s="30" t="s">
        <v>293</v>
      </c>
      <c r="S61" s="30" t="s">
        <v>755</v>
      </c>
    </row>
    <row r="62" spans="1:19" x14ac:dyDescent="0.3">
      <c r="A62" s="31" t="s">
        <v>777</v>
      </c>
      <c r="B62" s="32" t="s">
        <v>178</v>
      </c>
      <c r="C62" s="32" t="s">
        <v>778</v>
      </c>
      <c r="D62" s="32" t="s">
        <v>673</v>
      </c>
      <c r="E62" s="32" t="s">
        <v>674</v>
      </c>
      <c r="F62" s="32" t="s">
        <v>675</v>
      </c>
      <c r="G62" s="32" t="s">
        <v>676</v>
      </c>
      <c r="H62" s="32" t="s">
        <v>677</v>
      </c>
      <c r="I62" s="32" t="s">
        <v>678</v>
      </c>
      <c r="J62" s="32" t="s">
        <v>710</v>
      </c>
      <c r="K62" s="32" t="s">
        <v>690</v>
      </c>
      <c r="L62" s="32" t="s">
        <v>739</v>
      </c>
      <c r="M62" s="32">
        <v>0.5</v>
      </c>
      <c r="N62" s="32" t="s">
        <v>76</v>
      </c>
      <c r="O62" s="32" t="s">
        <v>682</v>
      </c>
      <c r="P62" s="32" t="s">
        <v>683</v>
      </c>
      <c r="Q62" s="32" t="s">
        <v>665</v>
      </c>
      <c r="R62" s="32" t="s">
        <v>217</v>
      </c>
      <c r="S62" s="30" t="s">
        <v>684</v>
      </c>
    </row>
    <row r="63" spans="1:19" x14ac:dyDescent="0.3">
      <c r="A63" s="29" t="s">
        <v>779</v>
      </c>
      <c r="B63" s="30" t="s">
        <v>704</v>
      </c>
      <c r="C63" s="30" t="s">
        <v>780</v>
      </c>
      <c r="D63" s="30" t="s">
        <v>673</v>
      </c>
      <c r="E63" s="30" t="s">
        <v>674</v>
      </c>
      <c r="F63" s="30" t="s">
        <v>675</v>
      </c>
      <c r="G63" s="30" t="s">
        <v>676</v>
      </c>
      <c r="H63" s="30" t="s">
        <v>677</v>
      </c>
      <c r="I63" s="30" t="s">
        <v>678</v>
      </c>
      <c r="J63" s="30" t="s">
        <v>679</v>
      </c>
      <c r="K63" s="30" t="s">
        <v>680</v>
      </c>
      <c r="L63" s="30" t="s">
        <v>681</v>
      </c>
      <c r="M63" s="30">
        <v>0.4</v>
      </c>
      <c r="N63" s="30" t="s">
        <v>176</v>
      </c>
      <c r="O63" s="30" t="s">
        <v>682</v>
      </c>
      <c r="P63" s="30" t="s">
        <v>683</v>
      </c>
      <c r="Q63" s="30" t="s">
        <v>665</v>
      </c>
      <c r="R63" s="30" t="s">
        <v>217</v>
      </c>
      <c r="S63" s="30" t="s">
        <v>684</v>
      </c>
    </row>
    <row r="64" spans="1:19" x14ac:dyDescent="0.3">
      <c r="A64" s="31" t="s">
        <v>781</v>
      </c>
      <c r="B64" s="32" t="s">
        <v>686</v>
      </c>
      <c r="C64" s="32" t="s">
        <v>782</v>
      </c>
      <c r="D64" s="32" t="s">
        <v>673</v>
      </c>
      <c r="E64" s="32" t="s">
        <v>674</v>
      </c>
      <c r="F64" s="32" t="s">
        <v>675</v>
      </c>
      <c r="G64" s="32" t="s">
        <v>724</v>
      </c>
      <c r="H64" s="32" t="s">
        <v>677</v>
      </c>
      <c r="I64" s="32" t="s">
        <v>678</v>
      </c>
      <c r="J64" s="32" t="s">
        <v>689</v>
      </c>
      <c r="K64" s="32" t="s">
        <v>690</v>
      </c>
      <c r="L64" s="32" t="s">
        <v>681</v>
      </c>
      <c r="M64" s="32">
        <v>0.2</v>
      </c>
      <c r="N64" s="32" t="s">
        <v>206</v>
      </c>
      <c r="O64" s="32" t="s">
        <v>682</v>
      </c>
      <c r="P64" s="32" t="s">
        <v>683</v>
      </c>
      <c r="Q64" s="32" t="s">
        <v>665</v>
      </c>
      <c r="R64" s="32" t="s">
        <v>217</v>
      </c>
      <c r="S64" s="30" t="s">
        <v>684</v>
      </c>
    </row>
    <row r="65" spans="1:19" x14ac:dyDescent="0.3">
      <c r="A65" s="29" t="s">
        <v>783</v>
      </c>
      <c r="B65" s="30" t="s">
        <v>784</v>
      </c>
      <c r="C65" s="30" t="s">
        <v>785</v>
      </c>
      <c r="D65" s="30" t="s">
        <v>673</v>
      </c>
      <c r="E65" s="30" t="s">
        <v>674</v>
      </c>
      <c r="F65" s="30" t="s">
        <v>675</v>
      </c>
      <c r="G65" s="30" t="s">
        <v>676</v>
      </c>
      <c r="H65" s="30" t="s">
        <v>702</v>
      </c>
      <c r="I65" s="30" t="s">
        <v>678</v>
      </c>
      <c r="J65" s="30" t="s">
        <v>751</v>
      </c>
      <c r="K65" s="30" t="s">
        <v>690</v>
      </c>
      <c r="L65" s="30" t="s">
        <v>681</v>
      </c>
      <c r="M65" s="30">
        <v>0.6</v>
      </c>
      <c r="N65" s="30" t="s">
        <v>248</v>
      </c>
      <c r="O65" s="30" t="s">
        <v>682</v>
      </c>
      <c r="P65" s="30" t="s">
        <v>683</v>
      </c>
      <c r="Q65" s="30" t="s">
        <v>665</v>
      </c>
      <c r="R65" s="30" t="s">
        <v>217</v>
      </c>
      <c r="S65" s="30" t="s">
        <v>684</v>
      </c>
    </row>
    <row r="66" spans="1:19" x14ac:dyDescent="0.3">
      <c r="A66" s="31" t="s">
        <v>786</v>
      </c>
      <c r="B66" s="32" t="s">
        <v>704</v>
      </c>
      <c r="C66" s="32" t="s">
        <v>787</v>
      </c>
      <c r="D66" s="32" t="s">
        <v>673</v>
      </c>
      <c r="E66" s="32" t="s">
        <v>674</v>
      </c>
      <c r="F66" s="32" t="s">
        <v>675</v>
      </c>
      <c r="G66" s="32" t="s">
        <v>676</v>
      </c>
      <c r="H66" s="32" t="s">
        <v>677</v>
      </c>
      <c r="I66" s="32" t="s">
        <v>688</v>
      </c>
      <c r="J66" s="32" t="s">
        <v>679</v>
      </c>
      <c r="K66" s="32" t="s">
        <v>680</v>
      </c>
      <c r="L66" s="32" t="s">
        <v>681</v>
      </c>
      <c r="M66" s="32">
        <v>0.3</v>
      </c>
      <c r="N66" s="32" t="s">
        <v>249</v>
      </c>
      <c r="O66" s="32" t="s">
        <v>682</v>
      </c>
      <c r="P66" s="32" t="s">
        <v>683</v>
      </c>
      <c r="Q66" s="32" t="s">
        <v>665</v>
      </c>
      <c r="R66" s="32" t="s">
        <v>217</v>
      </c>
      <c r="S66" s="30" t="s">
        <v>684</v>
      </c>
    </row>
    <row r="67" spans="1:19" x14ac:dyDescent="0.3">
      <c r="A67" s="29" t="s">
        <v>788</v>
      </c>
      <c r="B67" s="30" t="s">
        <v>178</v>
      </c>
      <c r="C67" s="30" t="s">
        <v>789</v>
      </c>
      <c r="D67" s="30" t="s">
        <v>673</v>
      </c>
      <c r="E67" s="30" t="s">
        <v>674</v>
      </c>
      <c r="F67" s="30" t="s">
        <v>675</v>
      </c>
      <c r="G67" s="30" t="s">
        <v>676</v>
      </c>
      <c r="H67" s="30" t="s">
        <v>677</v>
      </c>
      <c r="I67" s="30" t="s">
        <v>678</v>
      </c>
      <c r="J67" s="30" t="s">
        <v>713</v>
      </c>
      <c r="K67" s="30" t="s">
        <v>690</v>
      </c>
      <c r="L67" s="30" t="s">
        <v>681</v>
      </c>
      <c r="M67" s="30">
        <v>1</v>
      </c>
      <c r="N67" s="30" t="s">
        <v>171</v>
      </c>
      <c r="O67" s="30" t="s">
        <v>682</v>
      </c>
      <c r="P67" s="30" t="s">
        <v>683</v>
      </c>
      <c r="Q67" s="30" t="s">
        <v>665</v>
      </c>
      <c r="R67" s="30" t="s">
        <v>447</v>
      </c>
      <c r="S67" s="32" t="s">
        <v>673</v>
      </c>
    </row>
    <row r="68" spans="1:19" x14ac:dyDescent="0.3">
      <c r="A68" s="31" t="s">
        <v>732</v>
      </c>
      <c r="B68" s="32" t="s">
        <v>178</v>
      </c>
      <c r="C68" s="32" t="s">
        <v>733</v>
      </c>
      <c r="D68" s="32" t="s">
        <v>673</v>
      </c>
      <c r="E68" s="32" t="s">
        <v>674</v>
      </c>
      <c r="F68" s="32" t="s">
        <v>675</v>
      </c>
      <c r="G68" s="32" t="s">
        <v>676</v>
      </c>
      <c r="H68" s="32" t="s">
        <v>677</v>
      </c>
      <c r="I68" s="32" t="s">
        <v>678</v>
      </c>
      <c r="J68" s="32" t="s">
        <v>679</v>
      </c>
      <c r="K68" s="32" t="s">
        <v>680</v>
      </c>
      <c r="L68" s="32" t="s">
        <v>699</v>
      </c>
      <c r="M68" s="32">
        <v>0.4</v>
      </c>
      <c r="N68" s="32" t="s">
        <v>199</v>
      </c>
      <c r="O68" s="32" t="s">
        <v>682</v>
      </c>
      <c r="P68" s="32" t="s">
        <v>683</v>
      </c>
      <c r="Q68" s="32" t="s">
        <v>665</v>
      </c>
      <c r="R68" s="32" t="s">
        <v>447</v>
      </c>
      <c r="S68" s="32" t="s">
        <v>673</v>
      </c>
    </row>
    <row r="69" spans="1:19" x14ac:dyDescent="0.3">
      <c r="A69" s="29" t="s">
        <v>793</v>
      </c>
      <c r="B69" s="30" t="s">
        <v>178</v>
      </c>
      <c r="C69" s="30" t="s">
        <v>794</v>
      </c>
      <c r="D69" s="30" t="s">
        <v>673</v>
      </c>
      <c r="E69" s="30" t="s">
        <v>674</v>
      </c>
      <c r="F69" s="30" t="s">
        <v>675</v>
      </c>
      <c r="G69" s="30" t="s">
        <v>676</v>
      </c>
      <c r="H69" s="30" t="s">
        <v>702</v>
      </c>
      <c r="I69" s="30" t="s">
        <v>688</v>
      </c>
      <c r="J69" s="30" t="s">
        <v>713</v>
      </c>
      <c r="K69" s="30" t="s">
        <v>690</v>
      </c>
      <c r="L69" s="30" t="s">
        <v>699</v>
      </c>
      <c r="M69" s="30">
        <v>1</v>
      </c>
      <c r="N69" s="30" t="s">
        <v>200</v>
      </c>
      <c r="O69" s="30" t="s">
        <v>682</v>
      </c>
      <c r="P69" s="30" t="s">
        <v>683</v>
      </c>
      <c r="Q69" s="30" t="s">
        <v>665</v>
      </c>
      <c r="R69" s="30" t="s">
        <v>447</v>
      </c>
      <c r="S69" s="32" t="s">
        <v>673</v>
      </c>
    </row>
    <row r="70" spans="1:19" x14ac:dyDescent="0.3">
      <c r="A70" s="31" t="s">
        <v>793</v>
      </c>
      <c r="B70" s="32" t="s">
        <v>178</v>
      </c>
      <c r="C70" s="32" t="s">
        <v>794</v>
      </c>
      <c r="D70" s="32" t="s">
        <v>673</v>
      </c>
      <c r="E70" s="32" t="s">
        <v>674</v>
      </c>
      <c r="F70" s="32" t="s">
        <v>675</v>
      </c>
      <c r="G70" s="32" t="s">
        <v>676</v>
      </c>
      <c r="H70" s="32" t="s">
        <v>702</v>
      </c>
      <c r="I70" s="32" t="s">
        <v>688</v>
      </c>
      <c r="J70" s="32" t="s">
        <v>713</v>
      </c>
      <c r="K70" s="32" t="s">
        <v>690</v>
      </c>
      <c r="L70" s="32" t="s">
        <v>699</v>
      </c>
      <c r="M70" s="32">
        <v>1</v>
      </c>
      <c r="N70" s="32" t="s">
        <v>431</v>
      </c>
      <c r="O70" s="32" t="s">
        <v>682</v>
      </c>
      <c r="P70" s="32" t="s">
        <v>683</v>
      </c>
      <c r="Q70" s="32" t="s">
        <v>665</v>
      </c>
      <c r="R70" s="32" t="s">
        <v>447</v>
      </c>
      <c r="S70" s="32" t="s">
        <v>673</v>
      </c>
    </row>
    <row r="71" spans="1:19" x14ac:dyDescent="0.3">
      <c r="A71" s="29" t="s">
        <v>793</v>
      </c>
      <c r="B71" s="30" t="s">
        <v>178</v>
      </c>
      <c r="C71" s="30" t="s">
        <v>794</v>
      </c>
      <c r="D71" s="30" t="s">
        <v>673</v>
      </c>
      <c r="E71" s="30" t="s">
        <v>674</v>
      </c>
      <c r="F71" s="30" t="s">
        <v>675</v>
      </c>
      <c r="G71" s="30" t="s">
        <v>676</v>
      </c>
      <c r="H71" s="30" t="s">
        <v>702</v>
      </c>
      <c r="I71" s="30" t="s">
        <v>688</v>
      </c>
      <c r="J71" s="30" t="s">
        <v>713</v>
      </c>
      <c r="K71" s="30" t="s">
        <v>690</v>
      </c>
      <c r="L71" s="30" t="s">
        <v>699</v>
      </c>
      <c r="M71" s="30">
        <v>1</v>
      </c>
      <c r="N71" s="30" t="s">
        <v>618</v>
      </c>
      <c r="O71" s="30" t="s">
        <v>682</v>
      </c>
      <c r="P71" s="30" t="s">
        <v>683</v>
      </c>
      <c r="Q71" s="30" t="s">
        <v>665</v>
      </c>
      <c r="R71" s="30" t="s">
        <v>447</v>
      </c>
      <c r="S71" s="32" t="s">
        <v>673</v>
      </c>
    </row>
    <row r="72" spans="1:19" x14ac:dyDescent="0.3">
      <c r="A72" s="31" t="s">
        <v>795</v>
      </c>
      <c r="B72" s="32" t="s">
        <v>544</v>
      </c>
      <c r="C72" s="32" t="s">
        <v>796</v>
      </c>
      <c r="D72" s="32" t="s">
        <v>684</v>
      </c>
      <c r="E72" s="32" t="s">
        <v>674</v>
      </c>
      <c r="F72" s="32" t="s">
        <v>734</v>
      </c>
      <c r="G72" s="32" t="s">
        <v>735</v>
      </c>
      <c r="H72" s="32" t="s">
        <v>735</v>
      </c>
      <c r="I72" s="32" t="s">
        <v>736</v>
      </c>
      <c r="J72" s="32" t="s">
        <v>737</v>
      </c>
      <c r="K72" s="32" t="s">
        <v>738</v>
      </c>
      <c r="L72" s="32" t="s">
        <v>681</v>
      </c>
      <c r="M72" s="32">
        <v>0.1</v>
      </c>
      <c r="N72" s="32" t="s">
        <v>41</v>
      </c>
      <c r="O72" s="32" t="s">
        <v>682</v>
      </c>
      <c r="P72" s="32" t="s">
        <v>683</v>
      </c>
      <c r="Q72" s="32" t="s">
        <v>665</v>
      </c>
      <c r="R72" s="32" t="s">
        <v>217</v>
      </c>
      <c r="S72" s="30" t="s">
        <v>684</v>
      </c>
    </row>
    <row r="73" spans="1:19" x14ac:dyDescent="0.3">
      <c r="A73" s="29" t="s">
        <v>797</v>
      </c>
      <c r="B73" s="30" t="s">
        <v>544</v>
      </c>
      <c r="C73" s="30" t="s">
        <v>798</v>
      </c>
      <c r="D73" s="30" t="s">
        <v>684</v>
      </c>
      <c r="E73" s="30" t="s">
        <v>674</v>
      </c>
      <c r="F73" s="30" t="s">
        <v>716</v>
      </c>
      <c r="G73" s="30" t="s">
        <v>744</v>
      </c>
      <c r="H73" s="30" t="s">
        <v>702</v>
      </c>
      <c r="I73" s="30" t="s">
        <v>736</v>
      </c>
      <c r="J73" s="30" t="s">
        <v>737</v>
      </c>
      <c r="K73" s="30" t="s">
        <v>738</v>
      </c>
      <c r="L73" s="30" t="s">
        <v>699</v>
      </c>
      <c r="M73" s="30">
        <v>0.1</v>
      </c>
      <c r="N73" s="30" t="s">
        <v>41</v>
      </c>
      <c r="O73" s="30" t="s">
        <v>682</v>
      </c>
      <c r="P73" s="30" t="s">
        <v>683</v>
      </c>
      <c r="Q73" s="30" t="s">
        <v>665</v>
      </c>
      <c r="R73" s="30" t="s">
        <v>217</v>
      </c>
      <c r="S73" s="30" t="s">
        <v>684</v>
      </c>
    </row>
    <row r="74" spans="1:19" x14ac:dyDescent="0.3">
      <c r="A74" s="31" t="s">
        <v>802</v>
      </c>
      <c r="B74" s="32" t="s">
        <v>704</v>
      </c>
      <c r="C74" s="32" t="s">
        <v>803</v>
      </c>
      <c r="D74" s="32" t="s">
        <v>673</v>
      </c>
      <c r="E74" s="32" t="s">
        <v>674</v>
      </c>
      <c r="F74" s="32" t="s">
        <v>675</v>
      </c>
      <c r="G74" s="32" t="s">
        <v>676</v>
      </c>
      <c r="H74" s="32" t="s">
        <v>677</v>
      </c>
      <c r="I74" s="32" t="s">
        <v>678</v>
      </c>
      <c r="J74" s="32" t="s">
        <v>710</v>
      </c>
      <c r="K74" s="32" t="s">
        <v>690</v>
      </c>
      <c r="L74" s="32" t="s">
        <v>681</v>
      </c>
      <c r="M74" s="32">
        <v>1</v>
      </c>
      <c r="N74" s="32" t="s">
        <v>225</v>
      </c>
      <c r="O74" s="32" t="s">
        <v>682</v>
      </c>
      <c r="P74" s="32" t="s">
        <v>683</v>
      </c>
      <c r="Q74" s="32" t="s">
        <v>665</v>
      </c>
      <c r="R74" s="32" t="s">
        <v>447</v>
      </c>
      <c r="S74" s="32" t="s">
        <v>673</v>
      </c>
    </row>
    <row r="75" spans="1:19" x14ac:dyDescent="0.3">
      <c r="A75" s="29" t="s">
        <v>793</v>
      </c>
      <c r="B75" s="30" t="s">
        <v>178</v>
      </c>
      <c r="C75" s="30" t="s">
        <v>794</v>
      </c>
      <c r="D75" s="30" t="s">
        <v>673</v>
      </c>
      <c r="E75" s="30" t="s">
        <v>674</v>
      </c>
      <c r="F75" s="30" t="s">
        <v>675</v>
      </c>
      <c r="G75" s="30" t="s">
        <v>676</v>
      </c>
      <c r="H75" s="30" t="s">
        <v>702</v>
      </c>
      <c r="I75" s="30" t="s">
        <v>688</v>
      </c>
      <c r="J75" s="30" t="s">
        <v>713</v>
      </c>
      <c r="K75" s="30" t="s">
        <v>690</v>
      </c>
      <c r="L75" s="30" t="s">
        <v>699</v>
      </c>
      <c r="M75" s="30">
        <v>0.8</v>
      </c>
      <c r="N75" s="30" t="s">
        <v>642</v>
      </c>
      <c r="O75" s="30" t="s">
        <v>682</v>
      </c>
      <c r="P75" s="30" t="s">
        <v>683</v>
      </c>
      <c r="Q75" s="30" t="s">
        <v>665</v>
      </c>
      <c r="R75" s="30" t="s">
        <v>447</v>
      </c>
      <c r="S75" s="32" t="s">
        <v>673</v>
      </c>
    </row>
    <row r="76" spans="1:19" x14ac:dyDescent="0.3">
      <c r="A76" s="31" t="s">
        <v>692</v>
      </c>
      <c r="B76" s="32" t="s">
        <v>178</v>
      </c>
      <c r="C76" s="32" t="s">
        <v>693</v>
      </c>
      <c r="D76" s="32" t="s">
        <v>673</v>
      </c>
      <c r="E76" s="32" t="s">
        <v>674</v>
      </c>
      <c r="F76" s="32" t="s">
        <v>675</v>
      </c>
      <c r="G76" s="32" t="s">
        <v>676</v>
      </c>
      <c r="H76" s="32" t="s">
        <v>677</v>
      </c>
      <c r="I76" s="32" t="s">
        <v>678</v>
      </c>
      <c r="J76" s="32" t="s">
        <v>679</v>
      </c>
      <c r="K76" s="32" t="s">
        <v>680</v>
      </c>
      <c r="L76" s="32" t="s">
        <v>681</v>
      </c>
      <c r="M76" s="32">
        <v>1</v>
      </c>
      <c r="N76" s="32" t="s">
        <v>222</v>
      </c>
      <c r="O76" s="32" t="s">
        <v>682</v>
      </c>
      <c r="P76" s="32" t="s">
        <v>683</v>
      </c>
      <c r="Q76" s="32" t="s">
        <v>665</v>
      </c>
      <c r="R76" s="32" t="s">
        <v>447</v>
      </c>
      <c r="S76" s="32" t="s">
        <v>673</v>
      </c>
    </row>
    <row r="77" spans="1:19" x14ac:dyDescent="0.3">
      <c r="A77" s="29" t="s">
        <v>757</v>
      </c>
      <c r="B77" s="30" t="s">
        <v>753</v>
      </c>
      <c r="C77" s="30" t="s">
        <v>758</v>
      </c>
      <c r="D77" s="30" t="s">
        <v>755</v>
      </c>
      <c r="E77" s="30" t="s">
        <v>674</v>
      </c>
      <c r="F77" s="30" t="s">
        <v>675</v>
      </c>
      <c r="G77" s="30" t="s">
        <v>676</v>
      </c>
      <c r="H77" s="30" t="s">
        <v>677</v>
      </c>
      <c r="I77" s="30" t="s">
        <v>678</v>
      </c>
      <c r="J77" s="30" t="s">
        <v>679</v>
      </c>
      <c r="K77" s="30" t="s">
        <v>680</v>
      </c>
      <c r="L77" s="30" t="s">
        <v>699</v>
      </c>
      <c r="M77" s="30">
        <v>0.5</v>
      </c>
      <c r="N77" s="30" t="s">
        <v>119</v>
      </c>
      <c r="O77" s="30" t="s">
        <v>746</v>
      </c>
      <c r="P77" s="30" t="s">
        <v>683</v>
      </c>
      <c r="Q77" s="30" t="s">
        <v>665</v>
      </c>
      <c r="R77" s="30" t="s">
        <v>285</v>
      </c>
      <c r="S77" s="30" t="s">
        <v>755</v>
      </c>
    </row>
    <row r="78" spans="1:19" x14ac:dyDescent="0.3">
      <c r="A78" s="31" t="s">
        <v>756</v>
      </c>
      <c r="B78" s="32" t="s">
        <v>753</v>
      </c>
      <c r="C78" s="32" t="s">
        <v>756</v>
      </c>
      <c r="D78" s="32" t="s">
        <v>755</v>
      </c>
      <c r="E78" s="32" t="s">
        <v>674</v>
      </c>
      <c r="F78" s="32" t="s">
        <v>716</v>
      </c>
      <c r="G78" s="32" t="s">
        <v>744</v>
      </c>
      <c r="H78" s="32" t="s">
        <v>702</v>
      </c>
      <c r="I78" s="32" t="s">
        <v>678</v>
      </c>
      <c r="J78" s="32" t="s">
        <v>679</v>
      </c>
      <c r="K78" s="32" t="s">
        <v>680</v>
      </c>
      <c r="L78" s="32" t="s">
        <v>681</v>
      </c>
      <c r="M78" s="32">
        <v>0.5</v>
      </c>
      <c r="N78" s="32" t="s">
        <v>119</v>
      </c>
      <c r="O78" s="32" t="s">
        <v>746</v>
      </c>
      <c r="P78" s="32" t="s">
        <v>683</v>
      </c>
      <c r="Q78" s="32" t="s">
        <v>665</v>
      </c>
      <c r="R78" s="32" t="s">
        <v>285</v>
      </c>
      <c r="S78" s="30" t="s">
        <v>755</v>
      </c>
    </row>
    <row r="79" spans="1:19" x14ac:dyDescent="0.3">
      <c r="A79" s="29" t="s">
        <v>1225</v>
      </c>
      <c r="B79" s="30" t="s">
        <v>178</v>
      </c>
      <c r="C79" s="30" t="s">
        <v>1226</v>
      </c>
      <c r="D79" s="30" t="s">
        <v>673</v>
      </c>
      <c r="E79" s="30" t="s">
        <v>674</v>
      </c>
      <c r="F79" s="30" t="s">
        <v>675</v>
      </c>
      <c r="G79" s="30" t="s">
        <v>724</v>
      </c>
      <c r="H79" s="30" t="s">
        <v>677</v>
      </c>
      <c r="I79" s="30" t="s">
        <v>678</v>
      </c>
      <c r="J79" s="30" t="s">
        <v>710</v>
      </c>
      <c r="K79" s="30" t="s">
        <v>690</v>
      </c>
      <c r="L79" s="30" t="s">
        <v>681</v>
      </c>
      <c r="M79" s="30">
        <v>0.5</v>
      </c>
      <c r="N79" s="30" t="s">
        <v>76</v>
      </c>
      <c r="O79" s="30" t="s">
        <v>682</v>
      </c>
      <c r="P79" s="30" t="s">
        <v>683</v>
      </c>
      <c r="Q79" s="30" t="s">
        <v>665</v>
      </c>
      <c r="R79" s="30" t="s">
        <v>217</v>
      </c>
      <c r="S79" s="30" t="s">
        <v>684</v>
      </c>
    </row>
    <row r="80" spans="1:19" x14ac:dyDescent="0.3">
      <c r="A80" s="31" t="s">
        <v>671</v>
      </c>
      <c r="B80" s="32" t="s">
        <v>178</v>
      </c>
      <c r="C80" s="32" t="s">
        <v>672</v>
      </c>
      <c r="D80" s="32" t="s">
        <v>673</v>
      </c>
      <c r="E80" s="32" t="s">
        <v>674</v>
      </c>
      <c r="F80" s="32" t="s">
        <v>675</v>
      </c>
      <c r="G80" s="32" t="s">
        <v>676</v>
      </c>
      <c r="H80" s="32" t="s">
        <v>677</v>
      </c>
      <c r="I80" s="32" t="s">
        <v>678</v>
      </c>
      <c r="J80" s="32" t="s">
        <v>679</v>
      </c>
      <c r="K80" s="32" t="s">
        <v>680</v>
      </c>
      <c r="L80" s="32" t="s">
        <v>681</v>
      </c>
      <c r="M80" s="32">
        <v>0.3</v>
      </c>
      <c r="N80" s="32" t="s">
        <v>176</v>
      </c>
      <c r="O80" s="32" t="s">
        <v>682</v>
      </c>
      <c r="P80" s="32" t="s">
        <v>683</v>
      </c>
      <c r="Q80" s="32" t="s">
        <v>665</v>
      </c>
      <c r="R80" s="32" t="s">
        <v>217</v>
      </c>
      <c r="S80" s="30" t="s">
        <v>684</v>
      </c>
    </row>
    <row r="81" spans="1:19" x14ac:dyDescent="0.3">
      <c r="A81" s="29" t="s">
        <v>806</v>
      </c>
      <c r="B81" s="30" t="s">
        <v>686</v>
      </c>
      <c r="C81" s="30" t="s">
        <v>807</v>
      </c>
      <c r="D81" s="30" t="s">
        <v>673</v>
      </c>
      <c r="E81" s="30" t="s">
        <v>674</v>
      </c>
      <c r="F81" s="30" t="s">
        <v>675</v>
      </c>
      <c r="G81" s="30" t="s">
        <v>676</v>
      </c>
      <c r="H81" s="30" t="s">
        <v>677</v>
      </c>
      <c r="I81" s="30" t="s">
        <v>688</v>
      </c>
      <c r="J81" s="30" t="s">
        <v>689</v>
      </c>
      <c r="K81" s="30" t="s">
        <v>690</v>
      </c>
      <c r="L81" s="30" t="s">
        <v>808</v>
      </c>
      <c r="M81" s="30">
        <v>0.2</v>
      </c>
      <c r="N81" s="30" t="s">
        <v>197</v>
      </c>
      <c r="O81" s="30" t="s">
        <v>682</v>
      </c>
      <c r="P81" s="30" t="s">
        <v>683</v>
      </c>
      <c r="Q81" s="30" t="s">
        <v>665</v>
      </c>
      <c r="R81" s="30" t="s">
        <v>217</v>
      </c>
      <c r="S81" s="30" t="s">
        <v>684</v>
      </c>
    </row>
    <row r="82" spans="1:19" x14ac:dyDescent="0.3">
      <c r="A82" s="31" t="s">
        <v>909</v>
      </c>
      <c r="B82" s="32" t="s">
        <v>707</v>
      </c>
      <c r="C82" s="32" t="s">
        <v>910</v>
      </c>
      <c r="D82" s="32" t="s">
        <v>684</v>
      </c>
      <c r="E82" s="32" t="s">
        <v>674</v>
      </c>
      <c r="F82" s="32" t="s">
        <v>12</v>
      </c>
      <c r="G82" s="32" t="s">
        <v>12</v>
      </c>
      <c r="H82" s="32" t="s">
        <v>12</v>
      </c>
      <c r="I82" s="32" t="s">
        <v>12</v>
      </c>
      <c r="J82" s="32" t="s">
        <v>737</v>
      </c>
      <c r="K82" s="32" t="s">
        <v>738</v>
      </c>
      <c r="L82" s="32" t="s">
        <v>699</v>
      </c>
      <c r="M82" s="32">
        <v>1</v>
      </c>
      <c r="N82" s="32" t="s">
        <v>121</v>
      </c>
      <c r="O82" s="32" t="s">
        <v>1915</v>
      </c>
      <c r="P82" s="32" t="s">
        <v>683</v>
      </c>
      <c r="Q82" s="32" t="s">
        <v>767</v>
      </c>
      <c r="R82" s="32" t="s">
        <v>639</v>
      </c>
      <c r="S82" s="30" t="s">
        <v>684</v>
      </c>
    </row>
    <row r="83" spans="1:19" x14ac:dyDescent="0.3">
      <c r="A83" s="29" t="s">
        <v>756</v>
      </c>
      <c r="B83" s="30" t="s">
        <v>753</v>
      </c>
      <c r="C83" s="30" t="s">
        <v>756</v>
      </c>
      <c r="D83" s="30" t="s">
        <v>755</v>
      </c>
      <c r="E83" s="30" t="s">
        <v>674</v>
      </c>
      <c r="F83" s="30" t="s">
        <v>716</v>
      </c>
      <c r="G83" s="30" t="s">
        <v>744</v>
      </c>
      <c r="H83" s="30" t="s">
        <v>702</v>
      </c>
      <c r="I83" s="30" t="s">
        <v>678</v>
      </c>
      <c r="J83" s="30" t="s">
        <v>679</v>
      </c>
      <c r="K83" s="30" t="s">
        <v>680</v>
      </c>
      <c r="L83" s="30" t="s">
        <v>681</v>
      </c>
      <c r="M83" s="30">
        <v>1</v>
      </c>
      <c r="N83" s="30" t="s">
        <v>506</v>
      </c>
      <c r="O83" s="30" t="s">
        <v>746</v>
      </c>
      <c r="P83" s="30" t="s">
        <v>683</v>
      </c>
      <c r="Q83" s="30" t="s">
        <v>665</v>
      </c>
      <c r="R83" s="30" t="s">
        <v>285</v>
      </c>
      <c r="S83" s="30" t="s">
        <v>755</v>
      </c>
    </row>
    <row r="84" spans="1:19" x14ac:dyDescent="0.3">
      <c r="A84" s="31" t="s">
        <v>814</v>
      </c>
      <c r="B84" s="32" t="s">
        <v>749</v>
      </c>
      <c r="C84" s="32" t="s">
        <v>815</v>
      </c>
      <c r="D84" s="32" t="s">
        <v>673</v>
      </c>
      <c r="E84" s="32" t="s">
        <v>674</v>
      </c>
      <c r="F84" s="32" t="s">
        <v>716</v>
      </c>
      <c r="G84" s="32" t="s">
        <v>744</v>
      </c>
      <c r="H84" s="32" t="s">
        <v>677</v>
      </c>
      <c r="I84" s="32" t="s">
        <v>678</v>
      </c>
      <c r="J84" s="32" t="s">
        <v>751</v>
      </c>
      <c r="K84" s="32" t="s">
        <v>690</v>
      </c>
      <c r="L84" s="32" t="s">
        <v>681</v>
      </c>
      <c r="M84" s="32">
        <v>0.2</v>
      </c>
      <c r="N84" s="32" t="s">
        <v>458</v>
      </c>
      <c r="O84" s="32" t="s">
        <v>746</v>
      </c>
      <c r="P84" s="32" t="s">
        <v>683</v>
      </c>
      <c r="Q84" s="32" t="s">
        <v>665</v>
      </c>
      <c r="R84" s="32" t="s">
        <v>89</v>
      </c>
      <c r="S84" s="30" t="s">
        <v>684</v>
      </c>
    </row>
    <row r="85" spans="1:19" x14ac:dyDescent="0.3">
      <c r="A85" s="29" t="s">
        <v>816</v>
      </c>
      <c r="B85" s="30" t="s">
        <v>470</v>
      </c>
      <c r="C85" s="30" t="s">
        <v>817</v>
      </c>
      <c r="D85" s="30" t="s">
        <v>684</v>
      </c>
      <c r="E85" s="30" t="s">
        <v>674</v>
      </c>
      <c r="F85" s="30" t="s">
        <v>675</v>
      </c>
      <c r="G85" s="30" t="s">
        <v>724</v>
      </c>
      <c r="H85" s="30" t="s">
        <v>677</v>
      </c>
      <c r="I85" s="30" t="s">
        <v>678</v>
      </c>
      <c r="J85" s="30" t="s">
        <v>745</v>
      </c>
      <c r="K85" s="30" t="s">
        <v>738</v>
      </c>
      <c r="L85" s="30" t="s">
        <v>699</v>
      </c>
      <c r="M85" s="30">
        <v>0.25</v>
      </c>
      <c r="N85" s="30" t="s">
        <v>458</v>
      </c>
      <c r="O85" s="30" t="s">
        <v>746</v>
      </c>
      <c r="P85" s="30" t="s">
        <v>683</v>
      </c>
      <c r="Q85" s="30" t="s">
        <v>665</v>
      </c>
      <c r="R85" s="30" t="s">
        <v>89</v>
      </c>
      <c r="S85" s="30" t="s">
        <v>684</v>
      </c>
    </row>
    <row r="86" spans="1:19" x14ac:dyDescent="0.3">
      <c r="A86" s="31" t="s">
        <v>818</v>
      </c>
      <c r="B86" s="32" t="s">
        <v>470</v>
      </c>
      <c r="C86" s="32" t="s">
        <v>819</v>
      </c>
      <c r="D86" s="32" t="s">
        <v>684</v>
      </c>
      <c r="E86" s="32" t="s">
        <v>674</v>
      </c>
      <c r="F86" s="32" t="s">
        <v>716</v>
      </c>
      <c r="G86" s="32" t="s">
        <v>724</v>
      </c>
      <c r="H86" s="32" t="s">
        <v>677</v>
      </c>
      <c r="I86" s="32" t="s">
        <v>678</v>
      </c>
      <c r="J86" s="32" t="s">
        <v>745</v>
      </c>
      <c r="K86" s="32" t="s">
        <v>738</v>
      </c>
      <c r="L86" s="32" t="s">
        <v>699</v>
      </c>
      <c r="M86" s="32">
        <v>0.25</v>
      </c>
      <c r="N86" s="32" t="s">
        <v>458</v>
      </c>
      <c r="O86" s="32" t="s">
        <v>746</v>
      </c>
      <c r="P86" s="32" t="s">
        <v>683</v>
      </c>
      <c r="Q86" s="32" t="s">
        <v>665</v>
      </c>
      <c r="R86" s="32" t="s">
        <v>89</v>
      </c>
      <c r="S86" s="30" t="s">
        <v>684</v>
      </c>
    </row>
    <row r="87" spans="1:19" x14ac:dyDescent="0.3">
      <c r="A87" s="29" t="s">
        <v>820</v>
      </c>
      <c r="B87" s="30" t="s">
        <v>760</v>
      </c>
      <c r="C87" s="30" t="s">
        <v>821</v>
      </c>
      <c r="D87" s="30" t="s">
        <v>673</v>
      </c>
      <c r="E87" s="30" t="s">
        <v>674</v>
      </c>
      <c r="F87" s="30" t="s">
        <v>675</v>
      </c>
      <c r="G87" s="30" t="s">
        <v>676</v>
      </c>
      <c r="H87" s="30" t="s">
        <v>677</v>
      </c>
      <c r="I87" s="30" t="s">
        <v>678</v>
      </c>
      <c r="J87" s="30" t="s">
        <v>713</v>
      </c>
      <c r="K87" s="30" t="s">
        <v>690</v>
      </c>
      <c r="L87" s="30" t="s">
        <v>739</v>
      </c>
      <c r="M87" s="30">
        <v>0.1</v>
      </c>
      <c r="N87" s="30" t="s">
        <v>462</v>
      </c>
      <c r="O87" s="30" t="s">
        <v>746</v>
      </c>
      <c r="P87" s="30" t="s">
        <v>683</v>
      </c>
      <c r="Q87" s="30" t="s">
        <v>665</v>
      </c>
      <c r="R87" s="30" t="s">
        <v>89</v>
      </c>
      <c r="S87" s="30" t="s">
        <v>684</v>
      </c>
    </row>
    <row r="88" spans="1:19" x14ac:dyDescent="0.3">
      <c r="A88" s="31" t="s">
        <v>822</v>
      </c>
      <c r="B88" s="32" t="s">
        <v>760</v>
      </c>
      <c r="C88" s="32" t="s">
        <v>823</v>
      </c>
      <c r="D88" s="32" t="s">
        <v>673</v>
      </c>
      <c r="E88" s="32" t="s">
        <v>674</v>
      </c>
      <c r="F88" s="32" t="s">
        <v>675</v>
      </c>
      <c r="G88" s="32" t="s">
        <v>676</v>
      </c>
      <c r="H88" s="32" t="s">
        <v>677</v>
      </c>
      <c r="I88" s="32" t="s">
        <v>678</v>
      </c>
      <c r="J88" s="32" t="s">
        <v>713</v>
      </c>
      <c r="K88" s="32" t="s">
        <v>690</v>
      </c>
      <c r="L88" s="32" t="s">
        <v>699</v>
      </c>
      <c r="M88" s="32">
        <v>0.2</v>
      </c>
      <c r="N88" s="32" t="s">
        <v>462</v>
      </c>
      <c r="O88" s="32" t="s">
        <v>746</v>
      </c>
      <c r="P88" s="32" t="s">
        <v>683</v>
      </c>
      <c r="Q88" s="32" t="s">
        <v>665</v>
      </c>
      <c r="R88" s="32" t="s">
        <v>89</v>
      </c>
      <c r="S88" s="30" t="s">
        <v>684</v>
      </c>
    </row>
    <row r="89" spans="1:19" x14ac:dyDescent="0.3">
      <c r="A89" s="29" t="s">
        <v>824</v>
      </c>
      <c r="B89" s="30" t="s">
        <v>760</v>
      </c>
      <c r="C89" s="30" t="s">
        <v>825</v>
      </c>
      <c r="D89" s="30" t="s">
        <v>673</v>
      </c>
      <c r="E89" s="30" t="s">
        <v>674</v>
      </c>
      <c r="F89" s="30" t="s">
        <v>675</v>
      </c>
      <c r="G89" s="30" t="s">
        <v>676</v>
      </c>
      <c r="H89" s="30" t="s">
        <v>677</v>
      </c>
      <c r="I89" s="30" t="s">
        <v>678</v>
      </c>
      <c r="J89" s="30" t="s">
        <v>713</v>
      </c>
      <c r="K89" s="30" t="s">
        <v>690</v>
      </c>
      <c r="L89" s="30" t="s">
        <v>699</v>
      </c>
      <c r="M89" s="30">
        <v>0.3</v>
      </c>
      <c r="N89" s="30" t="s">
        <v>462</v>
      </c>
      <c r="O89" s="30" t="s">
        <v>746</v>
      </c>
      <c r="P89" s="30" t="s">
        <v>683</v>
      </c>
      <c r="Q89" s="30" t="s">
        <v>665</v>
      </c>
      <c r="R89" s="30" t="s">
        <v>89</v>
      </c>
      <c r="S89" s="30" t="s">
        <v>684</v>
      </c>
    </row>
    <row r="90" spans="1:19" x14ac:dyDescent="0.3">
      <c r="A90" s="31" t="s">
        <v>826</v>
      </c>
      <c r="B90" s="32" t="s">
        <v>458</v>
      </c>
      <c r="C90" s="32" t="s">
        <v>827</v>
      </c>
      <c r="D90" s="32" t="s">
        <v>684</v>
      </c>
      <c r="E90" s="32" t="s">
        <v>674</v>
      </c>
      <c r="F90" s="32" t="s">
        <v>716</v>
      </c>
      <c r="G90" s="32" t="s">
        <v>828</v>
      </c>
      <c r="H90" s="32" t="s">
        <v>828</v>
      </c>
      <c r="I90" s="32" t="s">
        <v>678</v>
      </c>
      <c r="J90" s="32" t="s">
        <v>679</v>
      </c>
      <c r="K90" s="32" t="s">
        <v>680</v>
      </c>
      <c r="L90" s="32" t="s">
        <v>699</v>
      </c>
      <c r="M90" s="32">
        <v>0.05</v>
      </c>
      <c r="N90" s="32" t="s">
        <v>365</v>
      </c>
      <c r="O90" s="32" t="s">
        <v>829</v>
      </c>
      <c r="P90" s="32" t="s">
        <v>683</v>
      </c>
      <c r="Q90" s="32" t="s">
        <v>665</v>
      </c>
      <c r="R90" s="32" t="s">
        <v>89</v>
      </c>
      <c r="S90" s="30" t="s">
        <v>684</v>
      </c>
    </row>
    <row r="91" spans="1:19" x14ac:dyDescent="0.3">
      <c r="A91" s="29" t="s">
        <v>830</v>
      </c>
      <c r="B91" s="30" t="s">
        <v>753</v>
      </c>
      <c r="C91" s="30" t="s">
        <v>831</v>
      </c>
      <c r="D91" s="30" t="s">
        <v>755</v>
      </c>
      <c r="E91" s="30" t="s">
        <v>674</v>
      </c>
      <c r="F91" s="30" t="s">
        <v>675</v>
      </c>
      <c r="G91" s="30" t="s">
        <v>676</v>
      </c>
      <c r="H91" s="30" t="s">
        <v>677</v>
      </c>
      <c r="I91" s="30" t="s">
        <v>678</v>
      </c>
      <c r="J91" s="30" t="s">
        <v>679</v>
      </c>
      <c r="K91" s="30" t="s">
        <v>680</v>
      </c>
      <c r="L91" s="30" t="s">
        <v>699</v>
      </c>
      <c r="M91" s="30">
        <v>0.3</v>
      </c>
      <c r="N91" s="30" t="s">
        <v>365</v>
      </c>
      <c r="O91" s="30" t="s">
        <v>829</v>
      </c>
      <c r="P91" s="30" t="s">
        <v>683</v>
      </c>
      <c r="Q91" s="30" t="s">
        <v>665</v>
      </c>
      <c r="R91" s="30" t="s">
        <v>89</v>
      </c>
      <c r="S91" s="30" t="s">
        <v>684</v>
      </c>
    </row>
    <row r="92" spans="1:19" x14ac:dyDescent="0.3">
      <c r="A92" s="31" t="s">
        <v>832</v>
      </c>
      <c r="B92" s="32" t="s">
        <v>458</v>
      </c>
      <c r="C92" s="32" t="s">
        <v>833</v>
      </c>
      <c r="D92" s="32" t="s">
        <v>684</v>
      </c>
      <c r="E92" s="32" t="s">
        <v>674</v>
      </c>
      <c r="F92" s="32" t="s">
        <v>716</v>
      </c>
      <c r="G92" s="32" t="s">
        <v>828</v>
      </c>
      <c r="H92" s="32" t="s">
        <v>828</v>
      </c>
      <c r="I92" s="32" t="s">
        <v>678</v>
      </c>
      <c r="J92" s="32" t="s">
        <v>713</v>
      </c>
      <c r="K92" s="32" t="s">
        <v>690</v>
      </c>
      <c r="L92" s="32" t="s">
        <v>699</v>
      </c>
      <c r="M92" s="32">
        <v>0.1</v>
      </c>
      <c r="N92" s="32" t="s">
        <v>365</v>
      </c>
      <c r="O92" s="32" t="s">
        <v>829</v>
      </c>
      <c r="P92" s="32" t="s">
        <v>683</v>
      </c>
      <c r="Q92" s="32" t="s">
        <v>665</v>
      </c>
      <c r="R92" s="32" t="s">
        <v>89</v>
      </c>
      <c r="S92" s="30" t="s">
        <v>684</v>
      </c>
    </row>
    <row r="93" spans="1:19" x14ac:dyDescent="0.3">
      <c r="A93" s="29" t="s">
        <v>793</v>
      </c>
      <c r="B93" s="30" t="s">
        <v>178</v>
      </c>
      <c r="C93" s="30" t="s">
        <v>794</v>
      </c>
      <c r="D93" s="30" t="s">
        <v>673</v>
      </c>
      <c r="E93" s="30" t="s">
        <v>674</v>
      </c>
      <c r="F93" s="30" t="s">
        <v>675</v>
      </c>
      <c r="G93" s="30" t="s">
        <v>676</v>
      </c>
      <c r="H93" s="30" t="s">
        <v>702</v>
      </c>
      <c r="I93" s="30" t="s">
        <v>688</v>
      </c>
      <c r="J93" s="30" t="s">
        <v>713</v>
      </c>
      <c r="K93" s="30" t="s">
        <v>690</v>
      </c>
      <c r="L93" s="30" t="s">
        <v>699</v>
      </c>
      <c r="M93" s="30">
        <v>1</v>
      </c>
      <c r="N93" s="30" t="s">
        <v>190</v>
      </c>
      <c r="O93" s="30" t="s">
        <v>682</v>
      </c>
      <c r="P93" s="30" t="s">
        <v>683</v>
      </c>
      <c r="Q93" s="30" t="s">
        <v>665</v>
      </c>
      <c r="R93" s="30" t="s">
        <v>447</v>
      </c>
      <c r="S93" s="32" t="s">
        <v>673</v>
      </c>
    </row>
    <row r="94" spans="1:19" x14ac:dyDescent="0.3">
      <c r="A94" s="31" t="s">
        <v>834</v>
      </c>
      <c r="B94" s="32" t="s">
        <v>835</v>
      </c>
      <c r="C94" s="32" t="s">
        <v>836</v>
      </c>
      <c r="D94" s="32" t="s">
        <v>673</v>
      </c>
      <c r="E94" s="32" t="s">
        <v>674</v>
      </c>
      <c r="F94" s="32" t="s">
        <v>675</v>
      </c>
      <c r="G94" s="32" t="s">
        <v>676</v>
      </c>
      <c r="H94" s="32" t="s">
        <v>702</v>
      </c>
      <c r="I94" s="32" t="s">
        <v>678</v>
      </c>
      <c r="J94" s="32" t="s">
        <v>713</v>
      </c>
      <c r="K94" s="32" t="s">
        <v>690</v>
      </c>
      <c r="L94" s="32" t="s">
        <v>681</v>
      </c>
      <c r="M94" s="32">
        <v>0.2</v>
      </c>
      <c r="N94" s="32" t="s">
        <v>642</v>
      </c>
      <c r="O94" s="32" t="s">
        <v>682</v>
      </c>
      <c r="P94" s="32" t="s">
        <v>683</v>
      </c>
      <c r="Q94" s="32" t="s">
        <v>665</v>
      </c>
      <c r="R94" s="32" t="s">
        <v>447</v>
      </c>
      <c r="S94" s="32" t="s">
        <v>673</v>
      </c>
    </row>
    <row r="95" spans="1:19" x14ac:dyDescent="0.3">
      <c r="A95" s="29" t="s">
        <v>839</v>
      </c>
      <c r="B95" s="30" t="s">
        <v>704</v>
      </c>
      <c r="C95" s="30" t="s">
        <v>840</v>
      </c>
      <c r="D95" s="30" t="s">
        <v>673</v>
      </c>
      <c r="E95" s="30" t="s">
        <v>674</v>
      </c>
      <c r="F95" s="30" t="s">
        <v>675</v>
      </c>
      <c r="G95" s="30" t="s">
        <v>676</v>
      </c>
      <c r="H95" s="30" t="s">
        <v>677</v>
      </c>
      <c r="I95" s="30" t="s">
        <v>678</v>
      </c>
      <c r="J95" s="30" t="s">
        <v>710</v>
      </c>
      <c r="K95" s="30" t="s">
        <v>690</v>
      </c>
      <c r="L95" s="30" t="s">
        <v>681</v>
      </c>
      <c r="M95" s="30">
        <v>1</v>
      </c>
      <c r="N95" s="30" t="s">
        <v>272</v>
      </c>
      <c r="O95" s="30" t="s">
        <v>682</v>
      </c>
      <c r="P95" s="30" t="s">
        <v>683</v>
      </c>
      <c r="Q95" s="30" t="s">
        <v>665</v>
      </c>
      <c r="R95" s="30" t="s">
        <v>447</v>
      </c>
      <c r="S95" s="32" t="s">
        <v>673</v>
      </c>
    </row>
    <row r="96" spans="1:19" x14ac:dyDescent="0.3">
      <c r="A96" s="31" t="s">
        <v>720</v>
      </c>
      <c r="B96" s="32" t="s">
        <v>686</v>
      </c>
      <c r="C96" s="32" t="s">
        <v>721</v>
      </c>
      <c r="D96" s="32" t="s">
        <v>673</v>
      </c>
      <c r="E96" s="32" t="s">
        <v>674</v>
      </c>
      <c r="F96" s="32" t="s">
        <v>675</v>
      </c>
      <c r="G96" s="32" t="s">
        <v>676</v>
      </c>
      <c r="H96" s="32" t="s">
        <v>677</v>
      </c>
      <c r="I96" s="32" t="s">
        <v>688</v>
      </c>
      <c r="J96" s="32" t="s">
        <v>689</v>
      </c>
      <c r="K96" s="32" t="s">
        <v>690</v>
      </c>
      <c r="L96" s="32" t="s">
        <v>681</v>
      </c>
      <c r="M96" s="32">
        <v>0.5</v>
      </c>
      <c r="N96" s="32" t="s">
        <v>624</v>
      </c>
      <c r="O96" s="32" t="s">
        <v>682</v>
      </c>
      <c r="P96" s="32" t="s">
        <v>683</v>
      </c>
      <c r="Q96" s="32" t="s">
        <v>665</v>
      </c>
      <c r="R96" s="32" t="s">
        <v>447</v>
      </c>
      <c r="S96" s="32" t="s">
        <v>673</v>
      </c>
    </row>
    <row r="97" spans="1:19" x14ac:dyDescent="0.3">
      <c r="A97" s="29" t="s">
        <v>722</v>
      </c>
      <c r="B97" s="30" t="s">
        <v>686</v>
      </c>
      <c r="C97" s="30" t="s">
        <v>723</v>
      </c>
      <c r="D97" s="30" t="s">
        <v>673</v>
      </c>
      <c r="E97" s="30" t="s">
        <v>674</v>
      </c>
      <c r="F97" s="30" t="s">
        <v>675</v>
      </c>
      <c r="G97" s="30" t="s">
        <v>724</v>
      </c>
      <c r="H97" s="30" t="s">
        <v>677</v>
      </c>
      <c r="I97" s="30" t="s">
        <v>688</v>
      </c>
      <c r="J97" s="30" t="s">
        <v>689</v>
      </c>
      <c r="K97" s="30" t="s">
        <v>690</v>
      </c>
      <c r="L97" s="30" t="s">
        <v>681</v>
      </c>
      <c r="M97" s="30">
        <v>0.5</v>
      </c>
      <c r="N97" s="30" t="s">
        <v>624</v>
      </c>
      <c r="O97" s="30" t="s">
        <v>682</v>
      </c>
      <c r="P97" s="30" t="s">
        <v>683</v>
      </c>
      <c r="Q97" s="30" t="s">
        <v>665</v>
      </c>
      <c r="R97" s="30" t="s">
        <v>447</v>
      </c>
      <c r="S97" s="32" t="s">
        <v>673</v>
      </c>
    </row>
    <row r="98" spans="1:19" x14ac:dyDescent="0.3">
      <c r="A98" s="31" t="s">
        <v>732</v>
      </c>
      <c r="B98" s="32" t="s">
        <v>178</v>
      </c>
      <c r="C98" s="32" t="s">
        <v>733</v>
      </c>
      <c r="D98" s="32" t="s">
        <v>673</v>
      </c>
      <c r="E98" s="32" t="s">
        <v>674</v>
      </c>
      <c r="F98" s="32" t="s">
        <v>675</v>
      </c>
      <c r="G98" s="32" t="s">
        <v>676</v>
      </c>
      <c r="H98" s="32" t="s">
        <v>677</v>
      </c>
      <c r="I98" s="32" t="s">
        <v>678</v>
      </c>
      <c r="J98" s="32" t="s">
        <v>679</v>
      </c>
      <c r="K98" s="32" t="s">
        <v>680</v>
      </c>
      <c r="L98" s="32" t="s">
        <v>699</v>
      </c>
      <c r="M98" s="32">
        <v>1</v>
      </c>
      <c r="N98" s="32" t="s">
        <v>620</v>
      </c>
      <c r="O98" s="32" t="s">
        <v>682</v>
      </c>
      <c r="P98" s="32" t="s">
        <v>683</v>
      </c>
      <c r="Q98" s="32" t="s">
        <v>665</v>
      </c>
      <c r="R98" s="32" t="s">
        <v>447</v>
      </c>
      <c r="S98" s="32" t="s">
        <v>673</v>
      </c>
    </row>
    <row r="99" spans="1:19" x14ac:dyDescent="0.3">
      <c r="A99" s="29" t="s">
        <v>729</v>
      </c>
      <c r="B99" s="30" t="s">
        <v>704</v>
      </c>
      <c r="C99" s="30" t="s">
        <v>730</v>
      </c>
      <c r="D99" s="30" t="s">
        <v>673</v>
      </c>
      <c r="E99" s="30" t="s">
        <v>674</v>
      </c>
      <c r="F99" s="30" t="s">
        <v>675</v>
      </c>
      <c r="G99" s="30" t="s">
        <v>731</v>
      </c>
      <c r="H99" s="30" t="s">
        <v>702</v>
      </c>
      <c r="I99" s="30" t="s">
        <v>688</v>
      </c>
      <c r="J99" s="30" t="s">
        <v>713</v>
      </c>
      <c r="K99" s="30" t="s">
        <v>690</v>
      </c>
      <c r="L99" s="30" t="s">
        <v>681</v>
      </c>
      <c r="M99" s="30">
        <v>1</v>
      </c>
      <c r="N99" s="30" t="s">
        <v>135</v>
      </c>
      <c r="O99" s="30" t="s">
        <v>682</v>
      </c>
      <c r="P99" s="30" t="s">
        <v>683</v>
      </c>
      <c r="Q99" s="30" t="s">
        <v>665</v>
      </c>
      <c r="R99" s="30" t="s">
        <v>447</v>
      </c>
      <c r="S99" s="32" t="s">
        <v>673</v>
      </c>
    </row>
    <row r="100" spans="1:19" x14ac:dyDescent="0.3">
      <c r="A100" s="31" t="s">
        <v>837</v>
      </c>
      <c r="B100" s="32" t="s">
        <v>686</v>
      </c>
      <c r="C100" s="32" t="s">
        <v>838</v>
      </c>
      <c r="D100" s="32" t="s">
        <v>673</v>
      </c>
      <c r="E100" s="32" t="s">
        <v>674</v>
      </c>
      <c r="F100" s="32" t="s">
        <v>716</v>
      </c>
      <c r="G100" s="32" t="s">
        <v>731</v>
      </c>
      <c r="H100" s="32" t="s">
        <v>702</v>
      </c>
      <c r="I100" s="32" t="s">
        <v>688</v>
      </c>
      <c r="J100" s="32" t="s">
        <v>689</v>
      </c>
      <c r="K100" s="32" t="s">
        <v>690</v>
      </c>
      <c r="L100" s="32" t="s">
        <v>691</v>
      </c>
      <c r="M100" s="32">
        <v>1</v>
      </c>
      <c r="N100" s="32" t="s">
        <v>276</v>
      </c>
      <c r="O100" s="32" t="s">
        <v>682</v>
      </c>
      <c r="P100" s="32" t="s">
        <v>683</v>
      </c>
      <c r="Q100" s="32" t="s">
        <v>665</v>
      </c>
      <c r="R100" s="32" t="s">
        <v>447</v>
      </c>
      <c r="S100" s="32" t="s">
        <v>673</v>
      </c>
    </row>
    <row r="101" spans="1:19" x14ac:dyDescent="0.3">
      <c r="A101" s="29" t="s">
        <v>809</v>
      </c>
      <c r="B101" s="30" t="s">
        <v>704</v>
      </c>
      <c r="C101" s="30" t="s">
        <v>810</v>
      </c>
      <c r="D101" s="30" t="s">
        <v>673</v>
      </c>
      <c r="E101" s="30" t="s">
        <v>674</v>
      </c>
      <c r="F101" s="30" t="s">
        <v>675</v>
      </c>
      <c r="G101" s="30" t="s">
        <v>676</v>
      </c>
      <c r="H101" s="30" t="s">
        <v>677</v>
      </c>
      <c r="I101" s="30" t="s">
        <v>811</v>
      </c>
      <c r="J101" s="30" t="s">
        <v>710</v>
      </c>
      <c r="K101" s="30" t="s">
        <v>690</v>
      </c>
      <c r="L101" s="30" t="s">
        <v>681</v>
      </c>
      <c r="M101" s="30">
        <v>0.2</v>
      </c>
      <c r="N101" s="30" t="s">
        <v>614</v>
      </c>
      <c r="O101" s="30" t="s">
        <v>682</v>
      </c>
      <c r="P101" s="30" t="s">
        <v>683</v>
      </c>
      <c r="Q101" s="30" t="s">
        <v>665</v>
      </c>
      <c r="R101" s="30" t="s">
        <v>447</v>
      </c>
      <c r="S101" s="32" t="s">
        <v>673</v>
      </c>
    </row>
    <row r="102" spans="1:19" x14ac:dyDescent="0.3">
      <c r="A102" s="31" t="s">
        <v>842</v>
      </c>
      <c r="B102" s="32" t="s">
        <v>704</v>
      </c>
      <c r="C102" s="32" t="s">
        <v>843</v>
      </c>
      <c r="D102" s="32" t="s">
        <v>673</v>
      </c>
      <c r="E102" s="32" t="s">
        <v>674</v>
      </c>
      <c r="F102" s="32" t="s">
        <v>675</v>
      </c>
      <c r="G102" s="32" t="s">
        <v>676</v>
      </c>
      <c r="H102" s="32" t="s">
        <v>702</v>
      </c>
      <c r="I102" s="32" t="s">
        <v>678</v>
      </c>
      <c r="J102" s="32" t="s">
        <v>710</v>
      </c>
      <c r="K102" s="32" t="s">
        <v>690</v>
      </c>
      <c r="L102" s="32" t="s">
        <v>681</v>
      </c>
      <c r="M102" s="32">
        <v>0.8</v>
      </c>
      <c r="N102" s="32" t="s">
        <v>614</v>
      </c>
      <c r="O102" s="32" t="s">
        <v>682</v>
      </c>
      <c r="P102" s="32" t="s">
        <v>683</v>
      </c>
      <c r="Q102" s="32" t="s">
        <v>665</v>
      </c>
      <c r="R102" s="32" t="s">
        <v>447</v>
      </c>
      <c r="S102" s="32" t="s">
        <v>673</v>
      </c>
    </row>
    <row r="103" spans="1:19" x14ac:dyDescent="0.3">
      <c r="A103" s="29" t="s">
        <v>844</v>
      </c>
      <c r="B103" s="30" t="s">
        <v>704</v>
      </c>
      <c r="C103" s="30" t="s">
        <v>845</v>
      </c>
      <c r="D103" s="30" t="s">
        <v>673</v>
      </c>
      <c r="E103" s="30" t="s">
        <v>674</v>
      </c>
      <c r="F103" s="30" t="s">
        <v>716</v>
      </c>
      <c r="G103" s="30" t="s">
        <v>676</v>
      </c>
      <c r="H103" s="30" t="s">
        <v>702</v>
      </c>
      <c r="I103" s="30" t="s">
        <v>811</v>
      </c>
      <c r="J103" s="30" t="s">
        <v>713</v>
      </c>
      <c r="K103" s="30" t="s">
        <v>690</v>
      </c>
      <c r="L103" s="30" t="s">
        <v>691</v>
      </c>
      <c r="M103" s="30">
        <v>0.9</v>
      </c>
      <c r="N103" s="30" t="s">
        <v>617</v>
      </c>
      <c r="O103" s="30" t="s">
        <v>682</v>
      </c>
      <c r="P103" s="30" t="s">
        <v>683</v>
      </c>
      <c r="Q103" s="30" t="s">
        <v>665</v>
      </c>
      <c r="R103" s="30" t="s">
        <v>447</v>
      </c>
      <c r="S103" s="32" t="s">
        <v>673</v>
      </c>
    </row>
    <row r="104" spans="1:19" x14ac:dyDescent="0.3">
      <c r="A104" s="31" t="s">
        <v>846</v>
      </c>
      <c r="B104" s="32" t="s">
        <v>178</v>
      </c>
      <c r="C104" s="32" t="s">
        <v>847</v>
      </c>
      <c r="D104" s="32" t="s">
        <v>673</v>
      </c>
      <c r="E104" s="32" t="s">
        <v>674</v>
      </c>
      <c r="F104" s="32" t="s">
        <v>675</v>
      </c>
      <c r="G104" s="32" t="s">
        <v>676</v>
      </c>
      <c r="H104" s="32" t="s">
        <v>702</v>
      </c>
      <c r="I104" s="32" t="s">
        <v>678</v>
      </c>
      <c r="J104" s="32" t="s">
        <v>713</v>
      </c>
      <c r="K104" s="32" t="s">
        <v>690</v>
      </c>
      <c r="L104" s="32" t="s">
        <v>681</v>
      </c>
      <c r="M104" s="32">
        <v>0.1</v>
      </c>
      <c r="N104" s="32" t="s">
        <v>617</v>
      </c>
      <c r="O104" s="32" t="s">
        <v>682</v>
      </c>
      <c r="P104" s="32" t="s">
        <v>683</v>
      </c>
      <c r="Q104" s="32" t="s">
        <v>665</v>
      </c>
      <c r="R104" s="32" t="s">
        <v>447</v>
      </c>
      <c r="S104" s="32" t="s">
        <v>673</v>
      </c>
    </row>
    <row r="105" spans="1:19" x14ac:dyDescent="0.3">
      <c r="A105" s="29" t="s">
        <v>799</v>
      </c>
      <c r="B105" s="30" t="s">
        <v>544</v>
      </c>
      <c r="C105" s="30" t="s">
        <v>800</v>
      </c>
      <c r="D105" s="30" t="s">
        <v>684</v>
      </c>
      <c r="E105" s="30" t="s">
        <v>674</v>
      </c>
      <c r="F105" s="30" t="s">
        <v>716</v>
      </c>
      <c r="G105" s="30" t="s">
        <v>744</v>
      </c>
      <c r="H105" s="30" t="s">
        <v>702</v>
      </c>
      <c r="I105" s="30" t="s">
        <v>736</v>
      </c>
      <c r="J105" s="30" t="s">
        <v>737</v>
      </c>
      <c r="K105" s="30" t="s">
        <v>738</v>
      </c>
      <c r="L105" s="30" t="s">
        <v>801</v>
      </c>
      <c r="M105" s="30">
        <v>0.1</v>
      </c>
      <c r="N105" s="30" t="s">
        <v>41</v>
      </c>
      <c r="O105" s="30" t="s">
        <v>682</v>
      </c>
      <c r="P105" s="30" t="s">
        <v>683</v>
      </c>
      <c r="Q105" s="30" t="s">
        <v>665</v>
      </c>
      <c r="R105" s="30" t="s">
        <v>217</v>
      </c>
      <c r="S105" s="30" t="s">
        <v>684</v>
      </c>
    </row>
    <row r="106" spans="1:19" x14ac:dyDescent="0.3">
      <c r="A106" s="31" t="s">
        <v>853</v>
      </c>
      <c r="B106" s="32" t="s">
        <v>544</v>
      </c>
      <c r="C106" s="32" t="s">
        <v>854</v>
      </c>
      <c r="D106" s="32" t="s">
        <v>684</v>
      </c>
      <c r="E106" s="32" t="s">
        <v>674</v>
      </c>
      <c r="F106" s="32" t="s">
        <v>716</v>
      </c>
      <c r="G106" s="32" t="s">
        <v>744</v>
      </c>
      <c r="H106" s="32" t="s">
        <v>702</v>
      </c>
      <c r="I106" s="32" t="s">
        <v>736</v>
      </c>
      <c r="J106" s="32" t="s">
        <v>737</v>
      </c>
      <c r="K106" s="32" t="s">
        <v>738</v>
      </c>
      <c r="L106" s="32" t="s">
        <v>801</v>
      </c>
      <c r="M106" s="32">
        <v>0.1</v>
      </c>
      <c r="N106" s="32" t="s">
        <v>41</v>
      </c>
      <c r="O106" s="32" t="s">
        <v>682</v>
      </c>
      <c r="P106" s="32" t="s">
        <v>683</v>
      </c>
      <c r="Q106" s="32" t="s">
        <v>665</v>
      </c>
      <c r="R106" s="32" t="s">
        <v>217</v>
      </c>
      <c r="S106" s="30" t="s">
        <v>684</v>
      </c>
    </row>
    <row r="107" spans="1:19" x14ac:dyDescent="0.3">
      <c r="A107" s="29" t="s">
        <v>855</v>
      </c>
      <c r="B107" s="30" t="s">
        <v>544</v>
      </c>
      <c r="C107" s="30" t="s">
        <v>856</v>
      </c>
      <c r="D107" s="30" t="s">
        <v>684</v>
      </c>
      <c r="E107" s="30" t="s">
        <v>674</v>
      </c>
      <c r="F107" s="30" t="s">
        <v>716</v>
      </c>
      <c r="G107" s="30" t="s">
        <v>744</v>
      </c>
      <c r="H107" s="30" t="s">
        <v>702</v>
      </c>
      <c r="I107" s="30" t="s">
        <v>736</v>
      </c>
      <c r="J107" s="30" t="s">
        <v>737</v>
      </c>
      <c r="K107" s="30" t="s">
        <v>738</v>
      </c>
      <c r="L107" s="30" t="s">
        <v>801</v>
      </c>
      <c r="M107" s="30">
        <v>0.1</v>
      </c>
      <c r="N107" s="30" t="s">
        <v>41</v>
      </c>
      <c r="O107" s="30" t="s">
        <v>682</v>
      </c>
      <c r="P107" s="30" t="s">
        <v>683</v>
      </c>
      <c r="Q107" s="30" t="s">
        <v>665</v>
      </c>
      <c r="R107" s="30" t="s">
        <v>217</v>
      </c>
      <c r="S107" s="30" t="s">
        <v>684</v>
      </c>
    </row>
    <row r="108" spans="1:19" x14ac:dyDescent="0.3">
      <c r="A108" s="31" t="s">
        <v>756</v>
      </c>
      <c r="B108" s="32" t="s">
        <v>753</v>
      </c>
      <c r="C108" s="32" t="s">
        <v>756</v>
      </c>
      <c r="D108" s="32" t="s">
        <v>755</v>
      </c>
      <c r="E108" s="32" t="s">
        <v>674</v>
      </c>
      <c r="F108" s="32" t="s">
        <v>716</v>
      </c>
      <c r="G108" s="32" t="s">
        <v>744</v>
      </c>
      <c r="H108" s="32" t="s">
        <v>702</v>
      </c>
      <c r="I108" s="32" t="s">
        <v>678</v>
      </c>
      <c r="J108" s="32" t="s">
        <v>679</v>
      </c>
      <c r="K108" s="32" t="s">
        <v>680</v>
      </c>
      <c r="L108" s="32" t="s">
        <v>681</v>
      </c>
      <c r="M108" s="32">
        <v>1</v>
      </c>
      <c r="N108" s="32" t="s">
        <v>60</v>
      </c>
      <c r="O108" s="32" t="s">
        <v>746</v>
      </c>
      <c r="P108" s="32" t="s">
        <v>683</v>
      </c>
      <c r="Q108" s="32" t="s">
        <v>665</v>
      </c>
      <c r="R108" s="32" t="s">
        <v>285</v>
      </c>
      <c r="S108" s="30" t="s">
        <v>755</v>
      </c>
    </row>
    <row r="109" spans="1:19" x14ac:dyDescent="0.3">
      <c r="A109" s="29" t="s">
        <v>1007</v>
      </c>
      <c r="B109" s="30" t="s">
        <v>707</v>
      </c>
      <c r="C109" s="30" t="s">
        <v>708</v>
      </c>
      <c r="D109" s="30" t="s">
        <v>673</v>
      </c>
      <c r="E109" s="30" t="s">
        <v>674</v>
      </c>
      <c r="F109" s="30" t="s">
        <v>709</v>
      </c>
      <c r="G109" s="30" t="s">
        <v>709</v>
      </c>
      <c r="H109" s="30" t="s">
        <v>709</v>
      </c>
      <c r="I109" s="30" t="s">
        <v>709</v>
      </c>
      <c r="J109" s="30" t="s">
        <v>698</v>
      </c>
      <c r="K109" s="30" t="s">
        <v>690</v>
      </c>
      <c r="L109" s="30" t="s">
        <v>699</v>
      </c>
      <c r="M109" s="30">
        <v>0.5</v>
      </c>
      <c r="N109" s="30" t="s">
        <v>246</v>
      </c>
      <c r="O109" s="30" t="s">
        <v>746</v>
      </c>
      <c r="P109" s="30" t="s">
        <v>683</v>
      </c>
      <c r="Q109" s="30" t="s">
        <v>665</v>
      </c>
      <c r="R109" s="30" t="s">
        <v>300</v>
      </c>
      <c r="S109" s="30" t="s">
        <v>684</v>
      </c>
    </row>
    <row r="110" spans="1:19" x14ac:dyDescent="0.3">
      <c r="A110" s="31" t="s">
        <v>671</v>
      </c>
      <c r="B110" s="32" t="s">
        <v>178</v>
      </c>
      <c r="C110" s="32" t="s">
        <v>672</v>
      </c>
      <c r="D110" s="32" t="s">
        <v>673</v>
      </c>
      <c r="E110" s="32" t="s">
        <v>674</v>
      </c>
      <c r="F110" s="32" t="s">
        <v>675</v>
      </c>
      <c r="G110" s="32" t="s">
        <v>676</v>
      </c>
      <c r="H110" s="32" t="s">
        <v>677</v>
      </c>
      <c r="I110" s="32" t="s">
        <v>678</v>
      </c>
      <c r="J110" s="32" t="s">
        <v>679</v>
      </c>
      <c r="K110" s="32" t="s">
        <v>680</v>
      </c>
      <c r="L110" s="32" t="s">
        <v>681</v>
      </c>
      <c r="M110" s="32">
        <v>0.1</v>
      </c>
      <c r="N110" s="32" t="s">
        <v>248</v>
      </c>
      <c r="O110" s="32" t="s">
        <v>682</v>
      </c>
      <c r="P110" s="32" t="s">
        <v>683</v>
      </c>
      <c r="Q110" s="32" t="s">
        <v>665</v>
      </c>
      <c r="R110" s="32" t="s">
        <v>217</v>
      </c>
      <c r="S110" s="30" t="s">
        <v>684</v>
      </c>
    </row>
    <row r="111" spans="1:19" x14ac:dyDescent="0.3">
      <c r="A111" s="29" t="s">
        <v>995</v>
      </c>
      <c r="B111" s="30" t="s">
        <v>753</v>
      </c>
      <c r="C111" s="30" t="s">
        <v>996</v>
      </c>
      <c r="D111" s="30" t="s">
        <v>755</v>
      </c>
      <c r="E111" s="30" t="s">
        <v>674</v>
      </c>
      <c r="F111" s="30" t="s">
        <v>716</v>
      </c>
      <c r="G111" s="30" t="s">
        <v>744</v>
      </c>
      <c r="H111" s="30" t="s">
        <v>702</v>
      </c>
      <c r="I111" s="30" t="s">
        <v>2286</v>
      </c>
      <c r="J111" s="30" t="s">
        <v>679</v>
      </c>
      <c r="K111" s="30" t="s">
        <v>680</v>
      </c>
      <c r="L111" s="30" t="s">
        <v>699</v>
      </c>
      <c r="M111" s="30">
        <v>0.1</v>
      </c>
      <c r="N111" s="30" t="s">
        <v>115</v>
      </c>
      <c r="O111" s="30" t="s">
        <v>746</v>
      </c>
      <c r="P111" s="30" t="s">
        <v>683</v>
      </c>
      <c r="Q111" s="30" t="s">
        <v>665</v>
      </c>
      <c r="R111" s="30" t="s">
        <v>132</v>
      </c>
      <c r="S111" s="32" t="s">
        <v>673</v>
      </c>
    </row>
    <row r="112" spans="1:19" x14ac:dyDescent="0.3">
      <c r="A112" s="31" t="s">
        <v>756</v>
      </c>
      <c r="B112" s="32" t="s">
        <v>753</v>
      </c>
      <c r="C112" s="32" t="s">
        <v>756</v>
      </c>
      <c r="D112" s="32" t="s">
        <v>755</v>
      </c>
      <c r="E112" s="32" t="s">
        <v>674</v>
      </c>
      <c r="F112" s="32" t="s">
        <v>716</v>
      </c>
      <c r="G112" s="32" t="s">
        <v>744</v>
      </c>
      <c r="H112" s="32" t="s">
        <v>702</v>
      </c>
      <c r="I112" s="32" t="s">
        <v>678</v>
      </c>
      <c r="J112" s="32" t="s">
        <v>679</v>
      </c>
      <c r="K112" s="32" t="s">
        <v>680</v>
      </c>
      <c r="L112" s="32" t="s">
        <v>681</v>
      </c>
      <c r="M112" s="32">
        <v>1</v>
      </c>
      <c r="N112" s="32" t="s">
        <v>350</v>
      </c>
      <c r="O112" s="32" t="s">
        <v>746</v>
      </c>
      <c r="P112" s="32" t="s">
        <v>683</v>
      </c>
      <c r="Q112" s="32" t="s">
        <v>665</v>
      </c>
      <c r="R112" s="32" t="s">
        <v>285</v>
      </c>
      <c r="S112" s="30" t="s">
        <v>755</v>
      </c>
    </row>
    <row r="113" spans="1:19" x14ac:dyDescent="0.3">
      <c r="A113" s="29" t="s">
        <v>863</v>
      </c>
      <c r="B113" s="30" t="s">
        <v>864</v>
      </c>
      <c r="C113" s="30" t="s">
        <v>865</v>
      </c>
      <c r="D113" s="30" t="s">
        <v>755</v>
      </c>
      <c r="E113" s="30" t="s">
        <v>674</v>
      </c>
      <c r="F113" s="30" t="s">
        <v>675</v>
      </c>
      <c r="G113" s="30" t="s">
        <v>676</v>
      </c>
      <c r="H113" s="30" t="s">
        <v>677</v>
      </c>
      <c r="I113" s="30" t="s">
        <v>678</v>
      </c>
      <c r="J113" s="30" t="s">
        <v>774</v>
      </c>
      <c r="K113" s="30" t="s">
        <v>680</v>
      </c>
      <c r="L113" s="30" t="s">
        <v>801</v>
      </c>
      <c r="M113" s="30">
        <v>0.1</v>
      </c>
      <c r="N113" s="30" t="s">
        <v>302</v>
      </c>
      <c r="O113" s="30" t="s">
        <v>866</v>
      </c>
      <c r="P113" s="30" t="s">
        <v>683</v>
      </c>
      <c r="Q113" s="30" t="s">
        <v>665</v>
      </c>
      <c r="R113" s="30" t="s">
        <v>89</v>
      </c>
      <c r="S113" s="30" t="s">
        <v>684</v>
      </c>
    </row>
    <row r="114" spans="1:19" x14ac:dyDescent="0.3">
      <c r="A114" s="31" t="s">
        <v>762</v>
      </c>
      <c r="B114" s="32" t="s">
        <v>760</v>
      </c>
      <c r="C114" s="32" t="s">
        <v>763</v>
      </c>
      <c r="D114" s="32" t="s">
        <v>755</v>
      </c>
      <c r="E114" s="32" t="s">
        <v>674</v>
      </c>
      <c r="F114" s="32" t="s">
        <v>716</v>
      </c>
      <c r="G114" s="32" t="s">
        <v>744</v>
      </c>
      <c r="H114" s="32" t="s">
        <v>677</v>
      </c>
      <c r="I114" s="32" t="s">
        <v>678</v>
      </c>
      <c r="J114" s="32" t="s">
        <v>679</v>
      </c>
      <c r="K114" s="32" t="s">
        <v>680</v>
      </c>
      <c r="L114" s="32" t="s">
        <v>699</v>
      </c>
      <c r="M114" s="32">
        <v>1</v>
      </c>
      <c r="N114" s="32" t="s">
        <v>273</v>
      </c>
      <c r="O114" s="32" t="s">
        <v>746</v>
      </c>
      <c r="P114" s="32" t="s">
        <v>683</v>
      </c>
      <c r="Q114" s="32" t="s">
        <v>665</v>
      </c>
      <c r="R114" s="32" t="s">
        <v>293</v>
      </c>
      <c r="S114" s="30" t="s">
        <v>755</v>
      </c>
    </row>
    <row r="115" spans="1:19" ht="19.95" customHeight="1" x14ac:dyDescent="0.3">
      <c r="A115" s="29" t="s">
        <v>762</v>
      </c>
      <c r="B115" s="30" t="s">
        <v>760</v>
      </c>
      <c r="C115" s="30" t="s">
        <v>763</v>
      </c>
      <c r="D115" s="30" t="s">
        <v>755</v>
      </c>
      <c r="E115" s="30" t="s">
        <v>674</v>
      </c>
      <c r="F115" s="30" t="s">
        <v>716</v>
      </c>
      <c r="G115" s="30" t="s">
        <v>744</v>
      </c>
      <c r="H115" s="30" t="s">
        <v>677</v>
      </c>
      <c r="I115" s="30" t="s">
        <v>678</v>
      </c>
      <c r="J115" s="30" t="s">
        <v>679</v>
      </c>
      <c r="K115" s="30" t="s">
        <v>680</v>
      </c>
      <c r="L115" s="30" t="s">
        <v>699</v>
      </c>
      <c r="M115" s="30">
        <v>1</v>
      </c>
      <c r="N115" s="30" t="s">
        <v>351</v>
      </c>
      <c r="O115" s="30" t="s">
        <v>1915</v>
      </c>
      <c r="P115" s="30" t="s">
        <v>683</v>
      </c>
      <c r="Q115" s="30" t="s">
        <v>767</v>
      </c>
      <c r="R115" s="30" t="s">
        <v>293</v>
      </c>
      <c r="S115" s="30" t="s">
        <v>755</v>
      </c>
    </row>
    <row r="116" spans="1:19" x14ac:dyDescent="0.3">
      <c r="A116" s="31" t="s">
        <v>867</v>
      </c>
      <c r="B116" s="32" t="s">
        <v>749</v>
      </c>
      <c r="C116" s="32" t="s">
        <v>868</v>
      </c>
      <c r="D116" s="32" t="s">
        <v>673</v>
      </c>
      <c r="E116" s="32" t="s">
        <v>674</v>
      </c>
      <c r="F116" s="32" t="s">
        <v>716</v>
      </c>
      <c r="G116" s="32" t="s">
        <v>744</v>
      </c>
      <c r="H116" s="32" t="s">
        <v>677</v>
      </c>
      <c r="I116" s="32" t="s">
        <v>688</v>
      </c>
      <c r="J116" s="32" t="s">
        <v>751</v>
      </c>
      <c r="K116" s="32" t="s">
        <v>690</v>
      </c>
      <c r="L116" s="32" t="s">
        <v>681</v>
      </c>
      <c r="M116" s="32">
        <v>0.5</v>
      </c>
      <c r="N116" s="32" t="s">
        <v>82</v>
      </c>
      <c r="O116" s="32" t="s">
        <v>1915</v>
      </c>
      <c r="P116" s="32" t="s">
        <v>683</v>
      </c>
      <c r="Q116" s="32" t="s">
        <v>767</v>
      </c>
      <c r="R116" s="32" t="s">
        <v>132</v>
      </c>
      <c r="S116" s="32" t="s">
        <v>673</v>
      </c>
    </row>
    <row r="117" spans="1:19" x14ac:dyDescent="0.3">
      <c r="A117" s="29" t="s">
        <v>867</v>
      </c>
      <c r="B117" s="30" t="s">
        <v>749</v>
      </c>
      <c r="C117" s="30" t="s">
        <v>868</v>
      </c>
      <c r="D117" s="30" t="s">
        <v>673</v>
      </c>
      <c r="E117" s="30" t="s">
        <v>674</v>
      </c>
      <c r="F117" s="30" t="s">
        <v>716</v>
      </c>
      <c r="G117" s="30" t="s">
        <v>744</v>
      </c>
      <c r="H117" s="30" t="s">
        <v>677</v>
      </c>
      <c r="I117" s="30" t="s">
        <v>688</v>
      </c>
      <c r="J117" s="30" t="s">
        <v>751</v>
      </c>
      <c r="K117" s="30" t="s">
        <v>690</v>
      </c>
      <c r="L117" s="30" t="s">
        <v>681</v>
      </c>
      <c r="M117" s="30">
        <v>0.5</v>
      </c>
      <c r="N117" s="30" t="s">
        <v>610</v>
      </c>
      <c r="O117" s="30" t="s">
        <v>746</v>
      </c>
      <c r="P117" s="30" t="s">
        <v>683</v>
      </c>
      <c r="Q117" s="30" t="s">
        <v>665</v>
      </c>
      <c r="R117" s="30" t="s">
        <v>132</v>
      </c>
      <c r="S117" s="32" t="s">
        <v>673</v>
      </c>
    </row>
    <row r="118" spans="1:19" x14ac:dyDescent="0.3">
      <c r="A118" s="31" t="s">
        <v>748</v>
      </c>
      <c r="B118" s="32" t="s">
        <v>749</v>
      </c>
      <c r="C118" s="32" t="s">
        <v>750</v>
      </c>
      <c r="D118" s="32" t="s">
        <v>673</v>
      </c>
      <c r="E118" s="32" t="s">
        <v>674</v>
      </c>
      <c r="F118" s="32" t="s">
        <v>716</v>
      </c>
      <c r="G118" s="32" t="s">
        <v>744</v>
      </c>
      <c r="H118" s="32" t="s">
        <v>677</v>
      </c>
      <c r="I118" s="32" t="s">
        <v>688</v>
      </c>
      <c r="J118" s="32" t="s">
        <v>751</v>
      </c>
      <c r="K118" s="32" t="s">
        <v>690</v>
      </c>
      <c r="L118" s="32" t="s">
        <v>681</v>
      </c>
      <c r="M118" s="32">
        <v>1</v>
      </c>
      <c r="N118" s="32" t="s">
        <v>338</v>
      </c>
      <c r="O118" s="32" t="s">
        <v>746</v>
      </c>
      <c r="P118" s="32" t="s">
        <v>683</v>
      </c>
      <c r="Q118" s="32" t="s">
        <v>665</v>
      </c>
      <c r="R118" s="32" t="s">
        <v>132</v>
      </c>
      <c r="S118" s="32" t="s">
        <v>673</v>
      </c>
    </row>
    <row r="119" spans="1:19" x14ac:dyDescent="0.3">
      <c r="A119" s="29" t="s">
        <v>839</v>
      </c>
      <c r="B119" s="30" t="s">
        <v>704</v>
      </c>
      <c r="C119" s="30" t="s">
        <v>840</v>
      </c>
      <c r="D119" s="30" t="s">
        <v>673</v>
      </c>
      <c r="E119" s="30" t="s">
        <v>674</v>
      </c>
      <c r="F119" s="30" t="s">
        <v>675</v>
      </c>
      <c r="G119" s="30" t="s">
        <v>676</v>
      </c>
      <c r="H119" s="30" t="s">
        <v>677</v>
      </c>
      <c r="I119" s="30" t="s">
        <v>678</v>
      </c>
      <c r="J119" s="30" t="s">
        <v>710</v>
      </c>
      <c r="K119" s="30" t="s">
        <v>690</v>
      </c>
      <c r="L119" s="30" t="s">
        <v>681</v>
      </c>
      <c r="M119" s="30">
        <v>1</v>
      </c>
      <c r="N119" s="30" t="s">
        <v>647</v>
      </c>
      <c r="O119" s="30" t="s">
        <v>682</v>
      </c>
      <c r="P119" s="30" t="s">
        <v>683</v>
      </c>
      <c r="Q119" s="30" t="s">
        <v>665</v>
      </c>
      <c r="R119" s="30" t="s">
        <v>447</v>
      </c>
      <c r="S119" s="32" t="s">
        <v>673</v>
      </c>
    </row>
    <row r="120" spans="1:19" x14ac:dyDescent="0.3">
      <c r="A120" s="31" t="s">
        <v>873</v>
      </c>
      <c r="B120" s="32" t="s">
        <v>458</v>
      </c>
      <c r="C120" s="32" t="s">
        <v>874</v>
      </c>
      <c r="D120" s="32" t="s">
        <v>684</v>
      </c>
      <c r="E120" s="32" t="s">
        <v>674</v>
      </c>
      <c r="F120" s="32" t="s">
        <v>716</v>
      </c>
      <c r="G120" s="32" t="s">
        <v>744</v>
      </c>
      <c r="H120" s="32" t="s">
        <v>702</v>
      </c>
      <c r="I120" s="32" t="s">
        <v>678</v>
      </c>
      <c r="J120" s="32" t="s">
        <v>679</v>
      </c>
      <c r="K120" s="32" t="s">
        <v>680</v>
      </c>
      <c r="L120" s="32" t="s">
        <v>699</v>
      </c>
      <c r="M120" s="32">
        <v>1</v>
      </c>
      <c r="N120" s="32" t="s">
        <v>52</v>
      </c>
      <c r="O120" s="32" t="s">
        <v>746</v>
      </c>
      <c r="P120" s="32" t="s">
        <v>683</v>
      </c>
      <c r="Q120" s="32" t="s">
        <v>665</v>
      </c>
      <c r="R120" s="32" t="s">
        <v>458</v>
      </c>
      <c r="S120" s="30" t="s">
        <v>684</v>
      </c>
    </row>
    <row r="121" spans="1:19" x14ac:dyDescent="0.3">
      <c r="A121" s="29" t="s">
        <v>873</v>
      </c>
      <c r="B121" s="30" t="s">
        <v>458</v>
      </c>
      <c r="C121" s="30" t="s">
        <v>874</v>
      </c>
      <c r="D121" s="30" t="s">
        <v>684</v>
      </c>
      <c r="E121" s="30" t="s">
        <v>674</v>
      </c>
      <c r="F121" s="30" t="s">
        <v>716</v>
      </c>
      <c r="G121" s="30" t="s">
        <v>744</v>
      </c>
      <c r="H121" s="30" t="s">
        <v>702</v>
      </c>
      <c r="I121" s="30" t="s">
        <v>678</v>
      </c>
      <c r="J121" s="30" t="s">
        <v>679</v>
      </c>
      <c r="K121" s="30" t="s">
        <v>680</v>
      </c>
      <c r="L121" s="30" t="s">
        <v>699</v>
      </c>
      <c r="M121" s="30">
        <v>1</v>
      </c>
      <c r="N121" s="30" t="s">
        <v>364</v>
      </c>
      <c r="O121" s="30" t="s">
        <v>1915</v>
      </c>
      <c r="P121" s="30" t="s">
        <v>683</v>
      </c>
      <c r="Q121" s="30" t="s">
        <v>767</v>
      </c>
      <c r="R121" s="30" t="s">
        <v>458</v>
      </c>
      <c r="S121" s="30" t="s">
        <v>684</v>
      </c>
    </row>
    <row r="122" spans="1:19" x14ac:dyDescent="0.3">
      <c r="A122" s="31" t="s">
        <v>873</v>
      </c>
      <c r="B122" s="32" t="s">
        <v>458</v>
      </c>
      <c r="C122" s="32" t="s">
        <v>874</v>
      </c>
      <c r="D122" s="32" t="s">
        <v>684</v>
      </c>
      <c r="E122" s="32" t="s">
        <v>674</v>
      </c>
      <c r="F122" s="32" t="s">
        <v>716</v>
      </c>
      <c r="G122" s="32" t="s">
        <v>744</v>
      </c>
      <c r="H122" s="32" t="s">
        <v>702</v>
      </c>
      <c r="I122" s="32" t="s">
        <v>678</v>
      </c>
      <c r="J122" s="32" t="s">
        <v>679</v>
      </c>
      <c r="K122" s="32" t="s">
        <v>680</v>
      </c>
      <c r="L122" s="32" t="s">
        <v>699</v>
      </c>
      <c r="M122" s="32">
        <v>1</v>
      </c>
      <c r="N122" s="32" t="s">
        <v>348</v>
      </c>
      <c r="O122" s="32" t="s">
        <v>746</v>
      </c>
      <c r="P122" s="32" t="s">
        <v>683</v>
      </c>
      <c r="Q122" s="32" t="s">
        <v>665</v>
      </c>
      <c r="R122" s="32" t="s">
        <v>458</v>
      </c>
      <c r="S122" s="30" t="s">
        <v>684</v>
      </c>
    </row>
    <row r="123" spans="1:19" x14ac:dyDescent="0.3">
      <c r="A123" s="29" t="s">
        <v>875</v>
      </c>
      <c r="B123" s="30" t="s">
        <v>142</v>
      </c>
      <c r="C123" s="30" t="s">
        <v>876</v>
      </c>
      <c r="D123" s="30" t="s">
        <v>684</v>
      </c>
      <c r="E123" s="30" t="s">
        <v>674</v>
      </c>
      <c r="F123" s="30" t="s">
        <v>716</v>
      </c>
      <c r="G123" s="30" t="s">
        <v>744</v>
      </c>
      <c r="H123" s="30" t="s">
        <v>702</v>
      </c>
      <c r="I123" s="30" t="s">
        <v>678</v>
      </c>
      <c r="J123" s="30" t="s">
        <v>860</v>
      </c>
      <c r="K123" s="30" t="s">
        <v>861</v>
      </c>
      <c r="L123" s="30" t="s">
        <v>691</v>
      </c>
      <c r="M123" s="30">
        <v>1</v>
      </c>
      <c r="N123" s="30" t="s">
        <v>609</v>
      </c>
      <c r="O123" s="30" t="s">
        <v>746</v>
      </c>
      <c r="P123" s="30" t="s">
        <v>683</v>
      </c>
      <c r="Q123" s="30" t="s">
        <v>665</v>
      </c>
      <c r="R123" s="30" t="s">
        <v>142</v>
      </c>
      <c r="S123" s="32" t="s">
        <v>673</v>
      </c>
    </row>
    <row r="124" spans="1:19" x14ac:dyDescent="0.3">
      <c r="A124" s="31" t="s">
        <v>877</v>
      </c>
      <c r="B124" s="32" t="s">
        <v>142</v>
      </c>
      <c r="C124" s="32" t="s">
        <v>878</v>
      </c>
      <c r="D124" s="32" t="s">
        <v>673</v>
      </c>
      <c r="E124" s="32" t="s">
        <v>674</v>
      </c>
      <c r="F124" s="32" t="s">
        <v>716</v>
      </c>
      <c r="G124" s="32" t="s">
        <v>744</v>
      </c>
      <c r="H124" s="32" t="s">
        <v>677</v>
      </c>
      <c r="I124" s="32" t="s">
        <v>678</v>
      </c>
      <c r="J124" s="32" t="s">
        <v>698</v>
      </c>
      <c r="K124" s="32" t="s">
        <v>690</v>
      </c>
      <c r="L124" s="32" t="s">
        <v>699</v>
      </c>
      <c r="M124" s="32">
        <v>1</v>
      </c>
      <c r="N124" s="32" t="s">
        <v>574</v>
      </c>
      <c r="O124" s="32" t="s">
        <v>1919</v>
      </c>
      <c r="P124" s="32" t="s">
        <v>683</v>
      </c>
      <c r="Q124" s="32" t="s">
        <v>767</v>
      </c>
      <c r="R124" s="32" t="s">
        <v>142</v>
      </c>
      <c r="S124" s="32" t="s">
        <v>673</v>
      </c>
    </row>
    <row r="125" spans="1:19" x14ac:dyDescent="0.3">
      <c r="A125" s="29" t="s">
        <v>879</v>
      </c>
      <c r="B125" s="30" t="s">
        <v>142</v>
      </c>
      <c r="C125" s="30" t="s">
        <v>880</v>
      </c>
      <c r="D125" s="30" t="s">
        <v>673</v>
      </c>
      <c r="E125" s="30" t="s">
        <v>674</v>
      </c>
      <c r="F125" s="30" t="s">
        <v>716</v>
      </c>
      <c r="G125" s="30" t="s">
        <v>744</v>
      </c>
      <c r="H125" s="30" t="s">
        <v>677</v>
      </c>
      <c r="I125" s="30" t="s">
        <v>678</v>
      </c>
      <c r="J125" s="30" t="s">
        <v>698</v>
      </c>
      <c r="K125" s="30" t="s">
        <v>690</v>
      </c>
      <c r="L125" s="30" t="s">
        <v>699</v>
      </c>
      <c r="M125" s="30">
        <v>1</v>
      </c>
      <c r="N125" s="30" t="s">
        <v>477</v>
      </c>
      <c r="O125" s="30" t="s">
        <v>746</v>
      </c>
      <c r="P125" s="30" t="s">
        <v>683</v>
      </c>
      <c r="Q125" s="30" t="s">
        <v>665</v>
      </c>
      <c r="R125" s="30" t="s">
        <v>87</v>
      </c>
      <c r="S125" s="32" t="s">
        <v>673</v>
      </c>
    </row>
    <row r="126" spans="1:19" x14ac:dyDescent="0.3">
      <c r="A126" s="31" t="s">
        <v>875</v>
      </c>
      <c r="B126" s="32" t="s">
        <v>142</v>
      </c>
      <c r="C126" s="32" t="s">
        <v>876</v>
      </c>
      <c r="D126" s="32" t="s">
        <v>684</v>
      </c>
      <c r="E126" s="32" t="s">
        <v>674</v>
      </c>
      <c r="F126" s="32" t="s">
        <v>716</v>
      </c>
      <c r="G126" s="32" t="s">
        <v>744</v>
      </c>
      <c r="H126" s="32" t="s">
        <v>702</v>
      </c>
      <c r="I126" s="32" t="s">
        <v>678</v>
      </c>
      <c r="J126" s="32" t="s">
        <v>860</v>
      </c>
      <c r="K126" s="32" t="s">
        <v>861</v>
      </c>
      <c r="L126" s="32" t="s">
        <v>691</v>
      </c>
      <c r="M126" s="32">
        <v>1</v>
      </c>
      <c r="N126" s="32" t="s">
        <v>313</v>
      </c>
      <c r="O126" s="32" t="s">
        <v>746</v>
      </c>
      <c r="P126" s="32" t="s">
        <v>683</v>
      </c>
      <c r="Q126" s="32" t="s">
        <v>665</v>
      </c>
      <c r="R126" s="32" t="s">
        <v>142</v>
      </c>
      <c r="S126" s="32" t="s">
        <v>673</v>
      </c>
    </row>
    <row r="127" spans="1:19" x14ac:dyDescent="0.3">
      <c r="A127" s="29" t="s">
        <v>879</v>
      </c>
      <c r="B127" s="30" t="s">
        <v>142</v>
      </c>
      <c r="C127" s="30" t="s">
        <v>880</v>
      </c>
      <c r="D127" s="30" t="s">
        <v>673</v>
      </c>
      <c r="E127" s="30" t="s">
        <v>674</v>
      </c>
      <c r="F127" s="30" t="s">
        <v>716</v>
      </c>
      <c r="G127" s="30" t="s">
        <v>744</v>
      </c>
      <c r="H127" s="30" t="s">
        <v>677</v>
      </c>
      <c r="I127" s="30" t="s">
        <v>678</v>
      </c>
      <c r="J127" s="30" t="s">
        <v>698</v>
      </c>
      <c r="K127" s="30" t="s">
        <v>690</v>
      </c>
      <c r="L127" s="30" t="s">
        <v>699</v>
      </c>
      <c r="M127" s="30">
        <v>1</v>
      </c>
      <c r="N127" s="30" t="s">
        <v>232</v>
      </c>
      <c r="O127" s="30" t="s">
        <v>711</v>
      </c>
      <c r="P127" s="30" t="s">
        <v>683</v>
      </c>
      <c r="Q127" s="30" t="s">
        <v>665</v>
      </c>
      <c r="R127" s="30" t="s">
        <v>142</v>
      </c>
      <c r="S127" s="32" t="s">
        <v>673</v>
      </c>
    </row>
    <row r="128" spans="1:19" x14ac:dyDescent="0.3">
      <c r="A128" s="31" t="s">
        <v>879</v>
      </c>
      <c r="B128" s="32" t="s">
        <v>142</v>
      </c>
      <c r="C128" s="32" t="s">
        <v>880</v>
      </c>
      <c r="D128" s="32" t="s">
        <v>673</v>
      </c>
      <c r="E128" s="32" t="s">
        <v>674</v>
      </c>
      <c r="F128" s="32" t="s">
        <v>716</v>
      </c>
      <c r="G128" s="32" t="s">
        <v>744</v>
      </c>
      <c r="H128" s="32" t="s">
        <v>677</v>
      </c>
      <c r="I128" s="32" t="s">
        <v>678</v>
      </c>
      <c r="J128" s="32" t="s">
        <v>698</v>
      </c>
      <c r="K128" s="32" t="s">
        <v>690</v>
      </c>
      <c r="L128" s="32" t="s">
        <v>699</v>
      </c>
      <c r="M128" s="32">
        <v>1</v>
      </c>
      <c r="N128" s="32" t="s">
        <v>87</v>
      </c>
      <c r="O128" s="32" t="s">
        <v>746</v>
      </c>
      <c r="P128" s="32" t="s">
        <v>683</v>
      </c>
      <c r="Q128" s="32" t="s">
        <v>665</v>
      </c>
      <c r="R128" s="32" t="s">
        <v>142</v>
      </c>
      <c r="S128" s="32" t="s">
        <v>673</v>
      </c>
    </row>
    <row r="129" spans="1:19" x14ac:dyDescent="0.3">
      <c r="A129" s="29" t="s">
        <v>879</v>
      </c>
      <c r="B129" s="30" t="s">
        <v>142</v>
      </c>
      <c r="C129" s="30" t="s">
        <v>880</v>
      </c>
      <c r="D129" s="30" t="s">
        <v>673</v>
      </c>
      <c r="E129" s="30" t="s">
        <v>674</v>
      </c>
      <c r="F129" s="30" t="s">
        <v>716</v>
      </c>
      <c r="G129" s="30" t="s">
        <v>744</v>
      </c>
      <c r="H129" s="30" t="s">
        <v>677</v>
      </c>
      <c r="I129" s="30" t="s">
        <v>678</v>
      </c>
      <c r="J129" s="30" t="s">
        <v>698</v>
      </c>
      <c r="K129" s="30" t="s">
        <v>690</v>
      </c>
      <c r="L129" s="30" t="s">
        <v>699</v>
      </c>
      <c r="M129" s="30">
        <v>1</v>
      </c>
      <c r="N129" s="30" t="s">
        <v>525</v>
      </c>
      <c r="O129" s="30" t="s">
        <v>746</v>
      </c>
      <c r="P129" s="30" t="s">
        <v>683</v>
      </c>
      <c r="Q129" s="30" t="s">
        <v>665</v>
      </c>
      <c r="R129" s="30" t="s">
        <v>142</v>
      </c>
      <c r="S129" s="32" t="s">
        <v>673</v>
      </c>
    </row>
    <row r="130" spans="1:19" x14ac:dyDescent="0.3">
      <c r="A130" s="31" t="s">
        <v>881</v>
      </c>
      <c r="B130" s="32" t="s">
        <v>470</v>
      </c>
      <c r="C130" s="32" t="s">
        <v>882</v>
      </c>
      <c r="D130" s="32" t="s">
        <v>684</v>
      </c>
      <c r="E130" s="32" t="s">
        <v>674</v>
      </c>
      <c r="F130" s="32" t="s">
        <v>716</v>
      </c>
      <c r="G130" s="32" t="s">
        <v>744</v>
      </c>
      <c r="H130" s="32" t="s">
        <v>702</v>
      </c>
      <c r="I130" s="32" t="s">
        <v>736</v>
      </c>
      <c r="J130" s="32" t="s">
        <v>745</v>
      </c>
      <c r="K130" s="32" t="s">
        <v>738</v>
      </c>
      <c r="L130" s="32" t="s">
        <v>699</v>
      </c>
      <c r="M130" s="32">
        <v>1</v>
      </c>
      <c r="N130" s="32" t="s">
        <v>73</v>
      </c>
      <c r="O130" s="32" t="s">
        <v>746</v>
      </c>
      <c r="P130" s="32" t="s">
        <v>683</v>
      </c>
      <c r="Q130" s="32" t="s">
        <v>665</v>
      </c>
      <c r="R130" s="32" t="s">
        <v>470</v>
      </c>
      <c r="S130" s="30" t="s">
        <v>684</v>
      </c>
    </row>
    <row r="131" spans="1:19" x14ac:dyDescent="0.3">
      <c r="A131" s="29" t="s">
        <v>1506</v>
      </c>
      <c r="B131" s="30" t="s">
        <v>544</v>
      </c>
      <c r="C131" s="30" t="s">
        <v>1500</v>
      </c>
      <c r="D131" s="30" t="s">
        <v>684</v>
      </c>
      <c r="E131" s="30" t="s">
        <v>674</v>
      </c>
      <c r="F131" s="30" t="s">
        <v>716</v>
      </c>
      <c r="G131" s="30" t="s">
        <v>717</v>
      </c>
      <c r="H131" s="30" t="s">
        <v>717</v>
      </c>
      <c r="I131" s="30" t="s">
        <v>736</v>
      </c>
      <c r="J131" s="30" t="s">
        <v>737</v>
      </c>
      <c r="K131" s="30" t="s">
        <v>738</v>
      </c>
      <c r="L131" s="30" t="s">
        <v>699</v>
      </c>
      <c r="M131" s="30">
        <v>1</v>
      </c>
      <c r="N131" s="30" t="s">
        <v>275</v>
      </c>
      <c r="O131" s="30" t="s">
        <v>746</v>
      </c>
      <c r="P131" s="30" t="s">
        <v>683</v>
      </c>
      <c r="Q131" s="30" t="s">
        <v>665</v>
      </c>
      <c r="R131" s="30" t="s">
        <v>244</v>
      </c>
      <c r="S131" s="30" t="s">
        <v>684</v>
      </c>
    </row>
    <row r="132" spans="1:19" x14ac:dyDescent="0.3">
      <c r="A132" s="31" t="s">
        <v>883</v>
      </c>
      <c r="B132" s="32" t="s">
        <v>470</v>
      </c>
      <c r="C132" s="32" t="s">
        <v>884</v>
      </c>
      <c r="D132" s="32" t="s">
        <v>684</v>
      </c>
      <c r="E132" s="32" t="s">
        <v>674</v>
      </c>
      <c r="F132" s="32" t="s">
        <v>716</v>
      </c>
      <c r="G132" s="32" t="s">
        <v>744</v>
      </c>
      <c r="H132" s="32" t="s">
        <v>702</v>
      </c>
      <c r="I132" s="32" t="s">
        <v>736</v>
      </c>
      <c r="J132" s="32" t="s">
        <v>745</v>
      </c>
      <c r="K132" s="32" t="s">
        <v>738</v>
      </c>
      <c r="L132" s="32" t="s">
        <v>739</v>
      </c>
      <c r="M132" s="32">
        <v>0.5</v>
      </c>
      <c r="N132" s="32" t="s">
        <v>448</v>
      </c>
      <c r="O132" s="32" t="s">
        <v>746</v>
      </c>
      <c r="P132" s="32" t="s">
        <v>683</v>
      </c>
      <c r="Q132" s="32" t="s">
        <v>665</v>
      </c>
      <c r="R132" s="32" t="s">
        <v>470</v>
      </c>
      <c r="S132" s="30" t="s">
        <v>684</v>
      </c>
    </row>
    <row r="133" spans="1:19" x14ac:dyDescent="0.3">
      <c r="A133" s="29" t="s">
        <v>885</v>
      </c>
      <c r="B133" s="30" t="s">
        <v>470</v>
      </c>
      <c r="C133" s="30" t="s">
        <v>886</v>
      </c>
      <c r="D133" s="30" t="s">
        <v>684</v>
      </c>
      <c r="E133" s="30" t="s">
        <v>674</v>
      </c>
      <c r="F133" s="30" t="s">
        <v>716</v>
      </c>
      <c r="G133" s="30" t="s">
        <v>744</v>
      </c>
      <c r="H133" s="30" t="s">
        <v>702</v>
      </c>
      <c r="I133" s="30" t="s">
        <v>736</v>
      </c>
      <c r="J133" s="30" t="s">
        <v>745</v>
      </c>
      <c r="K133" s="30" t="s">
        <v>738</v>
      </c>
      <c r="L133" s="30" t="s">
        <v>739</v>
      </c>
      <c r="M133" s="30">
        <v>0.5</v>
      </c>
      <c r="N133" s="30" t="s">
        <v>448</v>
      </c>
      <c r="O133" s="30" t="s">
        <v>746</v>
      </c>
      <c r="P133" s="30" t="s">
        <v>683</v>
      </c>
      <c r="Q133" s="30" t="s">
        <v>665</v>
      </c>
      <c r="R133" s="30" t="s">
        <v>470</v>
      </c>
      <c r="S133" s="30" t="s">
        <v>684</v>
      </c>
    </row>
    <row r="134" spans="1:19" x14ac:dyDescent="0.3">
      <c r="A134" s="31" t="s">
        <v>887</v>
      </c>
      <c r="B134" s="32" t="s">
        <v>544</v>
      </c>
      <c r="C134" s="32" t="s">
        <v>888</v>
      </c>
      <c r="D134" s="32" t="s">
        <v>684</v>
      </c>
      <c r="E134" s="32" t="s">
        <v>674</v>
      </c>
      <c r="F134" s="32" t="s">
        <v>734</v>
      </c>
      <c r="G134" s="32" t="s">
        <v>735</v>
      </c>
      <c r="H134" s="32" t="s">
        <v>735</v>
      </c>
      <c r="I134" s="32" t="s">
        <v>736</v>
      </c>
      <c r="J134" s="32" t="s">
        <v>737</v>
      </c>
      <c r="K134" s="32" t="s">
        <v>738</v>
      </c>
      <c r="L134" s="32" t="s">
        <v>699</v>
      </c>
      <c r="M134" s="32">
        <v>1</v>
      </c>
      <c r="N134" s="32" t="s">
        <v>582</v>
      </c>
      <c r="O134" s="32" t="s">
        <v>746</v>
      </c>
      <c r="P134" s="32" t="s">
        <v>683</v>
      </c>
      <c r="Q134" s="32" t="s">
        <v>665</v>
      </c>
      <c r="R134" s="32" t="s">
        <v>244</v>
      </c>
      <c r="S134" s="30" t="s">
        <v>684</v>
      </c>
    </row>
    <row r="135" spans="1:19" x14ac:dyDescent="0.3">
      <c r="A135" s="29" t="s">
        <v>889</v>
      </c>
      <c r="B135" s="30" t="s">
        <v>544</v>
      </c>
      <c r="C135" s="30" t="s">
        <v>890</v>
      </c>
      <c r="D135" s="30" t="s">
        <v>684</v>
      </c>
      <c r="E135" s="30" t="s">
        <v>674</v>
      </c>
      <c r="F135" s="30" t="s">
        <v>734</v>
      </c>
      <c r="G135" s="30" t="s">
        <v>735</v>
      </c>
      <c r="H135" s="30" t="s">
        <v>735</v>
      </c>
      <c r="I135" s="30" t="s">
        <v>736</v>
      </c>
      <c r="J135" s="30" t="s">
        <v>737</v>
      </c>
      <c r="K135" s="30" t="s">
        <v>738</v>
      </c>
      <c r="L135" s="30" t="s">
        <v>699</v>
      </c>
      <c r="M135" s="30">
        <v>1</v>
      </c>
      <c r="N135" s="30" t="s">
        <v>518</v>
      </c>
      <c r="O135" s="30" t="s">
        <v>746</v>
      </c>
      <c r="P135" s="30" t="s">
        <v>683</v>
      </c>
      <c r="Q135" s="30" t="s">
        <v>665</v>
      </c>
      <c r="R135" s="30" t="s">
        <v>244</v>
      </c>
      <c r="S135" s="30" t="s">
        <v>684</v>
      </c>
    </row>
    <row r="136" spans="1:19" x14ac:dyDescent="0.3">
      <c r="A136" s="31" t="s">
        <v>891</v>
      </c>
      <c r="B136" s="32" t="s">
        <v>544</v>
      </c>
      <c r="C136" s="32" t="s">
        <v>892</v>
      </c>
      <c r="D136" s="32" t="s">
        <v>684</v>
      </c>
      <c r="E136" s="32" t="s">
        <v>674</v>
      </c>
      <c r="F136" s="32" t="s">
        <v>716</v>
      </c>
      <c r="G136" s="32" t="s">
        <v>744</v>
      </c>
      <c r="H136" s="32" t="s">
        <v>702</v>
      </c>
      <c r="I136" s="32" t="s">
        <v>736</v>
      </c>
      <c r="J136" s="32" t="s">
        <v>737</v>
      </c>
      <c r="K136" s="32" t="s">
        <v>738</v>
      </c>
      <c r="L136" s="32" t="s">
        <v>699</v>
      </c>
      <c r="M136" s="32">
        <v>1</v>
      </c>
      <c r="N136" s="32" t="s">
        <v>263</v>
      </c>
      <c r="O136" s="32" t="s">
        <v>1915</v>
      </c>
      <c r="P136" s="32" t="s">
        <v>683</v>
      </c>
      <c r="Q136" s="32" t="s">
        <v>767</v>
      </c>
      <c r="R136" s="32" t="s">
        <v>244</v>
      </c>
      <c r="S136" s="30" t="s">
        <v>684</v>
      </c>
    </row>
    <row r="137" spans="1:19" x14ac:dyDescent="0.3">
      <c r="A137" s="29" t="s">
        <v>893</v>
      </c>
      <c r="B137" s="30" t="s">
        <v>470</v>
      </c>
      <c r="C137" s="30" t="s">
        <v>894</v>
      </c>
      <c r="D137" s="30" t="s">
        <v>684</v>
      </c>
      <c r="E137" s="30" t="s">
        <v>674</v>
      </c>
      <c r="F137" s="30" t="s">
        <v>716</v>
      </c>
      <c r="G137" s="30" t="s">
        <v>744</v>
      </c>
      <c r="H137" s="30" t="s">
        <v>702</v>
      </c>
      <c r="I137" s="30" t="s">
        <v>736</v>
      </c>
      <c r="J137" s="30" t="s">
        <v>737</v>
      </c>
      <c r="K137" s="30" t="s">
        <v>738</v>
      </c>
      <c r="L137" s="30" t="s">
        <v>681</v>
      </c>
      <c r="M137" s="30">
        <v>1</v>
      </c>
      <c r="N137" s="30" t="s">
        <v>465</v>
      </c>
      <c r="O137" s="30" t="s">
        <v>1915</v>
      </c>
      <c r="P137" s="30" t="s">
        <v>683</v>
      </c>
      <c r="Q137" s="30" t="s">
        <v>767</v>
      </c>
      <c r="R137" s="30" t="s">
        <v>244</v>
      </c>
      <c r="S137" s="30" t="s">
        <v>684</v>
      </c>
    </row>
    <row r="138" spans="1:19" x14ac:dyDescent="0.3">
      <c r="A138" s="31" t="s">
        <v>895</v>
      </c>
      <c r="B138" s="32" t="s">
        <v>544</v>
      </c>
      <c r="C138" s="32" t="s">
        <v>896</v>
      </c>
      <c r="D138" s="32" t="s">
        <v>684</v>
      </c>
      <c r="E138" s="32" t="s">
        <v>674</v>
      </c>
      <c r="F138" s="32" t="s">
        <v>716</v>
      </c>
      <c r="G138" s="32" t="s">
        <v>744</v>
      </c>
      <c r="H138" s="32" t="s">
        <v>702</v>
      </c>
      <c r="I138" s="32" t="s">
        <v>736</v>
      </c>
      <c r="J138" s="32" t="s">
        <v>737</v>
      </c>
      <c r="K138" s="32" t="s">
        <v>738</v>
      </c>
      <c r="L138" s="32" t="s">
        <v>739</v>
      </c>
      <c r="M138" s="32">
        <v>1</v>
      </c>
      <c r="N138" s="32" t="s">
        <v>897</v>
      </c>
      <c r="O138" s="32" t="s">
        <v>746</v>
      </c>
      <c r="P138" s="32" t="s">
        <v>683</v>
      </c>
      <c r="Q138" s="32" t="s">
        <v>665</v>
      </c>
      <c r="R138" s="32" t="s">
        <v>244</v>
      </c>
      <c r="S138" s="30" t="s">
        <v>684</v>
      </c>
    </row>
    <row r="139" spans="1:19" x14ac:dyDescent="0.3">
      <c r="A139" s="29" t="s">
        <v>1506</v>
      </c>
      <c r="B139" s="30" t="s">
        <v>544</v>
      </c>
      <c r="C139" s="30" t="s">
        <v>1500</v>
      </c>
      <c r="D139" s="30" t="s">
        <v>684</v>
      </c>
      <c r="E139" s="30" t="s">
        <v>674</v>
      </c>
      <c r="F139" s="30" t="s">
        <v>716</v>
      </c>
      <c r="G139" s="30" t="s">
        <v>717</v>
      </c>
      <c r="H139" s="30" t="s">
        <v>717</v>
      </c>
      <c r="I139" s="30" t="s">
        <v>736</v>
      </c>
      <c r="J139" s="30" t="s">
        <v>737</v>
      </c>
      <c r="K139" s="30" t="s">
        <v>738</v>
      </c>
      <c r="L139" s="30" t="s">
        <v>699</v>
      </c>
      <c r="M139" s="30">
        <v>1</v>
      </c>
      <c r="N139" s="30" t="s">
        <v>578</v>
      </c>
      <c r="O139" s="30" t="s">
        <v>1915</v>
      </c>
      <c r="P139" s="30" t="s">
        <v>683</v>
      </c>
      <c r="Q139" s="30" t="s">
        <v>767</v>
      </c>
      <c r="R139" s="30" t="s">
        <v>244</v>
      </c>
      <c r="S139" s="30" t="s">
        <v>684</v>
      </c>
    </row>
    <row r="140" spans="1:19" x14ac:dyDescent="0.3">
      <c r="A140" s="31" t="s">
        <v>898</v>
      </c>
      <c r="B140" s="32" t="s">
        <v>544</v>
      </c>
      <c r="C140" s="32" t="s">
        <v>899</v>
      </c>
      <c r="D140" s="32" t="s">
        <v>684</v>
      </c>
      <c r="E140" s="32" t="s">
        <v>674</v>
      </c>
      <c r="F140" s="32" t="s">
        <v>716</v>
      </c>
      <c r="G140" s="32" t="s">
        <v>744</v>
      </c>
      <c r="H140" s="32" t="s">
        <v>702</v>
      </c>
      <c r="I140" s="32" t="s">
        <v>736</v>
      </c>
      <c r="J140" s="32" t="s">
        <v>737</v>
      </c>
      <c r="K140" s="32" t="s">
        <v>738</v>
      </c>
      <c r="L140" s="32" t="s">
        <v>808</v>
      </c>
      <c r="M140" s="32">
        <v>0.8</v>
      </c>
      <c r="N140" s="32" t="s">
        <v>67</v>
      </c>
      <c r="O140" s="32" t="s">
        <v>2162</v>
      </c>
      <c r="P140" s="32" t="s">
        <v>683</v>
      </c>
      <c r="Q140" s="32" t="s">
        <v>767</v>
      </c>
      <c r="R140" s="32" t="s">
        <v>639</v>
      </c>
      <c r="S140" s="30" t="s">
        <v>684</v>
      </c>
    </row>
    <row r="141" spans="1:19" x14ac:dyDescent="0.3">
      <c r="A141" s="29" t="s">
        <v>900</v>
      </c>
      <c r="B141" s="30" t="s">
        <v>544</v>
      </c>
      <c r="C141" s="30" t="s">
        <v>901</v>
      </c>
      <c r="D141" s="30" t="s">
        <v>684</v>
      </c>
      <c r="E141" s="30" t="s">
        <v>674</v>
      </c>
      <c r="F141" s="30" t="s">
        <v>716</v>
      </c>
      <c r="G141" s="30" t="s">
        <v>744</v>
      </c>
      <c r="H141" s="30" t="s">
        <v>702</v>
      </c>
      <c r="I141" s="30" t="s">
        <v>736</v>
      </c>
      <c r="J141" s="30" t="s">
        <v>737</v>
      </c>
      <c r="K141" s="30" t="s">
        <v>738</v>
      </c>
      <c r="L141" s="30" t="s">
        <v>739</v>
      </c>
      <c r="M141" s="30">
        <v>0.2</v>
      </c>
      <c r="N141" s="30" t="s">
        <v>67</v>
      </c>
      <c r="O141" s="30" t="s">
        <v>2162</v>
      </c>
      <c r="P141" s="30" t="s">
        <v>683</v>
      </c>
      <c r="Q141" s="30" t="s">
        <v>767</v>
      </c>
      <c r="R141" s="30" t="s">
        <v>639</v>
      </c>
      <c r="S141" s="30" t="s">
        <v>684</v>
      </c>
    </row>
    <row r="142" spans="1:19" x14ac:dyDescent="0.3">
      <c r="A142" s="31" t="s">
        <v>911</v>
      </c>
      <c r="B142" s="32" t="s">
        <v>544</v>
      </c>
      <c r="C142" s="32" t="s">
        <v>912</v>
      </c>
      <c r="D142" s="32" t="s">
        <v>684</v>
      </c>
      <c r="E142" s="32" t="s">
        <v>674</v>
      </c>
      <c r="F142" s="32" t="s">
        <v>716</v>
      </c>
      <c r="G142" s="32" t="s">
        <v>744</v>
      </c>
      <c r="H142" s="32" t="s">
        <v>702</v>
      </c>
      <c r="I142" s="32" t="s">
        <v>736</v>
      </c>
      <c r="J142" s="32" t="s">
        <v>737</v>
      </c>
      <c r="K142" s="32" t="s">
        <v>738</v>
      </c>
      <c r="L142" s="32" t="s">
        <v>808</v>
      </c>
      <c r="M142" s="32">
        <v>0.8</v>
      </c>
      <c r="N142" s="32" t="s">
        <v>243</v>
      </c>
      <c r="O142" s="32" t="s">
        <v>2162</v>
      </c>
      <c r="P142" s="32" t="s">
        <v>683</v>
      </c>
      <c r="Q142" s="32" t="s">
        <v>767</v>
      </c>
      <c r="R142" s="32" t="s">
        <v>639</v>
      </c>
      <c r="S142" s="30" t="s">
        <v>684</v>
      </c>
    </row>
    <row r="143" spans="1:19" x14ac:dyDescent="0.3">
      <c r="A143" s="29" t="s">
        <v>900</v>
      </c>
      <c r="B143" s="30" t="s">
        <v>544</v>
      </c>
      <c r="C143" s="30" t="s">
        <v>901</v>
      </c>
      <c r="D143" s="30" t="s">
        <v>684</v>
      </c>
      <c r="E143" s="30" t="s">
        <v>674</v>
      </c>
      <c r="F143" s="30" t="s">
        <v>716</v>
      </c>
      <c r="G143" s="30" t="s">
        <v>744</v>
      </c>
      <c r="H143" s="30" t="s">
        <v>702</v>
      </c>
      <c r="I143" s="30" t="s">
        <v>736</v>
      </c>
      <c r="J143" s="30" t="s">
        <v>737</v>
      </c>
      <c r="K143" s="30" t="s">
        <v>738</v>
      </c>
      <c r="L143" s="30" t="s">
        <v>739</v>
      </c>
      <c r="M143" s="30">
        <v>0.2</v>
      </c>
      <c r="N143" s="30" t="s">
        <v>243</v>
      </c>
      <c r="O143" s="30" t="s">
        <v>2162</v>
      </c>
      <c r="P143" s="30" t="s">
        <v>683</v>
      </c>
      <c r="Q143" s="30" t="s">
        <v>767</v>
      </c>
      <c r="R143" s="30" t="s">
        <v>639</v>
      </c>
      <c r="S143" s="30" t="s">
        <v>684</v>
      </c>
    </row>
    <row r="144" spans="1:19" x14ac:dyDescent="0.3">
      <c r="A144" s="31" t="s">
        <v>913</v>
      </c>
      <c r="B144" s="32" t="s">
        <v>544</v>
      </c>
      <c r="C144" s="32" t="s">
        <v>914</v>
      </c>
      <c r="D144" s="32" t="s">
        <v>684</v>
      </c>
      <c r="E144" s="32" t="s">
        <v>674</v>
      </c>
      <c r="F144" s="32" t="s">
        <v>716</v>
      </c>
      <c r="G144" s="32" t="s">
        <v>744</v>
      </c>
      <c r="H144" s="32" t="s">
        <v>702</v>
      </c>
      <c r="I144" s="32" t="s">
        <v>736</v>
      </c>
      <c r="J144" s="32" t="s">
        <v>737</v>
      </c>
      <c r="K144" s="32" t="s">
        <v>738</v>
      </c>
      <c r="L144" s="32" t="s">
        <v>808</v>
      </c>
      <c r="M144" s="32">
        <v>1</v>
      </c>
      <c r="N144" s="32" t="s">
        <v>259</v>
      </c>
      <c r="O144" s="32" t="s">
        <v>746</v>
      </c>
      <c r="P144" s="32" t="s">
        <v>683</v>
      </c>
      <c r="Q144" s="32" t="s">
        <v>665</v>
      </c>
      <c r="R144" s="32" t="s">
        <v>639</v>
      </c>
      <c r="S144" s="30" t="s">
        <v>684</v>
      </c>
    </row>
    <row r="145" spans="1:19" x14ac:dyDescent="0.3">
      <c r="A145" s="29" t="s">
        <v>915</v>
      </c>
      <c r="B145" s="30" t="s">
        <v>544</v>
      </c>
      <c r="C145" s="30" t="s">
        <v>916</v>
      </c>
      <c r="D145" s="30" t="s">
        <v>684</v>
      </c>
      <c r="E145" s="30" t="s">
        <v>674</v>
      </c>
      <c r="F145" s="30" t="s">
        <v>716</v>
      </c>
      <c r="G145" s="30" t="s">
        <v>744</v>
      </c>
      <c r="H145" s="30" t="s">
        <v>702</v>
      </c>
      <c r="I145" s="30" t="s">
        <v>736</v>
      </c>
      <c r="J145" s="30" t="s">
        <v>737</v>
      </c>
      <c r="K145" s="30" t="s">
        <v>738</v>
      </c>
      <c r="L145" s="30" t="s">
        <v>681</v>
      </c>
      <c r="M145" s="30">
        <v>1</v>
      </c>
      <c r="N145" s="30" t="s">
        <v>280</v>
      </c>
      <c r="O145" s="30" t="s">
        <v>746</v>
      </c>
      <c r="P145" s="30" t="s">
        <v>683</v>
      </c>
      <c r="Q145" s="30" t="s">
        <v>665</v>
      </c>
      <c r="R145" s="30" t="s">
        <v>639</v>
      </c>
      <c r="S145" s="30" t="s">
        <v>684</v>
      </c>
    </row>
    <row r="146" spans="1:19" x14ac:dyDescent="0.3">
      <c r="A146" s="31" t="s">
        <v>913</v>
      </c>
      <c r="B146" s="32" t="s">
        <v>544</v>
      </c>
      <c r="C146" s="32" t="s">
        <v>914</v>
      </c>
      <c r="D146" s="32" t="s">
        <v>684</v>
      </c>
      <c r="E146" s="32" t="s">
        <v>674</v>
      </c>
      <c r="F146" s="32" t="s">
        <v>716</v>
      </c>
      <c r="G146" s="32" t="s">
        <v>744</v>
      </c>
      <c r="H146" s="32" t="s">
        <v>702</v>
      </c>
      <c r="I146" s="32" t="s">
        <v>736</v>
      </c>
      <c r="J146" s="32" t="s">
        <v>737</v>
      </c>
      <c r="K146" s="32" t="s">
        <v>738</v>
      </c>
      <c r="L146" s="32" t="s">
        <v>808</v>
      </c>
      <c r="M146" s="32">
        <v>1</v>
      </c>
      <c r="N146" s="32" t="s">
        <v>319</v>
      </c>
      <c r="O146" s="32" t="s">
        <v>746</v>
      </c>
      <c r="P146" s="32" t="s">
        <v>683</v>
      </c>
      <c r="Q146" s="32" t="s">
        <v>665</v>
      </c>
      <c r="R146" s="32" t="s">
        <v>639</v>
      </c>
      <c r="S146" s="30" t="s">
        <v>684</v>
      </c>
    </row>
    <row r="147" spans="1:19" x14ac:dyDescent="0.3">
      <c r="A147" s="29" t="s">
        <v>900</v>
      </c>
      <c r="B147" s="30" t="s">
        <v>544</v>
      </c>
      <c r="C147" s="30" t="s">
        <v>901</v>
      </c>
      <c r="D147" s="30" t="s">
        <v>684</v>
      </c>
      <c r="E147" s="30" t="s">
        <v>674</v>
      </c>
      <c r="F147" s="30" t="s">
        <v>716</v>
      </c>
      <c r="G147" s="30" t="s">
        <v>744</v>
      </c>
      <c r="H147" s="30" t="s">
        <v>702</v>
      </c>
      <c r="I147" s="30" t="s">
        <v>736</v>
      </c>
      <c r="J147" s="30" t="s">
        <v>737</v>
      </c>
      <c r="K147" s="30" t="s">
        <v>738</v>
      </c>
      <c r="L147" s="30" t="s">
        <v>739</v>
      </c>
      <c r="M147" s="30">
        <v>0.3</v>
      </c>
      <c r="N147" s="30" t="s">
        <v>327</v>
      </c>
      <c r="O147" s="30" t="s">
        <v>746</v>
      </c>
      <c r="P147" s="30" t="s">
        <v>683</v>
      </c>
      <c r="Q147" s="30" t="s">
        <v>665</v>
      </c>
      <c r="R147" s="30" t="s">
        <v>639</v>
      </c>
      <c r="S147" s="30" t="s">
        <v>684</v>
      </c>
    </row>
    <row r="148" spans="1:19" x14ac:dyDescent="0.3">
      <c r="A148" s="31" t="s">
        <v>898</v>
      </c>
      <c r="B148" s="32" t="s">
        <v>544</v>
      </c>
      <c r="C148" s="32" t="s">
        <v>899</v>
      </c>
      <c r="D148" s="32" t="s">
        <v>684</v>
      </c>
      <c r="E148" s="32" t="s">
        <v>674</v>
      </c>
      <c r="F148" s="32" t="s">
        <v>716</v>
      </c>
      <c r="G148" s="32" t="s">
        <v>744</v>
      </c>
      <c r="H148" s="32" t="s">
        <v>702</v>
      </c>
      <c r="I148" s="32" t="s">
        <v>736</v>
      </c>
      <c r="J148" s="32" t="s">
        <v>737</v>
      </c>
      <c r="K148" s="32" t="s">
        <v>738</v>
      </c>
      <c r="L148" s="32" t="s">
        <v>808</v>
      </c>
      <c r="M148" s="32">
        <v>0.7</v>
      </c>
      <c r="N148" s="32" t="s">
        <v>327</v>
      </c>
      <c r="O148" s="32" t="s">
        <v>746</v>
      </c>
      <c r="P148" s="32" t="s">
        <v>683</v>
      </c>
      <c r="Q148" s="32" t="s">
        <v>665</v>
      </c>
      <c r="R148" s="32" t="s">
        <v>639</v>
      </c>
      <c r="S148" s="30" t="s">
        <v>684</v>
      </c>
    </row>
    <row r="149" spans="1:19" x14ac:dyDescent="0.3">
      <c r="A149" s="29" t="s">
        <v>913</v>
      </c>
      <c r="B149" s="30" t="s">
        <v>544</v>
      </c>
      <c r="C149" s="30" t="s">
        <v>914</v>
      </c>
      <c r="D149" s="30" t="s">
        <v>684</v>
      </c>
      <c r="E149" s="30" t="s">
        <v>674</v>
      </c>
      <c r="F149" s="30" t="s">
        <v>716</v>
      </c>
      <c r="G149" s="30" t="s">
        <v>744</v>
      </c>
      <c r="H149" s="30" t="s">
        <v>702</v>
      </c>
      <c r="I149" s="30" t="s">
        <v>736</v>
      </c>
      <c r="J149" s="30" t="s">
        <v>737</v>
      </c>
      <c r="K149" s="30" t="s">
        <v>738</v>
      </c>
      <c r="L149" s="30" t="s">
        <v>808</v>
      </c>
      <c r="M149" s="30">
        <v>1</v>
      </c>
      <c r="N149" s="30" t="s">
        <v>405</v>
      </c>
      <c r="O149" s="30" t="s">
        <v>746</v>
      </c>
      <c r="P149" s="30" t="s">
        <v>683</v>
      </c>
      <c r="Q149" s="30" t="s">
        <v>665</v>
      </c>
      <c r="R149" s="30" t="s">
        <v>639</v>
      </c>
      <c r="S149" s="30" t="s">
        <v>684</v>
      </c>
    </row>
    <row r="150" spans="1:19" x14ac:dyDescent="0.3">
      <c r="A150" s="31" t="s">
        <v>915</v>
      </c>
      <c r="B150" s="32" t="s">
        <v>544</v>
      </c>
      <c r="C150" s="32" t="s">
        <v>916</v>
      </c>
      <c r="D150" s="32" t="s">
        <v>684</v>
      </c>
      <c r="E150" s="32" t="s">
        <v>674</v>
      </c>
      <c r="F150" s="32" t="s">
        <v>716</v>
      </c>
      <c r="G150" s="32" t="s">
        <v>744</v>
      </c>
      <c r="H150" s="32" t="s">
        <v>702</v>
      </c>
      <c r="I150" s="32" t="s">
        <v>736</v>
      </c>
      <c r="J150" s="32" t="s">
        <v>737</v>
      </c>
      <c r="K150" s="32" t="s">
        <v>738</v>
      </c>
      <c r="L150" s="32" t="s">
        <v>681</v>
      </c>
      <c r="M150" s="32">
        <v>0.2</v>
      </c>
      <c r="N150" s="32" t="s">
        <v>413</v>
      </c>
      <c r="O150" s="32" t="s">
        <v>746</v>
      </c>
      <c r="P150" s="32" t="s">
        <v>683</v>
      </c>
      <c r="Q150" s="32" t="s">
        <v>665</v>
      </c>
      <c r="R150" s="32" t="s">
        <v>639</v>
      </c>
      <c r="S150" s="30" t="s">
        <v>684</v>
      </c>
    </row>
    <row r="151" spans="1:19" x14ac:dyDescent="0.3">
      <c r="A151" s="29" t="s">
        <v>913</v>
      </c>
      <c r="B151" s="30" t="s">
        <v>544</v>
      </c>
      <c r="C151" s="30" t="s">
        <v>914</v>
      </c>
      <c r="D151" s="30" t="s">
        <v>684</v>
      </c>
      <c r="E151" s="30" t="s">
        <v>674</v>
      </c>
      <c r="F151" s="30" t="s">
        <v>716</v>
      </c>
      <c r="G151" s="30" t="s">
        <v>744</v>
      </c>
      <c r="H151" s="30" t="s">
        <v>702</v>
      </c>
      <c r="I151" s="30" t="s">
        <v>736</v>
      </c>
      <c r="J151" s="30" t="s">
        <v>737</v>
      </c>
      <c r="K151" s="30" t="s">
        <v>738</v>
      </c>
      <c r="L151" s="30" t="s">
        <v>808</v>
      </c>
      <c r="M151" s="30">
        <v>0.3</v>
      </c>
      <c r="N151" s="30" t="s">
        <v>413</v>
      </c>
      <c r="O151" s="30" t="s">
        <v>746</v>
      </c>
      <c r="P151" s="30" t="s">
        <v>683</v>
      </c>
      <c r="Q151" s="30" t="s">
        <v>665</v>
      </c>
      <c r="R151" s="30" t="s">
        <v>639</v>
      </c>
      <c r="S151" s="30" t="s">
        <v>684</v>
      </c>
    </row>
    <row r="152" spans="1:19" x14ac:dyDescent="0.3">
      <c r="A152" s="31" t="s">
        <v>911</v>
      </c>
      <c r="B152" s="32" t="s">
        <v>544</v>
      </c>
      <c r="C152" s="32" t="s">
        <v>912</v>
      </c>
      <c r="D152" s="32" t="s">
        <v>684</v>
      </c>
      <c r="E152" s="32" t="s">
        <v>674</v>
      </c>
      <c r="F152" s="32" t="s">
        <v>716</v>
      </c>
      <c r="G152" s="32" t="s">
        <v>744</v>
      </c>
      <c r="H152" s="32" t="s">
        <v>702</v>
      </c>
      <c r="I152" s="32" t="s">
        <v>736</v>
      </c>
      <c r="J152" s="32" t="s">
        <v>737</v>
      </c>
      <c r="K152" s="32" t="s">
        <v>738</v>
      </c>
      <c r="L152" s="32" t="s">
        <v>808</v>
      </c>
      <c r="M152" s="32">
        <v>0.5</v>
      </c>
      <c r="N152" s="32" t="s">
        <v>413</v>
      </c>
      <c r="O152" s="32" t="s">
        <v>746</v>
      </c>
      <c r="P152" s="32" t="s">
        <v>683</v>
      </c>
      <c r="Q152" s="32" t="s">
        <v>665</v>
      </c>
      <c r="R152" s="32" t="s">
        <v>639</v>
      </c>
      <c r="S152" s="30" t="s">
        <v>684</v>
      </c>
    </row>
    <row r="153" spans="1:19" x14ac:dyDescent="0.3">
      <c r="A153" s="29" t="s">
        <v>900</v>
      </c>
      <c r="B153" s="30" t="s">
        <v>544</v>
      </c>
      <c r="C153" s="30" t="s">
        <v>901</v>
      </c>
      <c r="D153" s="30" t="s">
        <v>684</v>
      </c>
      <c r="E153" s="30" t="s">
        <v>674</v>
      </c>
      <c r="F153" s="30" t="s">
        <v>716</v>
      </c>
      <c r="G153" s="30" t="s">
        <v>744</v>
      </c>
      <c r="H153" s="30" t="s">
        <v>702</v>
      </c>
      <c r="I153" s="30" t="s">
        <v>736</v>
      </c>
      <c r="J153" s="30" t="s">
        <v>737</v>
      </c>
      <c r="K153" s="30" t="s">
        <v>738</v>
      </c>
      <c r="L153" s="30" t="s">
        <v>739</v>
      </c>
      <c r="M153" s="30">
        <v>0.2</v>
      </c>
      <c r="N153" s="30" t="s">
        <v>423</v>
      </c>
      <c r="O153" s="30" t="s">
        <v>1915</v>
      </c>
      <c r="P153" s="30" t="s">
        <v>683</v>
      </c>
      <c r="Q153" s="30" t="s">
        <v>767</v>
      </c>
      <c r="R153" s="30" t="s">
        <v>639</v>
      </c>
      <c r="S153" s="30" t="s">
        <v>684</v>
      </c>
    </row>
    <row r="154" spans="1:19" x14ac:dyDescent="0.3">
      <c r="A154" s="31" t="s">
        <v>917</v>
      </c>
      <c r="B154" s="32" t="s">
        <v>544</v>
      </c>
      <c r="C154" s="32" t="s">
        <v>918</v>
      </c>
      <c r="D154" s="32" t="s">
        <v>684</v>
      </c>
      <c r="E154" s="32" t="s">
        <v>674</v>
      </c>
      <c r="F154" s="32" t="s">
        <v>716</v>
      </c>
      <c r="G154" s="32" t="s">
        <v>744</v>
      </c>
      <c r="H154" s="32" t="s">
        <v>702</v>
      </c>
      <c r="I154" s="32" t="s">
        <v>736</v>
      </c>
      <c r="J154" s="32" t="s">
        <v>737</v>
      </c>
      <c r="K154" s="32" t="s">
        <v>738</v>
      </c>
      <c r="L154" s="32" t="s">
        <v>808</v>
      </c>
      <c r="M154" s="32">
        <v>0.8</v>
      </c>
      <c r="N154" s="32" t="s">
        <v>423</v>
      </c>
      <c r="O154" s="32" t="s">
        <v>1915</v>
      </c>
      <c r="P154" s="32" t="s">
        <v>683</v>
      </c>
      <c r="Q154" s="32" t="s">
        <v>767</v>
      </c>
      <c r="R154" s="32" t="s">
        <v>639</v>
      </c>
      <c r="S154" s="30" t="s">
        <v>684</v>
      </c>
    </row>
    <row r="155" spans="1:19" x14ac:dyDescent="0.3">
      <c r="A155" s="29" t="s">
        <v>900</v>
      </c>
      <c r="B155" s="30" t="s">
        <v>544</v>
      </c>
      <c r="C155" s="30" t="s">
        <v>901</v>
      </c>
      <c r="D155" s="30" t="s">
        <v>684</v>
      </c>
      <c r="E155" s="30" t="s">
        <v>674</v>
      </c>
      <c r="F155" s="30" t="s">
        <v>716</v>
      </c>
      <c r="G155" s="30" t="s">
        <v>744</v>
      </c>
      <c r="H155" s="30" t="s">
        <v>702</v>
      </c>
      <c r="I155" s="30" t="s">
        <v>736</v>
      </c>
      <c r="J155" s="30" t="s">
        <v>737</v>
      </c>
      <c r="K155" s="30" t="s">
        <v>738</v>
      </c>
      <c r="L155" s="30" t="s">
        <v>739</v>
      </c>
      <c r="M155" s="30">
        <v>0.2</v>
      </c>
      <c r="N155" s="30" t="s">
        <v>546</v>
      </c>
      <c r="O155" s="30" t="s">
        <v>746</v>
      </c>
      <c r="P155" s="30" t="s">
        <v>683</v>
      </c>
      <c r="Q155" s="30" t="s">
        <v>665</v>
      </c>
      <c r="R155" s="30" t="s">
        <v>639</v>
      </c>
      <c r="S155" s="30" t="s">
        <v>684</v>
      </c>
    </row>
    <row r="156" spans="1:19" x14ac:dyDescent="0.3">
      <c r="A156" s="31" t="s">
        <v>911</v>
      </c>
      <c r="B156" s="32" t="s">
        <v>544</v>
      </c>
      <c r="C156" s="32" t="s">
        <v>912</v>
      </c>
      <c r="D156" s="32" t="s">
        <v>684</v>
      </c>
      <c r="E156" s="32" t="s">
        <v>674</v>
      </c>
      <c r="F156" s="32" t="s">
        <v>716</v>
      </c>
      <c r="G156" s="32" t="s">
        <v>744</v>
      </c>
      <c r="H156" s="32" t="s">
        <v>702</v>
      </c>
      <c r="I156" s="32" t="s">
        <v>736</v>
      </c>
      <c r="J156" s="32" t="s">
        <v>737</v>
      </c>
      <c r="K156" s="32" t="s">
        <v>738</v>
      </c>
      <c r="L156" s="32" t="s">
        <v>808</v>
      </c>
      <c r="M156" s="32">
        <v>0.8</v>
      </c>
      <c r="N156" s="32" t="s">
        <v>546</v>
      </c>
      <c r="O156" s="32" t="s">
        <v>746</v>
      </c>
      <c r="P156" s="32" t="s">
        <v>683</v>
      </c>
      <c r="Q156" s="32" t="s">
        <v>665</v>
      </c>
      <c r="R156" s="32" t="s">
        <v>639</v>
      </c>
      <c r="S156" s="30" t="s">
        <v>684</v>
      </c>
    </row>
    <row r="157" spans="1:19" x14ac:dyDescent="0.3">
      <c r="A157" s="29" t="s">
        <v>900</v>
      </c>
      <c r="B157" s="30" t="s">
        <v>544</v>
      </c>
      <c r="C157" s="30" t="s">
        <v>901</v>
      </c>
      <c r="D157" s="30" t="s">
        <v>684</v>
      </c>
      <c r="E157" s="30" t="s">
        <v>674</v>
      </c>
      <c r="F157" s="30" t="s">
        <v>716</v>
      </c>
      <c r="G157" s="30" t="s">
        <v>744</v>
      </c>
      <c r="H157" s="30" t="s">
        <v>702</v>
      </c>
      <c r="I157" s="30" t="s">
        <v>736</v>
      </c>
      <c r="J157" s="30" t="s">
        <v>737</v>
      </c>
      <c r="K157" s="30" t="s">
        <v>738</v>
      </c>
      <c r="L157" s="30" t="s">
        <v>739</v>
      </c>
      <c r="M157" s="30">
        <v>0.2</v>
      </c>
      <c r="N157" s="30" t="s">
        <v>579</v>
      </c>
      <c r="O157" s="30" t="s">
        <v>746</v>
      </c>
      <c r="P157" s="30" t="s">
        <v>683</v>
      </c>
      <c r="Q157" s="30" t="s">
        <v>665</v>
      </c>
      <c r="R157" s="30" t="s">
        <v>639</v>
      </c>
      <c r="S157" s="30" t="s">
        <v>684</v>
      </c>
    </row>
    <row r="158" spans="1:19" x14ac:dyDescent="0.3">
      <c r="A158" s="31" t="s">
        <v>919</v>
      </c>
      <c r="B158" s="32" t="s">
        <v>544</v>
      </c>
      <c r="C158" s="32" t="s">
        <v>920</v>
      </c>
      <c r="D158" s="32" t="s">
        <v>684</v>
      </c>
      <c r="E158" s="32" t="s">
        <v>674</v>
      </c>
      <c r="F158" s="32" t="s">
        <v>675</v>
      </c>
      <c r="G158" s="32" t="s">
        <v>676</v>
      </c>
      <c r="H158" s="32" t="s">
        <v>677</v>
      </c>
      <c r="I158" s="32" t="s">
        <v>736</v>
      </c>
      <c r="J158" s="32" t="s">
        <v>737</v>
      </c>
      <c r="K158" s="32" t="s">
        <v>738</v>
      </c>
      <c r="L158" s="32" t="s">
        <v>739</v>
      </c>
      <c r="M158" s="32">
        <v>0.8</v>
      </c>
      <c r="N158" s="32" t="s">
        <v>579</v>
      </c>
      <c r="O158" s="32" t="s">
        <v>746</v>
      </c>
      <c r="P158" s="32" t="s">
        <v>683</v>
      </c>
      <c r="Q158" s="32" t="s">
        <v>665</v>
      </c>
      <c r="R158" s="32" t="s">
        <v>639</v>
      </c>
      <c r="S158" s="30" t="s">
        <v>684</v>
      </c>
    </row>
    <row r="159" spans="1:19" x14ac:dyDescent="0.3">
      <c r="A159" s="29" t="s">
        <v>900</v>
      </c>
      <c r="B159" s="30" t="s">
        <v>544</v>
      </c>
      <c r="C159" s="30" t="s">
        <v>901</v>
      </c>
      <c r="D159" s="30" t="s">
        <v>684</v>
      </c>
      <c r="E159" s="30" t="s">
        <v>674</v>
      </c>
      <c r="F159" s="30" t="s">
        <v>716</v>
      </c>
      <c r="G159" s="30" t="s">
        <v>744</v>
      </c>
      <c r="H159" s="30" t="s">
        <v>702</v>
      </c>
      <c r="I159" s="30" t="s">
        <v>736</v>
      </c>
      <c r="J159" s="30" t="s">
        <v>737</v>
      </c>
      <c r="K159" s="30" t="s">
        <v>738</v>
      </c>
      <c r="L159" s="30" t="s">
        <v>739</v>
      </c>
      <c r="M159" s="30">
        <v>0.2</v>
      </c>
      <c r="N159" s="30" t="s">
        <v>580</v>
      </c>
      <c r="O159" s="30" t="s">
        <v>746</v>
      </c>
      <c r="P159" s="30" t="s">
        <v>683</v>
      </c>
      <c r="Q159" s="30" t="s">
        <v>665</v>
      </c>
      <c r="R159" s="30" t="s">
        <v>639</v>
      </c>
      <c r="S159" s="30" t="s">
        <v>684</v>
      </c>
    </row>
    <row r="160" spans="1:19" x14ac:dyDescent="0.3">
      <c r="A160" s="31" t="s">
        <v>898</v>
      </c>
      <c r="B160" s="32" t="s">
        <v>544</v>
      </c>
      <c r="C160" s="32" t="s">
        <v>899</v>
      </c>
      <c r="D160" s="32" t="s">
        <v>684</v>
      </c>
      <c r="E160" s="32" t="s">
        <v>674</v>
      </c>
      <c r="F160" s="32" t="s">
        <v>716</v>
      </c>
      <c r="G160" s="32" t="s">
        <v>744</v>
      </c>
      <c r="H160" s="32" t="s">
        <v>702</v>
      </c>
      <c r="I160" s="32" t="s">
        <v>736</v>
      </c>
      <c r="J160" s="32" t="s">
        <v>737</v>
      </c>
      <c r="K160" s="32" t="s">
        <v>738</v>
      </c>
      <c r="L160" s="32" t="s">
        <v>808</v>
      </c>
      <c r="M160" s="32">
        <v>0.8</v>
      </c>
      <c r="N160" s="32" t="s">
        <v>580</v>
      </c>
      <c r="O160" s="32" t="s">
        <v>746</v>
      </c>
      <c r="P160" s="32" t="s">
        <v>683</v>
      </c>
      <c r="Q160" s="32" t="s">
        <v>665</v>
      </c>
      <c r="R160" s="32" t="s">
        <v>639</v>
      </c>
      <c r="S160" s="30" t="s">
        <v>684</v>
      </c>
    </row>
    <row r="161" spans="1:19" x14ac:dyDescent="0.3">
      <c r="A161" s="29" t="s">
        <v>917</v>
      </c>
      <c r="B161" s="30" t="s">
        <v>544</v>
      </c>
      <c r="C161" s="30" t="s">
        <v>918</v>
      </c>
      <c r="D161" s="30" t="s">
        <v>684</v>
      </c>
      <c r="E161" s="30" t="s">
        <v>674</v>
      </c>
      <c r="F161" s="30" t="s">
        <v>716</v>
      </c>
      <c r="G161" s="30" t="s">
        <v>744</v>
      </c>
      <c r="H161" s="30" t="s">
        <v>702</v>
      </c>
      <c r="I161" s="30" t="s">
        <v>736</v>
      </c>
      <c r="J161" s="30" t="s">
        <v>737</v>
      </c>
      <c r="K161" s="30" t="s">
        <v>738</v>
      </c>
      <c r="L161" s="30" t="s">
        <v>808</v>
      </c>
      <c r="M161" s="30">
        <v>1</v>
      </c>
      <c r="N161" s="30" t="s">
        <v>597</v>
      </c>
      <c r="O161" s="30" t="s">
        <v>746</v>
      </c>
      <c r="P161" s="30" t="s">
        <v>683</v>
      </c>
      <c r="Q161" s="30" t="s">
        <v>665</v>
      </c>
      <c r="R161" s="30" t="s">
        <v>639</v>
      </c>
      <c r="S161" s="30" t="s">
        <v>684</v>
      </c>
    </row>
    <row r="162" spans="1:19" x14ac:dyDescent="0.3">
      <c r="A162" s="31" t="s">
        <v>921</v>
      </c>
      <c r="B162" s="32" t="s">
        <v>544</v>
      </c>
      <c r="C162" s="32" t="s">
        <v>922</v>
      </c>
      <c r="D162" s="32" t="s">
        <v>684</v>
      </c>
      <c r="E162" s="32" t="s">
        <v>674</v>
      </c>
      <c r="F162" s="32" t="s">
        <v>716</v>
      </c>
      <c r="G162" s="32" t="s">
        <v>744</v>
      </c>
      <c r="H162" s="32" t="s">
        <v>702</v>
      </c>
      <c r="I162" s="32" t="s">
        <v>736</v>
      </c>
      <c r="J162" s="32" t="s">
        <v>737</v>
      </c>
      <c r="K162" s="32" t="s">
        <v>738</v>
      </c>
      <c r="L162" s="32" t="s">
        <v>808</v>
      </c>
      <c r="M162" s="32">
        <v>1</v>
      </c>
      <c r="N162" s="32" t="s">
        <v>631</v>
      </c>
      <c r="O162" s="32" t="s">
        <v>1915</v>
      </c>
      <c r="P162" s="32" t="s">
        <v>683</v>
      </c>
      <c r="Q162" s="32" t="s">
        <v>767</v>
      </c>
      <c r="R162" s="32" t="s">
        <v>639</v>
      </c>
      <c r="S162" s="30" t="s">
        <v>684</v>
      </c>
    </row>
    <row r="163" spans="1:19" x14ac:dyDescent="0.3">
      <c r="A163" s="29" t="s">
        <v>915</v>
      </c>
      <c r="B163" s="30" t="s">
        <v>544</v>
      </c>
      <c r="C163" s="30" t="s">
        <v>916</v>
      </c>
      <c r="D163" s="30" t="s">
        <v>684</v>
      </c>
      <c r="E163" s="30" t="s">
        <v>674</v>
      </c>
      <c r="F163" s="30" t="s">
        <v>716</v>
      </c>
      <c r="G163" s="30" t="s">
        <v>744</v>
      </c>
      <c r="H163" s="30" t="s">
        <v>702</v>
      </c>
      <c r="I163" s="30" t="s">
        <v>736</v>
      </c>
      <c r="J163" s="30" t="s">
        <v>737</v>
      </c>
      <c r="K163" s="30" t="s">
        <v>738</v>
      </c>
      <c r="L163" s="30" t="s">
        <v>681</v>
      </c>
      <c r="M163" s="30">
        <v>1</v>
      </c>
      <c r="N163" s="30" t="s">
        <v>133</v>
      </c>
      <c r="O163" s="30" t="s">
        <v>1919</v>
      </c>
      <c r="P163" s="30" t="s">
        <v>683</v>
      </c>
      <c r="Q163" s="30" t="s">
        <v>767</v>
      </c>
      <c r="R163" s="30" t="s">
        <v>639</v>
      </c>
      <c r="S163" s="30" t="s">
        <v>684</v>
      </c>
    </row>
    <row r="164" spans="1:19" x14ac:dyDescent="0.3">
      <c r="A164" s="31" t="s">
        <v>928</v>
      </c>
      <c r="B164" s="32" t="s">
        <v>258</v>
      </c>
      <c r="C164" s="32" t="s">
        <v>929</v>
      </c>
      <c r="D164" s="32" t="s">
        <v>673</v>
      </c>
      <c r="E164" s="32" t="s">
        <v>674</v>
      </c>
      <c r="F164" s="32" t="s">
        <v>716</v>
      </c>
      <c r="G164" s="32" t="s">
        <v>744</v>
      </c>
      <c r="H164" s="32" t="s">
        <v>677</v>
      </c>
      <c r="I164" s="32" t="s">
        <v>678</v>
      </c>
      <c r="J164" s="32" t="s">
        <v>698</v>
      </c>
      <c r="K164" s="32" t="s">
        <v>690</v>
      </c>
      <c r="L164" s="32" t="s">
        <v>681</v>
      </c>
      <c r="M164" s="32">
        <v>0.7</v>
      </c>
      <c r="N164" s="32" t="s">
        <v>421</v>
      </c>
      <c r="O164" s="32" t="s">
        <v>1915</v>
      </c>
      <c r="P164" s="32" t="s">
        <v>683</v>
      </c>
      <c r="Q164" s="32" t="s">
        <v>767</v>
      </c>
      <c r="R164" s="32" t="s">
        <v>258</v>
      </c>
      <c r="S164" s="32" t="s">
        <v>673</v>
      </c>
    </row>
    <row r="165" spans="1:19" x14ac:dyDescent="0.3">
      <c r="A165" s="29" t="s">
        <v>756</v>
      </c>
      <c r="B165" s="30" t="s">
        <v>753</v>
      </c>
      <c r="C165" s="30" t="s">
        <v>756</v>
      </c>
      <c r="D165" s="30" t="s">
        <v>755</v>
      </c>
      <c r="E165" s="30" t="s">
        <v>674</v>
      </c>
      <c r="F165" s="30" t="s">
        <v>716</v>
      </c>
      <c r="G165" s="30" t="s">
        <v>744</v>
      </c>
      <c r="H165" s="30" t="s">
        <v>702</v>
      </c>
      <c r="I165" s="30" t="s">
        <v>678</v>
      </c>
      <c r="J165" s="30" t="s">
        <v>679</v>
      </c>
      <c r="K165" s="30" t="s">
        <v>680</v>
      </c>
      <c r="L165" s="30" t="s">
        <v>681</v>
      </c>
      <c r="M165" s="30">
        <v>1</v>
      </c>
      <c r="N165" s="30" t="s">
        <v>425</v>
      </c>
      <c r="O165" s="30" t="s">
        <v>746</v>
      </c>
      <c r="P165" s="30" t="s">
        <v>683</v>
      </c>
      <c r="Q165" s="30" t="s">
        <v>665</v>
      </c>
      <c r="R165" s="30" t="s">
        <v>753</v>
      </c>
      <c r="S165" s="30" t="s">
        <v>755</v>
      </c>
    </row>
    <row r="166" spans="1:19" x14ac:dyDescent="0.3">
      <c r="A166" s="31" t="s">
        <v>948</v>
      </c>
      <c r="B166" s="32" t="s">
        <v>707</v>
      </c>
      <c r="C166" s="32" t="s">
        <v>910</v>
      </c>
      <c r="D166" s="32" t="s">
        <v>673</v>
      </c>
      <c r="E166" s="32" t="s">
        <v>674</v>
      </c>
      <c r="F166" s="32" t="s">
        <v>12</v>
      </c>
      <c r="G166" s="32" t="s">
        <v>12</v>
      </c>
      <c r="H166" s="32" t="s">
        <v>12</v>
      </c>
      <c r="I166" s="32" t="s">
        <v>12</v>
      </c>
      <c r="J166" s="32" t="s">
        <v>713</v>
      </c>
      <c r="K166" s="32" t="s">
        <v>690</v>
      </c>
      <c r="L166" s="32" t="s">
        <v>699</v>
      </c>
      <c r="M166" s="32">
        <v>1</v>
      </c>
      <c r="N166" s="32" t="s">
        <v>193</v>
      </c>
      <c r="O166" s="32" t="s">
        <v>746</v>
      </c>
      <c r="P166" s="32" t="s">
        <v>683</v>
      </c>
      <c r="Q166" s="32" t="s">
        <v>665</v>
      </c>
      <c r="R166" s="32" t="s">
        <v>132</v>
      </c>
      <c r="S166" s="32" t="s">
        <v>673</v>
      </c>
    </row>
    <row r="167" spans="1:19" x14ac:dyDescent="0.3">
      <c r="A167" s="29" t="s">
        <v>2287</v>
      </c>
      <c r="B167" s="30" t="s">
        <v>707</v>
      </c>
      <c r="C167" s="30" t="s">
        <v>773</v>
      </c>
      <c r="D167" s="30" t="s">
        <v>673</v>
      </c>
      <c r="E167" s="30" t="s">
        <v>674</v>
      </c>
      <c r="F167" s="30" t="s">
        <v>773</v>
      </c>
      <c r="G167" s="30" t="s">
        <v>773</v>
      </c>
      <c r="H167" s="30" t="s">
        <v>773</v>
      </c>
      <c r="I167" s="30" t="s">
        <v>773</v>
      </c>
      <c r="J167" s="30" t="s">
        <v>751</v>
      </c>
      <c r="K167" s="30" t="s">
        <v>690</v>
      </c>
      <c r="L167" s="30" t="s">
        <v>699</v>
      </c>
      <c r="M167" s="30">
        <v>1</v>
      </c>
      <c r="N167" s="30" t="s">
        <v>296</v>
      </c>
      <c r="O167" s="30" t="s">
        <v>2196</v>
      </c>
      <c r="P167" s="30" t="s">
        <v>683</v>
      </c>
      <c r="Q167" s="30" t="s">
        <v>767</v>
      </c>
      <c r="R167" s="30" t="s">
        <v>132</v>
      </c>
      <c r="S167" s="32" t="s">
        <v>673</v>
      </c>
    </row>
    <row r="168" spans="1:19" x14ac:dyDescent="0.3">
      <c r="A168" s="31" t="s">
        <v>851</v>
      </c>
      <c r="B168" s="32" t="s">
        <v>849</v>
      </c>
      <c r="C168" s="32" t="s">
        <v>852</v>
      </c>
      <c r="D168" s="32" t="s">
        <v>673</v>
      </c>
      <c r="E168" s="32" t="s">
        <v>674</v>
      </c>
      <c r="F168" s="32" t="s">
        <v>675</v>
      </c>
      <c r="G168" s="32" t="s">
        <v>731</v>
      </c>
      <c r="H168" s="32" t="s">
        <v>702</v>
      </c>
      <c r="I168" s="32" t="s">
        <v>688</v>
      </c>
      <c r="J168" s="32" t="s">
        <v>713</v>
      </c>
      <c r="K168" s="32" t="s">
        <v>690</v>
      </c>
      <c r="L168" s="32" t="s">
        <v>681</v>
      </c>
      <c r="M168" s="32">
        <v>0.2</v>
      </c>
      <c r="N168" s="32" t="s">
        <v>621</v>
      </c>
      <c r="O168" s="32" t="s">
        <v>682</v>
      </c>
      <c r="P168" s="32" t="s">
        <v>683</v>
      </c>
      <c r="Q168" s="32" t="s">
        <v>665</v>
      </c>
      <c r="R168" s="32" t="s">
        <v>447</v>
      </c>
      <c r="S168" s="32" t="s">
        <v>673</v>
      </c>
    </row>
    <row r="169" spans="1:19" x14ac:dyDescent="0.3">
      <c r="A169" s="29" t="s">
        <v>848</v>
      </c>
      <c r="B169" s="30" t="s">
        <v>849</v>
      </c>
      <c r="C169" s="30" t="s">
        <v>850</v>
      </c>
      <c r="D169" s="30" t="s">
        <v>673</v>
      </c>
      <c r="E169" s="30" t="s">
        <v>674</v>
      </c>
      <c r="F169" s="30" t="s">
        <v>675</v>
      </c>
      <c r="G169" s="30" t="s">
        <v>731</v>
      </c>
      <c r="H169" s="30" t="s">
        <v>702</v>
      </c>
      <c r="I169" s="30" t="s">
        <v>811</v>
      </c>
      <c r="J169" s="30" t="s">
        <v>713</v>
      </c>
      <c r="K169" s="30" t="s">
        <v>690</v>
      </c>
      <c r="L169" s="30" t="s">
        <v>681</v>
      </c>
      <c r="M169" s="30">
        <v>0.8</v>
      </c>
      <c r="N169" s="30" t="s">
        <v>621</v>
      </c>
      <c r="O169" s="30" t="s">
        <v>682</v>
      </c>
      <c r="P169" s="30" t="s">
        <v>683</v>
      </c>
      <c r="Q169" s="30" t="s">
        <v>665</v>
      </c>
      <c r="R169" s="30" t="s">
        <v>447</v>
      </c>
      <c r="S169" s="32" t="s">
        <v>673</v>
      </c>
    </row>
    <row r="170" spans="1:19" x14ac:dyDescent="0.3">
      <c r="A170" s="31" t="s">
        <v>837</v>
      </c>
      <c r="B170" s="32" t="s">
        <v>686</v>
      </c>
      <c r="C170" s="32" t="s">
        <v>838</v>
      </c>
      <c r="D170" s="32" t="s">
        <v>673</v>
      </c>
      <c r="E170" s="32" t="s">
        <v>674</v>
      </c>
      <c r="F170" s="32" t="s">
        <v>716</v>
      </c>
      <c r="G170" s="32" t="s">
        <v>731</v>
      </c>
      <c r="H170" s="32" t="s">
        <v>702</v>
      </c>
      <c r="I170" s="32" t="s">
        <v>688</v>
      </c>
      <c r="J170" s="32" t="s">
        <v>689</v>
      </c>
      <c r="K170" s="32" t="s">
        <v>690</v>
      </c>
      <c r="L170" s="32" t="s">
        <v>691</v>
      </c>
      <c r="M170" s="32">
        <v>1</v>
      </c>
      <c r="N170" s="32" t="s">
        <v>153</v>
      </c>
      <c r="O170" s="32" t="s">
        <v>682</v>
      </c>
      <c r="P170" s="32" t="s">
        <v>683</v>
      </c>
      <c r="Q170" s="32" t="s">
        <v>665</v>
      </c>
      <c r="R170" s="32" t="s">
        <v>447</v>
      </c>
      <c r="S170" s="32" t="s">
        <v>673</v>
      </c>
    </row>
    <row r="171" spans="1:19" x14ac:dyDescent="0.3">
      <c r="A171" s="29" t="s">
        <v>837</v>
      </c>
      <c r="B171" s="30" t="s">
        <v>686</v>
      </c>
      <c r="C171" s="30" t="s">
        <v>838</v>
      </c>
      <c r="D171" s="30" t="s">
        <v>673</v>
      </c>
      <c r="E171" s="30" t="s">
        <v>674</v>
      </c>
      <c r="F171" s="30" t="s">
        <v>716</v>
      </c>
      <c r="G171" s="30" t="s">
        <v>731</v>
      </c>
      <c r="H171" s="30" t="s">
        <v>702</v>
      </c>
      <c r="I171" s="30" t="s">
        <v>688</v>
      </c>
      <c r="J171" s="30" t="s">
        <v>689</v>
      </c>
      <c r="K171" s="30" t="s">
        <v>690</v>
      </c>
      <c r="L171" s="30" t="s">
        <v>691</v>
      </c>
      <c r="M171" s="30">
        <v>1</v>
      </c>
      <c r="N171" s="30" t="s">
        <v>141</v>
      </c>
      <c r="O171" s="30" t="s">
        <v>682</v>
      </c>
      <c r="P171" s="30" t="s">
        <v>683</v>
      </c>
      <c r="Q171" s="30" t="s">
        <v>665</v>
      </c>
      <c r="R171" s="30" t="s">
        <v>447</v>
      </c>
      <c r="S171" s="32" t="s">
        <v>673</v>
      </c>
    </row>
    <row r="172" spans="1:19" x14ac:dyDescent="0.3">
      <c r="A172" s="31" t="s">
        <v>871</v>
      </c>
      <c r="B172" s="32" t="s">
        <v>704</v>
      </c>
      <c r="C172" s="32" t="s">
        <v>872</v>
      </c>
      <c r="D172" s="32" t="s">
        <v>673</v>
      </c>
      <c r="E172" s="32" t="s">
        <v>674</v>
      </c>
      <c r="F172" s="32" t="s">
        <v>675</v>
      </c>
      <c r="G172" s="32" t="s">
        <v>676</v>
      </c>
      <c r="H172" s="32" t="s">
        <v>677</v>
      </c>
      <c r="I172" s="32" t="s">
        <v>678</v>
      </c>
      <c r="J172" s="32" t="s">
        <v>710</v>
      </c>
      <c r="K172" s="32" t="s">
        <v>690</v>
      </c>
      <c r="L172" s="32" t="s">
        <v>681</v>
      </c>
      <c r="M172" s="32">
        <v>0.6</v>
      </c>
      <c r="N172" s="32" t="s">
        <v>613</v>
      </c>
      <c r="O172" s="32" t="s">
        <v>682</v>
      </c>
      <c r="P172" s="32" t="s">
        <v>683</v>
      </c>
      <c r="Q172" s="32" t="s">
        <v>665</v>
      </c>
      <c r="R172" s="32" t="s">
        <v>447</v>
      </c>
      <c r="S172" s="32" t="s">
        <v>673</v>
      </c>
    </row>
    <row r="173" spans="1:19" x14ac:dyDescent="0.3">
      <c r="A173" s="29" t="s">
        <v>740</v>
      </c>
      <c r="B173" s="30" t="s">
        <v>704</v>
      </c>
      <c r="C173" s="30" t="s">
        <v>741</v>
      </c>
      <c r="D173" s="30" t="s">
        <v>673</v>
      </c>
      <c r="E173" s="30" t="s">
        <v>674</v>
      </c>
      <c r="F173" s="30" t="s">
        <v>675</v>
      </c>
      <c r="G173" s="30" t="s">
        <v>676</v>
      </c>
      <c r="H173" s="30" t="s">
        <v>677</v>
      </c>
      <c r="I173" s="30" t="s">
        <v>678</v>
      </c>
      <c r="J173" s="30" t="s">
        <v>710</v>
      </c>
      <c r="K173" s="30" t="s">
        <v>690</v>
      </c>
      <c r="L173" s="30" t="s">
        <v>681</v>
      </c>
      <c r="M173" s="30">
        <v>0.2</v>
      </c>
      <c r="N173" s="30" t="s">
        <v>613</v>
      </c>
      <c r="O173" s="30" t="s">
        <v>682</v>
      </c>
      <c r="P173" s="30" t="s">
        <v>683</v>
      </c>
      <c r="Q173" s="30" t="s">
        <v>665</v>
      </c>
      <c r="R173" s="30" t="s">
        <v>447</v>
      </c>
      <c r="S173" s="32" t="s">
        <v>673</v>
      </c>
    </row>
    <row r="174" spans="1:19" x14ac:dyDescent="0.3">
      <c r="A174" s="31" t="s">
        <v>790</v>
      </c>
      <c r="B174" s="32" t="s">
        <v>791</v>
      </c>
      <c r="C174" s="32" t="s">
        <v>792</v>
      </c>
      <c r="D174" s="32" t="s">
        <v>673</v>
      </c>
      <c r="E174" s="32" t="s">
        <v>674</v>
      </c>
      <c r="F174" s="32" t="s">
        <v>675</v>
      </c>
      <c r="G174" s="32" t="s">
        <v>676</v>
      </c>
      <c r="H174" s="32" t="s">
        <v>677</v>
      </c>
      <c r="I174" s="32" t="s">
        <v>678</v>
      </c>
      <c r="J174" s="32" t="s">
        <v>710</v>
      </c>
      <c r="K174" s="32" t="s">
        <v>690</v>
      </c>
      <c r="L174" s="32" t="s">
        <v>739</v>
      </c>
      <c r="M174" s="32">
        <v>0.2</v>
      </c>
      <c r="N174" s="32" t="s">
        <v>613</v>
      </c>
      <c r="O174" s="32" t="s">
        <v>682</v>
      </c>
      <c r="P174" s="32" t="s">
        <v>683</v>
      </c>
      <c r="Q174" s="32" t="s">
        <v>665</v>
      </c>
      <c r="R174" s="32" t="s">
        <v>447</v>
      </c>
      <c r="S174" s="32" t="s">
        <v>673</v>
      </c>
    </row>
    <row r="175" spans="1:19" x14ac:dyDescent="0.3">
      <c r="A175" s="29" t="s">
        <v>848</v>
      </c>
      <c r="B175" s="30" t="s">
        <v>849</v>
      </c>
      <c r="C175" s="30" t="s">
        <v>850</v>
      </c>
      <c r="D175" s="30" t="s">
        <v>673</v>
      </c>
      <c r="E175" s="30" t="s">
        <v>674</v>
      </c>
      <c r="F175" s="30" t="s">
        <v>675</v>
      </c>
      <c r="G175" s="30" t="s">
        <v>731</v>
      </c>
      <c r="H175" s="30" t="s">
        <v>702</v>
      </c>
      <c r="I175" s="30" t="s">
        <v>811</v>
      </c>
      <c r="J175" s="30" t="s">
        <v>713</v>
      </c>
      <c r="K175" s="30" t="s">
        <v>690</v>
      </c>
      <c r="L175" s="30" t="s">
        <v>681</v>
      </c>
      <c r="M175" s="30">
        <v>0.5</v>
      </c>
      <c r="N175" s="30" t="s">
        <v>311</v>
      </c>
      <c r="O175" s="30" t="s">
        <v>682</v>
      </c>
      <c r="P175" s="30" t="s">
        <v>683</v>
      </c>
      <c r="Q175" s="30" t="s">
        <v>665</v>
      </c>
      <c r="R175" s="30" t="s">
        <v>447</v>
      </c>
      <c r="S175" s="32" t="s">
        <v>673</v>
      </c>
    </row>
    <row r="176" spans="1:19" x14ac:dyDescent="0.3">
      <c r="A176" s="31" t="s">
        <v>851</v>
      </c>
      <c r="B176" s="32" t="s">
        <v>849</v>
      </c>
      <c r="C176" s="32" t="s">
        <v>852</v>
      </c>
      <c r="D176" s="32" t="s">
        <v>673</v>
      </c>
      <c r="E176" s="32" t="s">
        <v>674</v>
      </c>
      <c r="F176" s="32" t="s">
        <v>675</v>
      </c>
      <c r="G176" s="32" t="s">
        <v>731</v>
      </c>
      <c r="H176" s="32" t="s">
        <v>702</v>
      </c>
      <c r="I176" s="32" t="s">
        <v>688</v>
      </c>
      <c r="J176" s="32" t="s">
        <v>713</v>
      </c>
      <c r="K176" s="32" t="s">
        <v>690</v>
      </c>
      <c r="L176" s="32" t="s">
        <v>681</v>
      </c>
      <c r="M176" s="32">
        <v>0.5</v>
      </c>
      <c r="N176" s="32" t="s">
        <v>311</v>
      </c>
      <c r="O176" s="32" t="s">
        <v>682</v>
      </c>
      <c r="P176" s="32" t="s">
        <v>683</v>
      </c>
      <c r="Q176" s="32" t="s">
        <v>665</v>
      </c>
      <c r="R176" s="32" t="s">
        <v>447</v>
      </c>
      <c r="S176" s="32" t="s">
        <v>673</v>
      </c>
    </row>
    <row r="177" spans="1:19" x14ac:dyDescent="0.3">
      <c r="A177" s="29" t="s">
        <v>941</v>
      </c>
      <c r="B177" s="30" t="s">
        <v>154</v>
      </c>
      <c r="C177" s="30" t="s">
        <v>942</v>
      </c>
      <c r="D177" s="30" t="s">
        <v>673</v>
      </c>
      <c r="E177" s="30" t="s">
        <v>674</v>
      </c>
      <c r="F177" s="30" t="s">
        <v>716</v>
      </c>
      <c r="G177" s="30" t="s">
        <v>744</v>
      </c>
      <c r="H177" s="30" t="s">
        <v>935</v>
      </c>
      <c r="I177" s="30" t="s">
        <v>678</v>
      </c>
      <c r="J177" s="30" t="s">
        <v>713</v>
      </c>
      <c r="K177" s="30" t="s">
        <v>690</v>
      </c>
      <c r="L177" s="30" t="s">
        <v>681</v>
      </c>
      <c r="M177" s="30">
        <v>1</v>
      </c>
      <c r="N177" s="30" t="s">
        <v>186</v>
      </c>
      <c r="O177" s="30" t="s">
        <v>746</v>
      </c>
      <c r="P177" s="30" t="s">
        <v>683</v>
      </c>
      <c r="Q177" s="30" t="s">
        <v>665</v>
      </c>
      <c r="R177" s="30" t="s">
        <v>123</v>
      </c>
      <c r="S177" s="32" t="s">
        <v>673</v>
      </c>
    </row>
    <row r="178" spans="1:19" x14ac:dyDescent="0.3">
      <c r="A178" s="31" t="s">
        <v>2288</v>
      </c>
      <c r="B178" s="32" t="s">
        <v>952</v>
      </c>
      <c r="C178" s="32" t="s">
        <v>2289</v>
      </c>
      <c r="D178" s="32" t="s">
        <v>673</v>
      </c>
      <c r="E178" s="32" t="s">
        <v>674</v>
      </c>
      <c r="F178" s="32" t="s">
        <v>675</v>
      </c>
      <c r="G178" s="32" t="s">
        <v>744</v>
      </c>
      <c r="H178" s="32" t="s">
        <v>702</v>
      </c>
      <c r="I178" s="32" t="s">
        <v>688</v>
      </c>
      <c r="J178" s="32" t="s">
        <v>713</v>
      </c>
      <c r="K178" s="32" t="s">
        <v>690</v>
      </c>
      <c r="L178" s="32" t="s">
        <v>691</v>
      </c>
      <c r="M178" s="32">
        <v>1</v>
      </c>
      <c r="N178" s="32" t="s">
        <v>494</v>
      </c>
      <c r="O178" s="32" t="s">
        <v>746</v>
      </c>
      <c r="P178" s="32" t="s">
        <v>683</v>
      </c>
      <c r="Q178" s="32" t="s">
        <v>665</v>
      </c>
      <c r="R178" s="32" t="s">
        <v>123</v>
      </c>
      <c r="S178" s="32" t="s">
        <v>673</v>
      </c>
    </row>
    <row r="179" spans="1:19" x14ac:dyDescent="0.3">
      <c r="A179" s="29" t="s">
        <v>951</v>
      </c>
      <c r="B179" s="30" t="s">
        <v>952</v>
      </c>
      <c r="C179" s="30" t="s">
        <v>953</v>
      </c>
      <c r="D179" s="30" t="s">
        <v>673</v>
      </c>
      <c r="E179" s="30" t="s">
        <v>674</v>
      </c>
      <c r="F179" s="30" t="s">
        <v>716</v>
      </c>
      <c r="G179" s="30" t="s">
        <v>744</v>
      </c>
      <c r="H179" s="30" t="s">
        <v>702</v>
      </c>
      <c r="I179" s="30" t="s">
        <v>688</v>
      </c>
      <c r="J179" s="30" t="s">
        <v>713</v>
      </c>
      <c r="K179" s="30" t="s">
        <v>690</v>
      </c>
      <c r="L179" s="30" t="s">
        <v>681</v>
      </c>
      <c r="M179" s="30">
        <v>1</v>
      </c>
      <c r="N179" s="30" t="s">
        <v>158</v>
      </c>
      <c r="O179" s="30" t="s">
        <v>1915</v>
      </c>
      <c r="P179" s="30" t="s">
        <v>683</v>
      </c>
      <c r="Q179" s="30" t="s">
        <v>767</v>
      </c>
      <c r="R179" s="30" t="s">
        <v>123</v>
      </c>
      <c r="S179" s="32" t="s">
        <v>673</v>
      </c>
    </row>
    <row r="180" spans="1:19" x14ac:dyDescent="0.3">
      <c r="A180" s="31" t="s">
        <v>941</v>
      </c>
      <c r="B180" s="32" t="s">
        <v>154</v>
      </c>
      <c r="C180" s="32" t="s">
        <v>942</v>
      </c>
      <c r="D180" s="32" t="s">
        <v>673</v>
      </c>
      <c r="E180" s="32" t="s">
        <v>674</v>
      </c>
      <c r="F180" s="32" t="s">
        <v>716</v>
      </c>
      <c r="G180" s="32" t="s">
        <v>744</v>
      </c>
      <c r="H180" s="32" t="s">
        <v>935</v>
      </c>
      <c r="I180" s="32" t="s">
        <v>678</v>
      </c>
      <c r="J180" s="32" t="s">
        <v>713</v>
      </c>
      <c r="K180" s="32" t="s">
        <v>690</v>
      </c>
      <c r="L180" s="32" t="s">
        <v>681</v>
      </c>
      <c r="M180" s="32">
        <v>1</v>
      </c>
      <c r="N180" s="32" t="s">
        <v>540</v>
      </c>
      <c r="O180" s="32" t="s">
        <v>746</v>
      </c>
      <c r="P180" s="32" t="s">
        <v>683</v>
      </c>
      <c r="Q180" s="32" t="s">
        <v>665</v>
      </c>
      <c r="R180" s="32" t="s">
        <v>123</v>
      </c>
      <c r="S180" s="32" t="s">
        <v>673</v>
      </c>
    </row>
    <row r="181" spans="1:19" x14ac:dyDescent="0.3">
      <c r="A181" s="29" t="s">
        <v>941</v>
      </c>
      <c r="B181" s="30" t="s">
        <v>154</v>
      </c>
      <c r="C181" s="30" t="s">
        <v>942</v>
      </c>
      <c r="D181" s="30" t="s">
        <v>673</v>
      </c>
      <c r="E181" s="30" t="s">
        <v>674</v>
      </c>
      <c r="F181" s="30" t="s">
        <v>716</v>
      </c>
      <c r="G181" s="30" t="s">
        <v>744</v>
      </c>
      <c r="H181" s="30" t="s">
        <v>935</v>
      </c>
      <c r="I181" s="30" t="s">
        <v>678</v>
      </c>
      <c r="J181" s="30" t="s">
        <v>713</v>
      </c>
      <c r="K181" s="30" t="s">
        <v>690</v>
      </c>
      <c r="L181" s="30" t="s">
        <v>681</v>
      </c>
      <c r="M181" s="30">
        <v>1</v>
      </c>
      <c r="N181" s="30" t="s">
        <v>589</v>
      </c>
      <c r="O181" s="30" t="s">
        <v>746</v>
      </c>
      <c r="P181" s="30" t="s">
        <v>683</v>
      </c>
      <c r="Q181" s="30" t="s">
        <v>665</v>
      </c>
      <c r="R181" s="30" t="s">
        <v>123</v>
      </c>
      <c r="S181" s="32" t="s">
        <v>673</v>
      </c>
    </row>
    <row r="182" spans="1:19" x14ac:dyDescent="0.3">
      <c r="A182" s="31" t="s">
        <v>951</v>
      </c>
      <c r="B182" s="32" t="s">
        <v>952</v>
      </c>
      <c r="C182" s="32" t="s">
        <v>953</v>
      </c>
      <c r="D182" s="32" t="s">
        <v>673</v>
      </c>
      <c r="E182" s="32" t="s">
        <v>674</v>
      </c>
      <c r="F182" s="32" t="s">
        <v>716</v>
      </c>
      <c r="G182" s="32" t="s">
        <v>744</v>
      </c>
      <c r="H182" s="32" t="s">
        <v>702</v>
      </c>
      <c r="I182" s="32" t="s">
        <v>688</v>
      </c>
      <c r="J182" s="32" t="s">
        <v>713</v>
      </c>
      <c r="K182" s="32" t="s">
        <v>690</v>
      </c>
      <c r="L182" s="32" t="s">
        <v>681</v>
      </c>
      <c r="M182" s="32">
        <v>1</v>
      </c>
      <c r="N182" s="32" t="s">
        <v>262</v>
      </c>
      <c r="O182" s="32" t="s">
        <v>1915</v>
      </c>
      <c r="P182" s="32" t="s">
        <v>683</v>
      </c>
      <c r="Q182" s="32" t="s">
        <v>767</v>
      </c>
      <c r="R182" s="32" t="s">
        <v>123</v>
      </c>
      <c r="S182" s="32" t="s">
        <v>673</v>
      </c>
    </row>
    <row r="183" spans="1:19" x14ac:dyDescent="0.3">
      <c r="A183" s="29" t="s">
        <v>954</v>
      </c>
      <c r="B183" s="30" t="s">
        <v>955</v>
      </c>
      <c r="C183" s="30" t="s">
        <v>956</v>
      </c>
      <c r="D183" s="30" t="s">
        <v>673</v>
      </c>
      <c r="E183" s="30" t="s">
        <v>674</v>
      </c>
      <c r="F183" s="30" t="s">
        <v>675</v>
      </c>
      <c r="G183" s="30" t="s">
        <v>676</v>
      </c>
      <c r="H183" s="30" t="s">
        <v>677</v>
      </c>
      <c r="I183" s="30" t="s">
        <v>688</v>
      </c>
      <c r="J183" s="30" t="s">
        <v>713</v>
      </c>
      <c r="K183" s="30" t="s">
        <v>690</v>
      </c>
      <c r="L183" s="30" t="s">
        <v>699</v>
      </c>
      <c r="M183" s="30">
        <v>0.8</v>
      </c>
      <c r="N183" s="30" t="s">
        <v>173</v>
      </c>
      <c r="O183" s="30" t="s">
        <v>746</v>
      </c>
      <c r="P183" s="30" t="s">
        <v>683</v>
      </c>
      <c r="Q183" s="30" t="s">
        <v>665</v>
      </c>
      <c r="R183" s="30" t="s">
        <v>123</v>
      </c>
      <c r="S183" s="32" t="s">
        <v>673</v>
      </c>
    </row>
    <row r="184" spans="1:19" x14ac:dyDescent="0.3">
      <c r="A184" s="31" t="s">
        <v>1205</v>
      </c>
      <c r="B184" s="32" t="s">
        <v>154</v>
      </c>
      <c r="C184" s="32" t="s">
        <v>1206</v>
      </c>
      <c r="D184" s="32" t="s">
        <v>673</v>
      </c>
      <c r="E184" s="32" t="s">
        <v>674</v>
      </c>
      <c r="F184" s="32" t="s">
        <v>716</v>
      </c>
      <c r="G184" s="32" t="s">
        <v>744</v>
      </c>
      <c r="H184" s="32" t="s">
        <v>935</v>
      </c>
      <c r="I184" s="32" t="s">
        <v>688</v>
      </c>
      <c r="J184" s="32" t="s">
        <v>713</v>
      </c>
      <c r="K184" s="32" t="s">
        <v>690</v>
      </c>
      <c r="L184" s="32" t="s">
        <v>681</v>
      </c>
      <c r="M184" s="32">
        <v>0.2</v>
      </c>
      <c r="N184" s="32" t="s">
        <v>173</v>
      </c>
      <c r="O184" s="32" t="s">
        <v>746</v>
      </c>
      <c r="P184" s="32" t="s">
        <v>683</v>
      </c>
      <c r="Q184" s="32" t="s">
        <v>665</v>
      </c>
      <c r="R184" s="32" t="s">
        <v>123</v>
      </c>
      <c r="S184" s="32" t="s">
        <v>673</v>
      </c>
    </row>
    <row r="185" spans="1:19" x14ac:dyDescent="0.3">
      <c r="A185" s="29" t="s">
        <v>1202</v>
      </c>
      <c r="B185" s="30" t="s">
        <v>154</v>
      </c>
      <c r="C185" s="30" t="s">
        <v>862</v>
      </c>
      <c r="D185" s="30" t="s">
        <v>673</v>
      </c>
      <c r="E185" s="30" t="s">
        <v>674</v>
      </c>
      <c r="F185" s="30" t="s">
        <v>716</v>
      </c>
      <c r="G185" s="30" t="s">
        <v>744</v>
      </c>
      <c r="H185" s="30" t="s">
        <v>935</v>
      </c>
      <c r="I185" s="30" t="s">
        <v>678</v>
      </c>
      <c r="J185" s="30" t="s">
        <v>713</v>
      </c>
      <c r="K185" s="30" t="s">
        <v>690</v>
      </c>
      <c r="L185" s="30" t="s">
        <v>681</v>
      </c>
      <c r="M185" s="30">
        <v>0.5</v>
      </c>
      <c r="N185" s="30" t="s">
        <v>66</v>
      </c>
      <c r="O185" s="30" t="s">
        <v>1915</v>
      </c>
      <c r="P185" s="30" t="s">
        <v>683</v>
      </c>
      <c r="Q185" s="30" t="s">
        <v>767</v>
      </c>
      <c r="R185" s="30" t="s">
        <v>123</v>
      </c>
      <c r="S185" s="32" t="s">
        <v>673</v>
      </c>
    </row>
    <row r="186" spans="1:19" x14ac:dyDescent="0.3">
      <c r="A186" s="31" t="s">
        <v>959</v>
      </c>
      <c r="B186" s="32" t="s">
        <v>960</v>
      </c>
      <c r="C186" s="32" t="s">
        <v>961</v>
      </c>
      <c r="D186" s="32" t="s">
        <v>673</v>
      </c>
      <c r="E186" s="32" t="s">
        <v>674</v>
      </c>
      <c r="F186" s="32" t="s">
        <v>675</v>
      </c>
      <c r="G186" s="32" t="s">
        <v>676</v>
      </c>
      <c r="H186" s="32" t="s">
        <v>677</v>
      </c>
      <c r="I186" s="32" t="s">
        <v>678</v>
      </c>
      <c r="J186" s="32" t="s">
        <v>713</v>
      </c>
      <c r="K186" s="32" t="s">
        <v>690</v>
      </c>
      <c r="L186" s="32" t="s">
        <v>699</v>
      </c>
      <c r="M186" s="32">
        <v>0.1</v>
      </c>
      <c r="N186" s="32" t="s">
        <v>69</v>
      </c>
      <c r="O186" s="32" t="s">
        <v>746</v>
      </c>
      <c r="P186" s="32" t="s">
        <v>683</v>
      </c>
      <c r="Q186" s="32" t="s">
        <v>665</v>
      </c>
      <c r="R186" s="32" t="s">
        <v>123</v>
      </c>
      <c r="S186" s="32" t="s">
        <v>673</v>
      </c>
    </row>
    <row r="187" spans="1:19" x14ac:dyDescent="0.3">
      <c r="A187" s="29" t="s">
        <v>962</v>
      </c>
      <c r="B187" s="30" t="s">
        <v>760</v>
      </c>
      <c r="C187" s="30" t="s">
        <v>963</v>
      </c>
      <c r="D187" s="30" t="s">
        <v>673</v>
      </c>
      <c r="E187" s="30" t="s">
        <v>674</v>
      </c>
      <c r="F187" s="30" t="s">
        <v>675</v>
      </c>
      <c r="G187" s="30" t="s">
        <v>676</v>
      </c>
      <c r="H187" s="30" t="s">
        <v>677</v>
      </c>
      <c r="I187" s="30" t="s">
        <v>678</v>
      </c>
      <c r="J187" s="30" t="s">
        <v>713</v>
      </c>
      <c r="K187" s="30" t="s">
        <v>690</v>
      </c>
      <c r="L187" s="30" t="s">
        <v>699</v>
      </c>
      <c r="M187" s="30">
        <v>0.2</v>
      </c>
      <c r="N187" s="30" t="s">
        <v>69</v>
      </c>
      <c r="O187" s="30" t="s">
        <v>746</v>
      </c>
      <c r="P187" s="30" t="s">
        <v>683</v>
      </c>
      <c r="Q187" s="30" t="s">
        <v>665</v>
      </c>
      <c r="R187" s="30" t="s">
        <v>123</v>
      </c>
      <c r="S187" s="32" t="s">
        <v>673</v>
      </c>
    </row>
    <row r="188" spans="1:19" x14ac:dyDescent="0.3">
      <c r="A188" s="31" t="s">
        <v>964</v>
      </c>
      <c r="B188" s="32" t="s">
        <v>960</v>
      </c>
      <c r="C188" s="32" t="s">
        <v>965</v>
      </c>
      <c r="D188" s="32" t="s">
        <v>673</v>
      </c>
      <c r="E188" s="32" t="s">
        <v>674</v>
      </c>
      <c r="F188" s="32" t="s">
        <v>675</v>
      </c>
      <c r="G188" s="32" t="s">
        <v>676</v>
      </c>
      <c r="H188" s="32" t="s">
        <v>677</v>
      </c>
      <c r="I188" s="32" t="s">
        <v>678</v>
      </c>
      <c r="J188" s="32" t="s">
        <v>713</v>
      </c>
      <c r="K188" s="32" t="s">
        <v>690</v>
      </c>
      <c r="L188" s="32" t="s">
        <v>699</v>
      </c>
      <c r="M188" s="32">
        <v>0.9</v>
      </c>
      <c r="N188" s="32" t="s">
        <v>347</v>
      </c>
      <c r="O188" s="32" t="s">
        <v>746</v>
      </c>
      <c r="P188" s="32" t="s">
        <v>683</v>
      </c>
      <c r="Q188" s="32" t="s">
        <v>665</v>
      </c>
      <c r="R188" s="32" t="s">
        <v>123</v>
      </c>
      <c r="S188" s="32" t="s">
        <v>673</v>
      </c>
    </row>
    <row r="189" spans="1:19" x14ac:dyDescent="0.3">
      <c r="A189" s="29" t="s">
        <v>966</v>
      </c>
      <c r="B189" s="30" t="s">
        <v>967</v>
      </c>
      <c r="C189" s="30" t="s">
        <v>968</v>
      </c>
      <c r="D189" s="30" t="s">
        <v>673</v>
      </c>
      <c r="E189" s="30" t="s">
        <v>674</v>
      </c>
      <c r="F189" s="30" t="s">
        <v>716</v>
      </c>
      <c r="G189" s="30" t="s">
        <v>744</v>
      </c>
      <c r="H189" s="30" t="s">
        <v>935</v>
      </c>
      <c r="I189" s="30" t="s">
        <v>678</v>
      </c>
      <c r="J189" s="30" t="s">
        <v>713</v>
      </c>
      <c r="K189" s="30" t="s">
        <v>690</v>
      </c>
      <c r="L189" s="30" t="s">
        <v>681</v>
      </c>
      <c r="M189" s="30">
        <v>0.2</v>
      </c>
      <c r="N189" s="30" t="s">
        <v>430</v>
      </c>
      <c r="O189" s="30" t="s">
        <v>746</v>
      </c>
      <c r="P189" s="30" t="s">
        <v>683</v>
      </c>
      <c r="Q189" s="30" t="s">
        <v>665</v>
      </c>
      <c r="R189" s="30" t="s">
        <v>123</v>
      </c>
      <c r="S189" s="32" t="s">
        <v>673</v>
      </c>
    </row>
    <row r="190" spans="1:19" x14ac:dyDescent="0.3">
      <c r="A190" s="31" t="s">
        <v>969</v>
      </c>
      <c r="B190" s="32" t="s">
        <v>418</v>
      </c>
      <c r="C190" s="32" t="s">
        <v>970</v>
      </c>
      <c r="D190" s="32" t="s">
        <v>673</v>
      </c>
      <c r="E190" s="32" t="s">
        <v>674</v>
      </c>
      <c r="F190" s="32" t="s">
        <v>675</v>
      </c>
      <c r="G190" s="32" t="s">
        <v>676</v>
      </c>
      <c r="H190" s="32" t="s">
        <v>677</v>
      </c>
      <c r="I190" s="32" t="s">
        <v>678</v>
      </c>
      <c r="J190" s="32" t="s">
        <v>713</v>
      </c>
      <c r="K190" s="32" t="s">
        <v>690</v>
      </c>
      <c r="L190" s="32" t="s">
        <v>681</v>
      </c>
      <c r="M190" s="32">
        <v>0.1</v>
      </c>
      <c r="N190" s="32" t="s">
        <v>469</v>
      </c>
      <c r="O190" s="32" t="s">
        <v>746</v>
      </c>
      <c r="P190" s="32" t="s">
        <v>683</v>
      </c>
      <c r="Q190" s="32" t="s">
        <v>665</v>
      </c>
      <c r="R190" s="32" t="s">
        <v>123</v>
      </c>
      <c r="S190" s="32" t="s">
        <v>673</v>
      </c>
    </row>
    <row r="191" spans="1:19" x14ac:dyDescent="0.3">
      <c r="A191" s="29" t="s">
        <v>959</v>
      </c>
      <c r="B191" s="30" t="s">
        <v>960</v>
      </c>
      <c r="C191" s="30" t="s">
        <v>961</v>
      </c>
      <c r="D191" s="30" t="s">
        <v>673</v>
      </c>
      <c r="E191" s="30" t="s">
        <v>674</v>
      </c>
      <c r="F191" s="30" t="s">
        <v>675</v>
      </c>
      <c r="G191" s="30" t="s">
        <v>676</v>
      </c>
      <c r="H191" s="30" t="s">
        <v>677</v>
      </c>
      <c r="I191" s="30" t="s">
        <v>678</v>
      </c>
      <c r="J191" s="30" t="s">
        <v>713</v>
      </c>
      <c r="K191" s="30" t="s">
        <v>690</v>
      </c>
      <c r="L191" s="30" t="s">
        <v>699</v>
      </c>
      <c r="M191" s="30">
        <v>0.1</v>
      </c>
      <c r="N191" s="30" t="s">
        <v>469</v>
      </c>
      <c r="O191" s="30" t="s">
        <v>746</v>
      </c>
      <c r="P191" s="30" t="s">
        <v>683</v>
      </c>
      <c r="Q191" s="30" t="s">
        <v>665</v>
      </c>
      <c r="R191" s="30" t="s">
        <v>123</v>
      </c>
      <c r="S191" s="32" t="s">
        <v>673</v>
      </c>
    </row>
    <row r="192" spans="1:19" x14ac:dyDescent="0.3">
      <c r="A192" s="31" t="s">
        <v>966</v>
      </c>
      <c r="B192" s="32" t="s">
        <v>967</v>
      </c>
      <c r="C192" s="32" t="s">
        <v>968</v>
      </c>
      <c r="D192" s="32" t="s">
        <v>673</v>
      </c>
      <c r="E192" s="32" t="s">
        <v>674</v>
      </c>
      <c r="F192" s="32" t="s">
        <v>716</v>
      </c>
      <c r="G192" s="32" t="s">
        <v>744</v>
      </c>
      <c r="H192" s="32" t="s">
        <v>935</v>
      </c>
      <c r="I192" s="32" t="s">
        <v>678</v>
      </c>
      <c r="J192" s="32" t="s">
        <v>713</v>
      </c>
      <c r="K192" s="32" t="s">
        <v>690</v>
      </c>
      <c r="L192" s="32" t="s">
        <v>681</v>
      </c>
      <c r="M192" s="32">
        <v>0.2</v>
      </c>
      <c r="N192" s="32" t="s">
        <v>536</v>
      </c>
      <c r="O192" s="32" t="s">
        <v>1915</v>
      </c>
      <c r="P192" s="32" t="s">
        <v>683</v>
      </c>
      <c r="Q192" s="32" t="s">
        <v>767</v>
      </c>
      <c r="R192" s="32" t="s">
        <v>123</v>
      </c>
      <c r="S192" s="32" t="s">
        <v>673</v>
      </c>
    </row>
    <row r="193" spans="1:19" x14ac:dyDescent="0.3">
      <c r="A193" s="29" t="s">
        <v>971</v>
      </c>
      <c r="B193" s="30" t="s">
        <v>753</v>
      </c>
      <c r="C193" s="30" t="s">
        <v>972</v>
      </c>
      <c r="D193" s="30" t="s">
        <v>755</v>
      </c>
      <c r="E193" s="30" t="s">
        <v>674</v>
      </c>
      <c r="F193" s="30" t="s">
        <v>675</v>
      </c>
      <c r="G193" s="30" t="s">
        <v>676</v>
      </c>
      <c r="H193" s="30" t="s">
        <v>702</v>
      </c>
      <c r="I193" s="30" t="s">
        <v>678</v>
      </c>
      <c r="J193" s="30" t="s">
        <v>679</v>
      </c>
      <c r="K193" s="30" t="s">
        <v>680</v>
      </c>
      <c r="L193" s="30" t="s">
        <v>699</v>
      </c>
      <c r="M193" s="30">
        <v>1</v>
      </c>
      <c r="N193" s="30" t="s">
        <v>973</v>
      </c>
      <c r="O193" s="30" t="s">
        <v>746</v>
      </c>
      <c r="P193" s="30" t="s">
        <v>683</v>
      </c>
      <c r="Q193" s="30" t="s">
        <v>665</v>
      </c>
      <c r="R193" s="30" t="s">
        <v>753</v>
      </c>
      <c r="S193" s="30" t="s">
        <v>755</v>
      </c>
    </row>
    <row r="194" spans="1:19" x14ac:dyDescent="0.3">
      <c r="A194" s="31" t="s">
        <v>978</v>
      </c>
      <c r="B194" s="32" t="s">
        <v>470</v>
      </c>
      <c r="C194" s="32" t="s">
        <v>979</v>
      </c>
      <c r="D194" s="32" t="s">
        <v>684</v>
      </c>
      <c r="E194" s="32" t="s">
        <v>674</v>
      </c>
      <c r="F194" s="32" t="s">
        <v>675</v>
      </c>
      <c r="G194" s="32" t="s">
        <v>676</v>
      </c>
      <c r="H194" s="32" t="s">
        <v>677</v>
      </c>
      <c r="I194" s="32" t="s">
        <v>736</v>
      </c>
      <c r="J194" s="32" t="s">
        <v>745</v>
      </c>
      <c r="K194" s="32" t="s">
        <v>738</v>
      </c>
      <c r="L194" s="32" t="s">
        <v>699</v>
      </c>
      <c r="M194" s="32">
        <v>0.2</v>
      </c>
      <c r="N194" s="32" t="s">
        <v>557</v>
      </c>
      <c r="O194" s="32" t="s">
        <v>746</v>
      </c>
      <c r="P194" s="32" t="s">
        <v>683</v>
      </c>
      <c r="Q194" s="32" t="s">
        <v>665</v>
      </c>
      <c r="R194" s="32" t="s">
        <v>324</v>
      </c>
      <c r="S194" s="30" t="s">
        <v>684</v>
      </c>
    </row>
    <row r="195" spans="1:19" x14ac:dyDescent="0.3">
      <c r="A195" s="29" t="s">
        <v>980</v>
      </c>
      <c r="B195" s="30" t="s">
        <v>981</v>
      </c>
      <c r="C195" s="30" t="s">
        <v>982</v>
      </c>
      <c r="D195" s="30" t="s">
        <v>684</v>
      </c>
      <c r="E195" s="30" t="s">
        <v>674</v>
      </c>
      <c r="F195" s="30" t="s">
        <v>716</v>
      </c>
      <c r="G195" s="30" t="s">
        <v>744</v>
      </c>
      <c r="H195" s="30" t="s">
        <v>702</v>
      </c>
      <c r="I195" s="30" t="s">
        <v>736</v>
      </c>
      <c r="J195" s="30" t="s">
        <v>745</v>
      </c>
      <c r="K195" s="30" t="s">
        <v>738</v>
      </c>
      <c r="L195" s="30" t="s">
        <v>699</v>
      </c>
      <c r="M195" s="30">
        <v>0.3</v>
      </c>
      <c r="N195" s="30" t="s">
        <v>635</v>
      </c>
      <c r="O195" s="30" t="s">
        <v>746</v>
      </c>
      <c r="P195" s="30" t="s">
        <v>683</v>
      </c>
      <c r="Q195" s="30" t="s">
        <v>665</v>
      </c>
      <c r="R195" s="30" t="s">
        <v>324</v>
      </c>
      <c r="S195" s="30" t="s">
        <v>684</v>
      </c>
    </row>
    <row r="196" spans="1:19" x14ac:dyDescent="0.3">
      <c r="A196" s="31" t="s">
        <v>983</v>
      </c>
      <c r="B196" s="32" t="s">
        <v>981</v>
      </c>
      <c r="C196" s="32" t="s">
        <v>984</v>
      </c>
      <c r="D196" s="32" t="s">
        <v>684</v>
      </c>
      <c r="E196" s="32" t="s">
        <v>674</v>
      </c>
      <c r="F196" s="32" t="s">
        <v>716</v>
      </c>
      <c r="G196" s="32" t="s">
        <v>744</v>
      </c>
      <c r="H196" s="32" t="s">
        <v>702</v>
      </c>
      <c r="I196" s="32" t="s">
        <v>736</v>
      </c>
      <c r="J196" s="32" t="s">
        <v>745</v>
      </c>
      <c r="K196" s="32" t="s">
        <v>738</v>
      </c>
      <c r="L196" s="32" t="s">
        <v>699</v>
      </c>
      <c r="M196" s="32">
        <v>0.4</v>
      </c>
      <c r="N196" s="32" t="s">
        <v>635</v>
      </c>
      <c r="O196" s="32" t="s">
        <v>746</v>
      </c>
      <c r="P196" s="32" t="s">
        <v>683</v>
      </c>
      <c r="Q196" s="32" t="s">
        <v>665</v>
      </c>
      <c r="R196" s="32" t="s">
        <v>324</v>
      </c>
      <c r="S196" s="30" t="s">
        <v>684</v>
      </c>
    </row>
    <row r="197" spans="1:19" x14ac:dyDescent="0.3">
      <c r="A197" s="29" t="s">
        <v>756</v>
      </c>
      <c r="B197" s="30" t="s">
        <v>753</v>
      </c>
      <c r="C197" s="30" t="s">
        <v>756</v>
      </c>
      <c r="D197" s="30" t="s">
        <v>755</v>
      </c>
      <c r="E197" s="30" t="s">
        <v>674</v>
      </c>
      <c r="F197" s="30" t="s">
        <v>716</v>
      </c>
      <c r="G197" s="30" t="s">
        <v>744</v>
      </c>
      <c r="H197" s="30" t="s">
        <v>702</v>
      </c>
      <c r="I197" s="30" t="s">
        <v>678</v>
      </c>
      <c r="J197" s="30" t="s">
        <v>679</v>
      </c>
      <c r="K197" s="30" t="s">
        <v>680</v>
      </c>
      <c r="L197" s="30" t="s">
        <v>681</v>
      </c>
      <c r="M197" s="30">
        <v>1</v>
      </c>
      <c r="N197" s="30" t="s">
        <v>985</v>
      </c>
      <c r="O197" s="30" t="s">
        <v>746</v>
      </c>
      <c r="P197" s="30" t="s">
        <v>683</v>
      </c>
      <c r="Q197" s="30" t="s">
        <v>665</v>
      </c>
      <c r="R197" s="30" t="s">
        <v>293</v>
      </c>
      <c r="S197" s="30" t="s">
        <v>755</v>
      </c>
    </row>
    <row r="198" spans="1:19" x14ac:dyDescent="0.3">
      <c r="A198" s="31" t="s">
        <v>990</v>
      </c>
      <c r="B198" s="32" t="s">
        <v>991</v>
      </c>
      <c r="C198" s="32" t="s">
        <v>992</v>
      </c>
      <c r="D198" s="32" t="s">
        <v>673</v>
      </c>
      <c r="E198" s="32" t="s">
        <v>674</v>
      </c>
      <c r="F198" s="32" t="s">
        <v>716</v>
      </c>
      <c r="G198" s="32" t="s">
        <v>744</v>
      </c>
      <c r="H198" s="32" t="s">
        <v>677</v>
      </c>
      <c r="I198" s="32" t="s">
        <v>2290</v>
      </c>
      <c r="J198" s="32" t="s">
        <v>713</v>
      </c>
      <c r="K198" s="32" t="s">
        <v>690</v>
      </c>
      <c r="L198" s="32" t="s">
        <v>766</v>
      </c>
      <c r="M198" s="32">
        <v>1</v>
      </c>
      <c r="N198" s="32" t="s">
        <v>27</v>
      </c>
      <c r="O198" s="32" t="s">
        <v>746</v>
      </c>
      <c r="P198" s="32" t="s">
        <v>683</v>
      </c>
      <c r="Q198" s="32" t="s">
        <v>665</v>
      </c>
      <c r="R198" s="32" t="s">
        <v>132</v>
      </c>
      <c r="S198" s="32" t="s">
        <v>673</v>
      </c>
    </row>
    <row r="199" spans="1:19" x14ac:dyDescent="0.3">
      <c r="A199" s="29" t="s">
        <v>1016</v>
      </c>
      <c r="B199" s="30" t="s">
        <v>955</v>
      </c>
      <c r="C199" s="30" t="s">
        <v>1017</v>
      </c>
      <c r="D199" s="30" t="s">
        <v>673</v>
      </c>
      <c r="E199" s="30" t="s">
        <v>674</v>
      </c>
      <c r="F199" s="30" t="s">
        <v>675</v>
      </c>
      <c r="G199" s="30" t="s">
        <v>676</v>
      </c>
      <c r="H199" s="30" t="s">
        <v>677</v>
      </c>
      <c r="I199" s="30" t="s">
        <v>688</v>
      </c>
      <c r="J199" s="30" t="s">
        <v>713</v>
      </c>
      <c r="K199" s="30" t="s">
        <v>690</v>
      </c>
      <c r="L199" s="30" t="s">
        <v>699</v>
      </c>
      <c r="M199" s="30">
        <v>0.5</v>
      </c>
      <c r="N199" s="30" t="s">
        <v>212</v>
      </c>
      <c r="O199" s="30" t="s">
        <v>2180</v>
      </c>
      <c r="P199" s="30" t="s">
        <v>683</v>
      </c>
      <c r="Q199" s="30" t="s">
        <v>767</v>
      </c>
      <c r="R199" s="30" t="s">
        <v>132</v>
      </c>
      <c r="S199" s="32" t="s">
        <v>673</v>
      </c>
    </row>
    <row r="200" spans="1:19" x14ac:dyDescent="0.3">
      <c r="A200" s="31" t="s">
        <v>993</v>
      </c>
      <c r="B200" s="32" t="s">
        <v>760</v>
      </c>
      <c r="C200" s="32" t="s">
        <v>994</v>
      </c>
      <c r="D200" s="32" t="s">
        <v>673</v>
      </c>
      <c r="E200" s="32" t="s">
        <v>674</v>
      </c>
      <c r="F200" s="32" t="s">
        <v>675</v>
      </c>
      <c r="G200" s="32" t="s">
        <v>676</v>
      </c>
      <c r="H200" s="32" t="s">
        <v>702</v>
      </c>
      <c r="I200" s="32" t="s">
        <v>688</v>
      </c>
      <c r="J200" s="32" t="s">
        <v>751</v>
      </c>
      <c r="K200" s="32" t="s">
        <v>690</v>
      </c>
      <c r="L200" s="32" t="s">
        <v>681</v>
      </c>
      <c r="M200" s="32">
        <v>1</v>
      </c>
      <c r="N200" s="32" t="s">
        <v>468</v>
      </c>
      <c r="O200" s="32" t="s">
        <v>746</v>
      </c>
      <c r="P200" s="32" t="s">
        <v>683</v>
      </c>
      <c r="Q200" s="32" t="s">
        <v>665</v>
      </c>
      <c r="R200" s="32" t="s">
        <v>132</v>
      </c>
      <c r="S200" s="32" t="s">
        <v>673</v>
      </c>
    </row>
    <row r="201" spans="1:19" x14ac:dyDescent="0.3">
      <c r="A201" s="29" t="s">
        <v>995</v>
      </c>
      <c r="B201" s="30" t="s">
        <v>753</v>
      </c>
      <c r="C201" s="30" t="s">
        <v>996</v>
      </c>
      <c r="D201" s="30" t="s">
        <v>755</v>
      </c>
      <c r="E201" s="30" t="s">
        <v>674</v>
      </c>
      <c r="F201" s="30" t="s">
        <v>716</v>
      </c>
      <c r="G201" s="30" t="s">
        <v>744</v>
      </c>
      <c r="H201" s="30" t="s">
        <v>702</v>
      </c>
      <c r="I201" s="30" t="s">
        <v>2286</v>
      </c>
      <c r="J201" s="30" t="s">
        <v>679</v>
      </c>
      <c r="K201" s="30" t="s">
        <v>680</v>
      </c>
      <c r="L201" s="30" t="s">
        <v>699</v>
      </c>
      <c r="M201" s="30">
        <v>0.3</v>
      </c>
      <c r="N201" s="30" t="s">
        <v>99</v>
      </c>
      <c r="O201" s="30" t="s">
        <v>1919</v>
      </c>
      <c r="P201" s="30" t="s">
        <v>683</v>
      </c>
      <c r="Q201" s="30" t="s">
        <v>767</v>
      </c>
      <c r="R201" s="30" t="s">
        <v>132</v>
      </c>
      <c r="S201" s="32" t="s">
        <v>673</v>
      </c>
    </row>
    <row r="202" spans="1:19" x14ac:dyDescent="0.3">
      <c r="A202" s="31" t="s">
        <v>1596</v>
      </c>
      <c r="B202" s="32" t="s">
        <v>760</v>
      </c>
      <c r="C202" s="32" t="s">
        <v>1597</v>
      </c>
      <c r="D202" s="32" t="s">
        <v>673</v>
      </c>
      <c r="E202" s="32" t="s">
        <v>674</v>
      </c>
      <c r="F202" s="32" t="s">
        <v>716</v>
      </c>
      <c r="G202" s="32" t="s">
        <v>744</v>
      </c>
      <c r="H202" s="32" t="s">
        <v>702</v>
      </c>
      <c r="I202" s="32" t="s">
        <v>688</v>
      </c>
      <c r="J202" s="32" t="s">
        <v>751</v>
      </c>
      <c r="K202" s="32" t="s">
        <v>690</v>
      </c>
      <c r="L202" s="32" t="s">
        <v>699</v>
      </c>
      <c r="M202" s="32">
        <v>0.4</v>
      </c>
      <c r="N202" s="32" t="s">
        <v>99</v>
      </c>
      <c r="O202" s="32" t="s">
        <v>1919</v>
      </c>
      <c r="P202" s="32" t="s">
        <v>683</v>
      </c>
      <c r="Q202" s="32" t="s">
        <v>767</v>
      </c>
      <c r="R202" s="32" t="s">
        <v>132</v>
      </c>
      <c r="S202" s="32" t="s">
        <v>673</v>
      </c>
    </row>
    <row r="203" spans="1:19" x14ac:dyDescent="0.3">
      <c r="A203" s="29" t="s">
        <v>1167</v>
      </c>
      <c r="B203" s="30" t="s">
        <v>753</v>
      </c>
      <c r="C203" s="30" t="s">
        <v>1168</v>
      </c>
      <c r="D203" s="30" t="s">
        <v>755</v>
      </c>
      <c r="E203" s="30" t="s">
        <v>674</v>
      </c>
      <c r="F203" s="30" t="s">
        <v>716</v>
      </c>
      <c r="G203" s="30" t="s">
        <v>744</v>
      </c>
      <c r="H203" s="30" t="s">
        <v>702</v>
      </c>
      <c r="I203" s="30" t="s">
        <v>2286</v>
      </c>
      <c r="J203" s="30" t="s">
        <v>679</v>
      </c>
      <c r="K203" s="30" t="s">
        <v>680</v>
      </c>
      <c r="L203" s="30" t="s">
        <v>699</v>
      </c>
      <c r="M203" s="30">
        <v>0.3</v>
      </c>
      <c r="N203" s="30" t="s">
        <v>99</v>
      </c>
      <c r="O203" s="30" t="s">
        <v>1919</v>
      </c>
      <c r="P203" s="30" t="s">
        <v>683</v>
      </c>
      <c r="Q203" s="30" t="s">
        <v>767</v>
      </c>
      <c r="R203" s="30" t="s">
        <v>132</v>
      </c>
      <c r="S203" s="32" t="s">
        <v>673</v>
      </c>
    </row>
    <row r="204" spans="1:19" x14ac:dyDescent="0.3">
      <c r="A204" s="31" t="s">
        <v>2291</v>
      </c>
      <c r="B204" s="32" t="s">
        <v>760</v>
      </c>
      <c r="C204" s="32" t="s">
        <v>2292</v>
      </c>
      <c r="D204" s="32" t="s">
        <v>673</v>
      </c>
      <c r="E204" s="32" t="s">
        <v>674</v>
      </c>
      <c r="F204" s="32" t="s">
        <v>716</v>
      </c>
      <c r="G204" s="32" t="s">
        <v>744</v>
      </c>
      <c r="H204" s="32" t="s">
        <v>702</v>
      </c>
      <c r="I204" s="32" t="s">
        <v>688</v>
      </c>
      <c r="J204" s="32" t="s">
        <v>751</v>
      </c>
      <c r="K204" s="32" t="s">
        <v>690</v>
      </c>
      <c r="L204" s="32" t="s">
        <v>699</v>
      </c>
      <c r="M204" s="32">
        <v>0.3</v>
      </c>
      <c r="N204" s="32" t="s">
        <v>247</v>
      </c>
      <c r="O204" s="32" t="s">
        <v>1919</v>
      </c>
      <c r="P204" s="32" t="s">
        <v>683</v>
      </c>
      <c r="Q204" s="32" t="s">
        <v>767</v>
      </c>
      <c r="R204" s="32" t="s">
        <v>132</v>
      </c>
      <c r="S204" s="32" t="s">
        <v>673</v>
      </c>
    </row>
    <row r="205" spans="1:19" x14ac:dyDescent="0.3">
      <c r="A205" s="29" t="s">
        <v>997</v>
      </c>
      <c r="B205" s="30" t="s">
        <v>998</v>
      </c>
      <c r="C205" s="30" t="s">
        <v>999</v>
      </c>
      <c r="D205" s="30" t="s">
        <v>673</v>
      </c>
      <c r="E205" s="30" t="s">
        <v>674</v>
      </c>
      <c r="F205" s="30" t="s">
        <v>716</v>
      </c>
      <c r="G205" s="30" t="s">
        <v>744</v>
      </c>
      <c r="H205" s="30" t="s">
        <v>677</v>
      </c>
      <c r="I205" s="30" t="s">
        <v>678</v>
      </c>
      <c r="J205" s="30" t="s">
        <v>751</v>
      </c>
      <c r="K205" s="30" t="s">
        <v>690</v>
      </c>
      <c r="L205" s="30" t="s">
        <v>681</v>
      </c>
      <c r="M205" s="30">
        <v>1</v>
      </c>
      <c r="N205" s="30" t="s">
        <v>541</v>
      </c>
      <c r="O205" s="30" t="s">
        <v>2247</v>
      </c>
      <c r="P205" s="30" t="s">
        <v>683</v>
      </c>
      <c r="Q205" s="30" t="s">
        <v>767</v>
      </c>
      <c r="R205" s="30" t="s">
        <v>278</v>
      </c>
      <c r="S205" s="32" t="s">
        <v>673</v>
      </c>
    </row>
    <row r="206" spans="1:19" x14ac:dyDescent="0.3">
      <c r="A206" s="31" t="s">
        <v>1621</v>
      </c>
      <c r="B206" s="32" t="s">
        <v>749</v>
      </c>
      <c r="C206" s="32" t="s">
        <v>1622</v>
      </c>
      <c r="D206" s="32" t="s">
        <v>673</v>
      </c>
      <c r="E206" s="32" t="s">
        <v>674</v>
      </c>
      <c r="F206" s="32" t="s">
        <v>675</v>
      </c>
      <c r="G206" s="32" t="s">
        <v>744</v>
      </c>
      <c r="H206" s="32" t="s">
        <v>677</v>
      </c>
      <c r="I206" s="32" t="s">
        <v>688</v>
      </c>
      <c r="J206" s="32" t="s">
        <v>751</v>
      </c>
      <c r="K206" s="32" t="s">
        <v>690</v>
      </c>
      <c r="L206" s="32" t="s">
        <v>681</v>
      </c>
      <c r="M206" s="32">
        <v>1</v>
      </c>
      <c r="N206" s="32" t="s">
        <v>407</v>
      </c>
      <c r="O206" s="32" t="s">
        <v>746</v>
      </c>
      <c r="P206" s="32" t="s">
        <v>683</v>
      </c>
      <c r="Q206" s="32" t="s">
        <v>665</v>
      </c>
      <c r="R206" s="32" t="s">
        <v>278</v>
      </c>
      <c r="S206" s="32" t="s">
        <v>673</v>
      </c>
    </row>
    <row r="207" spans="1:19" x14ac:dyDescent="0.3">
      <c r="A207" s="29" t="s">
        <v>1002</v>
      </c>
      <c r="B207" s="30" t="s">
        <v>998</v>
      </c>
      <c r="C207" s="30" t="s">
        <v>1003</v>
      </c>
      <c r="D207" s="30" t="s">
        <v>673</v>
      </c>
      <c r="E207" s="30" t="s">
        <v>674</v>
      </c>
      <c r="F207" s="30" t="s">
        <v>716</v>
      </c>
      <c r="G207" s="30" t="s">
        <v>744</v>
      </c>
      <c r="H207" s="30" t="s">
        <v>677</v>
      </c>
      <c r="I207" s="30" t="s">
        <v>678</v>
      </c>
      <c r="J207" s="30" t="s">
        <v>751</v>
      </c>
      <c r="K207" s="30" t="s">
        <v>690</v>
      </c>
      <c r="L207" s="30" t="s">
        <v>681</v>
      </c>
      <c r="M207" s="30">
        <v>1</v>
      </c>
      <c r="N207" s="30" t="s">
        <v>343</v>
      </c>
      <c r="O207" s="30" t="s">
        <v>1919</v>
      </c>
      <c r="P207" s="30" t="s">
        <v>683</v>
      </c>
      <c r="Q207" s="30" t="s">
        <v>767</v>
      </c>
      <c r="R207" s="30" t="s">
        <v>278</v>
      </c>
      <c r="S207" s="32" t="s">
        <v>673</v>
      </c>
    </row>
    <row r="208" spans="1:19" x14ac:dyDescent="0.3">
      <c r="A208" s="31" t="s">
        <v>814</v>
      </c>
      <c r="B208" s="32" t="s">
        <v>749</v>
      </c>
      <c r="C208" s="32" t="s">
        <v>815</v>
      </c>
      <c r="D208" s="32" t="s">
        <v>673</v>
      </c>
      <c r="E208" s="32" t="s">
        <v>674</v>
      </c>
      <c r="F208" s="32" t="s">
        <v>716</v>
      </c>
      <c r="G208" s="32" t="s">
        <v>744</v>
      </c>
      <c r="H208" s="32" t="s">
        <v>677</v>
      </c>
      <c r="I208" s="32" t="s">
        <v>678</v>
      </c>
      <c r="J208" s="32" t="s">
        <v>751</v>
      </c>
      <c r="K208" s="32" t="s">
        <v>690</v>
      </c>
      <c r="L208" s="32" t="s">
        <v>681</v>
      </c>
      <c r="M208" s="32">
        <v>1</v>
      </c>
      <c r="N208" s="32" t="s">
        <v>61</v>
      </c>
      <c r="O208" s="32" t="s">
        <v>746</v>
      </c>
      <c r="P208" s="32" t="s">
        <v>683</v>
      </c>
      <c r="Q208" s="32" t="s">
        <v>665</v>
      </c>
      <c r="R208" s="32" t="s">
        <v>278</v>
      </c>
      <c r="S208" s="32" t="s">
        <v>673</v>
      </c>
    </row>
    <row r="209" spans="1:19" x14ac:dyDescent="0.3">
      <c r="A209" s="29" t="s">
        <v>997</v>
      </c>
      <c r="B209" s="30" t="s">
        <v>998</v>
      </c>
      <c r="C209" s="30" t="s">
        <v>999</v>
      </c>
      <c r="D209" s="30" t="s">
        <v>673</v>
      </c>
      <c r="E209" s="30" t="s">
        <v>674</v>
      </c>
      <c r="F209" s="30" t="s">
        <v>716</v>
      </c>
      <c r="G209" s="30" t="s">
        <v>744</v>
      </c>
      <c r="H209" s="30" t="s">
        <v>677</v>
      </c>
      <c r="I209" s="30" t="s">
        <v>678</v>
      </c>
      <c r="J209" s="30" t="s">
        <v>751</v>
      </c>
      <c r="K209" s="30" t="s">
        <v>690</v>
      </c>
      <c r="L209" s="30" t="s">
        <v>681</v>
      </c>
      <c r="M209" s="30">
        <v>1</v>
      </c>
      <c r="N209" s="30" t="s">
        <v>202</v>
      </c>
      <c r="O209" s="30" t="s">
        <v>1915</v>
      </c>
      <c r="P209" s="30" t="s">
        <v>683</v>
      </c>
      <c r="Q209" s="30" t="s">
        <v>767</v>
      </c>
      <c r="R209" s="30" t="s">
        <v>278</v>
      </c>
      <c r="S209" s="32" t="s">
        <v>673</v>
      </c>
    </row>
    <row r="210" spans="1:19" x14ac:dyDescent="0.3">
      <c r="A210" s="31" t="s">
        <v>1621</v>
      </c>
      <c r="B210" s="32" t="s">
        <v>749</v>
      </c>
      <c r="C210" s="32" t="s">
        <v>1622</v>
      </c>
      <c r="D210" s="32" t="s">
        <v>673</v>
      </c>
      <c r="E210" s="32" t="s">
        <v>674</v>
      </c>
      <c r="F210" s="32" t="s">
        <v>675</v>
      </c>
      <c r="G210" s="32" t="s">
        <v>744</v>
      </c>
      <c r="H210" s="32" t="s">
        <v>677</v>
      </c>
      <c r="I210" s="32" t="s">
        <v>688</v>
      </c>
      <c r="J210" s="32" t="s">
        <v>751</v>
      </c>
      <c r="K210" s="32" t="s">
        <v>690</v>
      </c>
      <c r="L210" s="32" t="s">
        <v>681</v>
      </c>
      <c r="M210" s="32">
        <v>0.4</v>
      </c>
      <c r="N210" s="32" t="s">
        <v>59</v>
      </c>
      <c r="O210" s="32" t="s">
        <v>1915</v>
      </c>
      <c r="P210" s="32" t="s">
        <v>683</v>
      </c>
      <c r="Q210" s="32" t="s">
        <v>767</v>
      </c>
      <c r="R210" s="32" t="s">
        <v>278</v>
      </c>
      <c r="S210" s="32" t="s">
        <v>673</v>
      </c>
    </row>
    <row r="211" spans="1:19" x14ac:dyDescent="0.3">
      <c r="A211" s="29" t="s">
        <v>814</v>
      </c>
      <c r="B211" s="30" t="s">
        <v>749</v>
      </c>
      <c r="C211" s="30" t="s">
        <v>815</v>
      </c>
      <c r="D211" s="30" t="s">
        <v>673</v>
      </c>
      <c r="E211" s="30" t="s">
        <v>674</v>
      </c>
      <c r="F211" s="30" t="s">
        <v>716</v>
      </c>
      <c r="G211" s="30" t="s">
        <v>744</v>
      </c>
      <c r="H211" s="30" t="s">
        <v>677</v>
      </c>
      <c r="I211" s="30" t="s">
        <v>678</v>
      </c>
      <c r="J211" s="30" t="s">
        <v>751</v>
      </c>
      <c r="K211" s="30" t="s">
        <v>690</v>
      </c>
      <c r="L211" s="30" t="s">
        <v>681</v>
      </c>
      <c r="M211" s="30">
        <v>1</v>
      </c>
      <c r="N211" s="30" t="s">
        <v>551</v>
      </c>
      <c r="O211" s="30" t="s">
        <v>746</v>
      </c>
      <c r="P211" s="30" t="s">
        <v>683</v>
      </c>
      <c r="Q211" s="30" t="s">
        <v>665</v>
      </c>
      <c r="R211" s="30" t="s">
        <v>278</v>
      </c>
      <c r="S211" s="32" t="s">
        <v>673</v>
      </c>
    </row>
    <row r="212" spans="1:19" x14ac:dyDescent="0.3">
      <c r="A212" s="31" t="s">
        <v>997</v>
      </c>
      <c r="B212" s="32" t="s">
        <v>998</v>
      </c>
      <c r="C212" s="32" t="s">
        <v>999</v>
      </c>
      <c r="D212" s="32" t="s">
        <v>673</v>
      </c>
      <c r="E212" s="32" t="s">
        <v>674</v>
      </c>
      <c r="F212" s="32" t="s">
        <v>716</v>
      </c>
      <c r="G212" s="32" t="s">
        <v>744</v>
      </c>
      <c r="H212" s="32" t="s">
        <v>677</v>
      </c>
      <c r="I212" s="32" t="s">
        <v>678</v>
      </c>
      <c r="J212" s="32" t="s">
        <v>751</v>
      </c>
      <c r="K212" s="32" t="s">
        <v>690</v>
      </c>
      <c r="L212" s="32" t="s">
        <v>681</v>
      </c>
      <c r="M212" s="32">
        <v>0.5</v>
      </c>
      <c r="N212" s="32" t="s">
        <v>59</v>
      </c>
      <c r="O212" s="32" t="s">
        <v>1915</v>
      </c>
      <c r="P212" s="32" t="s">
        <v>683</v>
      </c>
      <c r="Q212" s="32" t="s">
        <v>767</v>
      </c>
      <c r="R212" s="32" t="s">
        <v>278</v>
      </c>
      <c r="S212" s="32" t="s">
        <v>673</v>
      </c>
    </row>
    <row r="213" spans="1:19" x14ac:dyDescent="0.3">
      <c r="A213" s="29" t="s">
        <v>1649</v>
      </c>
      <c r="B213" s="30" t="s">
        <v>749</v>
      </c>
      <c r="C213" s="30" t="s">
        <v>1650</v>
      </c>
      <c r="D213" s="30" t="s">
        <v>673</v>
      </c>
      <c r="E213" s="30" t="s">
        <v>674</v>
      </c>
      <c r="F213" s="30" t="s">
        <v>716</v>
      </c>
      <c r="G213" s="30" t="s">
        <v>744</v>
      </c>
      <c r="H213" s="30" t="s">
        <v>677</v>
      </c>
      <c r="I213" s="30" t="s">
        <v>688</v>
      </c>
      <c r="J213" s="30" t="s">
        <v>751</v>
      </c>
      <c r="K213" s="30" t="s">
        <v>690</v>
      </c>
      <c r="L213" s="30" t="s">
        <v>681</v>
      </c>
      <c r="M213" s="30">
        <v>0.1</v>
      </c>
      <c r="N213" s="30" t="s">
        <v>59</v>
      </c>
      <c r="O213" s="30" t="s">
        <v>1915</v>
      </c>
      <c r="P213" s="30" t="s">
        <v>683</v>
      </c>
      <c r="Q213" s="30" t="s">
        <v>767</v>
      </c>
      <c r="R213" s="30" t="s">
        <v>278</v>
      </c>
      <c r="S213" s="32" t="s">
        <v>673</v>
      </c>
    </row>
    <row r="214" spans="1:19" x14ac:dyDescent="0.3">
      <c r="A214" s="31" t="s">
        <v>902</v>
      </c>
      <c r="B214" s="32" t="s">
        <v>707</v>
      </c>
      <c r="C214" s="32" t="s">
        <v>715</v>
      </c>
      <c r="D214" s="32" t="s">
        <v>673</v>
      </c>
      <c r="E214" s="32" t="s">
        <v>674</v>
      </c>
      <c r="F214" s="32" t="s">
        <v>716</v>
      </c>
      <c r="G214" s="32" t="s">
        <v>717</v>
      </c>
      <c r="H214" s="32" t="s">
        <v>717</v>
      </c>
      <c r="I214" s="32" t="s">
        <v>717</v>
      </c>
      <c r="J214" s="32" t="s">
        <v>751</v>
      </c>
      <c r="K214" s="32" t="s">
        <v>690</v>
      </c>
      <c r="L214" s="32" t="s">
        <v>699</v>
      </c>
      <c r="M214" s="32">
        <v>0.5</v>
      </c>
      <c r="N214" s="32" t="s">
        <v>550</v>
      </c>
      <c r="O214" s="32" t="s">
        <v>746</v>
      </c>
      <c r="P214" s="32" t="s">
        <v>683</v>
      </c>
      <c r="Q214" s="32" t="s">
        <v>665</v>
      </c>
      <c r="R214" s="32" t="s">
        <v>278</v>
      </c>
      <c r="S214" s="32" t="s">
        <v>673</v>
      </c>
    </row>
    <row r="215" spans="1:19" x14ac:dyDescent="0.3">
      <c r="A215" s="29" t="s">
        <v>1000</v>
      </c>
      <c r="B215" s="30" t="s">
        <v>998</v>
      </c>
      <c r="C215" s="30" t="s">
        <v>1001</v>
      </c>
      <c r="D215" s="30" t="s">
        <v>673</v>
      </c>
      <c r="E215" s="30" t="s">
        <v>674</v>
      </c>
      <c r="F215" s="30" t="s">
        <v>716</v>
      </c>
      <c r="G215" s="30" t="s">
        <v>744</v>
      </c>
      <c r="H215" s="30" t="s">
        <v>677</v>
      </c>
      <c r="I215" s="30" t="s">
        <v>688</v>
      </c>
      <c r="J215" s="30" t="s">
        <v>751</v>
      </c>
      <c r="K215" s="30" t="s">
        <v>690</v>
      </c>
      <c r="L215" s="30" t="s">
        <v>681</v>
      </c>
      <c r="M215" s="30">
        <v>0.2</v>
      </c>
      <c r="N215" s="30" t="s">
        <v>550</v>
      </c>
      <c r="O215" s="30" t="s">
        <v>746</v>
      </c>
      <c r="P215" s="30" t="s">
        <v>683</v>
      </c>
      <c r="Q215" s="30" t="s">
        <v>665</v>
      </c>
      <c r="R215" s="30" t="s">
        <v>278</v>
      </c>
      <c r="S215" s="32" t="s">
        <v>673</v>
      </c>
    </row>
    <row r="216" spans="1:19" x14ac:dyDescent="0.3">
      <c r="A216" s="31" t="s">
        <v>1011</v>
      </c>
      <c r="B216" s="32" t="s">
        <v>998</v>
      </c>
      <c r="C216" s="32" t="s">
        <v>1012</v>
      </c>
      <c r="D216" s="32" t="s">
        <v>673</v>
      </c>
      <c r="E216" s="32" t="s">
        <v>674</v>
      </c>
      <c r="F216" s="32" t="s">
        <v>716</v>
      </c>
      <c r="G216" s="32" t="s">
        <v>744</v>
      </c>
      <c r="H216" s="32" t="s">
        <v>677</v>
      </c>
      <c r="I216" s="32" t="s">
        <v>688</v>
      </c>
      <c r="J216" s="32" t="s">
        <v>751</v>
      </c>
      <c r="K216" s="32" t="s">
        <v>690</v>
      </c>
      <c r="L216" s="32" t="s">
        <v>681</v>
      </c>
      <c r="M216" s="32">
        <v>0.3</v>
      </c>
      <c r="N216" s="32" t="s">
        <v>550</v>
      </c>
      <c r="O216" s="32" t="s">
        <v>746</v>
      </c>
      <c r="P216" s="32" t="s">
        <v>683</v>
      </c>
      <c r="Q216" s="32" t="s">
        <v>665</v>
      </c>
      <c r="R216" s="32" t="s">
        <v>278</v>
      </c>
      <c r="S216" s="32" t="s">
        <v>673</v>
      </c>
    </row>
    <row r="217" spans="1:19" x14ac:dyDescent="0.3">
      <c r="A217" s="29" t="s">
        <v>1645</v>
      </c>
      <c r="B217" s="30" t="s">
        <v>749</v>
      </c>
      <c r="C217" s="30" t="s">
        <v>1646</v>
      </c>
      <c r="D217" s="30" t="s">
        <v>673</v>
      </c>
      <c r="E217" s="30" t="s">
        <v>674</v>
      </c>
      <c r="F217" s="30" t="s">
        <v>716</v>
      </c>
      <c r="G217" s="30" t="s">
        <v>828</v>
      </c>
      <c r="H217" s="30" t="s">
        <v>677</v>
      </c>
      <c r="I217" s="30" t="s">
        <v>688</v>
      </c>
      <c r="J217" s="30" t="s">
        <v>751</v>
      </c>
      <c r="K217" s="30" t="s">
        <v>690</v>
      </c>
      <c r="L217" s="30" t="s">
        <v>681</v>
      </c>
      <c r="M217" s="30">
        <v>0.5</v>
      </c>
      <c r="N217" s="30" t="s">
        <v>103</v>
      </c>
      <c r="O217" s="30" t="s">
        <v>1915</v>
      </c>
      <c r="P217" s="30" t="s">
        <v>683</v>
      </c>
      <c r="Q217" s="30" t="s">
        <v>767</v>
      </c>
      <c r="R217" s="30" t="s">
        <v>278</v>
      </c>
      <c r="S217" s="32" t="s">
        <v>673</v>
      </c>
    </row>
    <row r="218" spans="1:19" x14ac:dyDescent="0.3">
      <c r="A218" s="31" t="s">
        <v>1430</v>
      </c>
      <c r="B218" s="32" t="s">
        <v>749</v>
      </c>
      <c r="C218" s="32" t="s">
        <v>1431</v>
      </c>
      <c r="D218" s="32" t="s">
        <v>673</v>
      </c>
      <c r="E218" s="32" t="s">
        <v>674</v>
      </c>
      <c r="F218" s="32" t="s">
        <v>716</v>
      </c>
      <c r="G218" s="32" t="s">
        <v>744</v>
      </c>
      <c r="H218" s="32" t="s">
        <v>677</v>
      </c>
      <c r="I218" s="32" t="s">
        <v>678</v>
      </c>
      <c r="J218" s="32" t="s">
        <v>751</v>
      </c>
      <c r="K218" s="32" t="s">
        <v>690</v>
      </c>
      <c r="L218" s="32" t="s">
        <v>681</v>
      </c>
      <c r="M218" s="32">
        <v>0.5</v>
      </c>
      <c r="N218" s="32" t="s">
        <v>103</v>
      </c>
      <c r="O218" s="32" t="s">
        <v>1915</v>
      </c>
      <c r="P218" s="32" t="s">
        <v>683</v>
      </c>
      <c r="Q218" s="32" t="s">
        <v>767</v>
      </c>
      <c r="R218" s="32" t="s">
        <v>278</v>
      </c>
      <c r="S218" s="32" t="s">
        <v>673</v>
      </c>
    </row>
    <row r="219" spans="1:19" x14ac:dyDescent="0.3">
      <c r="A219" s="29" t="s">
        <v>1002</v>
      </c>
      <c r="B219" s="30" t="s">
        <v>998</v>
      </c>
      <c r="C219" s="30" t="s">
        <v>1003</v>
      </c>
      <c r="D219" s="30" t="s">
        <v>673</v>
      </c>
      <c r="E219" s="30" t="s">
        <v>674</v>
      </c>
      <c r="F219" s="30" t="s">
        <v>716</v>
      </c>
      <c r="G219" s="30" t="s">
        <v>744</v>
      </c>
      <c r="H219" s="30" t="s">
        <v>677</v>
      </c>
      <c r="I219" s="30" t="s">
        <v>678</v>
      </c>
      <c r="J219" s="30" t="s">
        <v>751</v>
      </c>
      <c r="K219" s="30" t="s">
        <v>690</v>
      </c>
      <c r="L219" s="30" t="s">
        <v>681</v>
      </c>
      <c r="M219" s="30">
        <v>1</v>
      </c>
      <c r="N219" s="30" t="s">
        <v>111</v>
      </c>
      <c r="O219" s="30" t="s">
        <v>1915</v>
      </c>
      <c r="P219" s="30" t="s">
        <v>683</v>
      </c>
      <c r="Q219" s="30" t="s">
        <v>767</v>
      </c>
      <c r="R219" s="30" t="s">
        <v>278</v>
      </c>
      <c r="S219" s="32" t="s">
        <v>673</v>
      </c>
    </row>
    <row r="220" spans="1:19" x14ac:dyDescent="0.3">
      <c r="A220" s="31" t="s">
        <v>1643</v>
      </c>
      <c r="B220" s="32" t="s">
        <v>749</v>
      </c>
      <c r="C220" s="32" t="s">
        <v>1644</v>
      </c>
      <c r="D220" s="32" t="s">
        <v>673</v>
      </c>
      <c r="E220" s="32" t="s">
        <v>674</v>
      </c>
      <c r="F220" s="32" t="s">
        <v>716</v>
      </c>
      <c r="G220" s="32" t="s">
        <v>744</v>
      </c>
      <c r="H220" s="32" t="s">
        <v>677</v>
      </c>
      <c r="I220" s="32" t="s">
        <v>678</v>
      </c>
      <c r="J220" s="32" t="s">
        <v>751</v>
      </c>
      <c r="K220" s="32" t="s">
        <v>690</v>
      </c>
      <c r="L220" s="32" t="s">
        <v>681</v>
      </c>
      <c r="M220" s="32">
        <v>1</v>
      </c>
      <c r="N220" s="32" t="s">
        <v>539</v>
      </c>
      <c r="O220" s="32" t="s">
        <v>746</v>
      </c>
      <c r="P220" s="32" t="s">
        <v>683</v>
      </c>
      <c r="Q220" s="32" t="s">
        <v>665</v>
      </c>
      <c r="R220" s="32" t="s">
        <v>278</v>
      </c>
      <c r="S220" s="32" t="s">
        <v>673</v>
      </c>
    </row>
    <row r="221" spans="1:19" x14ac:dyDescent="0.3">
      <c r="A221" s="29" t="s">
        <v>1621</v>
      </c>
      <c r="B221" s="30" t="s">
        <v>749</v>
      </c>
      <c r="C221" s="30" t="s">
        <v>1622</v>
      </c>
      <c r="D221" s="30" t="s">
        <v>673</v>
      </c>
      <c r="E221" s="30" t="s">
        <v>674</v>
      </c>
      <c r="F221" s="30" t="s">
        <v>675</v>
      </c>
      <c r="G221" s="30" t="s">
        <v>744</v>
      </c>
      <c r="H221" s="30" t="s">
        <v>677</v>
      </c>
      <c r="I221" s="30" t="s">
        <v>688</v>
      </c>
      <c r="J221" s="30" t="s">
        <v>751</v>
      </c>
      <c r="K221" s="30" t="s">
        <v>690</v>
      </c>
      <c r="L221" s="30" t="s">
        <v>681</v>
      </c>
      <c r="M221" s="30">
        <v>0.2</v>
      </c>
      <c r="N221" s="30" t="s">
        <v>90</v>
      </c>
      <c r="O221" s="30" t="s">
        <v>746</v>
      </c>
      <c r="P221" s="30" t="s">
        <v>683</v>
      </c>
      <c r="Q221" s="30" t="s">
        <v>665</v>
      </c>
      <c r="R221" s="30" t="s">
        <v>278</v>
      </c>
      <c r="S221" s="32" t="s">
        <v>673</v>
      </c>
    </row>
    <row r="222" spans="1:19" x14ac:dyDescent="0.3">
      <c r="A222" s="31" t="s">
        <v>814</v>
      </c>
      <c r="B222" s="32" t="s">
        <v>749</v>
      </c>
      <c r="C222" s="32" t="s">
        <v>815</v>
      </c>
      <c r="D222" s="32" t="s">
        <v>673</v>
      </c>
      <c r="E222" s="32" t="s">
        <v>674</v>
      </c>
      <c r="F222" s="32" t="s">
        <v>716</v>
      </c>
      <c r="G222" s="32" t="s">
        <v>744</v>
      </c>
      <c r="H222" s="32" t="s">
        <v>677</v>
      </c>
      <c r="I222" s="32" t="s">
        <v>678</v>
      </c>
      <c r="J222" s="32" t="s">
        <v>751</v>
      </c>
      <c r="K222" s="32" t="s">
        <v>690</v>
      </c>
      <c r="L222" s="32" t="s">
        <v>681</v>
      </c>
      <c r="M222" s="32">
        <v>0.5</v>
      </c>
      <c r="N222" s="32" t="s">
        <v>90</v>
      </c>
      <c r="O222" s="32" t="s">
        <v>746</v>
      </c>
      <c r="P222" s="32" t="s">
        <v>683</v>
      </c>
      <c r="Q222" s="32" t="s">
        <v>665</v>
      </c>
      <c r="R222" s="32" t="s">
        <v>278</v>
      </c>
      <c r="S222" s="32" t="s">
        <v>673</v>
      </c>
    </row>
    <row r="223" spans="1:19" x14ac:dyDescent="0.3">
      <c r="A223" s="29" t="s">
        <v>1647</v>
      </c>
      <c r="B223" s="30" t="s">
        <v>760</v>
      </c>
      <c r="C223" s="30" t="s">
        <v>1648</v>
      </c>
      <c r="D223" s="30" t="s">
        <v>673</v>
      </c>
      <c r="E223" s="30" t="s">
        <v>674</v>
      </c>
      <c r="F223" s="30" t="s">
        <v>675</v>
      </c>
      <c r="G223" s="30" t="s">
        <v>676</v>
      </c>
      <c r="H223" s="30" t="s">
        <v>677</v>
      </c>
      <c r="I223" s="30" t="s">
        <v>678</v>
      </c>
      <c r="J223" s="30" t="s">
        <v>751</v>
      </c>
      <c r="K223" s="30" t="s">
        <v>690</v>
      </c>
      <c r="L223" s="30" t="s">
        <v>739</v>
      </c>
      <c r="M223" s="30">
        <v>1</v>
      </c>
      <c r="N223" s="30" t="s">
        <v>166</v>
      </c>
      <c r="O223" s="30" t="s">
        <v>746</v>
      </c>
      <c r="P223" s="30" t="s">
        <v>683</v>
      </c>
      <c r="Q223" s="30" t="s">
        <v>665</v>
      </c>
      <c r="R223" s="30" t="s">
        <v>278</v>
      </c>
      <c r="S223" s="32" t="s">
        <v>673</v>
      </c>
    </row>
    <row r="224" spans="1:19" x14ac:dyDescent="0.3">
      <c r="A224" s="31" t="s">
        <v>1640</v>
      </c>
      <c r="B224" s="32" t="s">
        <v>749</v>
      </c>
      <c r="C224" s="32" t="s">
        <v>1641</v>
      </c>
      <c r="D224" s="32" t="s">
        <v>673</v>
      </c>
      <c r="E224" s="32" t="s">
        <v>674</v>
      </c>
      <c r="F224" s="32" t="s">
        <v>716</v>
      </c>
      <c r="G224" s="32" t="s">
        <v>744</v>
      </c>
      <c r="H224" s="32" t="s">
        <v>677</v>
      </c>
      <c r="I224" s="32" t="s">
        <v>688</v>
      </c>
      <c r="J224" s="32" t="s">
        <v>751</v>
      </c>
      <c r="K224" s="32" t="s">
        <v>690</v>
      </c>
      <c r="L224" s="32" t="s">
        <v>681</v>
      </c>
      <c r="M224" s="32">
        <v>1</v>
      </c>
      <c r="N224" s="32" t="s">
        <v>174</v>
      </c>
      <c r="O224" s="32" t="s">
        <v>746</v>
      </c>
      <c r="P224" s="32" t="s">
        <v>683</v>
      </c>
      <c r="Q224" s="32" t="s">
        <v>665</v>
      </c>
      <c r="R224" s="32" t="s">
        <v>278</v>
      </c>
      <c r="S224" s="32" t="s">
        <v>673</v>
      </c>
    </row>
    <row r="225" spans="1:19" x14ac:dyDescent="0.3">
      <c r="A225" s="29" t="s">
        <v>1004</v>
      </c>
      <c r="B225" s="30" t="s">
        <v>858</v>
      </c>
      <c r="C225" s="30" t="s">
        <v>1005</v>
      </c>
      <c r="D225" s="30" t="s">
        <v>684</v>
      </c>
      <c r="E225" s="30" t="s">
        <v>674</v>
      </c>
      <c r="F225" s="30" t="s">
        <v>716</v>
      </c>
      <c r="G225" s="30" t="s">
        <v>744</v>
      </c>
      <c r="H225" s="30" t="s">
        <v>677</v>
      </c>
      <c r="I225" s="30" t="s">
        <v>678</v>
      </c>
      <c r="J225" s="30" t="s">
        <v>860</v>
      </c>
      <c r="K225" s="30" t="s">
        <v>861</v>
      </c>
      <c r="L225" s="30" t="s">
        <v>699</v>
      </c>
      <c r="M225" s="30">
        <v>0.5</v>
      </c>
      <c r="N225" s="30" t="s">
        <v>78</v>
      </c>
      <c r="O225" s="30" t="s">
        <v>746</v>
      </c>
      <c r="P225" s="30" t="s">
        <v>683</v>
      </c>
      <c r="Q225" s="30" t="s">
        <v>665</v>
      </c>
      <c r="R225" s="30" t="s">
        <v>300</v>
      </c>
      <c r="S225" s="30" t="s">
        <v>684</v>
      </c>
    </row>
    <row r="226" spans="1:19" x14ac:dyDescent="0.3">
      <c r="A226" s="31" t="s">
        <v>857</v>
      </c>
      <c r="B226" s="32" t="s">
        <v>858</v>
      </c>
      <c r="C226" s="32" t="s">
        <v>859</v>
      </c>
      <c r="D226" s="32" t="s">
        <v>684</v>
      </c>
      <c r="E226" s="32" t="s">
        <v>674</v>
      </c>
      <c r="F226" s="32" t="s">
        <v>716</v>
      </c>
      <c r="G226" s="32" t="s">
        <v>744</v>
      </c>
      <c r="H226" s="32" t="s">
        <v>677</v>
      </c>
      <c r="I226" s="32" t="s">
        <v>688</v>
      </c>
      <c r="J226" s="32" t="s">
        <v>860</v>
      </c>
      <c r="K226" s="32" t="s">
        <v>861</v>
      </c>
      <c r="L226" s="32" t="s">
        <v>699</v>
      </c>
      <c r="M226" s="32">
        <v>0.5</v>
      </c>
      <c r="N226" s="32" t="s">
        <v>246</v>
      </c>
      <c r="O226" s="32" t="s">
        <v>746</v>
      </c>
      <c r="P226" s="32" t="s">
        <v>683</v>
      </c>
      <c r="Q226" s="32" t="s">
        <v>665</v>
      </c>
      <c r="R226" s="32" t="s">
        <v>300</v>
      </c>
      <c r="S226" s="30" t="s">
        <v>684</v>
      </c>
    </row>
    <row r="227" spans="1:19" x14ac:dyDescent="0.3">
      <c r="A227" s="29" t="s">
        <v>1037</v>
      </c>
      <c r="B227" s="30" t="s">
        <v>858</v>
      </c>
      <c r="C227" s="30" t="s">
        <v>1038</v>
      </c>
      <c r="D227" s="30" t="s">
        <v>684</v>
      </c>
      <c r="E227" s="30" t="s">
        <v>674</v>
      </c>
      <c r="F227" s="30" t="s">
        <v>716</v>
      </c>
      <c r="G227" s="30" t="s">
        <v>744</v>
      </c>
      <c r="H227" s="30" t="s">
        <v>677</v>
      </c>
      <c r="I227" s="30" t="s">
        <v>678</v>
      </c>
      <c r="J227" s="30" t="s">
        <v>860</v>
      </c>
      <c r="K227" s="30" t="s">
        <v>861</v>
      </c>
      <c r="L227" s="30" t="s">
        <v>699</v>
      </c>
      <c r="M227" s="30">
        <v>1</v>
      </c>
      <c r="N227" s="30" t="s">
        <v>363</v>
      </c>
      <c r="O227" s="30" t="s">
        <v>746</v>
      </c>
      <c r="P227" s="30" t="s">
        <v>683</v>
      </c>
      <c r="Q227" s="30" t="s">
        <v>665</v>
      </c>
      <c r="R227" s="30" t="s">
        <v>300</v>
      </c>
      <c r="S227" s="30" t="s">
        <v>684</v>
      </c>
    </row>
    <row r="228" spans="1:19" x14ac:dyDescent="0.3">
      <c r="A228" s="31" t="s">
        <v>1004</v>
      </c>
      <c r="B228" s="32" t="s">
        <v>858</v>
      </c>
      <c r="C228" s="32" t="s">
        <v>1005</v>
      </c>
      <c r="D228" s="32" t="s">
        <v>684</v>
      </c>
      <c r="E228" s="32" t="s">
        <v>674</v>
      </c>
      <c r="F228" s="32" t="s">
        <v>716</v>
      </c>
      <c r="G228" s="32" t="s">
        <v>744</v>
      </c>
      <c r="H228" s="32" t="s">
        <v>677</v>
      </c>
      <c r="I228" s="32" t="s">
        <v>678</v>
      </c>
      <c r="J228" s="32" t="s">
        <v>860</v>
      </c>
      <c r="K228" s="32" t="s">
        <v>861</v>
      </c>
      <c r="L228" s="32" t="s">
        <v>699</v>
      </c>
      <c r="M228" s="32">
        <v>0.5</v>
      </c>
      <c r="N228" s="32" t="s">
        <v>422</v>
      </c>
      <c r="O228" s="32" t="s">
        <v>746</v>
      </c>
      <c r="P228" s="32" t="s">
        <v>683</v>
      </c>
      <c r="Q228" s="32" t="s">
        <v>665</v>
      </c>
      <c r="R228" s="32" t="s">
        <v>300</v>
      </c>
      <c r="S228" s="30" t="s">
        <v>684</v>
      </c>
    </row>
    <row r="229" spans="1:19" x14ac:dyDescent="0.3">
      <c r="A229" s="29" t="s">
        <v>1037</v>
      </c>
      <c r="B229" s="30" t="s">
        <v>858</v>
      </c>
      <c r="C229" s="30" t="s">
        <v>1038</v>
      </c>
      <c r="D229" s="30" t="s">
        <v>684</v>
      </c>
      <c r="E229" s="30" t="s">
        <v>674</v>
      </c>
      <c r="F229" s="30" t="s">
        <v>716</v>
      </c>
      <c r="G229" s="30" t="s">
        <v>744</v>
      </c>
      <c r="H229" s="30" t="s">
        <v>677</v>
      </c>
      <c r="I229" s="30" t="s">
        <v>678</v>
      </c>
      <c r="J229" s="30" t="s">
        <v>860</v>
      </c>
      <c r="K229" s="30" t="s">
        <v>861</v>
      </c>
      <c r="L229" s="30" t="s">
        <v>699</v>
      </c>
      <c r="M229" s="30">
        <v>1</v>
      </c>
      <c r="N229" s="30" t="s">
        <v>451</v>
      </c>
      <c r="O229" s="30" t="s">
        <v>746</v>
      </c>
      <c r="P229" s="30" t="s">
        <v>683</v>
      </c>
      <c r="Q229" s="30" t="s">
        <v>665</v>
      </c>
      <c r="R229" s="30" t="s">
        <v>300</v>
      </c>
      <c r="S229" s="30" t="s">
        <v>684</v>
      </c>
    </row>
    <row r="230" spans="1:19" x14ac:dyDescent="0.3">
      <c r="A230" s="31" t="s">
        <v>857</v>
      </c>
      <c r="B230" s="32" t="s">
        <v>858</v>
      </c>
      <c r="C230" s="32" t="s">
        <v>859</v>
      </c>
      <c r="D230" s="32" t="s">
        <v>684</v>
      </c>
      <c r="E230" s="32" t="s">
        <v>674</v>
      </c>
      <c r="F230" s="32" t="s">
        <v>716</v>
      </c>
      <c r="G230" s="32" t="s">
        <v>744</v>
      </c>
      <c r="H230" s="32" t="s">
        <v>677</v>
      </c>
      <c r="I230" s="32" t="s">
        <v>688</v>
      </c>
      <c r="J230" s="32" t="s">
        <v>860</v>
      </c>
      <c r="K230" s="32" t="s">
        <v>861</v>
      </c>
      <c r="L230" s="32" t="s">
        <v>699</v>
      </c>
      <c r="M230" s="32">
        <v>0.5</v>
      </c>
      <c r="N230" s="32" t="s">
        <v>454</v>
      </c>
      <c r="O230" s="32" t="s">
        <v>746</v>
      </c>
      <c r="P230" s="32" t="s">
        <v>683</v>
      </c>
      <c r="Q230" s="32" t="s">
        <v>665</v>
      </c>
      <c r="R230" s="32" t="s">
        <v>300</v>
      </c>
      <c r="S230" s="30" t="s">
        <v>684</v>
      </c>
    </row>
    <row r="231" spans="1:19" x14ac:dyDescent="0.3">
      <c r="A231" s="29" t="s">
        <v>1037</v>
      </c>
      <c r="B231" s="30" t="s">
        <v>858</v>
      </c>
      <c r="C231" s="30" t="s">
        <v>1038</v>
      </c>
      <c r="D231" s="30" t="s">
        <v>684</v>
      </c>
      <c r="E231" s="30" t="s">
        <v>674</v>
      </c>
      <c r="F231" s="30" t="s">
        <v>716</v>
      </c>
      <c r="G231" s="30" t="s">
        <v>744</v>
      </c>
      <c r="H231" s="30" t="s">
        <v>677</v>
      </c>
      <c r="I231" s="30" t="s">
        <v>678</v>
      </c>
      <c r="J231" s="30" t="s">
        <v>860</v>
      </c>
      <c r="K231" s="30" t="s">
        <v>861</v>
      </c>
      <c r="L231" s="30" t="s">
        <v>699</v>
      </c>
      <c r="M231" s="30">
        <v>0.5</v>
      </c>
      <c r="N231" s="30" t="s">
        <v>383</v>
      </c>
      <c r="O231" s="30" t="s">
        <v>1915</v>
      </c>
      <c r="P231" s="30" t="s">
        <v>683</v>
      </c>
      <c r="Q231" s="30" t="s">
        <v>767</v>
      </c>
      <c r="R231" s="30" t="s">
        <v>300</v>
      </c>
      <c r="S231" s="30" t="s">
        <v>684</v>
      </c>
    </row>
    <row r="232" spans="1:19" x14ac:dyDescent="0.3">
      <c r="A232" s="31" t="s">
        <v>1039</v>
      </c>
      <c r="B232" s="32" t="s">
        <v>228</v>
      </c>
      <c r="C232" s="32" t="s">
        <v>1040</v>
      </c>
      <c r="D232" s="32" t="s">
        <v>673</v>
      </c>
      <c r="E232" s="32" t="s">
        <v>674</v>
      </c>
      <c r="F232" s="32" t="s">
        <v>675</v>
      </c>
      <c r="G232" s="32" t="s">
        <v>676</v>
      </c>
      <c r="H232" s="32" t="s">
        <v>702</v>
      </c>
      <c r="I232" s="32" t="s">
        <v>688</v>
      </c>
      <c r="J232" s="32" t="s">
        <v>698</v>
      </c>
      <c r="K232" s="32" t="s">
        <v>690</v>
      </c>
      <c r="L232" s="32" t="s">
        <v>699</v>
      </c>
      <c r="M232" s="32">
        <v>0.25</v>
      </c>
      <c r="N232" s="32" t="s">
        <v>381</v>
      </c>
      <c r="O232" s="32" t="s">
        <v>746</v>
      </c>
      <c r="P232" s="32" t="s">
        <v>683</v>
      </c>
      <c r="Q232" s="32" t="s">
        <v>665</v>
      </c>
      <c r="R232" s="32" t="s">
        <v>300</v>
      </c>
      <c r="S232" s="30" t="s">
        <v>684</v>
      </c>
    </row>
    <row r="233" spans="1:19" x14ac:dyDescent="0.3">
      <c r="A233" s="29" t="s">
        <v>1004</v>
      </c>
      <c r="B233" s="30" t="s">
        <v>858</v>
      </c>
      <c r="C233" s="30" t="s">
        <v>1005</v>
      </c>
      <c r="D233" s="30" t="s">
        <v>684</v>
      </c>
      <c r="E233" s="30" t="s">
        <v>674</v>
      </c>
      <c r="F233" s="30" t="s">
        <v>716</v>
      </c>
      <c r="G233" s="30" t="s">
        <v>744</v>
      </c>
      <c r="H233" s="30" t="s">
        <v>677</v>
      </c>
      <c r="I233" s="30" t="s">
        <v>678</v>
      </c>
      <c r="J233" s="30" t="s">
        <v>860</v>
      </c>
      <c r="K233" s="30" t="s">
        <v>861</v>
      </c>
      <c r="L233" s="30" t="s">
        <v>699</v>
      </c>
      <c r="M233" s="30">
        <v>1</v>
      </c>
      <c r="N233" s="30" t="s">
        <v>638</v>
      </c>
      <c r="O233" s="30" t="s">
        <v>1915</v>
      </c>
      <c r="P233" s="30" t="s">
        <v>683</v>
      </c>
      <c r="Q233" s="30" t="s">
        <v>767</v>
      </c>
      <c r="R233" s="30" t="s">
        <v>300</v>
      </c>
      <c r="S233" s="30" t="s">
        <v>684</v>
      </c>
    </row>
    <row r="234" spans="1:19" x14ac:dyDescent="0.3">
      <c r="A234" s="31" t="s">
        <v>997</v>
      </c>
      <c r="B234" s="32" t="s">
        <v>998</v>
      </c>
      <c r="C234" s="32" t="s">
        <v>999</v>
      </c>
      <c r="D234" s="32" t="s">
        <v>673</v>
      </c>
      <c r="E234" s="32" t="s">
        <v>674</v>
      </c>
      <c r="F234" s="32" t="s">
        <v>716</v>
      </c>
      <c r="G234" s="32" t="s">
        <v>744</v>
      </c>
      <c r="H234" s="32" t="s">
        <v>677</v>
      </c>
      <c r="I234" s="32" t="s">
        <v>678</v>
      </c>
      <c r="J234" s="32" t="s">
        <v>751</v>
      </c>
      <c r="K234" s="32" t="s">
        <v>690</v>
      </c>
      <c r="L234" s="32" t="s">
        <v>681</v>
      </c>
      <c r="M234" s="32">
        <v>0.3</v>
      </c>
      <c r="N234" s="32" t="s">
        <v>90</v>
      </c>
      <c r="O234" s="32" t="s">
        <v>746</v>
      </c>
      <c r="P234" s="32" t="s">
        <v>683</v>
      </c>
      <c r="Q234" s="32" t="s">
        <v>665</v>
      </c>
      <c r="R234" s="32" t="s">
        <v>278</v>
      </c>
      <c r="S234" s="32" t="s">
        <v>673</v>
      </c>
    </row>
    <row r="235" spans="1:19" x14ac:dyDescent="0.3">
      <c r="A235" s="29" t="s">
        <v>1640</v>
      </c>
      <c r="B235" s="30" t="s">
        <v>749</v>
      </c>
      <c r="C235" s="30" t="s">
        <v>1641</v>
      </c>
      <c r="D235" s="30" t="s">
        <v>673</v>
      </c>
      <c r="E235" s="30" t="s">
        <v>674</v>
      </c>
      <c r="F235" s="30" t="s">
        <v>716</v>
      </c>
      <c r="G235" s="30" t="s">
        <v>744</v>
      </c>
      <c r="H235" s="30" t="s">
        <v>677</v>
      </c>
      <c r="I235" s="30" t="s">
        <v>688</v>
      </c>
      <c r="J235" s="30" t="s">
        <v>751</v>
      </c>
      <c r="K235" s="30" t="s">
        <v>690</v>
      </c>
      <c r="L235" s="30" t="s">
        <v>681</v>
      </c>
      <c r="M235" s="30">
        <v>1</v>
      </c>
      <c r="N235" s="30" t="s">
        <v>520</v>
      </c>
      <c r="O235" s="30" t="s">
        <v>746</v>
      </c>
      <c r="P235" s="30" t="s">
        <v>683</v>
      </c>
      <c r="Q235" s="30" t="s">
        <v>665</v>
      </c>
      <c r="R235" s="30" t="s">
        <v>278</v>
      </c>
      <c r="S235" s="32" t="s">
        <v>673</v>
      </c>
    </row>
    <row r="236" spans="1:19" x14ac:dyDescent="0.3">
      <c r="A236" s="31" t="s">
        <v>997</v>
      </c>
      <c r="B236" s="32" t="s">
        <v>998</v>
      </c>
      <c r="C236" s="32" t="s">
        <v>999</v>
      </c>
      <c r="D236" s="32" t="s">
        <v>673</v>
      </c>
      <c r="E236" s="32" t="s">
        <v>674</v>
      </c>
      <c r="F236" s="32" t="s">
        <v>716</v>
      </c>
      <c r="G236" s="32" t="s">
        <v>744</v>
      </c>
      <c r="H236" s="32" t="s">
        <v>677</v>
      </c>
      <c r="I236" s="32" t="s">
        <v>678</v>
      </c>
      <c r="J236" s="32" t="s">
        <v>751</v>
      </c>
      <c r="K236" s="32" t="s">
        <v>690</v>
      </c>
      <c r="L236" s="32" t="s">
        <v>681</v>
      </c>
      <c r="M236" s="32">
        <v>1</v>
      </c>
      <c r="N236" s="32" t="s">
        <v>1642</v>
      </c>
      <c r="O236" s="32" t="s">
        <v>1915</v>
      </c>
      <c r="P236" s="32" t="s">
        <v>683</v>
      </c>
      <c r="Q236" s="32" t="s">
        <v>767</v>
      </c>
      <c r="R236" s="32" t="s">
        <v>278</v>
      </c>
      <c r="S236" s="32" t="s">
        <v>673</v>
      </c>
    </row>
    <row r="237" spans="1:19" x14ac:dyDescent="0.3">
      <c r="A237" s="29" t="s">
        <v>839</v>
      </c>
      <c r="B237" s="30" t="s">
        <v>704</v>
      </c>
      <c r="C237" s="30" t="s">
        <v>840</v>
      </c>
      <c r="D237" s="30" t="s">
        <v>673</v>
      </c>
      <c r="E237" s="30" t="s">
        <v>674</v>
      </c>
      <c r="F237" s="30" t="s">
        <v>675</v>
      </c>
      <c r="G237" s="30" t="s">
        <v>676</v>
      </c>
      <c r="H237" s="30" t="s">
        <v>677</v>
      </c>
      <c r="I237" s="30" t="s">
        <v>678</v>
      </c>
      <c r="J237" s="30" t="s">
        <v>710</v>
      </c>
      <c r="K237" s="30" t="s">
        <v>690</v>
      </c>
      <c r="L237" s="30" t="s">
        <v>681</v>
      </c>
      <c r="M237" s="30">
        <v>0.3</v>
      </c>
      <c r="N237" s="30" t="s">
        <v>447</v>
      </c>
      <c r="O237" s="30" t="s">
        <v>682</v>
      </c>
      <c r="P237" s="30" t="s">
        <v>683</v>
      </c>
      <c r="Q237" s="30" t="s">
        <v>665</v>
      </c>
      <c r="R237" s="30" t="s">
        <v>366</v>
      </c>
      <c r="S237" s="30" t="s">
        <v>719</v>
      </c>
    </row>
    <row r="238" spans="1:19" x14ac:dyDescent="0.3">
      <c r="A238" s="31" t="s">
        <v>848</v>
      </c>
      <c r="B238" s="32" t="s">
        <v>849</v>
      </c>
      <c r="C238" s="32" t="s">
        <v>850</v>
      </c>
      <c r="D238" s="32" t="s">
        <v>673</v>
      </c>
      <c r="E238" s="32" t="s">
        <v>674</v>
      </c>
      <c r="F238" s="32" t="s">
        <v>675</v>
      </c>
      <c r="G238" s="32" t="s">
        <v>731</v>
      </c>
      <c r="H238" s="32" t="s">
        <v>702</v>
      </c>
      <c r="I238" s="32" t="s">
        <v>811</v>
      </c>
      <c r="J238" s="32" t="s">
        <v>713</v>
      </c>
      <c r="K238" s="32" t="s">
        <v>690</v>
      </c>
      <c r="L238" s="32" t="s">
        <v>681</v>
      </c>
      <c r="M238" s="32">
        <v>0.2</v>
      </c>
      <c r="N238" s="32" t="s">
        <v>447</v>
      </c>
      <c r="O238" s="32" t="s">
        <v>682</v>
      </c>
      <c r="P238" s="32" t="s">
        <v>683</v>
      </c>
      <c r="Q238" s="32" t="s">
        <v>665</v>
      </c>
      <c r="R238" s="32" t="s">
        <v>366</v>
      </c>
      <c r="S238" s="30" t="s">
        <v>719</v>
      </c>
    </row>
    <row r="239" spans="1:19" x14ac:dyDescent="0.3">
      <c r="A239" s="29" t="s">
        <v>837</v>
      </c>
      <c r="B239" s="30" t="s">
        <v>686</v>
      </c>
      <c r="C239" s="30" t="s">
        <v>838</v>
      </c>
      <c r="D239" s="30" t="s">
        <v>673</v>
      </c>
      <c r="E239" s="30" t="s">
        <v>674</v>
      </c>
      <c r="F239" s="30" t="s">
        <v>716</v>
      </c>
      <c r="G239" s="30" t="s">
        <v>731</v>
      </c>
      <c r="H239" s="30" t="s">
        <v>702</v>
      </c>
      <c r="I239" s="30" t="s">
        <v>688</v>
      </c>
      <c r="J239" s="30" t="s">
        <v>689</v>
      </c>
      <c r="K239" s="30" t="s">
        <v>690</v>
      </c>
      <c r="L239" s="30" t="s">
        <v>691</v>
      </c>
      <c r="M239" s="30">
        <v>0.2</v>
      </c>
      <c r="N239" s="30" t="s">
        <v>447</v>
      </c>
      <c r="O239" s="30" t="s">
        <v>682</v>
      </c>
      <c r="P239" s="30" t="s">
        <v>683</v>
      </c>
      <c r="Q239" s="30" t="s">
        <v>665</v>
      </c>
      <c r="R239" s="30" t="s">
        <v>366</v>
      </c>
      <c r="S239" s="30" t="s">
        <v>719</v>
      </c>
    </row>
    <row r="240" spans="1:19" x14ac:dyDescent="0.3">
      <c r="A240" s="31" t="s">
        <v>671</v>
      </c>
      <c r="B240" s="32" t="s">
        <v>178</v>
      </c>
      <c r="C240" s="32" t="s">
        <v>672</v>
      </c>
      <c r="D240" s="32" t="s">
        <v>673</v>
      </c>
      <c r="E240" s="32" t="s">
        <v>674</v>
      </c>
      <c r="F240" s="32" t="s">
        <v>675</v>
      </c>
      <c r="G240" s="32" t="s">
        <v>676</v>
      </c>
      <c r="H240" s="32" t="s">
        <v>677</v>
      </c>
      <c r="I240" s="32" t="s">
        <v>678</v>
      </c>
      <c r="J240" s="32" t="s">
        <v>679</v>
      </c>
      <c r="K240" s="32" t="s">
        <v>680</v>
      </c>
      <c r="L240" s="32" t="s">
        <v>681</v>
      </c>
      <c r="M240" s="32">
        <v>0.3</v>
      </c>
      <c r="N240" s="32" t="s">
        <v>447</v>
      </c>
      <c r="O240" s="32" t="s">
        <v>682</v>
      </c>
      <c r="P240" s="32" t="s">
        <v>683</v>
      </c>
      <c r="Q240" s="32" t="s">
        <v>665</v>
      </c>
      <c r="R240" s="32" t="s">
        <v>366</v>
      </c>
      <c r="S240" s="30" t="s">
        <v>719</v>
      </c>
    </row>
    <row r="241" spans="1:19" x14ac:dyDescent="0.3">
      <c r="A241" s="29" t="s">
        <v>1041</v>
      </c>
      <c r="B241" s="30" t="s">
        <v>858</v>
      </c>
      <c r="C241" s="30" t="s">
        <v>1042</v>
      </c>
      <c r="D241" s="30" t="s">
        <v>684</v>
      </c>
      <c r="E241" s="30" t="s">
        <v>674</v>
      </c>
      <c r="F241" s="30" t="s">
        <v>716</v>
      </c>
      <c r="G241" s="30" t="s">
        <v>744</v>
      </c>
      <c r="H241" s="30" t="s">
        <v>677</v>
      </c>
      <c r="I241" s="30" t="s">
        <v>678</v>
      </c>
      <c r="J241" s="30" t="s">
        <v>860</v>
      </c>
      <c r="K241" s="30" t="s">
        <v>861</v>
      </c>
      <c r="L241" s="30" t="s">
        <v>699</v>
      </c>
      <c r="M241" s="30">
        <v>1</v>
      </c>
      <c r="N241" s="30" t="s">
        <v>386</v>
      </c>
      <c r="O241" s="30" t="s">
        <v>746</v>
      </c>
      <c r="P241" s="30" t="s">
        <v>683</v>
      </c>
      <c r="Q241" s="30" t="s">
        <v>665</v>
      </c>
      <c r="R241" s="30" t="s">
        <v>300</v>
      </c>
      <c r="S241" s="30" t="s">
        <v>684</v>
      </c>
    </row>
    <row r="242" spans="1:19" x14ac:dyDescent="0.3">
      <c r="A242" s="31" t="s">
        <v>685</v>
      </c>
      <c r="B242" s="32" t="s">
        <v>686</v>
      </c>
      <c r="C242" s="32" t="s">
        <v>687</v>
      </c>
      <c r="D242" s="32" t="s">
        <v>673</v>
      </c>
      <c r="E242" s="32" t="s">
        <v>674</v>
      </c>
      <c r="F242" s="32" t="s">
        <v>675</v>
      </c>
      <c r="G242" s="32" t="s">
        <v>676</v>
      </c>
      <c r="H242" s="32" t="s">
        <v>677</v>
      </c>
      <c r="I242" s="32" t="s">
        <v>688</v>
      </c>
      <c r="J242" s="32" t="s">
        <v>689</v>
      </c>
      <c r="K242" s="32" t="s">
        <v>690</v>
      </c>
      <c r="L242" s="32" t="s">
        <v>691</v>
      </c>
      <c r="M242" s="32">
        <v>0.2</v>
      </c>
      <c r="N242" s="32" t="s">
        <v>152</v>
      </c>
      <c r="O242" s="32" t="s">
        <v>682</v>
      </c>
      <c r="P242" s="32" t="s">
        <v>683</v>
      </c>
      <c r="Q242" s="32" t="s">
        <v>665</v>
      </c>
      <c r="R242" s="32" t="s">
        <v>366</v>
      </c>
      <c r="S242" s="30" t="s">
        <v>719</v>
      </c>
    </row>
    <row r="243" spans="1:19" x14ac:dyDescent="0.3">
      <c r="A243" s="29" t="s">
        <v>720</v>
      </c>
      <c r="B243" s="30" t="s">
        <v>686</v>
      </c>
      <c r="C243" s="30" t="s">
        <v>721</v>
      </c>
      <c r="D243" s="30" t="s">
        <v>673</v>
      </c>
      <c r="E243" s="30" t="s">
        <v>674</v>
      </c>
      <c r="F243" s="30" t="s">
        <v>675</v>
      </c>
      <c r="G243" s="30" t="s">
        <v>676</v>
      </c>
      <c r="H243" s="30" t="s">
        <v>677</v>
      </c>
      <c r="I243" s="30" t="s">
        <v>688</v>
      </c>
      <c r="J243" s="30" t="s">
        <v>689</v>
      </c>
      <c r="K243" s="30" t="s">
        <v>690</v>
      </c>
      <c r="L243" s="30" t="s">
        <v>681</v>
      </c>
      <c r="M243" s="30">
        <v>0.3</v>
      </c>
      <c r="N243" s="30" t="s">
        <v>152</v>
      </c>
      <c r="O243" s="30" t="s">
        <v>682</v>
      </c>
      <c r="P243" s="30" t="s">
        <v>683</v>
      </c>
      <c r="Q243" s="30" t="s">
        <v>665</v>
      </c>
      <c r="R243" s="30" t="s">
        <v>366</v>
      </c>
      <c r="S243" s="30" t="s">
        <v>719</v>
      </c>
    </row>
    <row r="244" spans="1:19" x14ac:dyDescent="0.3">
      <c r="A244" s="31" t="s">
        <v>722</v>
      </c>
      <c r="B244" s="32" t="s">
        <v>686</v>
      </c>
      <c r="C244" s="32" t="s">
        <v>723</v>
      </c>
      <c r="D244" s="32" t="s">
        <v>673</v>
      </c>
      <c r="E244" s="32" t="s">
        <v>674</v>
      </c>
      <c r="F244" s="32" t="s">
        <v>675</v>
      </c>
      <c r="G244" s="32" t="s">
        <v>724</v>
      </c>
      <c r="H244" s="32" t="s">
        <v>677</v>
      </c>
      <c r="I244" s="32" t="s">
        <v>688</v>
      </c>
      <c r="J244" s="32" t="s">
        <v>689</v>
      </c>
      <c r="K244" s="32" t="s">
        <v>690</v>
      </c>
      <c r="L244" s="32" t="s">
        <v>681</v>
      </c>
      <c r="M244" s="32">
        <v>0.3</v>
      </c>
      <c r="N244" s="32" t="s">
        <v>152</v>
      </c>
      <c r="O244" s="32" t="s">
        <v>682</v>
      </c>
      <c r="P244" s="32" t="s">
        <v>683</v>
      </c>
      <c r="Q244" s="32" t="s">
        <v>665</v>
      </c>
      <c r="R244" s="32" t="s">
        <v>366</v>
      </c>
      <c r="S244" s="30" t="s">
        <v>719</v>
      </c>
    </row>
    <row r="245" spans="1:19" x14ac:dyDescent="0.3">
      <c r="A245" s="29" t="s">
        <v>781</v>
      </c>
      <c r="B245" s="30" t="s">
        <v>686</v>
      </c>
      <c r="C245" s="30" t="s">
        <v>782</v>
      </c>
      <c r="D245" s="30" t="s">
        <v>673</v>
      </c>
      <c r="E245" s="30" t="s">
        <v>674</v>
      </c>
      <c r="F245" s="30" t="s">
        <v>675</v>
      </c>
      <c r="G245" s="30" t="s">
        <v>724</v>
      </c>
      <c r="H245" s="30" t="s">
        <v>677</v>
      </c>
      <c r="I245" s="30" t="s">
        <v>678</v>
      </c>
      <c r="J245" s="30" t="s">
        <v>689</v>
      </c>
      <c r="K245" s="30" t="s">
        <v>690</v>
      </c>
      <c r="L245" s="30" t="s">
        <v>681</v>
      </c>
      <c r="M245" s="30">
        <v>0.2</v>
      </c>
      <c r="N245" s="30" t="s">
        <v>152</v>
      </c>
      <c r="O245" s="30" t="s">
        <v>682</v>
      </c>
      <c r="P245" s="30" t="s">
        <v>683</v>
      </c>
      <c r="Q245" s="30" t="s">
        <v>665</v>
      </c>
      <c r="R245" s="30" t="s">
        <v>366</v>
      </c>
      <c r="S245" s="30" t="s">
        <v>719</v>
      </c>
    </row>
    <row r="246" spans="1:19" x14ac:dyDescent="0.3">
      <c r="A246" s="31" t="s">
        <v>1014</v>
      </c>
      <c r="B246" s="32" t="s">
        <v>528</v>
      </c>
      <c r="C246" s="32" t="s">
        <v>1015</v>
      </c>
      <c r="D246" s="32" t="s">
        <v>755</v>
      </c>
      <c r="E246" s="32" t="s">
        <v>674</v>
      </c>
      <c r="F246" s="32" t="s">
        <v>675</v>
      </c>
      <c r="G246" s="32" t="s">
        <v>676</v>
      </c>
      <c r="H246" s="32" t="s">
        <v>702</v>
      </c>
      <c r="I246" s="32" t="s">
        <v>2293</v>
      </c>
      <c r="J246" s="32" t="s">
        <v>774</v>
      </c>
      <c r="K246" s="32" t="s">
        <v>680</v>
      </c>
      <c r="L246" s="32" t="s">
        <v>691</v>
      </c>
      <c r="M246" s="32">
        <v>0.5</v>
      </c>
      <c r="N246" s="32" t="s">
        <v>42</v>
      </c>
      <c r="O246" s="32" t="s">
        <v>746</v>
      </c>
      <c r="P246" s="32" t="s">
        <v>683</v>
      </c>
      <c r="Q246" s="32" t="s">
        <v>665</v>
      </c>
      <c r="R246" s="32" t="s">
        <v>293</v>
      </c>
      <c r="S246" s="30" t="s">
        <v>755</v>
      </c>
    </row>
    <row r="247" spans="1:19" x14ac:dyDescent="0.3">
      <c r="A247" s="29" t="s">
        <v>1009</v>
      </c>
      <c r="B247" s="30" t="s">
        <v>707</v>
      </c>
      <c r="C247" s="30" t="s">
        <v>715</v>
      </c>
      <c r="D247" s="30" t="s">
        <v>684</v>
      </c>
      <c r="E247" s="30" t="s">
        <v>674</v>
      </c>
      <c r="F247" s="30" t="s">
        <v>716</v>
      </c>
      <c r="G247" s="30" t="s">
        <v>717</v>
      </c>
      <c r="H247" s="30" t="s">
        <v>717</v>
      </c>
      <c r="I247" s="30" t="s">
        <v>717</v>
      </c>
      <c r="J247" s="30" t="s">
        <v>737</v>
      </c>
      <c r="K247" s="30" t="s">
        <v>738</v>
      </c>
      <c r="L247" s="30" t="s">
        <v>699</v>
      </c>
      <c r="M247" s="30">
        <v>1</v>
      </c>
      <c r="N247" s="30" t="s">
        <v>538</v>
      </c>
      <c r="O247" s="30" t="s">
        <v>746</v>
      </c>
      <c r="P247" s="30" t="s">
        <v>683</v>
      </c>
      <c r="Q247" s="30" t="s">
        <v>665</v>
      </c>
      <c r="R247" s="30" t="s">
        <v>244</v>
      </c>
      <c r="S247" s="30" t="s">
        <v>684</v>
      </c>
    </row>
    <row r="248" spans="1:19" x14ac:dyDescent="0.3">
      <c r="A248" s="31" t="s">
        <v>1054</v>
      </c>
      <c r="B248" s="32" t="s">
        <v>760</v>
      </c>
      <c r="C248" s="32" t="s">
        <v>1055</v>
      </c>
      <c r="D248" s="32" t="s">
        <v>673</v>
      </c>
      <c r="E248" s="32" t="s">
        <v>674</v>
      </c>
      <c r="F248" s="32" t="s">
        <v>675</v>
      </c>
      <c r="G248" s="32" t="s">
        <v>676</v>
      </c>
      <c r="H248" s="32" t="s">
        <v>702</v>
      </c>
      <c r="I248" s="32" t="s">
        <v>688</v>
      </c>
      <c r="J248" s="32" t="s">
        <v>751</v>
      </c>
      <c r="K248" s="32" t="s">
        <v>690</v>
      </c>
      <c r="L248" s="32" t="s">
        <v>681</v>
      </c>
      <c r="M248" s="32">
        <v>0.5</v>
      </c>
      <c r="N248" s="32" t="s">
        <v>610</v>
      </c>
      <c r="O248" s="32" t="s">
        <v>746</v>
      </c>
      <c r="P248" s="32" t="s">
        <v>683</v>
      </c>
      <c r="Q248" s="32" t="s">
        <v>665</v>
      </c>
      <c r="R248" s="32" t="s">
        <v>132</v>
      </c>
      <c r="S248" s="32" t="s">
        <v>673</v>
      </c>
    </row>
    <row r="249" spans="1:19" x14ac:dyDescent="0.3">
      <c r="A249" s="29" t="s">
        <v>889</v>
      </c>
      <c r="B249" s="30" t="s">
        <v>544</v>
      </c>
      <c r="C249" s="30" t="s">
        <v>890</v>
      </c>
      <c r="D249" s="30" t="s">
        <v>684</v>
      </c>
      <c r="E249" s="30" t="s">
        <v>674</v>
      </c>
      <c r="F249" s="30" t="s">
        <v>734</v>
      </c>
      <c r="G249" s="30" t="s">
        <v>735</v>
      </c>
      <c r="H249" s="30" t="s">
        <v>735</v>
      </c>
      <c r="I249" s="30" t="s">
        <v>736</v>
      </c>
      <c r="J249" s="30" t="s">
        <v>737</v>
      </c>
      <c r="K249" s="30" t="s">
        <v>738</v>
      </c>
      <c r="L249" s="30" t="s">
        <v>699</v>
      </c>
      <c r="M249" s="30">
        <v>1</v>
      </c>
      <c r="N249" s="30" t="s">
        <v>205</v>
      </c>
      <c r="O249" s="30" t="s">
        <v>746</v>
      </c>
      <c r="P249" s="30" t="s">
        <v>683</v>
      </c>
      <c r="Q249" s="30" t="s">
        <v>665</v>
      </c>
      <c r="R249" s="30" t="s">
        <v>244</v>
      </c>
      <c r="S249" s="30" t="s">
        <v>684</v>
      </c>
    </row>
    <row r="250" spans="1:19" x14ac:dyDescent="0.3">
      <c r="A250" s="31" t="s">
        <v>913</v>
      </c>
      <c r="B250" s="32" t="s">
        <v>544</v>
      </c>
      <c r="C250" s="32" t="s">
        <v>914</v>
      </c>
      <c r="D250" s="32" t="s">
        <v>684</v>
      </c>
      <c r="E250" s="32" t="s">
        <v>674</v>
      </c>
      <c r="F250" s="32" t="s">
        <v>716</v>
      </c>
      <c r="G250" s="32" t="s">
        <v>744</v>
      </c>
      <c r="H250" s="32" t="s">
        <v>702</v>
      </c>
      <c r="I250" s="32" t="s">
        <v>736</v>
      </c>
      <c r="J250" s="32" t="s">
        <v>737</v>
      </c>
      <c r="K250" s="32" t="s">
        <v>738</v>
      </c>
      <c r="L250" s="32" t="s">
        <v>808</v>
      </c>
      <c r="M250" s="32">
        <v>1</v>
      </c>
      <c r="N250" s="32" t="s">
        <v>1026</v>
      </c>
      <c r="O250" s="32" t="s">
        <v>1915</v>
      </c>
      <c r="P250" s="32" t="s">
        <v>683</v>
      </c>
      <c r="Q250" s="32" t="s">
        <v>767</v>
      </c>
      <c r="R250" s="32" t="s">
        <v>639</v>
      </c>
      <c r="S250" s="30" t="s">
        <v>684</v>
      </c>
    </row>
    <row r="251" spans="1:19" x14ac:dyDescent="0.3">
      <c r="A251" s="29" t="s">
        <v>900</v>
      </c>
      <c r="B251" s="30" t="s">
        <v>544</v>
      </c>
      <c r="C251" s="30" t="s">
        <v>901</v>
      </c>
      <c r="D251" s="30" t="s">
        <v>684</v>
      </c>
      <c r="E251" s="30" t="s">
        <v>674</v>
      </c>
      <c r="F251" s="30" t="s">
        <v>716</v>
      </c>
      <c r="G251" s="30" t="s">
        <v>744</v>
      </c>
      <c r="H251" s="30" t="s">
        <v>702</v>
      </c>
      <c r="I251" s="30" t="s">
        <v>736</v>
      </c>
      <c r="J251" s="30" t="s">
        <v>737</v>
      </c>
      <c r="K251" s="30" t="s">
        <v>738</v>
      </c>
      <c r="L251" s="30" t="s">
        <v>739</v>
      </c>
      <c r="M251" s="30">
        <v>0.3</v>
      </c>
      <c r="N251" s="30" t="s">
        <v>604</v>
      </c>
      <c r="O251" s="30" t="s">
        <v>1915</v>
      </c>
      <c r="P251" s="30" t="s">
        <v>683</v>
      </c>
      <c r="Q251" s="30" t="s">
        <v>767</v>
      </c>
      <c r="R251" s="30" t="s">
        <v>639</v>
      </c>
      <c r="S251" s="30" t="s">
        <v>684</v>
      </c>
    </row>
    <row r="252" spans="1:19" x14ac:dyDescent="0.3">
      <c r="A252" s="31" t="s">
        <v>898</v>
      </c>
      <c r="B252" s="32" t="s">
        <v>544</v>
      </c>
      <c r="C252" s="32" t="s">
        <v>899</v>
      </c>
      <c r="D252" s="32" t="s">
        <v>684</v>
      </c>
      <c r="E252" s="32" t="s">
        <v>674</v>
      </c>
      <c r="F252" s="32" t="s">
        <v>716</v>
      </c>
      <c r="G252" s="32" t="s">
        <v>744</v>
      </c>
      <c r="H252" s="32" t="s">
        <v>702</v>
      </c>
      <c r="I252" s="32" t="s">
        <v>736</v>
      </c>
      <c r="J252" s="32" t="s">
        <v>737</v>
      </c>
      <c r="K252" s="32" t="s">
        <v>738</v>
      </c>
      <c r="L252" s="32" t="s">
        <v>808</v>
      </c>
      <c r="M252" s="32">
        <v>0.7</v>
      </c>
      <c r="N252" s="32" t="s">
        <v>604</v>
      </c>
      <c r="O252" s="32" t="s">
        <v>1915</v>
      </c>
      <c r="P252" s="32" t="s">
        <v>683</v>
      </c>
      <c r="Q252" s="32" t="s">
        <v>767</v>
      </c>
      <c r="R252" s="32" t="s">
        <v>639</v>
      </c>
      <c r="S252" s="30" t="s">
        <v>684</v>
      </c>
    </row>
    <row r="253" spans="1:19" x14ac:dyDescent="0.3">
      <c r="A253" s="29" t="s">
        <v>1027</v>
      </c>
      <c r="B253" s="30" t="s">
        <v>544</v>
      </c>
      <c r="C253" s="30" t="s">
        <v>1028</v>
      </c>
      <c r="D253" s="30" t="s">
        <v>684</v>
      </c>
      <c r="E253" s="30" t="s">
        <v>674</v>
      </c>
      <c r="F253" s="30" t="s">
        <v>716</v>
      </c>
      <c r="G253" s="30" t="s">
        <v>744</v>
      </c>
      <c r="H253" s="30" t="s">
        <v>702</v>
      </c>
      <c r="I253" s="30" t="s">
        <v>678</v>
      </c>
      <c r="J253" s="30" t="s">
        <v>737</v>
      </c>
      <c r="K253" s="30" t="s">
        <v>738</v>
      </c>
      <c r="L253" s="30" t="s">
        <v>699</v>
      </c>
      <c r="M253" s="30">
        <v>1</v>
      </c>
      <c r="N253" s="30" t="s">
        <v>369</v>
      </c>
      <c r="O253" s="30" t="s">
        <v>746</v>
      </c>
      <c r="P253" s="30" t="s">
        <v>683</v>
      </c>
      <c r="Q253" s="30" t="s">
        <v>665</v>
      </c>
      <c r="R253" s="30" t="s">
        <v>244</v>
      </c>
      <c r="S253" s="30" t="s">
        <v>684</v>
      </c>
    </row>
    <row r="254" spans="1:19" x14ac:dyDescent="0.3">
      <c r="A254" s="31" t="s">
        <v>816</v>
      </c>
      <c r="B254" s="32" t="s">
        <v>470</v>
      </c>
      <c r="C254" s="32" t="s">
        <v>817</v>
      </c>
      <c r="D254" s="32" t="s">
        <v>684</v>
      </c>
      <c r="E254" s="32" t="s">
        <v>674</v>
      </c>
      <c r="F254" s="32" t="s">
        <v>675</v>
      </c>
      <c r="G254" s="32" t="s">
        <v>724</v>
      </c>
      <c r="H254" s="32" t="s">
        <v>677</v>
      </c>
      <c r="I254" s="32" t="s">
        <v>678</v>
      </c>
      <c r="J254" s="32" t="s">
        <v>745</v>
      </c>
      <c r="K254" s="32" t="s">
        <v>738</v>
      </c>
      <c r="L254" s="32" t="s">
        <v>699</v>
      </c>
      <c r="M254" s="32">
        <v>0.3</v>
      </c>
      <c r="N254" s="32" t="s">
        <v>581</v>
      </c>
      <c r="O254" s="32" t="s">
        <v>746</v>
      </c>
      <c r="P254" s="32" t="s">
        <v>683</v>
      </c>
      <c r="Q254" s="32" t="s">
        <v>665</v>
      </c>
      <c r="R254" s="32" t="s">
        <v>324</v>
      </c>
      <c r="S254" s="30" t="s">
        <v>684</v>
      </c>
    </row>
    <row r="255" spans="1:19" x14ac:dyDescent="0.3">
      <c r="A255" s="29" t="s">
        <v>1029</v>
      </c>
      <c r="B255" s="30" t="s">
        <v>470</v>
      </c>
      <c r="C255" s="30" t="s">
        <v>1030</v>
      </c>
      <c r="D255" s="30" t="s">
        <v>684</v>
      </c>
      <c r="E255" s="30" t="s">
        <v>674</v>
      </c>
      <c r="F255" s="30" t="s">
        <v>716</v>
      </c>
      <c r="G255" s="30" t="s">
        <v>744</v>
      </c>
      <c r="H255" s="30" t="s">
        <v>702</v>
      </c>
      <c r="I255" s="30" t="s">
        <v>736</v>
      </c>
      <c r="J255" s="30" t="s">
        <v>745</v>
      </c>
      <c r="K255" s="30" t="s">
        <v>738</v>
      </c>
      <c r="L255" s="30" t="s">
        <v>699</v>
      </c>
      <c r="M255" s="30">
        <v>0.2</v>
      </c>
      <c r="N255" s="30" t="s">
        <v>581</v>
      </c>
      <c r="O255" s="30" t="s">
        <v>746</v>
      </c>
      <c r="P255" s="30" t="s">
        <v>683</v>
      </c>
      <c r="Q255" s="30" t="s">
        <v>665</v>
      </c>
      <c r="R255" s="30" t="s">
        <v>324</v>
      </c>
      <c r="S255" s="30" t="s">
        <v>684</v>
      </c>
    </row>
    <row r="256" spans="1:19" x14ac:dyDescent="0.3">
      <c r="A256" s="31" t="s">
        <v>1031</v>
      </c>
      <c r="B256" s="32" t="s">
        <v>470</v>
      </c>
      <c r="C256" s="32" t="s">
        <v>1032</v>
      </c>
      <c r="D256" s="32" t="s">
        <v>684</v>
      </c>
      <c r="E256" s="32" t="s">
        <v>674</v>
      </c>
      <c r="F256" s="32" t="s">
        <v>716</v>
      </c>
      <c r="G256" s="32" t="s">
        <v>744</v>
      </c>
      <c r="H256" s="32" t="s">
        <v>702</v>
      </c>
      <c r="I256" s="32" t="s">
        <v>736</v>
      </c>
      <c r="J256" s="32" t="s">
        <v>745</v>
      </c>
      <c r="K256" s="32" t="s">
        <v>738</v>
      </c>
      <c r="L256" s="32" t="s">
        <v>699</v>
      </c>
      <c r="M256" s="32">
        <v>0.2</v>
      </c>
      <c r="N256" s="32" t="s">
        <v>581</v>
      </c>
      <c r="O256" s="32" t="s">
        <v>746</v>
      </c>
      <c r="P256" s="32" t="s">
        <v>683</v>
      </c>
      <c r="Q256" s="32" t="s">
        <v>665</v>
      </c>
      <c r="R256" s="32" t="s">
        <v>324</v>
      </c>
      <c r="S256" s="30" t="s">
        <v>684</v>
      </c>
    </row>
    <row r="257" spans="1:19" x14ac:dyDescent="0.3">
      <c r="A257" s="29" t="s">
        <v>1033</v>
      </c>
      <c r="B257" s="30" t="s">
        <v>753</v>
      </c>
      <c r="C257" s="30" t="s">
        <v>1034</v>
      </c>
      <c r="D257" s="30" t="s">
        <v>755</v>
      </c>
      <c r="E257" s="30" t="s">
        <v>674</v>
      </c>
      <c r="F257" s="30" t="s">
        <v>675</v>
      </c>
      <c r="G257" s="30" t="s">
        <v>676</v>
      </c>
      <c r="H257" s="30" t="s">
        <v>702</v>
      </c>
      <c r="I257" s="30" t="s">
        <v>678</v>
      </c>
      <c r="J257" s="30" t="s">
        <v>679</v>
      </c>
      <c r="K257" s="30" t="s">
        <v>680</v>
      </c>
      <c r="L257" s="30" t="s">
        <v>681</v>
      </c>
      <c r="M257" s="30">
        <v>0.4</v>
      </c>
      <c r="N257" s="30" t="s">
        <v>304</v>
      </c>
      <c r="O257" s="30" t="s">
        <v>682</v>
      </c>
      <c r="P257" s="30" t="s">
        <v>683</v>
      </c>
      <c r="Q257" s="30" t="s">
        <v>665</v>
      </c>
      <c r="R257" s="30" t="s">
        <v>447</v>
      </c>
      <c r="S257" s="32" t="s">
        <v>673</v>
      </c>
    </row>
    <row r="258" spans="1:19" x14ac:dyDescent="0.3">
      <c r="A258" s="31" t="s">
        <v>1221</v>
      </c>
      <c r="B258" s="32" t="s">
        <v>704</v>
      </c>
      <c r="C258" s="32" t="s">
        <v>1222</v>
      </c>
      <c r="D258" s="32" t="s">
        <v>673</v>
      </c>
      <c r="E258" s="32" t="s">
        <v>674</v>
      </c>
      <c r="F258" s="32" t="s">
        <v>675</v>
      </c>
      <c r="G258" s="32" t="s">
        <v>676</v>
      </c>
      <c r="H258" s="32" t="s">
        <v>677</v>
      </c>
      <c r="I258" s="32" t="s">
        <v>678</v>
      </c>
      <c r="J258" s="32" t="s">
        <v>679</v>
      </c>
      <c r="K258" s="32" t="s">
        <v>680</v>
      </c>
      <c r="L258" s="32" t="s">
        <v>699</v>
      </c>
      <c r="M258" s="32">
        <v>0.6</v>
      </c>
      <c r="N258" s="32" t="s">
        <v>199</v>
      </c>
      <c r="O258" s="32" t="s">
        <v>682</v>
      </c>
      <c r="P258" s="32" t="s">
        <v>683</v>
      </c>
      <c r="Q258" s="32" t="s">
        <v>665</v>
      </c>
      <c r="R258" s="32" t="s">
        <v>447</v>
      </c>
      <c r="S258" s="32" t="s">
        <v>673</v>
      </c>
    </row>
    <row r="259" spans="1:19" x14ac:dyDescent="0.3">
      <c r="A259" s="29" t="s">
        <v>2294</v>
      </c>
      <c r="B259" s="30" t="s">
        <v>753</v>
      </c>
      <c r="C259" s="30" t="s">
        <v>2295</v>
      </c>
      <c r="D259" s="30" t="s">
        <v>755</v>
      </c>
      <c r="E259" s="30" t="s">
        <v>674</v>
      </c>
      <c r="F259" s="30" t="s">
        <v>675</v>
      </c>
      <c r="G259" s="30" t="s">
        <v>676</v>
      </c>
      <c r="H259" s="30" t="s">
        <v>677</v>
      </c>
      <c r="I259" s="30" t="s">
        <v>678</v>
      </c>
      <c r="J259" s="30" t="s">
        <v>679</v>
      </c>
      <c r="K259" s="30" t="s">
        <v>680</v>
      </c>
      <c r="L259" s="30" t="s">
        <v>766</v>
      </c>
      <c r="M259" s="30">
        <v>0.5</v>
      </c>
      <c r="N259" s="30" t="s">
        <v>629</v>
      </c>
      <c r="O259" s="30" t="s">
        <v>682</v>
      </c>
      <c r="P259" s="30" t="s">
        <v>683</v>
      </c>
      <c r="Q259" s="30" t="s">
        <v>665</v>
      </c>
      <c r="R259" s="30" t="s">
        <v>447</v>
      </c>
      <c r="S259" s="32" t="s">
        <v>673</v>
      </c>
    </row>
    <row r="260" spans="1:19" x14ac:dyDescent="0.3">
      <c r="A260" s="31" t="s">
        <v>839</v>
      </c>
      <c r="B260" s="32" t="s">
        <v>704</v>
      </c>
      <c r="C260" s="32" t="s">
        <v>840</v>
      </c>
      <c r="D260" s="32" t="s">
        <v>673</v>
      </c>
      <c r="E260" s="32" t="s">
        <v>674</v>
      </c>
      <c r="F260" s="32" t="s">
        <v>675</v>
      </c>
      <c r="G260" s="32" t="s">
        <v>676</v>
      </c>
      <c r="H260" s="32" t="s">
        <v>677</v>
      </c>
      <c r="I260" s="32" t="s">
        <v>678</v>
      </c>
      <c r="J260" s="32" t="s">
        <v>710</v>
      </c>
      <c r="K260" s="32" t="s">
        <v>690</v>
      </c>
      <c r="L260" s="32" t="s">
        <v>681</v>
      </c>
      <c r="M260" s="32">
        <v>1</v>
      </c>
      <c r="N260" s="32" t="s">
        <v>395</v>
      </c>
      <c r="O260" s="32" t="s">
        <v>682</v>
      </c>
      <c r="P260" s="32" t="s">
        <v>683</v>
      </c>
      <c r="Q260" s="32" t="s">
        <v>665</v>
      </c>
      <c r="R260" s="32" t="s">
        <v>447</v>
      </c>
      <c r="S260" s="32" t="s">
        <v>673</v>
      </c>
    </row>
    <row r="261" spans="1:19" x14ac:dyDescent="0.3">
      <c r="A261" s="29" t="s">
        <v>1202</v>
      </c>
      <c r="B261" s="30" t="s">
        <v>154</v>
      </c>
      <c r="C261" s="30" t="s">
        <v>862</v>
      </c>
      <c r="D261" s="30" t="s">
        <v>673</v>
      </c>
      <c r="E261" s="30" t="s">
        <v>674</v>
      </c>
      <c r="F261" s="30" t="s">
        <v>716</v>
      </c>
      <c r="G261" s="30" t="s">
        <v>744</v>
      </c>
      <c r="H261" s="30" t="s">
        <v>935</v>
      </c>
      <c r="I261" s="30" t="s">
        <v>678</v>
      </c>
      <c r="J261" s="30" t="s">
        <v>713</v>
      </c>
      <c r="K261" s="30" t="s">
        <v>690</v>
      </c>
      <c r="L261" s="30" t="s">
        <v>681</v>
      </c>
      <c r="M261" s="30">
        <v>1</v>
      </c>
      <c r="N261" s="30" t="s">
        <v>33</v>
      </c>
      <c r="O261" s="30" t="s">
        <v>1915</v>
      </c>
      <c r="P261" s="30" t="s">
        <v>683</v>
      </c>
      <c r="Q261" s="30" t="s">
        <v>767</v>
      </c>
      <c r="R261" s="30" t="s">
        <v>123</v>
      </c>
      <c r="S261" s="32" t="s">
        <v>673</v>
      </c>
    </row>
    <row r="262" spans="1:19" x14ac:dyDescent="0.3">
      <c r="A262" s="31" t="s">
        <v>857</v>
      </c>
      <c r="B262" s="32" t="s">
        <v>858</v>
      </c>
      <c r="C262" s="32" t="s">
        <v>859</v>
      </c>
      <c r="D262" s="32" t="s">
        <v>684</v>
      </c>
      <c r="E262" s="32" t="s">
        <v>674</v>
      </c>
      <c r="F262" s="32" t="s">
        <v>716</v>
      </c>
      <c r="G262" s="32" t="s">
        <v>744</v>
      </c>
      <c r="H262" s="32" t="s">
        <v>677</v>
      </c>
      <c r="I262" s="32" t="s">
        <v>688</v>
      </c>
      <c r="J262" s="32" t="s">
        <v>860</v>
      </c>
      <c r="K262" s="32" t="s">
        <v>861</v>
      </c>
      <c r="L262" s="32" t="s">
        <v>699</v>
      </c>
      <c r="M262" s="32">
        <v>0.5</v>
      </c>
      <c r="N262" s="32" t="s">
        <v>422</v>
      </c>
      <c r="O262" s="32" t="s">
        <v>746</v>
      </c>
      <c r="P262" s="32" t="s">
        <v>683</v>
      </c>
      <c r="Q262" s="32" t="s">
        <v>665</v>
      </c>
      <c r="R262" s="32" t="s">
        <v>300</v>
      </c>
      <c r="S262" s="30" t="s">
        <v>684</v>
      </c>
    </row>
    <row r="263" spans="1:19" x14ac:dyDescent="0.3">
      <c r="A263" s="29" t="s">
        <v>857</v>
      </c>
      <c r="B263" s="30" t="s">
        <v>858</v>
      </c>
      <c r="C263" s="30" t="s">
        <v>859</v>
      </c>
      <c r="D263" s="30" t="s">
        <v>684</v>
      </c>
      <c r="E263" s="30" t="s">
        <v>674</v>
      </c>
      <c r="F263" s="30" t="s">
        <v>716</v>
      </c>
      <c r="G263" s="30" t="s">
        <v>744</v>
      </c>
      <c r="H263" s="30" t="s">
        <v>677</v>
      </c>
      <c r="I263" s="30" t="s">
        <v>688</v>
      </c>
      <c r="J263" s="30" t="s">
        <v>860</v>
      </c>
      <c r="K263" s="30" t="s">
        <v>861</v>
      </c>
      <c r="L263" s="30" t="s">
        <v>699</v>
      </c>
      <c r="M263" s="30">
        <v>0.5</v>
      </c>
      <c r="N263" s="30" t="s">
        <v>78</v>
      </c>
      <c r="O263" s="30" t="s">
        <v>746</v>
      </c>
      <c r="P263" s="30" t="s">
        <v>683</v>
      </c>
      <c r="Q263" s="30" t="s">
        <v>665</v>
      </c>
      <c r="R263" s="30" t="s">
        <v>300</v>
      </c>
      <c r="S263" s="30" t="s">
        <v>684</v>
      </c>
    </row>
    <row r="264" spans="1:19" x14ac:dyDescent="0.3">
      <c r="A264" s="31" t="s">
        <v>1041</v>
      </c>
      <c r="B264" s="32" t="s">
        <v>858</v>
      </c>
      <c r="C264" s="32" t="s">
        <v>1042</v>
      </c>
      <c r="D264" s="32" t="s">
        <v>684</v>
      </c>
      <c r="E264" s="32" t="s">
        <v>674</v>
      </c>
      <c r="F264" s="32" t="s">
        <v>716</v>
      </c>
      <c r="G264" s="32" t="s">
        <v>744</v>
      </c>
      <c r="H264" s="32" t="s">
        <v>677</v>
      </c>
      <c r="I264" s="32" t="s">
        <v>678</v>
      </c>
      <c r="J264" s="32" t="s">
        <v>860</v>
      </c>
      <c r="K264" s="32" t="s">
        <v>861</v>
      </c>
      <c r="L264" s="32" t="s">
        <v>699</v>
      </c>
      <c r="M264" s="32">
        <v>0.5</v>
      </c>
      <c r="N264" s="32" t="s">
        <v>357</v>
      </c>
      <c r="O264" s="32" t="s">
        <v>746</v>
      </c>
      <c r="P264" s="32" t="s">
        <v>683</v>
      </c>
      <c r="Q264" s="32" t="s">
        <v>665</v>
      </c>
      <c r="R264" s="32" t="s">
        <v>300</v>
      </c>
      <c r="S264" s="30" t="s">
        <v>684</v>
      </c>
    </row>
    <row r="265" spans="1:19" x14ac:dyDescent="0.3">
      <c r="A265" s="29" t="s">
        <v>857</v>
      </c>
      <c r="B265" s="30" t="s">
        <v>858</v>
      </c>
      <c r="C265" s="30" t="s">
        <v>859</v>
      </c>
      <c r="D265" s="30" t="s">
        <v>684</v>
      </c>
      <c r="E265" s="30" t="s">
        <v>674</v>
      </c>
      <c r="F265" s="30" t="s">
        <v>716</v>
      </c>
      <c r="G265" s="30" t="s">
        <v>744</v>
      </c>
      <c r="H265" s="30" t="s">
        <v>677</v>
      </c>
      <c r="I265" s="30" t="s">
        <v>688</v>
      </c>
      <c r="J265" s="30" t="s">
        <v>860</v>
      </c>
      <c r="K265" s="30" t="s">
        <v>861</v>
      </c>
      <c r="L265" s="30" t="s">
        <v>699</v>
      </c>
      <c r="M265" s="30">
        <v>0.5</v>
      </c>
      <c r="N265" s="30" t="s">
        <v>357</v>
      </c>
      <c r="O265" s="30" t="s">
        <v>746</v>
      </c>
      <c r="P265" s="30" t="s">
        <v>683</v>
      </c>
      <c r="Q265" s="30" t="s">
        <v>665</v>
      </c>
      <c r="R265" s="30" t="s">
        <v>300</v>
      </c>
      <c r="S265" s="30" t="s">
        <v>684</v>
      </c>
    </row>
    <row r="266" spans="1:19" x14ac:dyDescent="0.3">
      <c r="A266" s="31" t="s">
        <v>857</v>
      </c>
      <c r="B266" s="32" t="s">
        <v>858</v>
      </c>
      <c r="C266" s="32" t="s">
        <v>859</v>
      </c>
      <c r="D266" s="32" t="s">
        <v>684</v>
      </c>
      <c r="E266" s="32" t="s">
        <v>674</v>
      </c>
      <c r="F266" s="32" t="s">
        <v>716</v>
      </c>
      <c r="G266" s="32" t="s">
        <v>744</v>
      </c>
      <c r="H266" s="32" t="s">
        <v>677</v>
      </c>
      <c r="I266" s="32" t="s">
        <v>688</v>
      </c>
      <c r="J266" s="32" t="s">
        <v>860</v>
      </c>
      <c r="K266" s="32" t="s">
        <v>861</v>
      </c>
      <c r="L266" s="32" t="s">
        <v>699</v>
      </c>
      <c r="M266" s="32">
        <v>1</v>
      </c>
      <c r="N266" s="32" t="s">
        <v>346</v>
      </c>
      <c r="O266" s="32" t="s">
        <v>746</v>
      </c>
      <c r="P266" s="32" t="s">
        <v>683</v>
      </c>
      <c r="Q266" s="32" t="s">
        <v>665</v>
      </c>
      <c r="R266" s="32" t="s">
        <v>300</v>
      </c>
      <c r="S266" s="30" t="s">
        <v>684</v>
      </c>
    </row>
    <row r="267" spans="1:19" x14ac:dyDescent="0.3">
      <c r="A267" s="29" t="s">
        <v>857</v>
      </c>
      <c r="B267" s="30" t="s">
        <v>858</v>
      </c>
      <c r="C267" s="30" t="s">
        <v>859</v>
      </c>
      <c r="D267" s="30" t="s">
        <v>684</v>
      </c>
      <c r="E267" s="30" t="s">
        <v>674</v>
      </c>
      <c r="F267" s="30" t="s">
        <v>716</v>
      </c>
      <c r="G267" s="30" t="s">
        <v>744</v>
      </c>
      <c r="H267" s="30" t="s">
        <v>677</v>
      </c>
      <c r="I267" s="30" t="s">
        <v>688</v>
      </c>
      <c r="J267" s="30" t="s">
        <v>860</v>
      </c>
      <c r="K267" s="30" t="s">
        <v>861</v>
      </c>
      <c r="L267" s="30" t="s">
        <v>699</v>
      </c>
      <c r="M267" s="30">
        <v>1</v>
      </c>
      <c r="N267" s="30" t="s">
        <v>352</v>
      </c>
      <c r="O267" s="30" t="s">
        <v>746</v>
      </c>
      <c r="P267" s="30" t="s">
        <v>683</v>
      </c>
      <c r="Q267" s="30" t="s">
        <v>665</v>
      </c>
      <c r="R267" s="30" t="s">
        <v>300</v>
      </c>
      <c r="S267" s="30" t="s">
        <v>684</v>
      </c>
    </row>
    <row r="268" spans="1:19" x14ac:dyDescent="0.3">
      <c r="A268" s="31" t="s">
        <v>857</v>
      </c>
      <c r="B268" s="32" t="s">
        <v>858</v>
      </c>
      <c r="C268" s="32" t="s">
        <v>859</v>
      </c>
      <c r="D268" s="32" t="s">
        <v>684</v>
      </c>
      <c r="E268" s="32" t="s">
        <v>674</v>
      </c>
      <c r="F268" s="32" t="s">
        <v>716</v>
      </c>
      <c r="G268" s="32" t="s">
        <v>744</v>
      </c>
      <c r="H268" s="32" t="s">
        <v>677</v>
      </c>
      <c r="I268" s="32" t="s">
        <v>688</v>
      </c>
      <c r="J268" s="32" t="s">
        <v>860</v>
      </c>
      <c r="K268" s="32" t="s">
        <v>861</v>
      </c>
      <c r="L268" s="32" t="s">
        <v>699</v>
      </c>
      <c r="M268" s="32">
        <v>1</v>
      </c>
      <c r="N268" s="32" t="s">
        <v>70</v>
      </c>
      <c r="O268" s="32" t="s">
        <v>746</v>
      </c>
      <c r="P268" s="32" t="s">
        <v>683</v>
      </c>
      <c r="Q268" s="32" t="s">
        <v>665</v>
      </c>
      <c r="R268" s="32" t="s">
        <v>300</v>
      </c>
      <c r="S268" s="30" t="s">
        <v>684</v>
      </c>
    </row>
    <row r="269" spans="1:19" x14ac:dyDescent="0.3">
      <c r="A269" s="29" t="s">
        <v>857</v>
      </c>
      <c r="B269" s="30" t="s">
        <v>858</v>
      </c>
      <c r="C269" s="30" t="s">
        <v>859</v>
      </c>
      <c r="D269" s="30" t="s">
        <v>684</v>
      </c>
      <c r="E269" s="30" t="s">
        <v>674</v>
      </c>
      <c r="F269" s="30" t="s">
        <v>716</v>
      </c>
      <c r="G269" s="30" t="s">
        <v>744</v>
      </c>
      <c r="H269" s="30" t="s">
        <v>677</v>
      </c>
      <c r="I269" s="30" t="s">
        <v>688</v>
      </c>
      <c r="J269" s="30" t="s">
        <v>860</v>
      </c>
      <c r="K269" s="30" t="s">
        <v>861</v>
      </c>
      <c r="L269" s="30" t="s">
        <v>699</v>
      </c>
      <c r="M269" s="30">
        <v>1</v>
      </c>
      <c r="N269" s="30" t="s">
        <v>165</v>
      </c>
      <c r="O269" s="30" t="s">
        <v>746</v>
      </c>
      <c r="P269" s="30" t="s">
        <v>683</v>
      </c>
      <c r="Q269" s="30" t="s">
        <v>665</v>
      </c>
      <c r="R269" s="30" t="s">
        <v>300</v>
      </c>
      <c r="S269" s="30" t="s">
        <v>684</v>
      </c>
    </row>
    <row r="270" spans="1:19" x14ac:dyDescent="0.3">
      <c r="A270" s="31" t="s">
        <v>1044</v>
      </c>
      <c r="B270" s="32" t="s">
        <v>142</v>
      </c>
      <c r="C270" s="32" t="s">
        <v>1045</v>
      </c>
      <c r="D270" s="32" t="s">
        <v>673</v>
      </c>
      <c r="E270" s="32" t="s">
        <v>674</v>
      </c>
      <c r="F270" s="32" t="s">
        <v>675</v>
      </c>
      <c r="G270" s="32" t="s">
        <v>676</v>
      </c>
      <c r="H270" s="32" t="s">
        <v>702</v>
      </c>
      <c r="I270" s="32" t="s">
        <v>678</v>
      </c>
      <c r="J270" s="32" t="s">
        <v>698</v>
      </c>
      <c r="K270" s="32" t="s">
        <v>690</v>
      </c>
      <c r="L270" s="32" t="s">
        <v>691</v>
      </c>
      <c r="M270" s="32">
        <v>0.1</v>
      </c>
      <c r="N270" s="32" t="s">
        <v>177</v>
      </c>
      <c r="O270" s="32" t="s">
        <v>682</v>
      </c>
      <c r="P270" s="32" t="s">
        <v>683</v>
      </c>
      <c r="Q270" s="32" t="s">
        <v>665</v>
      </c>
      <c r="R270" s="32" t="s">
        <v>217</v>
      </c>
      <c r="S270" s="30" t="s">
        <v>684</v>
      </c>
    </row>
    <row r="271" spans="1:19" x14ac:dyDescent="0.3">
      <c r="A271" s="29" t="s">
        <v>1046</v>
      </c>
      <c r="B271" s="30" t="s">
        <v>753</v>
      </c>
      <c r="C271" s="30" t="s">
        <v>1047</v>
      </c>
      <c r="D271" s="30" t="s">
        <v>755</v>
      </c>
      <c r="E271" s="30" t="s">
        <v>674</v>
      </c>
      <c r="F271" s="30" t="s">
        <v>675</v>
      </c>
      <c r="G271" s="30" t="s">
        <v>676</v>
      </c>
      <c r="H271" s="30" t="s">
        <v>677</v>
      </c>
      <c r="I271" s="30" t="s">
        <v>678</v>
      </c>
      <c r="J271" s="30" t="s">
        <v>679</v>
      </c>
      <c r="K271" s="30" t="s">
        <v>680</v>
      </c>
      <c r="L271" s="30" t="s">
        <v>699</v>
      </c>
      <c r="M271" s="30">
        <v>0.4</v>
      </c>
      <c r="N271" s="30" t="s">
        <v>249</v>
      </c>
      <c r="O271" s="30" t="s">
        <v>682</v>
      </c>
      <c r="P271" s="30" t="s">
        <v>683</v>
      </c>
      <c r="Q271" s="30" t="s">
        <v>665</v>
      </c>
      <c r="R271" s="30" t="s">
        <v>217</v>
      </c>
      <c r="S271" s="30" t="s">
        <v>684</v>
      </c>
    </row>
    <row r="272" spans="1:19" x14ac:dyDescent="0.3">
      <c r="A272" s="31" t="s">
        <v>797</v>
      </c>
      <c r="B272" s="32" t="s">
        <v>544</v>
      </c>
      <c r="C272" s="32" t="s">
        <v>798</v>
      </c>
      <c r="D272" s="32" t="s">
        <v>684</v>
      </c>
      <c r="E272" s="32" t="s">
        <v>674</v>
      </c>
      <c r="F272" s="32" t="s">
        <v>716</v>
      </c>
      <c r="G272" s="32" t="s">
        <v>744</v>
      </c>
      <c r="H272" s="32" t="s">
        <v>702</v>
      </c>
      <c r="I272" s="32" t="s">
        <v>736</v>
      </c>
      <c r="J272" s="32" t="s">
        <v>737</v>
      </c>
      <c r="K272" s="32" t="s">
        <v>738</v>
      </c>
      <c r="L272" s="32" t="s">
        <v>699</v>
      </c>
      <c r="M272" s="32">
        <v>0.2</v>
      </c>
      <c r="N272" s="32" t="s">
        <v>217</v>
      </c>
      <c r="O272" s="32" t="s">
        <v>682</v>
      </c>
      <c r="P272" s="32" t="s">
        <v>683</v>
      </c>
      <c r="Q272" s="32" t="s">
        <v>665</v>
      </c>
      <c r="R272" s="32" t="s">
        <v>89</v>
      </c>
      <c r="S272" s="30" t="s">
        <v>684</v>
      </c>
    </row>
    <row r="273" spans="1:19" x14ac:dyDescent="0.3">
      <c r="A273" s="29" t="s">
        <v>685</v>
      </c>
      <c r="B273" s="30" t="s">
        <v>686</v>
      </c>
      <c r="C273" s="30" t="s">
        <v>687</v>
      </c>
      <c r="D273" s="30" t="s">
        <v>673</v>
      </c>
      <c r="E273" s="30" t="s">
        <v>674</v>
      </c>
      <c r="F273" s="30" t="s">
        <v>675</v>
      </c>
      <c r="G273" s="30" t="s">
        <v>676</v>
      </c>
      <c r="H273" s="30" t="s">
        <v>677</v>
      </c>
      <c r="I273" s="30" t="s">
        <v>688</v>
      </c>
      <c r="J273" s="30" t="s">
        <v>689</v>
      </c>
      <c r="K273" s="30" t="s">
        <v>690</v>
      </c>
      <c r="L273" s="30" t="s">
        <v>691</v>
      </c>
      <c r="M273" s="30">
        <v>0.2</v>
      </c>
      <c r="N273" s="30" t="s">
        <v>217</v>
      </c>
      <c r="O273" s="30" t="s">
        <v>682</v>
      </c>
      <c r="P273" s="30" t="s">
        <v>683</v>
      </c>
      <c r="Q273" s="30" t="s">
        <v>665</v>
      </c>
      <c r="R273" s="30" t="s">
        <v>89</v>
      </c>
      <c r="S273" s="30" t="s">
        <v>684</v>
      </c>
    </row>
    <row r="274" spans="1:19" x14ac:dyDescent="0.3">
      <c r="A274" s="31" t="s">
        <v>671</v>
      </c>
      <c r="B274" s="32" t="s">
        <v>178</v>
      </c>
      <c r="C274" s="32" t="s">
        <v>672</v>
      </c>
      <c r="D274" s="32" t="s">
        <v>673</v>
      </c>
      <c r="E274" s="32" t="s">
        <v>674</v>
      </c>
      <c r="F274" s="32" t="s">
        <v>675</v>
      </c>
      <c r="G274" s="32" t="s">
        <v>676</v>
      </c>
      <c r="H274" s="32" t="s">
        <v>677</v>
      </c>
      <c r="I274" s="32" t="s">
        <v>678</v>
      </c>
      <c r="J274" s="32" t="s">
        <v>679</v>
      </c>
      <c r="K274" s="32" t="s">
        <v>680</v>
      </c>
      <c r="L274" s="32" t="s">
        <v>681</v>
      </c>
      <c r="M274" s="32">
        <v>0.2</v>
      </c>
      <c r="N274" s="32" t="s">
        <v>217</v>
      </c>
      <c r="O274" s="32" t="s">
        <v>682</v>
      </c>
      <c r="P274" s="32" t="s">
        <v>683</v>
      </c>
      <c r="Q274" s="32" t="s">
        <v>665</v>
      </c>
      <c r="R274" s="32" t="s">
        <v>89</v>
      </c>
      <c r="S274" s="30" t="s">
        <v>684</v>
      </c>
    </row>
    <row r="275" spans="1:19" x14ac:dyDescent="0.3">
      <c r="A275" s="29" t="s">
        <v>873</v>
      </c>
      <c r="B275" s="30" t="s">
        <v>458</v>
      </c>
      <c r="C275" s="30" t="s">
        <v>874</v>
      </c>
      <c r="D275" s="30" t="s">
        <v>684</v>
      </c>
      <c r="E275" s="30" t="s">
        <v>674</v>
      </c>
      <c r="F275" s="30" t="s">
        <v>716</v>
      </c>
      <c r="G275" s="30" t="s">
        <v>744</v>
      </c>
      <c r="H275" s="30" t="s">
        <v>702</v>
      </c>
      <c r="I275" s="30" t="s">
        <v>678</v>
      </c>
      <c r="J275" s="30" t="s">
        <v>679</v>
      </c>
      <c r="K275" s="30" t="s">
        <v>680</v>
      </c>
      <c r="L275" s="30" t="s">
        <v>699</v>
      </c>
      <c r="M275" s="30">
        <v>0.55000000000000004</v>
      </c>
      <c r="N275" s="30" t="s">
        <v>365</v>
      </c>
      <c r="O275" s="30" t="s">
        <v>829</v>
      </c>
      <c r="P275" s="30" t="s">
        <v>683</v>
      </c>
      <c r="Q275" s="30" t="s">
        <v>665</v>
      </c>
      <c r="R275" s="30" t="s">
        <v>89</v>
      </c>
      <c r="S275" s="30" t="s">
        <v>684</v>
      </c>
    </row>
    <row r="276" spans="1:19" x14ac:dyDescent="0.3">
      <c r="A276" s="31" t="s">
        <v>954</v>
      </c>
      <c r="B276" s="32" t="s">
        <v>955</v>
      </c>
      <c r="C276" s="32" t="s">
        <v>956</v>
      </c>
      <c r="D276" s="32" t="s">
        <v>673</v>
      </c>
      <c r="E276" s="32" t="s">
        <v>674</v>
      </c>
      <c r="F276" s="32" t="s">
        <v>675</v>
      </c>
      <c r="G276" s="32" t="s">
        <v>676</v>
      </c>
      <c r="H276" s="32" t="s">
        <v>677</v>
      </c>
      <c r="I276" s="32" t="s">
        <v>688</v>
      </c>
      <c r="J276" s="32" t="s">
        <v>713</v>
      </c>
      <c r="K276" s="32" t="s">
        <v>690</v>
      </c>
      <c r="L276" s="32" t="s">
        <v>699</v>
      </c>
      <c r="M276" s="32">
        <v>0.2</v>
      </c>
      <c r="N276" s="32" t="s">
        <v>458</v>
      </c>
      <c r="O276" s="32" t="s">
        <v>746</v>
      </c>
      <c r="P276" s="32" t="s">
        <v>683</v>
      </c>
      <c r="Q276" s="32" t="s">
        <v>665</v>
      </c>
      <c r="R276" s="32" t="s">
        <v>89</v>
      </c>
      <c r="S276" s="30" t="s">
        <v>684</v>
      </c>
    </row>
    <row r="277" spans="1:19" x14ac:dyDescent="0.3">
      <c r="A277" s="29" t="s">
        <v>1009</v>
      </c>
      <c r="B277" s="30" t="s">
        <v>707</v>
      </c>
      <c r="C277" s="30" t="s">
        <v>715</v>
      </c>
      <c r="D277" s="30" t="s">
        <v>684</v>
      </c>
      <c r="E277" s="30" t="s">
        <v>674</v>
      </c>
      <c r="F277" s="30" t="s">
        <v>716</v>
      </c>
      <c r="G277" s="30" t="s">
        <v>717</v>
      </c>
      <c r="H277" s="30" t="s">
        <v>717</v>
      </c>
      <c r="I277" s="30" t="s">
        <v>717</v>
      </c>
      <c r="J277" s="30" t="s">
        <v>737</v>
      </c>
      <c r="K277" s="30" t="s">
        <v>738</v>
      </c>
      <c r="L277" s="30" t="s">
        <v>699</v>
      </c>
      <c r="M277" s="30">
        <v>1</v>
      </c>
      <c r="N277" s="30" t="s">
        <v>427</v>
      </c>
      <c r="O277" s="30" t="s">
        <v>746</v>
      </c>
      <c r="P277" s="30" t="s">
        <v>683</v>
      </c>
      <c r="Q277" s="30" t="s">
        <v>665</v>
      </c>
      <c r="R277" s="30" t="s">
        <v>1049</v>
      </c>
      <c r="S277" s="32" t="s">
        <v>673</v>
      </c>
    </row>
    <row r="278" spans="1:19" x14ac:dyDescent="0.3">
      <c r="A278" s="31" t="s">
        <v>1037</v>
      </c>
      <c r="B278" s="32" t="s">
        <v>858</v>
      </c>
      <c r="C278" s="32" t="s">
        <v>1038</v>
      </c>
      <c r="D278" s="32" t="s">
        <v>684</v>
      </c>
      <c r="E278" s="32" t="s">
        <v>674</v>
      </c>
      <c r="F278" s="32" t="s">
        <v>716</v>
      </c>
      <c r="G278" s="32" t="s">
        <v>744</v>
      </c>
      <c r="H278" s="32" t="s">
        <v>677</v>
      </c>
      <c r="I278" s="32" t="s">
        <v>678</v>
      </c>
      <c r="J278" s="32" t="s">
        <v>860</v>
      </c>
      <c r="K278" s="32" t="s">
        <v>861</v>
      </c>
      <c r="L278" s="32" t="s">
        <v>699</v>
      </c>
      <c r="M278" s="32">
        <v>0.75</v>
      </c>
      <c r="N278" s="32" t="s">
        <v>472</v>
      </c>
      <c r="O278" s="32" t="s">
        <v>746</v>
      </c>
      <c r="P278" s="32" t="s">
        <v>683</v>
      </c>
      <c r="Q278" s="32" t="s">
        <v>665</v>
      </c>
      <c r="R278" s="32" t="s">
        <v>300</v>
      </c>
      <c r="S278" s="30" t="s">
        <v>684</v>
      </c>
    </row>
    <row r="279" spans="1:19" x14ac:dyDescent="0.3">
      <c r="A279" s="29" t="s">
        <v>993</v>
      </c>
      <c r="B279" s="30" t="s">
        <v>760</v>
      </c>
      <c r="C279" s="30" t="s">
        <v>994</v>
      </c>
      <c r="D279" s="30" t="s">
        <v>673</v>
      </c>
      <c r="E279" s="30" t="s">
        <v>674</v>
      </c>
      <c r="F279" s="30" t="s">
        <v>675</v>
      </c>
      <c r="G279" s="30" t="s">
        <v>676</v>
      </c>
      <c r="H279" s="30" t="s">
        <v>702</v>
      </c>
      <c r="I279" s="30" t="s">
        <v>688</v>
      </c>
      <c r="J279" s="30" t="s">
        <v>751</v>
      </c>
      <c r="K279" s="30" t="s">
        <v>690</v>
      </c>
      <c r="L279" s="30" t="s">
        <v>681</v>
      </c>
      <c r="M279" s="30">
        <v>0.2</v>
      </c>
      <c r="N279" s="30" t="s">
        <v>115</v>
      </c>
      <c r="O279" s="30" t="s">
        <v>746</v>
      </c>
      <c r="P279" s="30" t="s">
        <v>683</v>
      </c>
      <c r="Q279" s="30" t="s">
        <v>665</v>
      </c>
      <c r="R279" s="30" t="s">
        <v>132</v>
      </c>
      <c r="S279" s="32" t="s">
        <v>673</v>
      </c>
    </row>
    <row r="280" spans="1:19" x14ac:dyDescent="0.3">
      <c r="A280" s="31" t="s">
        <v>748</v>
      </c>
      <c r="B280" s="32" t="s">
        <v>749</v>
      </c>
      <c r="C280" s="32" t="s">
        <v>750</v>
      </c>
      <c r="D280" s="32" t="s">
        <v>673</v>
      </c>
      <c r="E280" s="32" t="s">
        <v>674</v>
      </c>
      <c r="F280" s="32" t="s">
        <v>716</v>
      </c>
      <c r="G280" s="32" t="s">
        <v>744</v>
      </c>
      <c r="H280" s="32" t="s">
        <v>677</v>
      </c>
      <c r="I280" s="32" t="s">
        <v>688</v>
      </c>
      <c r="J280" s="32" t="s">
        <v>751</v>
      </c>
      <c r="K280" s="32" t="s">
        <v>690</v>
      </c>
      <c r="L280" s="32" t="s">
        <v>681</v>
      </c>
      <c r="M280" s="32">
        <v>0.1</v>
      </c>
      <c r="N280" s="32" t="s">
        <v>115</v>
      </c>
      <c r="O280" s="32" t="s">
        <v>746</v>
      </c>
      <c r="P280" s="32" t="s">
        <v>683</v>
      </c>
      <c r="Q280" s="32" t="s">
        <v>665</v>
      </c>
      <c r="R280" s="32" t="s">
        <v>132</v>
      </c>
      <c r="S280" s="32" t="s">
        <v>673</v>
      </c>
    </row>
    <row r="281" spans="1:19" x14ac:dyDescent="0.3">
      <c r="A281" s="29" t="s">
        <v>2296</v>
      </c>
      <c r="B281" s="30" t="s">
        <v>998</v>
      </c>
      <c r="C281" s="30" t="s">
        <v>2297</v>
      </c>
      <c r="D281" s="30" t="s">
        <v>673</v>
      </c>
      <c r="E281" s="30" t="s">
        <v>674</v>
      </c>
      <c r="F281" s="30" t="s">
        <v>716</v>
      </c>
      <c r="G281" s="30" t="s">
        <v>744</v>
      </c>
      <c r="H281" s="30" t="s">
        <v>677</v>
      </c>
      <c r="I281" s="30" t="s">
        <v>688</v>
      </c>
      <c r="J281" s="30" t="s">
        <v>713</v>
      </c>
      <c r="K281" s="30" t="s">
        <v>690</v>
      </c>
      <c r="L281" s="30" t="s">
        <v>681</v>
      </c>
      <c r="M281" s="30">
        <v>0.2</v>
      </c>
      <c r="N281" s="30" t="s">
        <v>473</v>
      </c>
      <c r="O281" s="30" t="s">
        <v>1915</v>
      </c>
      <c r="P281" s="30" t="s">
        <v>683</v>
      </c>
      <c r="Q281" s="30" t="s">
        <v>767</v>
      </c>
      <c r="R281" s="30" t="s">
        <v>132</v>
      </c>
      <c r="S281" s="32" t="s">
        <v>673</v>
      </c>
    </row>
    <row r="282" spans="1:19" x14ac:dyDescent="0.3">
      <c r="A282" s="31" t="s">
        <v>1050</v>
      </c>
      <c r="B282" s="32" t="s">
        <v>132</v>
      </c>
      <c r="C282" s="32" t="s">
        <v>1051</v>
      </c>
      <c r="D282" s="32" t="s">
        <v>673</v>
      </c>
      <c r="E282" s="32" t="s">
        <v>674</v>
      </c>
      <c r="F282" s="32" t="s">
        <v>716</v>
      </c>
      <c r="G282" s="32" t="s">
        <v>731</v>
      </c>
      <c r="H282" s="32" t="s">
        <v>702</v>
      </c>
      <c r="I282" s="32" t="s">
        <v>688</v>
      </c>
      <c r="J282" s="32" t="s">
        <v>713</v>
      </c>
      <c r="K282" s="32" t="s">
        <v>690</v>
      </c>
      <c r="L282" s="32" t="s">
        <v>691</v>
      </c>
      <c r="M282" s="32">
        <v>0.8</v>
      </c>
      <c r="N282" s="32" t="s">
        <v>505</v>
      </c>
      <c r="O282" s="32" t="s">
        <v>746</v>
      </c>
      <c r="P282" s="32" t="s">
        <v>683</v>
      </c>
      <c r="Q282" s="32" t="s">
        <v>665</v>
      </c>
      <c r="R282" s="32" t="s">
        <v>132</v>
      </c>
      <c r="S282" s="32" t="s">
        <v>673</v>
      </c>
    </row>
    <row r="283" spans="1:19" x14ac:dyDescent="0.3">
      <c r="A283" s="29" t="s">
        <v>1054</v>
      </c>
      <c r="B283" s="30" t="s">
        <v>760</v>
      </c>
      <c r="C283" s="30" t="s">
        <v>1055</v>
      </c>
      <c r="D283" s="30" t="s">
        <v>673</v>
      </c>
      <c r="E283" s="30" t="s">
        <v>674</v>
      </c>
      <c r="F283" s="30" t="s">
        <v>675</v>
      </c>
      <c r="G283" s="30" t="s">
        <v>676</v>
      </c>
      <c r="H283" s="30" t="s">
        <v>702</v>
      </c>
      <c r="I283" s="30" t="s">
        <v>688</v>
      </c>
      <c r="J283" s="30" t="s">
        <v>751</v>
      </c>
      <c r="K283" s="30" t="s">
        <v>690</v>
      </c>
      <c r="L283" s="30" t="s">
        <v>681</v>
      </c>
      <c r="M283" s="30">
        <v>0.4</v>
      </c>
      <c r="N283" s="30" t="s">
        <v>588</v>
      </c>
      <c r="O283" s="30" t="s">
        <v>746</v>
      </c>
      <c r="P283" s="30" t="s">
        <v>683</v>
      </c>
      <c r="Q283" s="30" t="s">
        <v>665</v>
      </c>
      <c r="R283" s="30" t="s">
        <v>132</v>
      </c>
      <c r="S283" s="32" t="s">
        <v>673</v>
      </c>
    </row>
    <row r="284" spans="1:19" x14ac:dyDescent="0.3">
      <c r="A284" s="31" t="s">
        <v>1056</v>
      </c>
      <c r="B284" s="32" t="s">
        <v>760</v>
      </c>
      <c r="C284" s="32" t="s">
        <v>1057</v>
      </c>
      <c r="D284" s="32" t="s">
        <v>673</v>
      </c>
      <c r="E284" s="32" t="s">
        <v>674</v>
      </c>
      <c r="F284" s="32" t="s">
        <v>716</v>
      </c>
      <c r="G284" s="32" t="s">
        <v>744</v>
      </c>
      <c r="H284" s="32" t="s">
        <v>702</v>
      </c>
      <c r="I284" s="32" t="s">
        <v>688</v>
      </c>
      <c r="J284" s="32" t="s">
        <v>751</v>
      </c>
      <c r="K284" s="32" t="s">
        <v>690</v>
      </c>
      <c r="L284" s="32" t="s">
        <v>699</v>
      </c>
      <c r="M284" s="32">
        <v>0.3</v>
      </c>
      <c r="N284" s="32" t="s">
        <v>588</v>
      </c>
      <c r="O284" s="32" t="s">
        <v>746</v>
      </c>
      <c r="P284" s="32" t="s">
        <v>683</v>
      </c>
      <c r="Q284" s="32" t="s">
        <v>665</v>
      </c>
      <c r="R284" s="32" t="s">
        <v>132</v>
      </c>
      <c r="S284" s="32" t="s">
        <v>673</v>
      </c>
    </row>
    <row r="285" spans="1:19" x14ac:dyDescent="0.3">
      <c r="A285" s="29" t="s">
        <v>748</v>
      </c>
      <c r="B285" s="30" t="s">
        <v>749</v>
      </c>
      <c r="C285" s="30" t="s">
        <v>750</v>
      </c>
      <c r="D285" s="30" t="s">
        <v>673</v>
      </c>
      <c r="E285" s="30" t="s">
        <v>674</v>
      </c>
      <c r="F285" s="30" t="s">
        <v>716</v>
      </c>
      <c r="G285" s="30" t="s">
        <v>744</v>
      </c>
      <c r="H285" s="30" t="s">
        <v>677</v>
      </c>
      <c r="I285" s="30" t="s">
        <v>688</v>
      </c>
      <c r="J285" s="30" t="s">
        <v>751</v>
      </c>
      <c r="K285" s="30" t="s">
        <v>690</v>
      </c>
      <c r="L285" s="30" t="s">
        <v>681</v>
      </c>
      <c r="M285" s="30">
        <v>0.3</v>
      </c>
      <c r="N285" s="30" t="s">
        <v>588</v>
      </c>
      <c r="O285" s="30" t="s">
        <v>746</v>
      </c>
      <c r="P285" s="30" t="s">
        <v>683</v>
      </c>
      <c r="Q285" s="30" t="s">
        <v>665</v>
      </c>
      <c r="R285" s="30" t="s">
        <v>132</v>
      </c>
      <c r="S285" s="32" t="s">
        <v>673</v>
      </c>
    </row>
    <row r="286" spans="1:19" x14ac:dyDescent="0.3">
      <c r="A286" s="31" t="s">
        <v>1066</v>
      </c>
      <c r="B286" s="32" t="s">
        <v>528</v>
      </c>
      <c r="C286" s="32" t="s">
        <v>1067</v>
      </c>
      <c r="D286" s="32" t="s">
        <v>755</v>
      </c>
      <c r="E286" s="32" t="s">
        <v>674</v>
      </c>
      <c r="F286" s="32" t="s">
        <v>675</v>
      </c>
      <c r="G286" s="32" t="s">
        <v>724</v>
      </c>
      <c r="H286" s="32" t="s">
        <v>935</v>
      </c>
      <c r="I286" s="32" t="s">
        <v>678</v>
      </c>
      <c r="J286" s="32" t="s">
        <v>774</v>
      </c>
      <c r="K286" s="32" t="s">
        <v>680</v>
      </c>
      <c r="L286" s="32" t="s">
        <v>801</v>
      </c>
      <c r="M286" s="32">
        <v>0.3</v>
      </c>
      <c r="N286" s="32" t="s">
        <v>208</v>
      </c>
      <c r="O286" s="32" t="s">
        <v>2204</v>
      </c>
      <c r="P286" s="32" t="s">
        <v>683</v>
      </c>
      <c r="Q286" s="32" t="s">
        <v>767</v>
      </c>
      <c r="R286" s="32" t="s">
        <v>47</v>
      </c>
      <c r="S286" s="30" t="s">
        <v>755</v>
      </c>
    </row>
    <row r="287" spans="1:19" x14ac:dyDescent="0.3">
      <c r="A287" s="29" t="s">
        <v>1068</v>
      </c>
      <c r="B287" s="30" t="s">
        <v>528</v>
      </c>
      <c r="C287" s="30" t="s">
        <v>1069</v>
      </c>
      <c r="D287" s="30" t="s">
        <v>755</v>
      </c>
      <c r="E287" s="30" t="s">
        <v>674</v>
      </c>
      <c r="F287" s="30" t="s">
        <v>675</v>
      </c>
      <c r="G287" s="30" t="s">
        <v>744</v>
      </c>
      <c r="H287" s="30" t="s">
        <v>677</v>
      </c>
      <c r="I287" s="30" t="s">
        <v>678</v>
      </c>
      <c r="J287" s="30" t="s">
        <v>774</v>
      </c>
      <c r="K287" s="30" t="s">
        <v>680</v>
      </c>
      <c r="L287" s="30" t="s">
        <v>801</v>
      </c>
      <c r="M287" s="30">
        <v>0.35</v>
      </c>
      <c r="N287" s="30" t="s">
        <v>208</v>
      </c>
      <c r="O287" s="30" t="s">
        <v>2204</v>
      </c>
      <c r="P287" s="30" t="s">
        <v>683</v>
      </c>
      <c r="Q287" s="30" t="s">
        <v>767</v>
      </c>
      <c r="R287" s="30" t="s">
        <v>47</v>
      </c>
      <c r="S287" s="30" t="s">
        <v>755</v>
      </c>
    </row>
    <row r="288" spans="1:19" x14ac:dyDescent="0.3">
      <c r="A288" s="31" t="s">
        <v>1070</v>
      </c>
      <c r="B288" s="32" t="s">
        <v>528</v>
      </c>
      <c r="C288" s="32" t="s">
        <v>1071</v>
      </c>
      <c r="D288" s="32" t="s">
        <v>755</v>
      </c>
      <c r="E288" s="32" t="s">
        <v>674</v>
      </c>
      <c r="F288" s="32" t="s">
        <v>675</v>
      </c>
      <c r="G288" s="32" t="s">
        <v>744</v>
      </c>
      <c r="H288" s="32" t="s">
        <v>677</v>
      </c>
      <c r="I288" s="32" t="s">
        <v>678</v>
      </c>
      <c r="J288" s="32" t="s">
        <v>774</v>
      </c>
      <c r="K288" s="32" t="s">
        <v>680</v>
      </c>
      <c r="L288" s="32" t="s">
        <v>801</v>
      </c>
      <c r="M288" s="32">
        <v>0.35</v>
      </c>
      <c r="N288" s="32" t="s">
        <v>208</v>
      </c>
      <c r="O288" s="32" t="s">
        <v>2204</v>
      </c>
      <c r="P288" s="32" t="s">
        <v>683</v>
      </c>
      <c r="Q288" s="32" t="s">
        <v>767</v>
      </c>
      <c r="R288" s="32" t="s">
        <v>47</v>
      </c>
      <c r="S288" s="30" t="s">
        <v>755</v>
      </c>
    </row>
    <row r="289" spans="1:19" x14ac:dyDescent="0.3">
      <c r="A289" s="29" t="s">
        <v>1072</v>
      </c>
      <c r="B289" s="30" t="s">
        <v>528</v>
      </c>
      <c r="C289" s="30" t="s">
        <v>1073</v>
      </c>
      <c r="D289" s="30" t="s">
        <v>755</v>
      </c>
      <c r="E289" s="30" t="s">
        <v>674</v>
      </c>
      <c r="F289" s="30" t="s">
        <v>675</v>
      </c>
      <c r="G289" s="30" t="s">
        <v>744</v>
      </c>
      <c r="H289" s="30" t="s">
        <v>677</v>
      </c>
      <c r="I289" s="30" t="s">
        <v>678</v>
      </c>
      <c r="J289" s="30" t="s">
        <v>774</v>
      </c>
      <c r="K289" s="30" t="s">
        <v>680</v>
      </c>
      <c r="L289" s="30" t="s">
        <v>801</v>
      </c>
      <c r="M289" s="30">
        <v>1</v>
      </c>
      <c r="N289" s="30" t="s">
        <v>292</v>
      </c>
      <c r="O289" s="30" t="s">
        <v>746</v>
      </c>
      <c r="P289" s="30" t="s">
        <v>683</v>
      </c>
      <c r="Q289" s="30" t="s">
        <v>665</v>
      </c>
      <c r="R289" s="30" t="s">
        <v>47</v>
      </c>
      <c r="S289" s="30" t="s">
        <v>755</v>
      </c>
    </row>
    <row r="290" spans="1:19" x14ac:dyDescent="0.3">
      <c r="A290" s="31" t="s">
        <v>1302</v>
      </c>
      <c r="B290" s="32" t="s">
        <v>1232</v>
      </c>
      <c r="C290" s="32" t="s">
        <v>1303</v>
      </c>
      <c r="D290" s="32" t="s">
        <v>755</v>
      </c>
      <c r="E290" s="32" t="s">
        <v>674</v>
      </c>
      <c r="F290" s="32" t="s">
        <v>675</v>
      </c>
      <c r="G290" s="32" t="s">
        <v>676</v>
      </c>
      <c r="H290" s="32" t="s">
        <v>702</v>
      </c>
      <c r="I290" s="32" t="s">
        <v>697</v>
      </c>
      <c r="J290" s="32" t="s">
        <v>679</v>
      </c>
      <c r="K290" s="32" t="s">
        <v>680</v>
      </c>
      <c r="L290" s="32" t="s">
        <v>681</v>
      </c>
      <c r="M290" s="32">
        <v>0.5</v>
      </c>
      <c r="N290" s="32" t="s">
        <v>298</v>
      </c>
      <c r="O290" s="32" t="s">
        <v>746</v>
      </c>
      <c r="P290" s="32" t="s">
        <v>683</v>
      </c>
      <c r="Q290" s="32" t="s">
        <v>665</v>
      </c>
      <c r="R290" s="32" t="s">
        <v>34</v>
      </c>
      <c r="S290" s="30" t="s">
        <v>755</v>
      </c>
    </row>
    <row r="291" spans="1:19" x14ac:dyDescent="0.3">
      <c r="A291" s="29" t="s">
        <v>714</v>
      </c>
      <c r="B291" s="30" t="s">
        <v>707</v>
      </c>
      <c r="C291" s="30" t="s">
        <v>715</v>
      </c>
      <c r="D291" s="30" t="s">
        <v>673</v>
      </c>
      <c r="E291" s="30" t="s">
        <v>674</v>
      </c>
      <c r="F291" s="30" t="s">
        <v>716</v>
      </c>
      <c r="G291" s="30" t="s">
        <v>717</v>
      </c>
      <c r="H291" s="30" t="s">
        <v>717</v>
      </c>
      <c r="I291" s="30" t="s">
        <v>717</v>
      </c>
      <c r="J291" s="30" t="s">
        <v>710</v>
      </c>
      <c r="K291" s="30" t="s">
        <v>690</v>
      </c>
      <c r="L291" s="30" t="s">
        <v>699</v>
      </c>
      <c r="M291" s="30">
        <v>0.5</v>
      </c>
      <c r="N291" s="30" t="s">
        <v>154</v>
      </c>
      <c r="O291" s="30" t="s">
        <v>746</v>
      </c>
      <c r="P291" s="30" t="s">
        <v>683</v>
      </c>
      <c r="Q291" s="30" t="s">
        <v>665</v>
      </c>
      <c r="R291" s="30" t="s">
        <v>366</v>
      </c>
      <c r="S291" s="30" t="s">
        <v>719</v>
      </c>
    </row>
    <row r="292" spans="1:19" x14ac:dyDescent="0.3">
      <c r="A292" s="31" t="s">
        <v>841</v>
      </c>
      <c r="B292" s="32" t="s">
        <v>707</v>
      </c>
      <c r="C292" s="32" t="s">
        <v>715</v>
      </c>
      <c r="D292" s="32" t="s">
        <v>673</v>
      </c>
      <c r="E292" s="32" t="s">
        <v>674</v>
      </c>
      <c r="F292" s="32" t="s">
        <v>716</v>
      </c>
      <c r="G292" s="32" t="s">
        <v>717</v>
      </c>
      <c r="H292" s="32" t="s">
        <v>717</v>
      </c>
      <c r="I292" s="32" t="s">
        <v>717</v>
      </c>
      <c r="J292" s="32" t="s">
        <v>713</v>
      </c>
      <c r="K292" s="32" t="s">
        <v>690</v>
      </c>
      <c r="L292" s="32" t="s">
        <v>699</v>
      </c>
      <c r="M292" s="32">
        <v>0.5</v>
      </c>
      <c r="N292" s="32" t="s">
        <v>154</v>
      </c>
      <c r="O292" s="32" t="s">
        <v>746</v>
      </c>
      <c r="P292" s="32" t="s">
        <v>683</v>
      </c>
      <c r="Q292" s="32" t="s">
        <v>665</v>
      </c>
      <c r="R292" s="32" t="s">
        <v>366</v>
      </c>
      <c r="S292" s="30" t="s">
        <v>719</v>
      </c>
    </row>
    <row r="293" spans="1:19" x14ac:dyDescent="0.3">
      <c r="A293" s="29" t="s">
        <v>1006</v>
      </c>
      <c r="B293" s="30" t="s">
        <v>707</v>
      </c>
      <c r="C293" s="30" t="s">
        <v>773</v>
      </c>
      <c r="D293" s="30" t="s">
        <v>684</v>
      </c>
      <c r="E293" s="30" t="s">
        <v>674</v>
      </c>
      <c r="F293" s="30" t="s">
        <v>773</v>
      </c>
      <c r="G293" s="30" t="s">
        <v>773</v>
      </c>
      <c r="H293" s="30" t="s">
        <v>773</v>
      </c>
      <c r="I293" s="30" t="s">
        <v>773</v>
      </c>
      <c r="J293" s="30" t="s">
        <v>737</v>
      </c>
      <c r="K293" s="30" t="s">
        <v>738</v>
      </c>
      <c r="L293" s="30" t="s">
        <v>699</v>
      </c>
      <c r="M293" s="30">
        <v>0.4</v>
      </c>
      <c r="N293" s="30" t="s">
        <v>1079</v>
      </c>
      <c r="O293" s="30" t="s">
        <v>746</v>
      </c>
      <c r="P293" s="30" t="s">
        <v>683</v>
      </c>
      <c r="Q293" s="30" t="s">
        <v>665</v>
      </c>
      <c r="R293" s="30" t="s">
        <v>213</v>
      </c>
      <c r="S293" s="30" t="s">
        <v>684</v>
      </c>
    </row>
    <row r="294" spans="1:19" x14ac:dyDescent="0.3">
      <c r="A294" s="31" t="s">
        <v>1043</v>
      </c>
      <c r="B294" s="32" t="s">
        <v>707</v>
      </c>
      <c r="C294" s="32" t="s">
        <v>773</v>
      </c>
      <c r="D294" s="32" t="s">
        <v>684</v>
      </c>
      <c r="E294" s="32" t="s">
        <v>674</v>
      </c>
      <c r="F294" s="32" t="s">
        <v>773</v>
      </c>
      <c r="G294" s="32" t="s">
        <v>773</v>
      </c>
      <c r="H294" s="32" t="s">
        <v>773</v>
      </c>
      <c r="I294" s="32" t="s">
        <v>773</v>
      </c>
      <c r="J294" s="32" t="s">
        <v>737</v>
      </c>
      <c r="K294" s="32" t="s">
        <v>738</v>
      </c>
      <c r="L294" s="32" t="s">
        <v>699</v>
      </c>
      <c r="M294" s="32">
        <v>0.4</v>
      </c>
      <c r="N294" s="32" t="s">
        <v>1079</v>
      </c>
      <c r="O294" s="32" t="s">
        <v>746</v>
      </c>
      <c r="P294" s="32" t="s">
        <v>683</v>
      </c>
      <c r="Q294" s="32" t="s">
        <v>665</v>
      </c>
      <c r="R294" s="32" t="s">
        <v>213</v>
      </c>
      <c r="S294" s="30" t="s">
        <v>684</v>
      </c>
    </row>
    <row r="295" spans="1:19" x14ac:dyDescent="0.3">
      <c r="A295" s="29" t="s">
        <v>1084</v>
      </c>
      <c r="B295" s="30" t="s">
        <v>544</v>
      </c>
      <c r="C295" s="30" t="s">
        <v>1085</v>
      </c>
      <c r="D295" s="30" t="s">
        <v>684</v>
      </c>
      <c r="E295" s="30" t="s">
        <v>674</v>
      </c>
      <c r="F295" s="30" t="s">
        <v>734</v>
      </c>
      <c r="G295" s="30" t="s">
        <v>735</v>
      </c>
      <c r="H295" s="30" t="s">
        <v>735</v>
      </c>
      <c r="I295" s="30" t="s">
        <v>736</v>
      </c>
      <c r="J295" s="30" t="s">
        <v>737</v>
      </c>
      <c r="K295" s="30" t="s">
        <v>738</v>
      </c>
      <c r="L295" s="30" t="s">
        <v>808</v>
      </c>
      <c r="M295" s="30">
        <v>0.2</v>
      </c>
      <c r="N295" s="30" t="s">
        <v>94</v>
      </c>
      <c r="O295" s="30" t="s">
        <v>746</v>
      </c>
      <c r="P295" s="30" t="s">
        <v>683</v>
      </c>
      <c r="Q295" s="30" t="s">
        <v>665</v>
      </c>
      <c r="R295" s="30" t="s">
        <v>213</v>
      </c>
      <c r="S295" s="30" t="s">
        <v>684</v>
      </c>
    </row>
    <row r="296" spans="1:19" x14ac:dyDescent="0.3">
      <c r="A296" s="31" t="s">
        <v>1082</v>
      </c>
      <c r="B296" s="32" t="s">
        <v>544</v>
      </c>
      <c r="C296" s="32" t="s">
        <v>1083</v>
      </c>
      <c r="D296" s="32" t="s">
        <v>684</v>
      </c>
      <c r="E296" s="32" t="s">
        <v>674</v>
      </c>
      <c r="F296" s="32" t="s">
        <v>734</v>
      </c>
      <c r="G296" s="32" t="s">
        <v>735</v>
      </c>
      <c r="H296" s="32" t="s">
        <v>735</v>
      </c>
      <c r="I296" s="32" t="s">
        <v>736</v>
      </c>
      <c r="J296" s="32" t="s">
        <v>737</v>
      </c>
      <c r="K296" s="32" t="s">
        <v>738</v>
      </c>
      <c r="L296" s="32" t="s">
        <v>699</v>
      </c>
      <c r="M296" s="32">
        <v>0.2</v>
      </c>
      <c r="N296" s="32" t="s">
        <v>94</v>
      </c>
      <c r="O296" s="32" t="s">
        <v>746</v>
      </c>
      <c r="P296" s="32" t="s">
        <v>683</v>
      </c>
      <c r="Q296" s="32" t="s">
        <v>665</v>
      </c>
      <c r="R296" s="32" t="s">
        <v>213</v>
      </c>
      <c r="S296" s="30" t="s">
        <v>684</v>
      </c>
    </row>
    <row r="297" spans="1:19" x14ac:dyDescent="0.3">
      <c r="A297" s="29" t="s">
        <v>1088</v>
      </c>
      <c r="B297" s="30" t="s">
        <v>544</v>
      </c>
      <c r="C297" s="30" t="s">
        <v>1089</v>
      </c>
      <c r="D297" s="30" t="s">
        <v>684</v>
      </c>
      <c r="E297" s="30" t="s">
        <v>674</v>
      </c>
      <c r="F297" s="30" t="s">
        <v>716</v>
      </c>
      <c r="G297" s="30" t="s">
        <v>744</v>
      </c>
      <c r="H297" s="30" t="s">
        <v>677</v>
      </c>
      <c r="I297" s="30" t="s">
        <v>736</v>
      </c>
      <c r="J297" s="30" t="s">
        <v>737</v>
      </c>
      <c r="K297" s="30" t="s">
        <v>738</v>
      </c>
      <c r="L297" s="30" t="s">
        <v>699</v>
      </c>
      <c r="M297" s="30">
        <v>0.2</v>
      </c>
      <c r="N297" s="30" t="s">
        <v>94</v>
      </c>
      <c r="O297" s="30" t="s">
        <v>746</v>
      </c>
      <c r="P297" s="30" t="s">
        <v>683</v>
      </c>
      <c r="Q297" s="30" t="s">
        <v>665</v>
      </c>
      <c r="R297" s="30" t="s">
        <v>213</v>
      </c>
      <c r="S297" s="30" t="s">
        <v>684</v>
      </c>
    </row>
    <row r="298" spans="1:19" x14ac:dyDescent="0.3">
      <c r="A298" s="31" t="s">
        <v>1080</v>
      </c>
      <c r="B298" s="32" t="s">
        <v>544</v>
      </c>
      <c r="C298" s="32" t="s">
        <v>1081</v>
      </c>
      <c r="D298" s="32" t="s">
        <v>684</v>
      </c>
      <c r="E298" s="32" t="s">
        <v>674</v>
      </c>
      <c r="F298" s="32" t="s">
        <v>716</v>
      </c>
      <c r="G298" s="32" t="s">
        <v>744</v>
      </c>
      <c r="H298" s="32" t="s">
        <v>702</v>
      </c>
      <c r="I298" s="32" t="s">
        <v>736</v>
      </c>
      <c r="J298" s="32" t="s">
        <v>737</v>
      </c>
      <c r="K298" s="32" t="s">
        <v>738</v>
      </c>
      <c r="L298" s="32" t="s">
        <v>699</v>
      </c>
      <c r="M298" s="32">
        <v>0.2</v>
      </c>
      <c r="N298" s="32" t="s">
        <v>94</v>
      </c>
      <c r="O298" s="32" t="s">
        <v>746</v>
      </c>
      <c r="P298" s="32" t="s">
        <v>683</v>
      </c>
      <c r="Q298" s="32" t="s">
        <v>665</v>
      </c>
      <c r="R298" s="32" t="s">
        <v>213</v>
      </c>
      <c r="S298" s="30" t="s">
        <v>684</v>
      </c>
    </row>
    <row r="299" spans="1:19" x14ac:dyDescent="0.3">
      <c r="A299" s="29" t="s">
        <v>1086</v>
      </c>
      <c r="B299" s="30" t="s">
        <v>544</v>
      </c>
      <c r="C299" s="30" t="s">
        <v>1087</v>
      </c>
      <c r="D299" s="30" t="s">
        <v>684</v>
      </c>
      <c r="E299" s="30" t="s">
        <v>674</v>
      </c>
      <c r="F299" s="30" t="s">
        <v>675</v>
      </c>
      <c r="G299" s="30" t="s">
        <v>676</v>
      </c>
      <c r="H299" s="30" t="s">
        <v>702</v>
      </c>
      <c r="I299" s="30" t="s">
        <v>678</v>
      </c>
      <c r="J299" s="30" t="s">
        <v>737</v>
      </c>
      <c r="K299" s="30" t="s">
        <v>738</v>
      </c>
      <c r="L299" s="30" t="s">
        <v>699</v>
      </c>
      <c r="M299" s="30">
        <v>0.2</v>
      </c>
      <c r="N299" s="30" t="s">
        <v>94</v>
      </c>
      <c r="O299" s="30" t="s">
        <v>746</v>
      </c>
      <c r="P299" s="30" t="s">
        <v>683</v>
      </c>
      <c r="Q299" s="30" t="s">
        <v>665</v>
      </c>
      <c r="R299" s="30" t="s">
        <v>213</v>
      </c>
      <c r="S299" s="30" t="s">
        <v>684</v>
      </c>
    </row>
    <row r="300" spans="1:19" x14ac:dyDescent="0.3">
      <c r="A300" s="31" t="s">
        <v>1090</v>
      </c>
      <c r="B300" s="32" t="s">
        <v>544</v>
      </c>
      <c r="C300" s="32" t="s">
        <v>1091</v>
      </c>
      <c r="D300" s="32" t="s">
        <v>684</v>
      </c>
      <c r="E300" s="32" t="s">
        <v>674</v>
      </c>
      <c r="F300" s="32" t="s">
        <v>716</v>
      </c>
      <c r="G300" s="32" t="s">
        <v>744</v>
      </c>
      <c r="H300" s="32" t="s">
        <v>677</v>
      </c>
      <c r="I300" s="32" t="s">
        <v>736</v>
      </c>
      <c r="J300" s="32" t="s">
        <v>737</v>
      </c>
      <c r="K300" s="32" t="s">
        <v>738</v>
      </c>
      <c r="L300" s="32" t="s">
        <v>739</v>
      </c>
      <c r="M300" s="32">
        <v>0.2</v>
      </c>
      <c r="N300" s="32" t="s">
        <v>148</v>
      </c>
      <c r="O300" s="32" t="s">
        <v>746</v>
      </c>
      <c r="P300" s="32" t="s">
        <v>683</v>
      </c>
      <c r="Q300" s="32" t="s">
        <v>665</v>
      </c>
      <c r="R300" s="32" t="s">
        <v>213</v>
      </c>
      <c r="S300" s="30" t="s">
        <v>684</v>
      </c>
    </row>
    <row r="301" spans="1:19" x14ac:dyDescent="0.3">
      <c r="A301" s="29" t="s">
        <v>1092</v>
      </c>
      <c r="B301" s="30" t="s">
        <v>544</v>
      </c>
      <c r="C301" s="30" t="s">
        <v>1093</v>
      </c>
      <c r="D301" s="30" t="s">
        <v>684</v>
      </c>
      <c r="E301" s="30" t="s">
        <v>674</v>
      </c>
      <c r="F301" s="30" t="s">
        <v>716</v>
      </c>
      <c r="G301" s="30" t="s">
        <v>744</v>
      </c>
      <c r="H301" s="30" t="s">
        <v>702</v>
      </c>
      <c r="I301" s="30" t="s">
        <v>736</v>
      </c>
      <c r="J301" s="30" t="s">
        <v>737</v>
      </c>
      <c r="K301" s="30" t="s">
        <v>738</v>
      </c>
      <c r="L301" s="30" t="s">
        <v>699</v>
      </c>
      <c r="M301" s="30">
        <v>0.2</v>
      </c>
      <c r="N301" s="30" t="s">
        <v>148</v>
      </c>
      <c r="O301" s="30" t="s">
        <v>746</v>
      </c>
      <c r="P301" s="30" t="s">
        <v>683</v>
      </c>
      <c r="Q301" s="30" t="s">
        <v>665</v>
      </c>
      <c r="R301" s="30" t="s">
        <v>213</v>
      </c>
      <c r="S301" s="30" t="s">
        <v>684</v>
      </c>
    </row>
    <row r="302" spans="1:19" x14ac:dyDescent="0.3">
      <c r="A302" s="31" t="s">
        <v>1094</v>
      </c>
      <c r="B302" s="32" t="s">
        <v>544</v>
      </c>
      <c r="C302" s="32" t="s">
        <v>1095</v>
      </c>
      <c r="D302" s="32" t="s">
        <v>684</v>
      </c>
      <c r="E302" s="32" t="s">
        <v>674</v>
      </c>
      <c r="F302" s="32" t="s">
        <v>716</v>
      </c>
      <c r="G302" s="32" t="s">
        <v>744</v>
      </c>
      <c r="H302" s="32" t="s">
        <v>702</v>
      </c>
      <c r="I302" s="32" t="s">
        <v>736</v>
      </c>
      <c r="J302" s="32" t="s">
        <v>737</v>
      </c>
      <c r="K302" s="32" t="s">
        <v>738</v>
      </c>
      <c r="L302" s="32" t="s">
        <v>699</v>
      </c>
      <c r="M302" s="32">
        <v>0.2</v>
      </c>
      <c r="N302" s="32" t="s">
        <v>148</v>
      </c>
      <c r="O302" s="32" t="s">
        <v>746</v>
      </c>
      <c r="P302" s="32" t="s">
        <v>683</v>
      </c>
      <c r="Q302" s="32" t="s">
        <v>665</v>
      </c>
      <c r="R302" s="32" t="s">
        <v>213</v>
      </c>
      <c r="S302" s="30" t="s">
        <v>684</v>
      </c>
    </row>
    <row r="303" spans="1:19" x14ac:dyDescent="0.3">
      <c r="A303" s="29" t="s">
        <v>1027</v>
      </c>
      <c r="B303" s="30" t="s">
        <v>544</v>
      </c>
      <c r="C303" s="30" t="s">
        <v>1028</v>
      </c>
      <c r="D303" s="30" t="s">
        <v>684</v>
      </c>
      <c r="E303" s="30" t="s">
        <v>674</v>
      </c>
      <c r="F303" s="30" t="s">
        <v>716</v>
      </c>
      <c r="G303" s="30" t="s">
        <v>744</v>
      </c>
      <c r="H303" s="30" t="s">
        <v>702</v>
      </c>
      <c r="I303" s="30" t="s">
        <v>678</v>
      </c>
      <c r="J303" s="30" t="s">
        <v>737</v>
      </c>
      <c r="K303" s="30" t="s">
        <v>738</v>
      </c>
      <c r="L303" s="30" t="s">
        <v>699</v>
      </c>
      <c r="M303" s="30">
        <v>0.4</v>
      </c>
      <c r="N303" s="30" t="s">
        <v>148</v>
      </c>
      <c r="O303" s="30" t="s">
        <v>746</v>
      </c>
      <c r="P303" s="30" t="s">
        <v>683</v>
      </c>
      <c r="Q303" s="30" t="s">
        <v>665</v>
      </c>
      <c r="R303" s="30" t="s">
        <v>213</v>
      </c>
      <c r="S303" s="30" t="s">
        <v>684</v>
      </c>
    </row>
    <row r="304" spans="1:19" x14ac:dyDescent="0.3">
      <c r="A304" s="31" t="s">
        <v>1006</v>
      </c>
      <c r="B304" s="32" t="s">
        <v>707</v>
      </c>
      <c r="C304" s="32" t="s">
        <v>773</v>
      </c>
      <c r="D304" s="32" t="s">
        <v>684</v>
      </c>
      <c r="E304" s="32" t="s">
        <v>674</v>
      </c>
      <c r="F304" s="32" t="s">
        <v>773</v>
      </c>
      <c r="G304" s="32" t="s">
        <v>773</v>
      </c>
      <c r="H304" s="32" t="s">
        <v>773</v>
      </c>
      <c r="I304" s="32" t="s">
        <v>773</v>
      </c>
      <c r="J304" s="32" t="s">
        <v>737</v>
      </c>
      <c r="K304" s="32" t="s">
        <v>738</v>
      </c>
      <c r="L304" s="32" t="s">
        <v>699</v>
      </c>
      <c r="M304" s="32">
        <v>0.2</v>
      </c>
      <c r="N304" s="32" t="s">
        <v>251</v>
      </c>
      <c r="O304" s="32" t="s">
        <v>746</v>
      </c>
      <c r="P304" s="32" t="s">
        <v>683</v>
      </c>
      <c r="Q304" s="32" t="s">
        <v>665</v>
      </c>
      <c r="R304" s="32" t="s">
        <v>213</v>
      </c>
      <c r="S304" s="30" t="s">
        <v>684</v>
      </c>
    </row>
    <row r="305" spans="1:19" x14ac:dyDescent="0.3">
      <c r="A305" s="29" t="s">
        <v>1096</v>
      </c>
      <c r="B305" s="30" t="s">
        <v>544</v>
      </c>
      <c r="C305" s="30" t="s">
        <v>1097</v>
      </c>
      <c r="D305" s="30" t="s">
        <v>684</v>
      </c>
      <c r="E305" s="30" t="s">
        <v>674</v>
      </c>
      <c r="F305" s="30" t="s">
        <v>716</v>
      </c>
      <c r="G305" s="30" t="s">
        <v>744</v>
      </c>
      <c r="H305" s="30" t="s">
        <v>702</v>
      </c>
      <c r="I305" s="30" t="s">
        <v>736</v>
      </c>
      <c r="J305" s="30" t="s">
        <v>737</v>
      </c>
      <c r="K305" s="30" t="s">
        <v>738</v>
      </c>
      <c r="L305" s="30" t="s">
        <v>739</v>
      </c>
      <c r="M305" s="30">
        <v>0.1</v>
      </c>
      <c r="N305" s="30" t="s">
        <v>251</v>
      </c>
      <c r="O305" s="30" t="s">
        <v>746</v>
      </c>
      <c r="P305" s="30" t="s">
        <v>683</v>
      </c>
      <c r="Q305" s="30" t="s">
        <v>665</v>
      </c>
      <c r="R305" s="30" t="s">
        <v>213</v>
      </c>
      <c r="S305" s="30" t="s">
        <v>684</v>
      </c>
    </row>
    <row r="306" spans="1:19" x14ac:dyDescent="0.3">
      <c r="A306" s="31" t="s">
        <v>1098</v>
      </c>
      <c r="B306" s="32" t="s">
        <v>544</v>
      </c>
      <c r="C306" s="32" t="s">
        <v>1099</v>
      </c>
      <c r="D306" s="32" t="s">
        <v>684</v>
      </c>
      <c r="E306" s="32" t="s">
        <v>674</v>
      </c>
      <c r="F306" s="32" t="s">
        <v>716</v>
      </c>
      <c r="G306" s="32" t="s">
        <v>744</v>
      </c>
      <c r="H306" s="32" t="s">
        <v>702</v>
      </c>
      <c r="I306" s="32" t="s">
        <v>736</v>
      </c>
      <c r="J306" s="32" t="s">
        <v>737</v>
      </c>
      <c r="K306" s="32" t="s">
        <v>738</v>
      </c>
      <c r="L306" s="32" t="s">
        <v>699</v>
      </c>
      <c r="M306" s="32">
        <v>0.7</v>
      </c>
      <c r="N306" s="32" t="s">
        <v>251</v>
      </c>
      <c r="O306" s="32" t="s">
        <v>746</v>
      </c>
      <c r="P306" s="32" t="s">
        <v>683</v>
      </c>
      <c r="Q306" s="32" t="s">
        <v>665</v>
      </c>
      <c r="R306" s="32" t="s">
        <v>213</v>
      </c>
      <c r="S306" s="30" t="s">
        <v>684</v>
      </c>
    </row>
    <row r="307" spans="1:19" x14ac:dyDescent="0.3">
      <c r="A307" s="29" t="s">
        <v>1104</v>
      </c>
      <c r="B307" s="30" t="s">
        <v>544</v>
      </c>
      <c r="C307" s="30" t="s">
        <v>1105</v>
      </c>
      <c r="D307" s="30" t="s">
        <v>684</v>
      </c>
      <c r="E307" s="30" t="s">
        <v>674</v>
      </c>
      <c r="F307" s="30" t="s">
        <v>716</v>
      </c>
      <c r="G307" s="30" t="s">
        <v>744</v>
      </c>
      <c r="H307" s="30" t="s">
        <v>702</v>
      </c>
      <c r="I307" s="30" t="s">
        <v>736</v>
      </c>
      <c r="J307" s="30" t="s">
        <v>737</v>
      </c>
      <c r="K307" s="30" t="s">
        <v>738</v>
      </c>
      <c r="L307" s="30" t="s">
        <v>699</v>
      </c>
      <c r="M307" s="30">
        <v>0.2</v>
      </c>
      <c r="N307" s="30" t="s">
        <v>266</v>
      </c>
      <c r="O307" s="30" t="s">
        <v>746</v>
      </c>
      <c r="P307" s="30" t="s">
        <v>683</v>
      </c>
      <c r="Q307" s="30" t="s">
        <v>665</v>
      </c>
      <c r="R307" s="30" t="s">
        <v>213</v>
      </c>
      <c r="S307" s="30" t="s">
        <v>684</v>
      </c>
    </row>
    <row r="308" spans="1:19" x14ac:dyDescent="0.3">
      <c r="A308" s="31" t="s">
        <v>1102</v>
      </c>
      <c r="B308" s="32" t="s">
        <v>544</v>
      </c>
      <c r="C308" s="32" t="s">
        <v>1103</v>
      </c>
      <c r="D308" s="32" t="s">
        <v>684</v>
      </c>
      <c r="E308" s="32" t="s">
        <v>674</v>
      </c>
      <c r="F308" s="32" t="s">
        <v>716</v>
      </c>
      <c r="G308" s="32" t="s">
        <v>744</v>
      </c>
      <c r="H308" s="32" t="s">
        <v>702</v>
      </c>
      <c r="I308" s="32" t="s">
        <v>736</v>
      </c>
      <c r="J308" s="32" t="s">
        <v>737</v>
      </c>
      <c r="K308" s="32" t="s">
        <v>738</v>
      </c>
      <c r="L308" s="32" t="s">
        <v>699</v>
      </c>
      <c r="M308" s="32">
        <v>0.2</v>
      </c>
      <c r="N308" s="32" t="s">
        <v>266</v>
      </c>
      <c r="O308" s="32" t="s">
        <v>746</v>
      </c>
      <c r="P308" s="32" t="s">
        <v>683</v>
      </c>
      <c r="Q308" s="32" t="s">
        <v>665</v>
      </c>
      <c r="R308" s="32" t="s">
        <v>213</v>
      </c>
      <c r="S308" s="30" t="s">
        <v>684</v>
      </c>
    </row>
    <row r="309" spans="1:19" x14ac:dyDescent="0.3">
      <c r="A309" s="29" t="s">
        <v>1100</v>
      </c>
      <c r="B309" s="30" t="s">
        <v>544</v>
      </c>
      <c r="C309" s="30" t="s">
        <v>1101</v>
      </c>
      <c r="D309" s="30" t="s">
        <v>684</v>
      </c>
      <c r="E309" s="30" t="s">
        <v>674</v>
      </c>
      <c r="F309" s="30" t="s">
        <v>716</v>
      </c>
      <c r="G309" s="30" t="s">
        <v>744</v>
      </c>
      <c r="H309" s="30" t="s">
        <v>702</v>
      </c>
      <c r="I309" s="30" t="s">
        <v>736</v>
      </c>
      <c r="J309" s="30" t="s">
        <v>737</v>
      </c>
      <c r="K309" s="30" t="s">
        <v>738</v>
      </c>
      <c r="L309" s="30" t="s">
        <v>739</v>
      </c>
      <c r="M309" s="30">
        <v>0.2</v>
      </c>
      <c r="N309" s="30" t="s">
        <v>266</v>
      </c>
      <c r="O309" s="30" t="s">
        <v>746</v>
      </c>
      <c r="P309" s="30" t="s">
        <v>683</v>
      </c>
      <c r="Q309" s="30" t="s">
        <v>665</v>
      </c>
      <c r="R309" s="30" t="s">
        <v>213</v>
      </c>
      <c r="S309" s="30" t="s">
        <v>684</v>
      </c>
    </row>
    <row r="310" spans="1:19" x14ac:dyDescent="0.3">
      <c r="A310" s="31" t="s">
        <v>1106</v>
      </c>
      <c r="B310" s="32" t="s">
        <v>544</v>
      </c>
      <c r="C310" s="32" t="s">
        <v>1107</v>
      </c>
      <c r="D310" s="32" t="s">
        <v>684</v>
      </c>
      <c r="E310" s="32" t="s">
        <v>674</v>
      </c>
      <c r="F310" s="32" t="s">
        <v>734</v>
      </c>
      <c r="G310" s="32" t="s">
        <v>735</v>
      </c>
      <c r="H310" s="32" t="s">
        <v>735</v>
      </c>
      <c r="I310" s="32" t="s">
        <v>736</v>
      </c>
      <c r="J310" s="32" t="s">
        <v>737</v>
      </c>
      <c r="K310" s="32" t="s">
        <v>738</v>
      </c>
      <c r="L310" s="32" t="s">
        <v>739</v>
      </c>
      <c r="M310" s="32">
        <v>0.2</v>
      </c>
      <c r="N310" s="32" t="s">
        <v>266</v>
      </c>
      <c r="O310" s="32" t="s">
        <v>746</v>
      </c>
      <c r="P310" s="32" t="s">
        <v>683</v>
      </c>
      <c r="Q310" s="32" t="s">
        <v>665</v>
      </c>
      <c r="R310" s="32" t="s">
        <v>213</v>
      </c>
      <c r="S310" s="30" t="s">
        <v>684</v>
      </c>
    </row>
    <row r="311" spans="1:19" x14ac:dyDescent="0.3">
      <c r="A311" s="29" t="s">
        <v>1108</v>
      </c>
      <c r="B311" s="30" t="s">
        <v>544</v>
      </c>
      <c r="C311" s="30" t="s">
        <v>1109</v>
      </c>
      <c r="D311" s="30" t="s">
        <v>684</v>
      </c>
      <c r="E311" s="30" t="s">
        <v>674</v>
      </c>
      <c r="F311" s="30" t="s">
        <v>734</v>
      </c>
      <c r="G311" s="30" t="s">
        <v>735</v>
      </c>
      <c r="H311" s="30" t="s">
        <v>735</v>
      </c>
      <c r="I311" s="30" t="s">
        <v>736</v>
      </c>
      <c r="J311" s="30" t="s">
        <v>737</v>
      </c>
      <c r="K311" s="30" t="s">
        <v>738</v>
      </c>
      <c r="L311" s="30" t="s">
        <v>739</v>
      </c>
      <c r="M311" s="30">
        <v>0.2</v>
      </c>
      <c r="N311" s="30" t="s">
        <v>266</v>
      </c>
      <c r="O311" s="30" t="s">
        <v>746</v>
      </c>
      <c r="P311" s="30" t="s">
        <v>683</v>
      </c>
      <c r="Q311" s="30" t="s">
        <v>665</v>
      </c>
      <c r="R311" s="30" t="s">
        <v>213</v>
      </c>
      <c r="S311" s="30" t="s">
        <v>684</v>
      </c>
    </row>
    <row r="312" spans="1:19" x14ac:dyDescent="0.3">
      <c r="A312" s="31" t="s">
        <v>1110</v>
      </c>
      <c r="B312" s="32" t="s">
        <v>544</v>
      </c>
      <c r="C312" s="32" t="s">
        <v>1111</v>
      </c>
      <c r="D312" s="32" t="s">
        <v>684</v>
      </c>
      <c r="E312" s="32" t="s">
        <v>674</v>
      </c>
      <c r="F312" s="32" t="s">
        <v>716</v>
      </c>
      <c r="G312" s="32" t="s">
        <v>744</v>
      </c>
      <c r="H312" s="32" t="s">
        <v>702</v>
      </c>
      <c r="I312" s="32" t="s">
        <v>736</v>
      </c>
      <c r="J312" s="32" t="s">
        <v>737</v>
      </c>
      <c r="K312" s="32" t="s">
        <v>738</v>
      </c>
      <c r="L312" s="32" t="s">
        <v>699</v>
      </c>
      <c r="M312" s="32">
        <v>0.2</v>
      </c>
      <c r="N312" s="32" t="s">
        <v>291</v>
      </c>
      <c r="O312" s="32" t="s">
        <v>746</v>
      </c>
      <c r="P312" s="32" t="s">
        <v>683</v>
      </c>
      <c r="Q312" s="32" t="s">
        <v>665</v>
      </c>
      <c r="R312" s="32" t="s">
        <v>213</v>
      </c>
      <c r="S312" s="30" t="s">
        <v>684</v>
      </c>
    </row>
    <row r="313" spans="1:19" x14ac:dyDescent="0.3">
      <c r="A313" s="29" t="s">
        <v>1114</v>
      </c>
      <c r="B313" s="30" t="s">
        <v>544</v>
      </c>
      <c r="C313" s="30" t="s">
        <v>1115</v>
      </c>
      <c r="D313" s="30" t="s">
        <v>684</v>
      </c>
      <c r="E313" s="30" t="s">
        <v>674</v>
      </c>
      <c r="F313" s="30" t="s">
        <v>716</v>
      </c>
      <c r="G313" s="30" t="s">
        <v>744</v>
      </c>
      <c r="H313" s="30" t="s">
        <v>702</v>
      </c>
      <c r="I313" s="30" t="s">
        <v>736</v>
      </c>
      <c r="J313" s="30" t="s">
        <v>737</v>
      </c>
      <c r="K313" s="30" t="s">
        <v>738</v>
      </c>
      <c r="L313" s="30" t="s">
        <v>699</v>
      </c>
      <c r="M313" s="30">
        <v>0.2</v>
      </c>
      <c r="N313" s="30" t="s">
        <v>291</v>
      </c>
      <c r="O313" s="30" t="s">
        <v>746</v>
      </c>
      <c r="P313" s="30" t="s">
        <v>683</v>
      </c>
      <c r="Q313" s="30" t="s">
        <v>665</v>
      </c>
      <c r="R313" s="30" t="s">
        <v>213</v>
      </c>
      <c r="S313" s="30" t="s">
        <v>684</v>
      </c>
    </row>
    <row r="314" spans="1:19" x14ac:dyDescent="0.3">
      <c r="A314" s="31" t="s">
        <v>1112</v>
      </c>
      <c r="B314" s="32" t="s">
        <v>544</v>
      </c>
      <c r="C314" s="32" t="s">
        <v>1113</v>
      </c>
      <c r="D314" s="32" t="s">
        <v>684</v>
      </c>
      <c r="E314" s="32" t="s">
        <v>674</v>
      </c>
      <c r="F314" s="32" t="s">
        <v>675</v>
      </c>
      <c r="G314" s="32" t="s">
        <v>676</v>
      </c>
      <c r="H314" s="32" t="s">
        <v>702</v>
      </c>
      <c r="I314" s="32" t="s">
        <v>678</v>
      </c>
      <c r="J314" s="32" t="s">
        <v>737</v>
      </c>
      <c r="K314" s="32" t="s">
        <v>738</v>
      </c>
      <c r="L314" s="32" t="s">
        <v>739</v>
      </c>
      <c r="M314" s="32">
        <v>0.2</v>
      </c>
      <c r="N314" s="32" t="s">
        <v>291</v>
      </c>
      <c r="O314" s="32" t="s">
        <v>746</v>
      </c>
      <c r="P314" s="32" t="s">
        <v>683</v>
      </c>
      <c r="Q314" s="32" t="s">
        <v>665</v>
      </c>
      <c r="R314" s="32" t="s">
        <v>213</v>
      </c>
      <c r="S314" s="30" t="s">
        <v>684</v>
      </c>
    </row>
    <row r="315" spans="1:19" x14ac:dyDescent="0.3">
      <c r="A315" s="29" t="s">
        <v>1118</v>
      </c>
      <c r="B315" s="30" t="s">
        <v>544</v>
      </c>
      <c r="C315" s="30" t="s">
        <v>1119</v>
      </c>
      <c r="D315" s="30" t="s">
        <v>684</v>
      </c>
      <c r="E315" s="30" t="s">
        <v>674</v>
      </c>
      <c r="F315" s="30" t="s">
        <v>716</v>
      </c>
      <c r="G315" s="30" t="s">
        <v>744</v>
      </c>
      <c r="H315" s="30" t="s">
        <v>677</v>
      </c>
      <c r="I315" s="30" t="s">
        <v>688</v>
      </c>
      <c r="J315" s="30" t="s">
        <v>737</v>
      </c>
      <c r="K315" s="30" t="s">
        <v>738</v>
      </c>
      <c r="L315" s="30" t="s">
        <v>699</v>
      </c>
      <c r="M315" s="30">
        <v>0.2</v>
      </c>
      <c r="N315" s="30" t="s">
        <v>291</v>
      </c>
      <c r="O315" s="30" t="s">
        <v>746</v>
      </c>
      <c r="P315" s="30" t="s">
        <v>683</v>
      </c>
      <c r="Q315" s="30" t="s">
        <v>665</v>
      </c>
      <c r="R315" s="30" t="s">
        <v>213</v>
      </c>
      <c r="S315" s="30" t="s">
        <v>684</v>
      </c>
    </row>
    <row r="316" spans="1:19" x14ac:dyDescent="0.3">
      <c r="A316" s="31" t="s">
        <v>1116</v>
      </c>
      <c r="B316" s="32" t="s">
        <v>544</v>
      </c>
      <c r="C316" s="32" t="s">
        <v>1117</v>
      </c>
      <c r="D316" s="32" t="s">
        <v>684</v>
      </c>
      <c r="E316" s="32" t="s">
        <v>674</v>
      </c>
      <c r="F316" s="32" t="s">
        <v>716</v>
      </c>
      <c r="G316" s="32" t="s">
        <v>744</v>
      </c>
      <c r="H316" s="32" t="s">
        <v>677</v>
      </c>
      <c r="I316" s="32" t="s">
        <v>736</v>
      </c>
      <c r="J316" s="32" t="s">
        <v>737</v>
      </c>
      <c r="K316" s="32" t="s">
        <v>738</v>
      </c>
      <c r="L316" s="32" t="s">
        <v>699</v>
      </c>
      <c r="M316" s="32">
        <v>0.2</v>
      </c>
      <c r="N316" s="32" t="s">
        <v>291</v>
      </c>
      <c r="O316" s="32" t="s">
        <v>746</v>
      </c>
      <c r="P316" s="32" t="s">
        <v>683</v>
      </c>
      <c r="Q316" s="32" t="s">
        <v>665</v>
      </c>
      <c r="R316" s="32" t="s">
        <v>213</v>
      </c>
      <c r="S316" s="30" t="s">
        <v>684</v>
      </c>
    </row>
    <row r="317" spans="1:19" x14ac:dyDescent="0.3">
      <c r="A317" s="29" t="s">
        <v>1006</v>
      </c>
      <c r="B317" s="30" t="s">
        <v>707</v>
      </c>
      <c r="C317" s="30" t="s">
        <v>773</v>
      </c>
      <c r="D317" s="30" t="s">
        <v>684</v>
      </c>
      <c r="E317" s="30" t="s">
        <v>674</v>
      </c>
      <c r="F317" s="30" t="s">
        <v>773</v>
      </c>
      <c r="G317" s="30" t="s">
        <v>773</v>
      </c>
      <c r="H317" s="30" t="s">
        <v>773</v>
      </c>
      <c r="I317" s="30" t="s">
        <v>773</v>
      </c>
      <c r="J317" s="30" t="s">
        <v>737</v>
      </c>
      <c r="K317" s="30" t="s">
        <v>738</v>
      </c>
      <c r="L317" s="30" t="s">
        <v>699</v>
      </c>
      <c r="M317" s="30">
        <v>0.4</v>
      </c>
      <c r="N317" s="30" t="s">
        <v>1120</v>
      </c>
      <c r="O317" s="30" t="s">
        <v>746</v>
      </c>
      <c r="P317" s="30" t="s">
        <v>683</v>
      </c>
      <c r="Q317" s="30" t="s">
        <v>665</v>
      </c>
      <c r="R317" s="30" t="s">
        <v>213</v>
      </c>
      <c r="S317" s="30" t="s">
        <v>684</v>
      </c>
    </row>
    <row r="318" spans="1:19" x14ac:dyDescent="0.3">
      <c r="A318" s="31" t="s">
        <v>1043</v>
      </c>
      <c r="B318" s="32" t="s">
        <v>707</v>
      </c>
      <c r="C318" s="32" t="s">
        <v>773</v>
      </c>
      <c r="D318" s="32" t="s">
        <v>684</v>
      </c>
      <c r="E318" s="32" t="s">
        <v>674</v>
      </c>
      <c r="F318" s="32" t="s">
        <v>773</v>
      </c>
      <c r="G318" s="32" t="s">
        <v>773</v>
      </c>
      <c r="H318" s="32" t="s">
        <v>773</v>
      </c>
      <c r="I318" s="32" t="s">
        <v>773</v>
      </c>
      <c r="J318" s="32" t="s">
        <v>737</v>
      </c>
      <c r="K318" s="32" t="s">
        <v>738</v>
      </c>
      <c r="L318" s="32" t="s">
        <v>699</v>
      </c>
      <c r="M318" s="32">
        <v>0.4</v>
      </c>
      <c r="N318" s="32" t="s">
        <v>1120</v>
      </c>
      <c r="O318" s="32" t="s">
        <v>746</v>
      </c>
      <c r="P318" s="32" t="s">
        <v>683</v>
      </c>
      <c r="Q318" s="32" t="s">
        <v>665</v>
      </c>
      <c r="R318" s="32" t="s">
        <v>213</v>
      </c>
      <c r="S318" s="30" t="s">
        <v>684</v>
      </c>
    </row>
    <row r="319" spans="1:19" x14ac:dyDescent="0.3">
      <c r="A319" s="29" t="s">
        <v>1043</v>
      </c>
      <c r="B319" s="30" t="s">
        <v>707</v>
      </c>
      <c r="C319" s="30" t="s">
        <v>773</v>
      </c>
      <c r="D319" s="30" t="s">
        <v>684</v>
      </c>
      <c r="E319" s="30" t="s">
        <v>674</v>
      </c>
      <c r="F319" s="30" t="s">
        <v>773</v>
      </c>
      <c r="G319" s="30" t="s">
        <v>773</v>
      </c>
      <c r="H319" s="30" t="s">
        <v>773</v>
      </c>
      <c r="I319" s="30" t="s">
        <v>773</v>
      </c>
      <c r="J319" s="30" t="s">
        <v>737</v>
      </c>
      <c r="K319" s="30" t="s">
        <v>738</v>
      </c>
      <c r="L319" s="30" t="s">
        <v>699</v>
      </c>
      <c r="M319" s="30">
        <v>0.4</v>
      </c>
      <c r="N319" s="30" t="s">
        <v>1121</v>
      </c>
      <c r="O319" s="30" t="s">
        <v>746</v>
      </c>
      <c r="P319" s="30" t="s">
        <v>683</v>
      </c>
      <c r="Q319" s="30" t="s">
        <v>665</v>
      </c>
      <c r="R319" s="30" t="s">
        <v>213</v>
      </c>
      <c r="S319" s="30" t="s">
        <v>684</v>
      </c>
    </row>
    <row r="320" spans="1:19" x14ac:dyDescent="0.3">
      <c r="A320" s="31" t="s">
        <v>1006</v>
      </c>
      <c r="B320" s="32" t="s">
        <v>707</v>
      </c>
      <c r="C320" s="32" t="s">
        <v>773</v>
      </c>
      <c r="D320" s="32" t="s">
        <v>684</v>
      </c>
      <c r="E320" s="32" t="s">
        <v>674</v>
      </c>
      <c r="F320" s="32" t="s">
        <v>773</v>
      </c>
      <c r="G320" s="32" t="s">
        <v>773</v>
      </c>
      <c r="H320" s="32" t="s">
        <v>773</v>
      </c>
      <c r="I320" s="32" t="s">
        <v>773</v>
      </c>
      <c r="J320" s="32" t="s">
        <v>737</v>
      </c>
      <c r="K320" s="32" t="s">
        <v>738</v>
      </c>
      <c r="L320" s="32" t="s">
        <v>699</v>
      </c>
      <c r="M320" s="32">
        <v>0.4</v>
      </c>
      <c r="N320" s="32" t="s">
        <v>1121</v>
      </c>
      <c r="O320" s="32" t="s">
        <v>746</v>
      </c>
      <c r="P320" s="32" t="s">
        <v>683</v>
      </c>
      <c r="Q320" s="32" t="s">
        <v>665</v>
      </c>
      <c r="R320" s="32" t="s">
        <v>213</v>
      </c>
      <c r="S320" s="30" t="s">
        <v>684</v>
      </c>
    </row>
    <row r="321" spans="1:19" x14ac:dyDescent="0.3">
      <c r="A321" s="29" t="s">
        <v>1122</v>
      </c>
      <c r="B321" s="30" t="s">
        <v>544</v>
      </c>
      <c r="C321" s="30" t="s">
        <v>1123</v>
      </c>
      <c r="D321" s="30" t="s">
        <v>684</v>
      </c>
      <c r="E321" s="30" t="s">
        <v>674</v>
      </c>
      <c r="F321" s="30" t="s">
        <v>716</v>
      </c>
      <c r="G321" s="30" t="s">
        <v>744</v>
      </c>
      <c r="H321" s="30" t="s">
        <v>702</v>
      </c>
      <c r="I321" s="30" t="s">
        <v>736</v>
      </c>
      <c r="J321" s="30" t="s">
        <v>737</v>
      </c>
      <c r="K321" s="30" t="s">
        <v>738</v>
      </c>
      <c r="L321" s="30" t="s">
        <v>699</v>
      </c>
      <c r="M321" s="30">
        <v>0.2</v>
      </c>
      <c r="N321" s="30" t="s">
        <v>380</v>
      </c>
      <c r="O321" s="30" t="s">
        <v>746</v>
      </c>
      <c r="P321" s="30" t="s">
        <v>683</v>
      </c>
      <c r="Q321" s="30" t="s">
        <v>665</v>
      </c>
      <c r="R321" s="30" t="s">
        <v>213</v>
      </c>
      <c r="S321" s="30" t="s">
        <v>684</v>
      </c>
    </row>
    <row r="322" spans="1:19" x14ac:dyDescent="0.3">
      <c r="A322" s="31" t="s">
        <v>887</v>
      </c>
      <c r="B322" s="32" t="s">
        <v>544</v>
      </c>
      <c r="C322" s="32" t="s">
        <v>888</v>
      </c>
      <c r="D322" s="32" t="s">
        <v>684</v>
      </c>
      <c r="E322" s="32" t="s">
        <v>674</v>
      </c>
      <c r="F322" s="32" t="s">
        <v>734</v>
      </c>
      <c r="G322" s="32" t="s">
        <v>735</v>
      </c>
      <c r="H322" s="32" t="s">
        <v>735</v>
      </c>
      <c r="I322" s="32" t="s">
        <v>736</v>
      </c>
      <c r="J322" s="32" t="s">
        <v>737</v>
      </c>
      <c r="K322" s="32" t="s">
        <v>738</v>
      </c>
      <c r="L322" s="32" t="s">
        <v>699</v>
      </c>
      <c r="M322" s="32">
        <v>0.2</v>
      </c>
      <c r="N322" s="32" t="s">
        <v>380</v>
      </c>
      <c r="O322" s="32" t="s">
        <v>746</v>
      </c>
      <c r="P322" s="32" t="s">
        <v>683</v>
      </c>
      <c r="Q322" s="32" t="s">
        <v>665</v>
      </c>
      <c r="R322" s="32" t="s">
        <v>213</v>
      </c>
      <c r="S322" s="30" t="s">
        <v>684</v>
      </c>
    </row>
    <row r="323" spans="1:19" x14ac:dyDescent="0.3">
      <c r="A323" s="29" t="s">
        <v>1128</v>
      </c>
      <c r="B323" s="30" t="s">
        <v>544</v>
      </c>
      <c r="C323" s="30" t="s">
        <v>1129</v>
      </c>
      <c r="D323" s="30" t="s">
        <v>684</v>
      </c>
      <c r="E323" s="30" t="s">
        <v>674</v>
      </c>
      <c r="F323" s="30" t="s">
        <v>716</v>
      </c>
      <c r="G323" s="30" t="s">
        <v>744</v>
      </c>
      <c r="H323" s="30" t="s">
        <v>702</v>
      </c>
      <c r="I323" s="30" t="s">
        <v>736</v>
      </c>
      <c r="J323" s="30" t="s">
        <v>737</v>
      </c>
      <c r="K323" s="30" t="s">
        <v>738</v>
      </c>
      <c r="L323" s="30" t="s">
        <v>681</v>
      </c>
      <c r="M323" s="30">
        <v>0.2</v>
      </c>
      <c r="N323" s="30" t="s">
        <v>380</v>
      </c>
      <c r="O323" s="30" t="s">
        <v>746</v>
      </c>
      <c r="P323" s="30" t="s">
        <v>683</v>
      </c>
      <c r="Q323" s="30" t="s">
        <v>665</v>
      </c>
      <c r="R323" s="30" t="s">
        <v>213</v>
      </c>
      <c r="S323" s="30" t="s">
        <v>684</v>
      </c>
    </row>
    <row r="324" spans="1:19" x14ac:dyDescent="0.3">
      <c r="A324" s="31" t="s">
        <v>1126</v>
      </c>
      <c r="B324" s="32" t="s">
        <v>544</v>
      </c>
      <c r="C324" s="32" t="s">
        <v>1127</v>
      </c>
      <c r="D324" s="32" t="s">
        <v>684</v>
      </c>
      <c r="E324" s="32" t="s">
        <v>674</v>
      </c>
      <c r="F324" s="32" t="s">
        <v>734</v>
      </c>
      <c r="G324" s="32" t="s">
        <v>735</v>
      </c>
      <c r="H324" s="32" t="s">
        <v>735</v>
      </c>
      <c r="I324" s="32" t="s">
        <v>736</v>
      </c>
      <c r="J324" s="32" t="s">
        <v>737</v>
      </c>
      <c r="K324" s="32" t="s">
        <v>738</v>
      </c>
      <c r="L324" s="32" t="s">
        <v>681</v>
      </c>
      <c r="M324" s="32">
        <v>0.2</v>
      </c>
      <c r="N324" s="32" t="s">
        <v>380</v>
      </c>
      <c r="O324" s="32" t="s">
        <v>746</v>
      </c>
      <c r="P324" s="32" t="s">
        <v>683</v>
      </c>
      <c r="Q324" s="32" t="s">
        <v>665</v>
      </c>
      <c r="R324" s="32" t="s">
        <v>213</v>
      </c>
      <c r="S324" s="30" t="s">
        <v>684</v>
      </c>
    </row>
    <row r="325" spans="1:19" x14ac:dyDescent="0.3">
      <c r="A325" s="29" t="s">
        <v>1124</v>
      </c>
      <c r="B325" s="30" t="s">
        <v>544</v>
      </c>
      <c r="C325" s="30" t="s">
        <v>1125</v>
      </c>
      <c r="D325" s="30" t="s">
        <v>684</v>
      </c>
      <c r="E325" s="30" t="s">
        <v>674</v>
      </c>
      <c r="F325" s="30" t="s">
        <v>716</v>
      </c>
      <c r="G325" s="30" t="s">
        <v>744</v>
      </c>
      <c r="H325" s="30" t="s">
        <v>702</v>
      </c>
      <c r="I325" s="30" t="s">
        <v>736</v>
      </c>
      <c r="J325" s="30" t="s">
        <v>737</v>
      </c>
      <c r="K325" s="30" t="s">
        <v>738</v>
      </c>
      <c r="L325" s="30" t="s">
        <v>699</v>
      </c>
      <c r="M325" s="30">
        <v>0.2</v>
      </c>
      <c r="N325" s="30" t="s">
        <v>380</v>
      </c>
      <c r="O325" s="30" t="s">
        <v>746</v>
      </c>
      <c r="P325" s="30" t="s">
        <v>683</v>
      </c>
      <c r="Q325" s="30" t="s">
        <v>665</v>
      </c>
      <c r="R325" s="30" t="s">
        <v>213</v>
      </c>
      <c r="S325" s="30" t="s">
        <v>684</v>
      </c>
    </row>
    <row r="326" spans="1:19" x14ac:dyDescent="0.3">
      <c r="A326" s="31" t="s">
        <v>1130</v>
      </c>
      <c r="B326" s="32" t="s">
        <v>544</v>
      </c>
      <c r="C326" s="32" t="s">
        <v>1131</v>
      </c>
      <c r="D326" s="32" t="s">
        <v>684</v>
      </c>
      <c r="E326" s="32" t="s">
        <v>674</v>
      </c>
      <c r="F326" s="32" t="s">
        <v>716</v>
      </c>
      <c r="G326" s="32" t="s">
        <v>744</v>
      </c>
      <c r="H326" s="32" t="s">
        <v>702</v>
      </c>
      <c r="I326" s="32" t="s">
        <v>736</v>
      </c>
      <c r="J326" s="32" t="s">
        <v>737</v>
      </c>
      <c r="K326" s="32" t="s">
        <v>738</v>
      </c>
      <c r="L326" s="32" t="s">
        <v>739</v>
      </c>
      <c r="M326" s="32">
        <v>0.2</v>
      </c>
      <c r="N326" s="32" t="s">
        <v>398</v>
      </c>
      <c r="O326" s="32" t="s">
        <v>746</v>
      </c>
      <c r="P326" s="32" t="s">
        <v>683</v>
      </c>
      <c r="Q326" s="32" t="s">
        <v>665</v>
      </c>
      <c r="R326" s="32" t="s">
        <v>213</v>
      </c>
      <c r="S326" s="30" t="s">
        <v>684</v>
      </c>
    </row>
    <row r="327" spans="1:19" x14ac:dyDescent="0.3">
      <c r="A327" s="29" t="s">
        <v>1136</v>
      </c>
      <c r="B327" s="30" t="s">
        <v>544</v>
      </c>
      <c r="C327" s="30" t="s">
        <v>1137</v>
      </c>
      <c r="D327" s="30" t="s">
        <v>684</v>
      </c>
      <c r="E327" s="30" t="s">
        <v>674</v>
      </c>
      <c r="F327" s="30" t="s">
        <v>716</v>
      </c>
      <c r="G327" s="30" t="s">
        <v>744</v>
      </c>
      <c r="H327" s="30" t="s">
        <v>702</v>
      </c>
      <c r="I327" s="30" t="s">
        <v>736</v>
      </c>
      <c r="J327" s="30" t="s">
        <v>737</v>
      </c>
      <c r="K327" s="30" t="s">
        <v>738</v>
      </c>
      <c r="L327" s="30" t="s">
        <v>691</v>
      </c>
      <c r="M327" s="30">
        <v>0.2</v>
      </c>
      <c r="N327" s="30" t="s">
        <v>398</v>
      </c>
      <c r="O327" s="30" t="s">
        <v>746</v>
      </c>
      <c r="P327" s="30" t="s">
        <v>683</v>
      </c>
      <c r="Q327" s="30" t="s">
        <v>665</v>
      </c>
      <c r="R327" s="30" t="s">
        <v>213</v>
      </c>
      <c r="S327" s="30" t="s">
        <v>684</v>
      </c>
    </row>
    <row r="328" spans="1:19" x14ac:dyDescent="0.3">
      <c r="A328" s="31" t="s">
        <v>1134</v>
      </c>
      <c r="B328" s="32" t="s">
        <v>544</v>
      </c>
      <c r="C328" s="32" t="s">
        <v>1135</v>
      </c>
      <c r="D328" s="32" t="s">
        <v>684</v>
      </c>
      <c r="E328" s="32" t="s">
        <v>674</v>
      </c>
      <c r="F328" s="32" t="s">
        <v>716</v>
      </c>
      <c r="G328" s="32" t="s">
        <v>744</v>
      </c>
      <c r="H328" s="32" t="s">
        <v>702</v>
      </c>
      <c r="I328" s="32" t="s">
        <v>736</v>
      </c>
      <c r="J328" s="32" t="s">
        <v>737</v>
      </c>
      <c r="K328" s="32" t="s">
        <v>738</v>
      </c>
      <c r="L328" s="32" t="s">
        <v>699</v>
      </c>
      <c r="M328" s="32">
        <v>0.2</v>
      </c>
      <c r="N328" s="32" t="s">
        <v>398</v>
      </c>
      <c r="O328" s="32" t="s">
        <v>746</v>
      </c>
      <c r="P328" s="32" t="s">
        <v>683</v>
      </c>
      <c r="Q328" s="32" t="s">
        <v>665</v>
      </c>
      <c r="R328" s="32" t="s">
        <v>213</v>
      </c>
      <c r="S328" s="30" t="s">
        <v>684</v>
      </c>
    </row>
    <row r="329" spans="1:19" x14ac:dyDescent="0.3">
      <c r="A329" s="29" t="s">
        <v>1138</v>
      </c>
      <c r="B329" s="30" t="s">
        <v>544</v>
      </c>
      <c r="C329" s="30" t="s">
        <v>1139</v>
      </c>
      <c r="D329" s="30" t="s">
        <v>684</v>
      </c>
      <c r="E329" s="30" t="s">
        <v>674</v>
      </c>
      <c r="F329" s="30" t="s">
        <v>675</v>
      </c>
      <c r="G329" s="30" t="s">
        <v>676</v>
      </c>
      <c r="H329" s="30" t="s">
        <v>677</v>
      </c>
      <c r="I329" s="30" t="s">
        <v>688</v>
      </c>
      <c r="J329" s="30" t="s">
        <v>737</v>
      </c>
      <c r="K329" s="30" t="s">
        <v>738</v>
      </c>
      <c r="L329" s="30" t="s">
        <v>739</v>
      </c>
      <c r="M329" s="30">
        <v>0.2</v>
      </c>
      <c r="N329" s="30" t="s">
        <v>398</v>
      </c>
      <c r="O329" s="30" t="s">
        <v>746</v>
      </c>
      <c r="P329" s="30" t="s">
        <v>683</v>
      </c>
      <c r="Q329" s="30" t="s">
        <v>665</v>
      </c>
      <c r="R329" s="30" t="s">
        <v>213</v>
      </c>
      <c r="S329" s="30" t="s">
        <v>684</v>
      </c>
    </row>
    <row r="330" spans="1:19" x14ac:dyDescent="0.3">
      <c r="A330" s="31" t="s">
        <v>1132</v>
      </c>
      <c r="B330" s="32" t="s">
        <v>544</v>
      </c>
      <c r="C330" s="32" t="s">
        <v>1133</v>
      </c>
      <c r="D330" s="32" t="s">
        <v>684</v>
      </c>
      <c r="E330" s="32" t="s">
        <v>674</v>
      </c>
      <c r="F330" s="32" t="s">
        <v>675</v>
      </c>
      <c r="G330" s="32" t="s">
        <v>676</v>
      </c>
      <c r="H330" s="32" t="s">
        <v>677</v>
      </c>
      <c r="I330" s="32" t="s">
        <v>688</v>
      </c>
      <c r="J330" s="32" t="s">
        <v>737</v>
      </c>
      <c r="K330" s="32" t="s">
        <v>738</v>
      </c>
      <c r="L330" s="32" t="s">
        <v>808</v>
      </c>
      <c r="M330" s="32">
        <v>0.2</v>
      </c>
      <c r="N330" s="32" t="s">
        <v>398</v>
      </c>
      <c r="O330" s="32" t="s">
        <v>746</v>
      </c>
      <c r="P330" s="32" t="s">
        <v>683</v>
      </c>
      <c r="Q330" s="32" t="s">
        <v>665</v>
      </c>
      <c r="R330" s="32" t="s">
        <v>213</v>
      </c>
      <c r="S330" s="30" t="s">
        <v>684</v>
      </c>
    </row>
    <row r="331" spans="1:19" x14ac:dyDescent="0.3">
      <c r="A331" s="29" t="s">
        <v>1140</v>
      </c>
      <c r="B331" s="30" t="s">
        <v>544</v>
      </c>
      <c r="C331" s="30" t="s">
        <v>1141</v>
      </c>
      <c r="D331" s="30" t="s">
        <v>684</v>
      </c>
      <c r="E331" s="30" t="s">
        <v>674</v>
      </c>
      <c r="F331" s="30" t="s">
        <v>734</v>
      </c>
      <c r="G331" s="30" t="s">
        <v>735</v>
      </c>
      <c r="H331" s="30" t="s">
        <v>735</v>
      </c>
      <c r="I331" s="30" t="s">
        <v>736</v>
      </c>
      <c r="J331" s="30" t="s">
        <v>737</v>
      </c>
      <c r="K331" s="30" t="s">
        <v>738</v>
      </c>
      <c r="L331" s="30" t="s">
        <v>699</v>
      </c>
      <c r="M331" s="30">
        <v>0.2</v>
      </c>
      <c r="N331" s="30" t="s">
        <v>429</v>
      </c>
      <c r="O331" s="30" t="s">
        <v>746</v>
      </c>
      <c r="P331" s="30" t="s">
        <v>683</v>
      </c>
      <c r="Q331" s="30" t="s">
        <v>665</v>
      </c>
      <c r="R331" s="30" t="s">
        <v>213</v>
      </c>
      <c r="S331" s="30" t="s">
        <v>684</v>
      </c>
    </row>
    <row r="332" spans="1:19" x14ac:dyDescent="0.3">
      <c r="A332" s="31" t="s">
        <v>1142</v>
      </c>
      <c r="B332" s="32" t="s">
        <v>544</v>
      </c>
      <c r="C332" s="32" t="s">
        <v>1143</v>
      </c>
      <c r="D332" s="32" t="s">
        <v>684</v>
      </c>
      <c r="E332" s="32" t="s">
        <v>674</v>
      </c>
      <c r="F332" s="32" t="s">
        <v>734</v>
      </c>
      <c r="G332" s="32" t="s">
        <v>735</v>
      </c>
      <c r="H332" s="32" t="s">
        <v>735</v>
      </c>
      <c r="I332" s="32" t="s">
        <v>736</v>
      </c>
      <c r="J332" s="32" t="s">
        <v>737</v>
      </c>
      <c r="K332" s="32" t="s">
        <v>738</v>
      </c>
      <c r="L332" s="32" t="s">
        <v>699</v>
      </c>
      <c r="M332" s="32">
        <v>0.2</v>
      </c>
      <c r="N332" s="32" t="s">
        <v>429</v>
      </c>
      <c r="O332" s="32" t="s">
        <v>746</v>
      </c>
      <c r="P332" s="32" t="s">
        <v>683</v>
      </c>
      <c r="Q332" s="32" t="s">
        <v>665</v>
      </c>
      <c r="R332" s="32" t="s">
        <v>213</v>
      </c>
      <c r="S332" s="30" t="s">
        <v>684</v>
      </c>
    </row>
    <row r="333" spans="1:19" x14ac:dyDescent="0.3">
      <c r="A333" s="29" t="s">
        <v>1144</v>
      </c>
      <c r="B333" s="30" t="s">
        <v>544</v>
      </c>
      <c r="C333" s="30" t="s">
        <v>1145</v>
      </c>
      <c r="D333" s="30" t="s">
        <v>684</v>
      </c>
      <c r="E333" s="30" t="s">
        <v>674</v>
      </c>
      <c r="F333" s="30" t="s">
        <v>734</v>
      </c>
      <c r="G333" s="30" t="s">
        <v>735</v>
      </c>
      <c r="H333" s="30" t="s">
        <v>735</v>
      </c>
      <c r="I333" s="30" t="s">
        <v>736</v>
      </c>
      <c r="J333" s="30" t="s">
        <v>737</v>
      </c>
      <c r="K333" s="30" t="s">
        <v>738</v>
      </c>
      <c r="L333" s="30" t="s">
        <v>699</v>
      </c>
      <c r="M333" s="30">
        <v>0.2</v>
      </c>
      <c r="N333" s="30" t="s">
        <v>429</v>
      </c>
      <c r="O333" s="30" t="s">
        <v>746</v>
      </c>
      <c r="P333" s="30" t="s">
        <v>683</v>
      </c>
      <c r="Q333" s="30" t="s">
        <v>665</v>
      </c>
      <c r="R333" s="30" t="s">
        <v>213</v>
      </c>
      <c r="S333" s="30" t="s">
        <v>684</v>
      </c>
    </row>
    <row r="334" spans="1:19" x14ac:dyDescent="0.3">
      <c r="A334" s="31" t="s">
        <v>1148</v>
      </c>
      <c r="B334" s="32" t="s">
        <v>544</v>
      </c>
      <c r="C334" s="32" t="s">
        <v>1149</v>
      </c>
      <c r="D334" s="32" t="s">
        <v>684</v>
      </c>
      <c r="E334" s="32" t="s">
        <v>674</v>
      </c>
      <c r="F334" s="32" t="s">
        <v>734</v>
      </c>
      <c r="G334" s="32" t="s">
        <v>735</v>
      </c>
      <c r="H334" s="32" t="s">
        <v>735</v>
      </c>
      <c r="I334" s="32" t="s">
        <v>736</v>
      </c>
      <c r="J334" s="32" t="s">
        <v>737</v>
      </c>
      <c r="K334" s="32" t="s">
        <v>738</v>
      </c>
      <c r="L334" s="32" t="s">
        <v>699</v>
      </c>
      <c r="M334" s="32">
        <v>0.2</v>
      </c>
      <c r="N334" s="32" t="s">
        <v>429</v>
      </c>
      <c r="O334" s="32" t="s">
        <v>746</v>
      </c>
      <c r="P334" s="32" t="s">
        <v>683</v>
      </c>
      <c r="Q334" s="32" t="s">
        <v>665</v>
      </c>
      <c r="R334" s="32" t="s">
        <v>213</v>
      </c>
      <c r="S334" s="30" t="s">
        <v>684</v>
      </c>
    </row>
    <row r="335" spans="1:19" x14ac:dyDescent="0.3">
      <c r="A335" s="29" t="s">
        <v>1146</v>
      </c>
      <c r="B335" s="30" t="s">
        <v>544</v>
      </c>
      <c r="C335" s="30" t="s">
        <v>1147</v>
      </c>
      <c r="D335" s="30" t="s">
        <v>684</v>
      </c>
      <c r="E335" s="30" t="s">
        <v>674</v>
      </c>
      <c r="F335" s="30" t="s">
        <v>734</v>
      </c>
      <c r="G335" s="30" t="s">
        <v>735</v>
      </c>
      <c r="H335" s="30" t="s">
        <v>735</v>
      </c>
      <c r="I335" s="30" t="s">
        <v>736</v>
      </c>
      <c r="J335" s="30" t="s">
        <v>737</v>
      </c>
      <c r="K335" s="30" t="s">
        <v>738</v>
      </c>
      <c r="L335" s="30" t="s">
        <v>808</v>
      </c>
      <c r="M335" s="30">
        <v>0.2</v>
      </c>
      <c r="N335" s="30" t="s">
        <v>429</v>
      </c>
      <c r="O335" s="30" t="s">
        <v>746</v>
      </c>
      <c r="P335" s="30" t="s">
        <v>683</v>
      </c>
      <c r="Q335" s="30" t="s">
        <v>665</v>
      </c>
      <c r="R335" s="30" t="s">
        <v>213</v>
      </c>
      <c r="S335" s="30" t="s">
        <v>684</v>
      </c>
    </row>
    <row r="336" spans="1:19" x14ac:dyDescent="0.3">
      <c r="A336" s="31" t="s">
        <v>1150</v>
      </c>
      <c r="B336" s="32" t="s">
        <v>544</v>
      </c>
      <c r="C336" s="32" t="s">
        <v>1151</v>
      </c>
      <c r="D336" s="32" t="s">
        <v>684</v>
      </c>
      <c r="E336" s="32" t="s">
        <v>674</v>
      </c>
      <c r="F336" s="32" t="s">
        <v>716</v>
      </c>
      <c r="G336" s="32" t="s">
        <v>744</v>
      </c>
      <c r="H336" s="32" t="s">
        <v>702</v>
      </c>
      <c r="I336" s="32" t="s">
        <v>736</v>
      </c>
      <c r="J336" s="32" t="s">
        <v>737</v>
      </c>
      <c r="K336" s="32" t="s">
        <v>738</v>
      </c>
      <c r="L336" s="32" t="s">
        <v>739</v>
      </c>
      <c r="M336" s="32">
        <v>0.2</v>
      </c>
      <c r="N336" s="32" t="s">
        <v>514</v>
      </c>
      <c r="O336" s="32" t="s">
        <v>746</v>
      </c>
      <c r="P336" s="32" t="s">
        <v>683</v>
      </c>
      <c r="Q336" s="32" t="s">
        <v>665</v>
      </c>
      <c r="R336" s="32" t="s">
        <v>213</v>
      </c>
      <c r="S336" s="30" t="s">
        <v>684</v>
      </c>
    </row>
    <row r="337" spans="1:19" x14ac:dyDescent="0.3">
      <c r="A337" s="29" t="s">
        <v>2298</v>
      </c>
      <c r="B337" s="30" t="s">
        <v>544</v>
      </c>
      <c r="C337" s="30" t="s">
        <v>896</v>
      </c>
      <c r="D337" s="30" t="s">
        <v>684</v>
      </c>
      <c r="E337" s="30" t="s">
        <v>674</v>
      </c>
      <c r="F337" s="30" t="s">
        <v>716</v>
      </c>
      <c r="G337" s="30" t="s">
        <v>744</v>
      </c>
      <c r="H337" s="30" t="s">
        <v>702</v>
      </c>
      <c r="I337" s="30" t="s">
        <v>736</v>
      </c>
      <c r="J337" s="30" t="s">
        <v>737</v>
      </c>
      <c r="K337" s="30" t="s">
        <v>738</v>
      </c>
      <c r="L337" s="30" t="s">
        <v>808</v>
      </c>
      <c r="M337" s="30">
        <v>0.2</v>
      </c>
      <c r="N337" s="30" t="s">
        <v>514</v>
      </c>
      <c r="O337" s="30" t="s">
        <v>746</v>
      </c>
      <c r="P337" s="30" t="s">
        <v>683</v>
      </c>
      <c r="Q337" s="30" t="s">
        <v>665</v>
      </c>
      <c r="R337" s="30" t="s">
        <v>213</v>
      </c>
      <c r="S337" s="30" t="s">
        <v>684</v>
      </c>
    </row>
    <row r="338" spans="1:19" x14ac:dyDescent="0.3">
      <c r="A338" s="31" t="s">
        <v>1152</v>
      </c>
      <c r="B338" s="32" t="s">
        <v>544</v>
      </c>
      <c r="C338" s="32" t="s">
        <v>1153</v>
      </c>
      <c r="D338" s="32" t="s">
        <v>684</v>
      </c>
      <c r="E338" s="32" t="s">
        <v>674</v>
      </c>
      <c r="F338" s="32" t="s">
        <v>716</v>
      </c>
      <c r="G338" s="32" t="s">
        <v>744</v>
      </c>
      <c r="H338" s="32" t="s">
        <v>702</v>
      </c>
      <c r="I338" s="32" t="s">
        <v>736</v>
      </c>
      <c r="J338" s="32" t="s">
        <v>737</v>
      </c>
      <c r="K338" s="32" t="s">
        <v>738</v>
      </c>
      <c r="L338" s="32" t="s">
        <v>699</v>
      </c>
      <c r="M338" s="32">
        <v>0.2</v>
      </c>
      <c r="N338" s="32" t="s">
        <v>514</v>
      </c>
      <c r="O338" s="32" t="s">
        <v>746</v>
      </c>
      <c r="P338" s="32" t="s">
        <v>683</v>
      </c>
      <c r="Q338" s="32" t="s">
        <v>665</v>
      </c>
      <c r="R338" s="32" t="s">
        <v>213</v>
      </c>
      <c r="S338" s="30" t="s">
        <v>684</v>
      </c>
    </row>
    <row r="339" spans="1:19" x14ac:dyDescent="0.3">
      <c r="A339" s="29" t="s">
        <v>1156</v>
      </c>
      <c r="B339" s="30" t="s">
        <v>544</v>
      </c>
      <c r="C339" s="30" t="s">
        <v>1157</v>
      </c>
      <c r="D339" s="30" t="s">
        <v>684</v>
      </c>
      <c r="E339" s="30" t="s">
        <v>674</v>
      </c>
      <c r="F339" s="30" t="s">
        <v>716</v>
      </c>
      <c r="G339" s="30" t="s">
        <v>744</v>
      </c>
      <c r="H339" s="30" t="s">
        <v>702</v>
      </c>
      <c r="I339" s="30" t="s">
        <v>736</v>
      </c>
      <c r="J339" s="30" t="s">
        <v>737</v>
      </c>
      <c r="K339" s="30" t="s">
        <v>738</v>
      </c>
      <c r="L339" s="30" t="s">
        <v>699</v>
      </c>
      <c r="M339" s="30">
        <v>0.2</v>
      </c>
      <c r="N339" s="30" t="s">
        <v>514</v>
      </c>
      <c r="O339" s="30" t="s">
        <v>746</v>
      </c>
      <c r="P339" s="30" t="s">
        <v>683</v>
      </c>
      <c r="Q339" s="30" t="s">
        <v>665</v>
      </c>
      <c r="R339" s="30" t="s">
        <v>213</v>
      </c>
      <c r="S339" s="30" t="s">
        <v>684</v>
      </c>
    </row>
    <row r="340" spans="1:19" x14ac:dyDescent="0.3">
      <c r="A340" s="31" t="s">
        <v>1154</v>
      </c>
      <c r="B340" s="32" t="s">
        <v>544</v>
      </c>
      <c r="C340" s="32" t="s">
        <v>1155</v>
      </c>
      <c r="D340" s="32" t="s">
        <v>684</v>
      </c>
      <c r="E340" s="32" t="s">
        <v>674</v>
      </c>
      <c r="F340" s="32" t="s">
        <v>716</v>
      </c>
      <c r="G340" s="32" t="s">
        <v>744</v>
      </c>
      <c r="H340" s="32" t="s">
        <v>702</v>
      </c>
      <c r="I340" s="32" t="s">
        <v>736</v>
      </c>
      <c r="J340" s="32" t="s">
        <v>737</v>
      </c>
      <c r="K340" s="32" t="s">
        <v>738</v>
      </c>
      <c r="L340" s="32" t="s">
        <v>699</v>
      </c>
      <c r="M340" s="32">
        <v>0.2</v>
      </c>
      <c r="N340" s="32" t="s">
        <v>514</v>
      </c>
      <c r="O340" s="32" t="s">
        <v>746</v>
      </c>
      <c r="P340" s="32" t="s">
        <v>683</v>
      </c>
      <c r="Q340" s="32" t="s">
        <v>665</v>
      </c>
      <c r="R340" s="32" t="s">
        <v>213</v>
      </c>
      <c r="S340" s="30" t="s">
        <v>684</v>
      </c>
    </row>
    <row r="341" spans="1:19" x14ac:dyDescent="0.3">
      <c r="A341" s="29" t="s">
        <v>1158</v>
      </c>
      <c r="B341" s="30" t="s">
        <v>1159</v>
      </c>
      <c r="C341" s="30" t="s">
        <v>1160</v>
      </c>
      <c r="D341" s="30" t="s">
        <v>755</v>
      </c>
      <c r="E341" s="30" t="s">
        <v>674</v>
      </c>
      <c r="F341" s="30" t="s">
        <v>716</v>
      </c>
      <c r="G341" s="30" t="s">
        <v>828</v>
      </c>
      <c r="H341" s="30" t="s">
        <v>828</v>
      </c>
      <c r="I341" s="30" t="s">
        <v>678</v>
      </c>
      <c r="J341" s="30" t="s">
        <v>679</v>
      </c>
      <c r="K341" s="30" t="s">
        <v>680</v>
      </c>
      <c r="L341" s="30" t="s">
        <v>766</v>
      </c>
      <c r="M341" s="30">
        <v>1</v>
      </c>
      <c r="N341" s="30" t="s">
        <v>1161</v>
      </c>
      <c r="O341" s="30" t="s">
        <v>746</v>
      </c>
      <c r="P341" s="30" t="s">
        <v>683</v>
      </c>
      <c r="Q341" s="30" t="s">
        <v>665</v>
      </c>
      <c r="R341" s="30" t="s">
        <v>34</v>
      </c>
      <c r="S341" s="30" t="s">
        <v>755</v>
      </c>
    </row>
    <row r="342" spans="1:19" x14ac:dyDescent="0.3">
      <c r="A342" s="31" t="s">
        <v>756</v>
      </c>
      <c r="B342" s="32" t="s">
        <v>753</v>
      </c>
      <c r="C342" s="32" t="s">
        <v>756</v>
      </c>
      <c r="D342" s="32" t="s">
        <v>755</v>
      </c>
      <c r="E342" s="32" t="s">
        <v>674</v>
      </c>
      <c r="F342" s="32" t="s">
        <v>716</v>
      </c>
      <c r="G342" s="32" t="s">
        <v>744</v>
      </c>
      <c r="H342" s="32" t="s">
        <v>702</v>
      </c>
      <c r="I342" s="32" t="s">
        <v>678</v>
      </c>
      <c r="J342" s="32" t="s">
        <v>679</v>
      </c>
      <c r="K342" s="32" t="s">
        <v>680</v>
      </c>
      <c r="L342" s="32" t="s">
        <v>681</v>
      </c>
      <c r="M342" s="32">
        <v>0.5</v>
      </c>
      <c r="N342" s="32" t="s">
        <v>1162</v>
      </c>
      <c r="O342" s="32" t="s">
        <v>746</v>
      </c>
      <c r="P342" s="32" t="s">
        <v>683</v>
      </c>
      <c r="Q342" s="32" t="s">
        <v>665</v>
      </c>
      <c r="R342" s="32" t="s">
        <v>34</v>
      </c>
      <c r="S342" s="30" t="s">
        <v>755</v>
      </c>
    </row>
    <row r="343" spans="1:19" x14ac:dyDescent="0.3">
      <c r="A343" s="29" t="s">
        <v>756</v>
      </c>
      <c r="B343" s="30" t="s">
        <v>753</v>
      </c>
      <c r="C343" s="30" t="s">
        <v>756</v>
      </c>
      <c r="D343" s="30" t="s">
        <v>755</v>
      </c>
      <c r="E343" s="30" t="s">
        <v>674</v>
      </c>
      <c r="F343" s="30" t="s">
        <v>716</v>
      </c>
      <c r="G343" s="30" t="s">
        <v>744</v>
      </c>
      <c r="H343" s="30" t="s">
        <v>702</v>
      </c>
      <c r="I343" s="30" t="s">
        <v>678</v>
      </c>
      <c r="J343" s="30" t="s">
        <v>679</v>
      </c>
      <c r="K343" s="30" t="s">
        <v>680</v>
      </c>
      <c r="L343" s="30" t="s">
        <v>681</v>
      </c>
      <c r="M343" s="30">
        <v>1</v>
      </c>
      <c r="N343" s="30" t="s">
        <v>201</v>
      </c>
      <c r="O343" s="30" t="s">
        <v>2162</v>
      </c>
      <c r="P343" s="30" t="s">
        <v>683</v>
      </c>
      <c r="Q343" s="30" t="s">
        <v>767</v>
      </c>
      <c r="R343" s="30" t="s">
        <v>34</v>
      </c>
      <c r="S343" s="30" t="s">
        <v>755</v>
      </c>
    </row>
    <row r="344" spans="1:19" x14ac:dyDescent="0.3">
      <c r="A344" s="31" t="s">
        <v>1163</v>
      </c>
      <c r="B344" s="32" t="s">
        <v>1159</v>
      </c>
      <c r="C344" s="32" t="s">
        <v>1160</v>
      </c>
      <c r="D344" s="32" t="s">
        <v>755</v>
      </c>
      <c r="E344" s="32" t="s">
        <v>674</v>
      </c>
      <c r="F344" s="32" t="s">
        <v>716</v>
      </c>
      <c r="G344" s="32" t="s">
        <v>828</v>
      </c>
      <c r="H344" s="32" t="s">
        <v>828</v>
      </c>
      <c r="I344" s="32" t="s">
        <v>678</v>
      </c>
      <c r="J344" s="32" t="s">
        <v>679</v>
      </c>
      <c r="K344" s="32" t="s">
        <v>680</v>
      </c>
      <c r="L344" s="32" t="s">
        <v>739</v>
      </c>
      <c r="M344" s="32">
        <v>0.5</v>
      </c>
      <c r="N344" s="32" t="s">
        <v>1162</v>
      </c>
      <c r="O344" s="32" t="s">
        <v>746</v>
      </c>
      <c r="P344" s="32" t="s">
        <v>683</v>
      </c>
      <c r="Q344" s="32" t="s">
        <v>665</v>
      </c>
      <c r="R344" s="32" t="s">
        <v>34</v>
      </c>
      <c r="S344" s="30" t="s">
        <v>755</v>
      </c>
    </row>
    <row r="345" spans="1:19" x14ac:dyDescent="0.3">
      <c r="A345" s="29" t="s">
        <v>1164</v>
      </c>
      <c r="B345" s="30" t="s">
        <v>753</v>
      </c>
      <c r="C345" s="30" t="s">
        <v>1165</v>
      </c>
      <c r="D345" s="30" t="s">
        <v>755</v>
      </c>
      <c r="E345" s="30" t="s">
        <v>674</v>
      </c>
      <c r="F345" s="30" t="s">
        <v>716</v>
      </c>
      <c r="G345" s="30" t="s">
        <v>744</v>
      </c>
      <c r="H345" s="30" t="s">
        <v>702</v>
      </c>
      <c r="I345" s="30" t="s">
        <v>2286</v>
      </c>
      <c r="J345" s="30" t="s">
        <v>679</v>
      </c>
      <c r="K345" s="30" t="s">
        <v>680</v>
      </c>
      <c r="L345" s="30" t="s">
        <v>699</v>
      </c>
      <c r="M345" s="30">
        <v>0.2</v>
      </c>
      <c r="N345" s="30" t="s">
        <v>1166</v>
      </c>
      <c r="O345" s="30" t="s">
        <v>746</v>
      </c>
      <c r="P345" s="30" t="s">
        <v>683</v>
      </c>
      <c r="Q345" s="30" t="s">
        <v>665</v>
      </c>
      <c r="R345" s="30" t="s">
        <v>34</v>
      </c>
      <c r="S345" s="30" t="s">
        <v>755</v>
      </c>
    </row>
    <row r="346" spans="1:19" x14ac:dyDescent="0.3">
      <c r="A346" s="31" t="s">
        <v>1167</v>
      </c>
      <c r="B346" s="32" t="s">
        <v>753</v>
      </c>
      <c r="C346" s="32" t="s">
        <v>1168</v>
      </c>
      <c r="D346" s="32" t="s">
        <v>755</v>
      </c>
      <c r="E346" s="32" t="s">
        <v>674</v>
      </c>
      <c r="F346" s="32" t="s">
        <v>716</v>
      </c>
      <c r="G346" s="32" t="s">
        <v>744</v>
      </c>
      <c r="H346" s="32" t="s">
        <v>702</v>
      </c>
      <c r="I346" s="32" t="s">
        <v>2286</v>
      </c>
      <c r="J346" s="32" t="s">
        <v>679</v>
      </c>
      <c r="K346" s="32" t="s">
        <v>680</v>
      </c>
      <c r="L346" s="32" t="s">
        <v>699</v>
      </c>
      <c r="M346" s="32">
        <v>0.2</v>
      </c>
      <c r="N346" s="32" t="s">
        <v>1166</v>
      </c>
      <c r="O346" s="32" t="s">
        <v>746</v>
      </c>
      <c r="P346" s="32" t="s">
        <v>683</v>
      </c>
      <c r="Q346" s="32" t="s">
        <v>665</v>
      </c>
      <c r="R346" s="32" t="s">
        <v>34</v>
      </c>
      <c r="S346" s="30" t="s">
        <v>755</v>
      </c>
    </row>
    <row r="347" spans="1:19" x14ac:dyDescent="0.3">
      <c r="A347" s="29" t="s">
        <v>995</v>
      </c>
      <c r="B347" s="30" t="s">
        <v>753</v>
      </c>
      <c r="C347" s="30" t="s">
        <v>996</v>
      </c>
      <c r="D347" s="30" t="s">
        <v>755</v>
      </c>
      <c r="E347" s="30" t="s">
        <v>674</v>
      </c>
      <c r="F347" s="30" t="s">
        <v>716</v>
      </c>
      <c r="G347" s="30" t="s">
        <v>744</v>
      </c>
      <c r="H347" s="30" t="s">
        <v>702</v>
      </c>
      <c r="I347" s="30" t="s">
        <v>2286</v>
      </c>
      <c r="J347" s="30" t="s">
        <v>679</v>
      </c>
      <c r="K347" s="30" t="s">
        <v>680</v>
      </c>
      <c r="L347" s="30" t="s">
        <v>699</v>
      </c>
      <c r="M347" s="30">
        <v>0.1</v>
      </c>
      <c r="N347" s="30" t="s">
        <v>1166</v>
      </c>
      <c r="O347" s="30" t="s">
        <v>746</v>
      </c>
      <c r="P347" s="30" t="s">
        <v>683</v>
      </c>
      <c r="Q347" s="30" t="s">
        <v>665</v>
      </c>
      <c r="R347" s="30" t="s">
        <v>34</v>
      </c>
      <c r="S347" s="30" t="s">
        <v>755</v>
      </c>
    </row>
    <row r="348" spans="1:19" x14ac:dyDescent="0.3">
      <c r="A348" s="31" t="s">
        <v>1169</v>
      </c>
      <c r="B348" s="32" t="s">
        <v>998</v>
      </c>
      <c r="C348" s="32" t="s">
        <v>1170</v>
      </c>
      <c r="D348" s="32" t="s">
        <v>673</v>
      </c>
      <c r="E348" s="32" t="s">
        <v>674</v>
      </c>
      <c r="F348" s="32" t="s">
        <v>716</v>
      </c>
      <c r="G348" s="32" t="s">
        <v>744</v>
      </c>
      <c r="H348" s="32" t="s">
        <v>677</v>
      </c>
      <c r="I348" s="32" t="s">
        <v>688</v>
      </c>
      <c r="J348" s="32" t="s">
        <v>679</v>
      </c>
      <c r="K348" s="32" t="s">
        <v>680</v>
      </c>
      <c r="L348" s="32" t="s">
        <v>681</v>
      </c>
      <c r="M348" s="32">
        <v>0.1</v>
      </c>
      <c r="N348" s="32" t="s">
        <v>1166</v>
      </c>
      <c r="O348" s="32" t="s">
        <v>746</v>
      </c>
      <c r="P348" s="32" t="s">
        <v>683</v>
      </c>
      <c r="Q348" s="32" t="s">
        <v>665</v>
      </c>
      <c r="R348" s="32" t="s">
        <v>34</v>
      </c>
      <c r="S348" s="30" t="s">
        <v>755</v>
      </c>
    </row>
    <row r="349" spans="1:19" x14ac:dyDescent="0.3">
      <c r="A349" s="29" t="s">
        <v>830</v>
      </c>
      <c r="B349" s="30" t="s">
        <v>753</v>
      </c>
      <c r="C349" s="30" t="s">
        <v>831</v>
      </c>
      <c r="D349" s="30" t="s">
        <v>755</v>
      </c>
      <c r="E349" s="30" t="s">
        <v>674</v>
      </c>
      <c r="F349" s="30" t="s">
        <v>675</v>
      </c>
      <c r="G349" s="30" t="s">
        <v>676</v>
      </c>
      <c r="H349" s="30" t="s">
        <v>677</v>
      </c>
      <c r="I349" s="30" t="s">
        <v>678</v>
      </c>
      <c r="J349" s="30" t="s">
        <v>679</v>
      </c>
      <c r="K349" s="30" t="s">
        <v>680</v>
      </c>
      <c r="L349" s="30" t="s">
        <v>699</v>
      </c>
      <c r="M349" s="30">
        <v>0.4</v>
      </c>
      <c r="N349" s="30" t="s">
        <v>1166</v>
      </c>
      <c r="O349" s="30" t="s">
        <v>746</v>
      </c>
      <c r="P349" s="30" t="s">
        <v>683</v>
      </c>
      <c r="Q349" s="30" t="s">
        <v>665</v>
      </c>
      <c r="R349" s="30" t="s">
        <v>34</v>
      </c>
      <c r="S349" s="30" t="s">
        <v>755</v>
      </c>
    </row>
    <row r="350" spans="1:19" x14ac:dyDescent="0.3">
      <c r="A350" s="31" t="s">
        <v>756</v>
      </c>
      <c r="B350" s="32" t="s">
        <v>753</v>
      </c>
      <c r="C350" s="32" t="s">
        <v>756</v>
      </c>
      <c r="D350" s="32" t="s">
        <v>755</v>
      </c>
      <c r="E350" s="32" t="s">
        <v>674</v>
      </c>
      <c r="F350" s="32" t="s">
        <v>716</v>
      </c>
      <c r="G350" s="32" t="s">
        <v>744</v>
      </c>
      <c r="H350" s="32" t="s">
        <v>702</v>
      </c>
      <c r="I350" s="32" t="s">
        <v>678</v>
      </c>
      <c r="J350" s="32" t="s">
        <v>679</v>
      </c>
      <c r="K350" s="32" t="s">
        <v>680</v>
      </c>
      <c r="L350" s="32" t="s">
        <v>681</v>
      </c>
      <c r="M350" s="32">
        <v>1</v>
      </c>
      <c r="N350" s="32" t="s">
        <v>1171</v>
      </c>
      <c r="O350" s="32" t="s">
        <v>746</v>
      </c>
      <c r="P350" s="32" t="s">
        <v>683</v>
      </c>
      <c r="Q350" s="32" t="s">
        <v>665</v>
      </c>
      <c r="R350" s="32" t="s">
        <v>34</v>
      </c>
      <c r="S350" s="30" t="s">
        <v>755</v>
      </c>
    </row>
    <row r="351" spans="1:19" x14ac:dyDescent="0.3">
      <c r="A351" s="29" t="s">
        <v>756</v>
      </c>
      <c r="B351" s="30" t="s">
        <v>753</v>
      </c>
      <c r="C351" s="30" t="s">
        <v>756</v>
      </c>
      <c r="D351" s="30" t="s">
        <v>755</v>
      </c>
      <c r="E351" s="30" t="s">
        <v>674</v>
      </c>
      <c r="F351" s="30" t="s">
        <v>716</v>
      </c>
      <c r="G351" s="30" t="s">
        <v>744</v>
      </c>
      <c r="H351" s="30" t="s">
        <v>702</v>
      </c>
      <c r="I351" s="30" t="s">
        <v>678</v>
      </c>
      <c r="J351" s="30" t="s">
        <v>679</v>
      </c>
      <c r="K351" s="30" t="s">
        <v>680</v>
      </c>
      <c r="L351" s="30" t="s">
        <v>681</v>
      </c>
      <c r="M351" s="30">
        <v>1</v>
      </c>
      <c r="N351" s="30" t="s">
        <v>318</v>
      </c>
      <c r="O351" s="30" t="s">
        <v>746</v>
      </c>
      <c r="P351" s="30" t="s">
        <v>683</v>
      </c>
      <c r="Q351" s="30" t="s">
        <v>665</v>
      </c>
      <c r="R351" s="30" t="s">
        <v>34</v>
      </c>
      <c r="S351" s="30" t="s">
        <v>755</v>
      </c>
    </row>
    <row r="352" spans="1:19" x14ac:dyDescent="0.3">
      <c r="A352" s="31" t="s">
        <v>1172</v>
      </c>
      <c r="B352" s="32" t="s">
        <v>753</v>
      </c>
      <c r="C352" s="32" t="s">
        <v>1173</v>
      </c>
      <c r="D352" s="32" t="s">
        <v>755</v>
      </c>
      <c r="E352" s="32" t="s">
        <v>674</v>
      </c>
      <c r="F352" s="32" t="s">
        <v>716</v>
      </c>
      <c r="G352" s="32" t="s">
        <v>744</v>
      </c>
      <c r="H352" s="32" t="s">
        <v>677</v>
      </c>
      <c r="I352" s="32" t="s">
        <v>678</v>
      </c>
      <c r="J352" s="32" t="s">
        <v>679</v>
      </c>
      <c r="K352" s="32" t="s">
        <v>680</v>
      </c>
      <c r="L352" s="32" t="s">
        <v>766</v>
      </c>
      <c r="M352" s="32">
        <v>1</v>
      </c>
      <c r="N352" s="32" t="s">
        <v>1174</v>
      </c>
      <c r="O352" s="32" t="s">
        <v>746</v>
      </c>
      <c r="P352" s="32" t="s">
        <v>683</v>
      </c>
      <c r="Q352" s="52" t="s">
        <v>767</v>
      </c>
      <c r="R352" s="32" t="s">
        <v>34</v>
      </c>
      <c r="S352" s="30" t="s">
        <v>755</v>
      </c>
    </row>
    <row r="353" spans="1:19" x14ac:dyDescent="0.3">
      <c r="A353" s="29" t="s">
        <v>756</v>
      </c>
      <c r="B353" s="30" t="s">
        <v>753</v>
      </c>
      <c r="C353" s="30" t="s">
        <v>756</v>
      </c>
      <c r="D353" s="30" t="s">
        <v>755</v>
      </c>
      <c r="E353" s="30" t="s">
        <v>674</v>
      </c>
      <c r="F353" s="30" t="s">
        <v>716</v>
      </c>
      <c r="G353" s="30" t="s">
        <v>744</v>
      </c>
      <c r="H353" s="30" t="s">
        <v>702</v>
      </c>
      <c r="I353" s="30" t="s">
        <v>678</v>
      </c>
      <c r="J353" s="30" t="s">
        <v>679</v>
      </c>
      <c r="K353" s="30" t="s">
        <v>680</v>
      </c>
      <c r="L353" s="30" t="s">
        <v>681</v>
      </c>
      <c r="M353" s="30">
        <v>1</v>
      </c>
      <c r="N353" s="30" t="s">
        <v>457</v>
      </c>
      <c r="O353" s="30" t="s">
        <v>1915</v>
      </c>
      <c r="P353" s="30" t="s">
        <v>683</v>
      </c>
      <c r="Q353" s="30" t="s">
        <v>767</v>
      </c>
      <c r="R353" s="30" t="s">
        <v>34</v>
      </c>
      <c r="S353" s="30" t="s">
        <v>755</v>
      </c>
    </row>
    <row r="354" spans="1:19" x14ac:dyDescent="0.3">
      <c r="A354" s="31" t="s">
        <v>1175</v>
      </c>
      <c r="B354" s="32" t="s">
        <v>753</v>
      </c>
      <c r="C354" s="32" t="s">
        <v>1176</v>
      </c>
      <c r="D354" s="32" t="s">
        <v>755</v>
      </c>
      <c r="E354" s="32" t="s">
        <v>674</v>
      </c>
      <c r="F354" s="32" t="s">
        <v>675</v>
      </c>
      <c r="G354" s="32" t="s">
        <v>676</v>
      </c>
      <c r="H354" s="32" t="s">
        <v>702</v>
      </c>
      <c r="I354" s="32" t="s">
        <v>678</v>
      </c>
      <c r="J354" s="32" t="s">
        <v>679</v>
      </c>
      <c r="K354" s="32" t="s">
        <v>680</v>
      </c>
      <c r="L354" s="32" t="s">
        <v>681</v>
      </c>
      <c r="M354" s="32">
        <v>0.2</v>
      </c>
      <c r="N354" s="32" t="s">
        <v>1177</v>
      </c>
      <c r="O354" s="32" t="s">
        <v>1915</v>
      </c>
      <c r="P354" s="32" t="s">
        <v>683</v>
      </c>
      <c r="Q354" s="32" t="s">
        <v>767</v>
      </c>
      <c r="R354" s="32" t="s">
        <v>34</v>
      </c>
      <c r="S354" s="30" t="s">
        <v>755</v>
      </c>
    </row>
    <row r="355" spans="1:19" x14ac:dyDescent="0.3">
      <c r="A355" s="29" t="s">
        <v>1178</v>
      </c>
      <c r="B355" s="30" t="s">
        <v>753</v>
      </c>
      <c r="C355" s="30" t="s">
        <v>1179</v>
      </c>
      <c r="D355" s="30" t="s">
        <v>755</v>
      </c>
      <c r="E355" s="30" t="s">
        <v>674</v>
      </c>
      <c r="F355" s="30" t="s">
        <v>675</v>
      </c>
      <c r="G355" s="30" t="s">
        <v>676</v>
      </c>
      <c r="H355" s="30" t="s">
        <v>702</v>
      </c>
      <c r="I355" s="30" t="s">
        <v>688</v>
      </c>
      <c r="J355" s="30" t="s">
        <v>679</v>
      </c>
      <c r="K355" s="30" t="s">
        <v>680</v>
      </c>
      <c r="L355" s="30" t="s">
        <v>681</v>
      </c>
      <c r="M355" s="30">
        <v>0.2</v>
      </c>
      <c r="N355" s="30" t="s">
        <v>1177</v>
      </c>
      <c r="O355" s="30" t="s">
        <v>1915</v>
      </c>
      <c r="P355" s="30" t="s">
        <v>683</v>
      </c>
      <c r="Q355" s="30" t="s">
        <v>767</v>
      </c>
      <c r="R355" s="30" t="s">
        <v>34</v>
      </c>
      <c r="S355" s="30" t="s">
        <v>755</v>
      </c>
    </row>
    <row r="356" spans="1:19" x14ac:dyDescent="0.3">
      <c r="A356" s="31" t="s">
        <v>1180</v>
      </c>
      <c r="B356" s="32" t="s">
        <v>753</v>
      </c>
      <c r="C356" s="32" t="s">
        <v>1181</v>
      </c>
      <c r="D356" s="32" t="s">
        <v>755</v>
      </c>
      <c r="E356" s="32" t="s">
        <v>674</v>
      </c>
      <c r="F356" s="32" t="s">
        <v>675</v>
      </c>
      <c r="G356" s="32" t="s">
        <v>676</v>
      </c>
      <c r="H356" s="32" t="s">
        <v>677</v>
      </c>
      <c r="I356" s="32" t="s">
        <v>811</v>
      </c>
      <c r="J356" s="32" t="s">
        <v>679</v>
      </c>
      <c r="K356" s="32" t="s">
        <v>680</v>
      </c>
      <c r="L356" s="32" t="s">
        <v>691</v>
      </c>
      <c r="M356" s="32">
        <v>0.4</v>
      </c>
      <c r="N356" s="32" t="s">
        <v>1177</v>
      </c>
      <c r="O356" s="32" t="s">
        <v>1915</v>
      </c>
      <c r="P356" s="32" t="s">
        <v>683</v>
      </c>
      <c r="Q356" s="32" t="s">
        <v>767</v>
      </c>
      <c r="R356" s="32" t="s">
        <v>34</v>
      </c>
      <c r="S356" s="30" t="s">
        <v>755</v>
      </c>
    </row>
    <row r="357" spans="1:19" x14ac:dyDescent="0.3">
      <c r="A357" s="29" t="s">
        <v>1182</v>
      </c>
      <c r="B357" s="30" t="s">
        <v>753</v>
      </c>
      <c r="C357" s="30" t="s">
        <v>1183</v>
      </c>
      <c r="D357" s="30" t="s">
        <v>755</v>
      </c>
      <c r="E357" s="30" t="s">
        <v>674</v>
      </c>
      <c r="F357" s="30" t="s">
        <v>675</v>
      </c>
      <c r="G357" s="30" t="s">
        <v>676</v>
      </c>
      <c r="H357" s="30" t="s">
        <v>677</v>
      </c>
      <c r="I357" s="30" t="s">
        <v>678</v>
      </c>
      <c r="J357" s="30" t="s">
        <v>679</v>
      </c>
      <c r="K357" s="30" t="s">
        <v>680</v>
      </c>
      <c r="L357" s="30" t="s">
        <v>681</v>
      </c>
      <c r="M357" s="30">
        <v>0.2</v>
      </c>
      <c r="N357" s="30" t="s">
        <v>1177</v>
      </c>
      <c r="O357" s="30" t="s">
        <v>1915</v>
      </c>
      <c r="P357" s="30" t="s">
        <v>683</v>
      </c>
      <c r="Q357" s="30" t="s">
        <v>767</v>
      </c>
      <c r="R357" s="30" t="s">
        <v>34</v>
      </c>
      <c r="S357" s="30" t="s">
        <v>755</v>
      </c>
    </row>
    <row r="358" spans="1:19" x14ac:dyDescent="0.3">
      <c r="A358" s="31" t="s">
        <v>756</v>
      </c>
      <c r="B358" s="32" t="s">
        <v>753</v>
      </c>
      <c r="C358" s="32" t="s">
        <v>756</v>
      </c>
      <c r="D358" s="32" t="s">
        <v>755</v>
      </c>
      <c r="E358" s="32" t="s">
        <v>674</v>
      </c>
      <c r="F358" s="32" t="s">
        <v>716</v>
      </c>
      <c r="G358" s="32" t="s">
        <v>744</v>
      </c>
      <c r="H358" s="32" t="s">
        <v>702</v>
      </c>
      <c r="I358" s="32" t="s">
        <v>678</v>
      </c>
      <c r="J358" s="32" t="s">
        <v>679</v>
      </c>
      <c r="K358" s="32" t="s">
        <v>680</v>
      </c>
      <c r="L358" s="32" t="s">
        <v>681</v>
      </c>
      <c r="M358" s="32">
        <v>1</v>
      </c>
      <c r="N358" s="32" t="s">
        <v>571</v>
      </c>
      <c r="O358" s="32" t="s">
        <v>746</v>
      </c>
      <c r="P358" s="32" t="s">
        <v>683</v>
      </c>
      <c r="Q358" s="32" t="s">
        <v>665</v>
      </c>
      <c r="R358" s="32" t="s">
        <v>34</v>
      </c>
      <c r="S358" s="30" t="s">
        <v>755</v>
      </c>
    </row>
    <row r="359" spans="1:19" x14ac:dyDescent="0.3">
      <c r="A359" s="29" t="s">
        <v>775</v>
      </c>
      <c r="B359" s="30" t="s">
        <v>753</v>
      </c>
      <c r="C359" s="30" t="s">
        <v>776</v>
      </c>
      <c r="D359" s="30" t="s">
        <v>755</v>
      </c>
      <c r="E359" s="30" t="s">
        <v>674</v>
      </c>
      <c r="F359" s="30" t="s">
        <v>675</v>
      </c>
      <c r="G359" s="30" t="s">
        <v>676</v>
      </c>
      <c r="H359" s="30" t="s">
        <v>677</v>
      </c>
      <c r="I359" s="30" t="s">
        <v>678</v>
      </c>
      <c r="J359" s="30" t="s">
        <v>679</v>
      </c>
      <c r="K359" s="30" t="s">
        <v>680</v>
      </c>
      <c r="L359" s="30" t="s">
        <v>699</v>
      </c>
      <c r="M359" s="30">
        <v>0.25</v>
      </c>
      <c r="N359" s="30" t="s">
        <v>601</v>
      </c>
      <c r="O359" s="30" t="s">
        <v>746</v>
      </c>
      <c r="P359" s="30" t="s">
        <v>683</v>
      </c>
      <c r="Q359" s="30" t="s">
        <v>665</v>
      </c>
      <c r="R359" s="30" t="s">
        <v>34</v>
      </c>
      <c r="S359" s="30" t="s">
        <v>755</v>
      </c>
    </row>
    <row r="360" spans="1:19" x14ac:dyDescent="0.3">
      <c r="A360" s="31" t="s">
        <v>1184</v>
      </c>
      <c r="B360" s="32" t="s">
        <v>753</v>
      </c>
      <c r="C360" s="32" t="s">
        <v>1185</v>
      </c>
      <c r="D360" s="32" t="s">
        <v>755</v>
      </c>
      <c r="E360" s="32" t="s">
        <v>674</v>
      </c>
      <c r="F360" s="32" t="s">
        <v>675</v>
      </c>
      <c r="G360" s="32" t="s">
        <v>676</v>
      </c>
      <c r="H360" s="32" t="s">
        <v>677</v>
      </c>
      <c r="I360" s="32" t="s">
        <v>678</v>
      </c>
      <c r="J360" s="32" t="s">
        <v>679</v>
      </c>
      <c r="K360" s="32" t="s">
        <v>680</v>
      </c>
      <c r="L360" s="32" t="s">
        <v>739</v>
      </c>
      <c r="M360" s="32">
        <v>0.25</v>
      </c>
      <c r="N360" s="32" t="s">
        <v>601</v>
      </c>
      <c r="O360" s="32" t="s">
        <v>746</v>
      </c>
      <c r="P360" s="32" t="s">
        <v>683</v>
      </c>
      <c r="Q360" s="32" t="s">
        <v>665</v>
      </c>
      <c r="R360" s="32" t="s">
        <v>34</v>
      </c>
      <c r="S360" s="30" t="s">
        <v>755</v>
      </c>
    </row>
    <row r="361" spans="1:19" x14ac:dyDescent="0.3">
      <c r="A361" s="29" t="s">
        <v>1186</v>
      </c>
      <c r="B361" s="30" t="s">
        <v>753</v>
      </c>
      <c r="C361" s="30" t="s">
        <v>1187</v>
      </c>
      <c r="D361" s="30" t="s">
        <v>755</v>
      </c>
      <c r="E361" s="30" t="s">
        <v>674</v>
      </c>
      <c r="F361" s="30" t="s">
        <v>675</v>
      </c>
      <c r="G361" s="30" t="s">
        <v>676</v>
      </c>
      <c r="H361" s="30" t="s">
        <v>677</v>
      </c>
      <c r="I361" s="30" t="s">
        <v>678</v>
      </c>
      <c r="J361" s="30" t="s">
        <v>679</v>
      </c>
      <c r="K361" s="30" t="s">
        <v>680</v>
      </c>
      <c r="L361" s="30" t="s">
        <v>699</v>
      </c>
      <c r="M361" s="30">
        <v>0.25</v>
      </c>
      <c r="N361" s="30" t="s">
        <v>601</v>
      </c>
      <c r="O361" s="30" t="s">
        <v>746</v>
      </c>
      <c r="P361" s="30" t="s">
        <v>683</v>
      </c>
      <c r="Q361" s="30" t="s">
        <v>665</v>
      </c>
      <c r="R361" s="30" t="s">
        <v>34</v>
      </c>
      <c r="S361" s="30" t="s">
        <v>755</v>
      </c>
    </row>
    <row r="362" spans="1:19" x14ac:dyDescent="0.3">
      <c r="A362" s="31" t="s">
        <v>1188</v>
      </c>
      <c r="B362" s="32" t="s">
        <v>753</v>
      </c>
      <c r="C362" s="32" t="s">
        <v>1189</v>
      </c>
      <c r="D362" s="32" t="s">
        <v>755</v>
      </c>
      <c r="E362" s="32" t="s">
        <v>674</v>
      </c>
      <c r="F362" s="32" t="s">
        <v>675</v>
      </c>
      <c r="G362" s="32" t="s">
        <v>676</v>
      </c>
      <c r="H362" s="32" t="s">
        <v>677</v>
      </c>
      <c r="I362" s="32" t="s">
        <v>811</v>
      </c>
      <c r="J362" s="32" t="s">
        <v>679</v>
      </c>
      <c r="K362" s="32" t="s">
        <v>680</v>
      </c>
      <c r="L362" s="32" t="s">
        <v>691</v>
      </c>
      <c r="M362" s="32">
        <v>0.25</v>
      </c>
      <c r="N362" s="32" t="s">
        <v>601</v>
      </c>
      <c r="O362" s="32" t="s">
        <v>746</v>
      </c>
      <c r="P362" s="32" t="s">
        <v>683</v>
      </c>
      <c r="Q362" s="32" t="s">
        <v>665</v>
      </c>
      <c r="R362" s="32" t="s">
        <v>34</v>
      </c>
      <c r="S362" s="30" t="s">
        <v>755</v>
      </c>
    </row>
    <row r="363" spans="1:19" x14ac:dyDescent="0.3">
      <c r="A363" s="29" t="s">
        <v>756</v>
      </c>
      <c r="B363" s="30" t="s">
        <v>753</v>
      </c>
      <c r="C363" s="30" t="s">
        <v>756</v>
      </c>
      <c r="D363" s="30" t="s">
        <v>755</v>
      </c>
      <c r="E363" s="30" t="s">
        <v>674</v>
      </c>
      <c r="F363" s="30" t="s">
        <v>716</v>
      </c>
      <c r="G363" s="30" t="s">
        <v>744</v>
      </c>
      <c r="H363" s="30" t="s">
        <v>702</v>
      </c>
      <c r="I363" s="30" t="s">
        <v>678</v>
      </c>
      <c r="J363" s="30" t="s">
        <v>679</v>
      </c>
      <c r="K363" s="30" t="s">
        <v>680</v>
      </c>
      <c r="L363" s="30" t="s">
        <v>681</v>
      </c>
      <c r="M363" s="30">
        <v>1</v>
      </c>
      <c r="N363" s="30" t="s">
        <v>628</v>
      </c>
      <c r="O363" s="30" t="s">
        <v>746</v>
      </c>
      <c r="P363" s="30" t="s">
        <v>683</v>
      </c>
      <c r="Q363" s="30" t="s">
        <v>665</v>
      </c>
      <c r="R363" s="30" t="s">
        <v>34</v>
      </c>
      <c r="S363" s="30" t="s">
        <v>755</v>
      </c>
    </row>
    <row r="364" spans="1:19" x14ac:dyDescent="0.3">
      <c r="A364" s="31" t="s">
        <v>770</v>
      </c>
      <c r="B364" s="32" t="s">
        <v>753</v>
      </c>
      <c r="C364" s="32" t="s">
        <v>771</v>
      </c>
      <c r="D364" s="32" t="s">
        <v>755</v>
      </c>
      <c r="E364" s="32" t="s">
        <v>674</v>
      </c>
      <c r="F364" s="32" t="s">
        <v>716</v>
      </c>
      <c r="G364" s="32" t="s">
        <v>744</v>
      </c>
      <c r="H364" s="32" t="s">
        <v>677</v>
      </c>
      <c r="I364" s="32" t="s">
        <v>688</v>
      </c>
      <c r="J364" s="32" t="s">
        <v>679</v>
      </c>
      <c r="K364" s="32" t="s">
        <v>680</v>
      </c>
      <c r="L364" s="32" t="s">
        <v>691</v>
      </c>
      <c r="M364" s="32">
        <v>0.3</v>
      </c>
      <c r="N364" s="32" t="s">
        <v>643</v>
      </c>
      <c r="O364" s="32" t="s">
        <v>746</v>
      </c>
      <c r="P364" s="32" t="s">
        <v>683</v>
      </c>
      <c r="Q364" s="32" t="s">
        <v>665</v>
      </c>
      <c r="R364" s="32" t="s">
        <v>34</v>
      </c>
      <c r="S364" s="30" t="s">
        <v>755</v>
      </c>
    </row>
    <row r="365" spans="1:19" x14ac:dyDescent="0.3">
      <c r="A365" s="29" t="s">
        <v>756</v>
      </c>
      <c r="B365" s="30" t="s">
        <v>753</v>
      </c>
      <c r="C365" s="30" t="s">
        <v>756</v>
      </c>
      <c r="D365" s="30" t="s">
        <v>755</v>
      </c>
      <c r="E365" s="30" t="s">
        <v>674</v>
      </c>
      <c r="F365" s="30" t="s">
        <v>716</v>
      </c>
      <c r="G365" s="30" t="s">
        <v>744</v>
      </c>
      <c r="H365" s="30" t="s">
        <v>702</v>
      </c>
      <c r="I365" s="30" t="s">
        <v>678</v>
      </c>
      <c r="J365" s="30" t="s">
        <v>679</v>
      </c>
      <c r="K365" s="30" t="s">
        <v>680</v>
      </c>
      <c r="L365" s="30" t="s">
        <v>681</v>
      </c>
      <c r="M365" s="30">
        <v>0.7</v>
      </c>
      <c r="N365" s="30" t="s">
        <v>643</v>
      </c>
      <c r="O365" s="30" t="s">
        <v>746</v>
      </c>
      <c r="P365" s="30" t="s">
        <v>683</v>
      </c>
      <c r="Q365" s="30" t="s">
        <v>665</v>
      </c>
      <c r="R365" s="30" t="s">
        <v>34</v>
      </c>
      <c r="S365" s="30" t="s">
        <v>755</v>
      </c>
    </row>
    <row r="366" spans="1:19" x14ac:dyDescent="0.3">
      <c r="A366" s="31" t="s">
        <v>1190</v>
      </c>
      <c r="B366" s="32" t="s">
        <v>154</v>
      </c>
      <c r="C366" s="32" t="s">
        <v>1023</v>
      </c>
      <c r="D366" s="32" t="s">
        <v>673</v>
      </c>
      <c r="E366" s="32" t="s">
        <v>674</v>
      </c>
      <c r="F366" s="32" t="s">
        <v>716</v>
      </c>
      <c r="G366" s="32" t="s">
        <v>744</v>
      </c>
      <c r="H366" s="32" t="s">
        <v>935</v>
      </c>
      <c r="I366" s="32" t="s">
        <v>688</v>
      </c>
      <c r="J366" s="32" t="s">
        <v>710</v>
      </c>
      <c r="K366" s="32" t="s">
        <v>690</v>
      </c>
      <c r="L366" s="32" t="s">
        <v>681</v>
      </c>
      <c r="M366" s="32">
        <v>1</v>
      </c>
      <c r="N366" s="32" t="s">
        <v>378</v>
      </c>
      <c r="O366" s="32" t="s">
        <v>746</v>
      </c>
      <c r="P366" s="32" t="s">
        <v>683</v>
      </c>
      <c r="Q366" s="32" t="s">
        <v>665</v>
      </c>
      <c r="R366" s="32" t="s">
        <v>188</v>
      </c>
      <c r="S366" s="32" t="s">
        <v>673</v>
      </c>
    </row>
    <row r="367" spans="1:19" x14ac:dyDescent="0.3">
      <c r="A367" s="29" t="s">
        <v>1190</v>
      </c>
      <c r="B367" s="30" t="s">
        <v>154</v>
      </c>
      <c r="C367" s="30" t="s">
        <v>1023</v>
      </c>
      <c r="D367" s="30" t="s">
        <v>673</v>
      </c>
      <c r="E367" s="30" t="s">
        <v>674</v>
      </c>
      <c r="F367" s="30" t="s">
        <v>716</v>
      </c>
      <c r="G367" s="30" t="s">
        <v>744</v>
      </c>
      <c r="H367" s="30" t="s">
        <v>935</v>
      </c>
      <c r="I367" s="30" t="s">
        <v>688</v>
      </c>
      <c r="J367" s="30" t="s">
        <v>710</v>
      </c>
      <c r="K367" s="30" t="s">
        <v>690</v>
      </c>
      <c r="L367" s="30" t="s">
        <v>681</v>
      </c>
      <c r="M367" s="30">
        <v>1</v>
      </c>
      <c r="N367" s="30" t="s">
        <v>114</v>
      </c>
      <c r="O367" s="30" t="s">
        <v>746</v>
      </c>
      <c r="P367" s="30" t="s">
        <v>683</v>
      </c>
      <c r="Q367" s="30" t="s">
        <v>665</v>
      </c>
      <c r="R367" s="30" t="s">
        <v>188</v>
      </c>
      <c r="S367" s="32" t="s">
        <v>673</v>
      </c>
    </row>
    <row r="368" spans="1:19" x14ac:dyDescent="0.3">
      <c r="A368" s="31" t="s">
        <v>1190</v>
      </c>
      <c r="B368" s="32" t="s">
        <v>154</v>
      </c>
      <c r="C368" s="32" t="s">
        <v>1023</v>
      </c>
      <c r="D368" s="32" t="s">
        <v>673</v>
      </c>
      <c r="E368" s="32" t="s">
        <v>674</v>
      </c>
      <c r="F368" s="32" t="s">
        <v>716</v>
      </c>
      <c r="G368" s="32" t="s">
        <v>744</v>
      </c>
      <c r="H368" s="32" t="s">
        <v>935</v>
      </c>
      <c r="I368" s="32" t="s">
        <v>688</v>
      </c>
      <c r="J368" s="32" t="s">
        <v>710</v>
      </c>
      <c r="K368" s="32" t="s">
        <v>690</v>
      </c>
      <c r="L368" s="32" t="s">
        <v>681</v>
      </c>
      <c r="M368" s="32">
        <v>1</v>
      </c>
      <c r="N368" s="32" t="s">
        <v>416</v>
      </c>
      <c r="O368" s="32" t="s">
        <v>1915</v>
      </c>
      <c r="P368" s="32" t="s">
        <v>683</v>
      </c>
      <c r="Q368" s="32" t="s">
        <v>767</v>
      </c>
      <c r="R368" s="32" t="s">
        <v>188</v>
      </c>
      <c r="S368" s="32" t="s">
        <v>673</v>
      </c>
    </row>
    <row r="369" spans="1:19" x14ac:dyDescent="0.3">
      <c r="A369" s="29" t="s">
        <v>1190</v>
      </c>
      <c r="B369" s="30" t="s">
        <v>154</v>
      </c>
      <c r="C369" s="30" t="s">
        <v>1023</v>
      </c>
      <c r="D369" s="30" t="s">
        <v>673</v>
      </c>
      <c r="E369" s="30" t="s">
        <v>674</v>
      </c>
      <c r="F369" s="30" t="s">
        <v>716</v>
      </c>
      <c r="G369" s="30" t="s">
        <v>744</v>
      </c>
      <c r="H369" s="30" t="s">
        <v>935</v>
      </c>
      <c r="I369" s="30" t="s">
        <v>688</v>
      </c>
      <c r="J369" s="30" t="s">
        <v>710</v>
      </c>
      <c r="K369" s="30" t="s">
        <v>690</v>
      </c>
      <c r="L369" s="30" t="s">
        <v>681</v>
      </c>
      <c r="M369" s="30">
        <v>1</v>
      </c>
      <c r="N369" s="30" t="s">
        <v>330</v>
      </c>
      <c r="O369" s="30" t="s">
        <v>1915</v>
      </c>
      <c r="P369" s="30" t="s">
        <v>683</v>
      </c>
      <c r="Q369" s="30" t="s">
        <v>767</v>
      </c>
      <c r="R369" s="30" t="s">
        <v>188</v>
      </c>
      <c r="S369" s="32" t="s">
        <v>673</v>
      </c>
    </row>
    <row r="370" spans="1:19" x14ac:dyDescent="0.3">
      <c r="A370" s="31" t="s">
        <v>1190</v>
      </c>
      <c r="B370" s="32" t="s">
        <v>154</v>
      </c>
      <c r="C370" s="32" t="s">
        <v>1023</v>
      </c>
      <c r="D370" s="32" t="s">
        <v>673</v>
      </c>
      <c r="E370" s="32" t="s">
        <v>674</v>
      </c>
      <c r="F370" s="32" t="s">
        <v>716</v>
      </c>
      <c r="G370" s="32" t="s">
        <v>744</v>
      </c>
      <c r="H370" s="32" t="s">
        <v>935</v>
      </c>
      <c r="I370" s="32" t="s">
        <v>688</v>
      </c>
      <c r="J370" s="32" t="s">
        <v>710</v>
      </c>
      <c r="K370" s="32" t="s">
        <v>690</v>
      </c>
      <c r="L370" s="32" t="s">
        <v>681</v>
      </c>
      <c r="M370" s="32">
        <v>1</v>
      </c>
      <c r="N370" s="32" t="s">
        <v>81</v>
      </c>
      <c r="O370" s="32" t="s">
        <v>746</v>
      </c>
      <c r="P370" s="32" t="s">
        <v>683</v>
      </c>
      <c r="Q370" s="32" t="s">
        <v>665</v>
      </c>
      <c r="R370" s="32" t="s">
        <v>188</v>
      </c>
      <c r="S370" s="32" t="s">
        <v>673</v>
      </c>
    </row>
    <row r="371" spans="1:19" x14ac:dyDescent="0.3">
      <c r="A371" s="29" t="s">
        <v>1190</v>
      </c>
      <c r="B371" s="30" t="s">
        <v>154</v>
      </c>
      <c r="C371" s="30" t="s">
        <v>1023</v>
      </c>
      <c r="D371" s="30" t="s">
        <v>673</v>
      </c>
      <c r="E371" s="30" t="s">
        <v>674</v>
      </c>
      <c r="F371" s="30" t="s">
        <v>716</v>
      </c>
      <c r="G371" s="30" t="s">
        <v>744</v>
      </c>
      <c r="H371" s="30" t="s">
        <v>935</v>
      </c>
      <c r="I371" s="30" t="s">
        <v>688</v>
      </c>
      <c r="J371" s="30" t="s">
        <v>710</v>
      </c>
      <c r="K371" s="30" t="s">
        <v>690</v>
      </c>
      <c r="L371" s="30" t="s">
        <v>681</v>
      </c>
      <c r="M371" s="30">
        <v>1</v>
      </c>
      <c r="N371" s="30" t="s">
        <v>442</v>
      </c>
      <c r="O371" s="30" t="s">
        <v>1915</v>
      </c>
      <c r="P371" s="30" t="s">
        <v>683</v>
      </c>
      <c r="Q371" s="30" t="s">
        <v>767</v>
      </c>
      <c r="R371" s="30" t="s">
        <v>188</v>
      </c>
      <c r="S371" s="32" t="s">
        <v>673</v>
      </c>
    </row>
    <row r="372" spans="1:19" x14ac:dyDescent="0.3">
      <c r="A372" s="31" t="s">
        <v>1190</v>
      </c>
      <c r="B372" s="32" t="s">
        <v>154</v>
      </c>
      <c r="C372" s="32" t="s">
        <v>1023</v>
      </c>
      <c r="D372" s="32" t="s">
        <v>673</v>
      </c>
      <c r="E372" s="32" t="s">
        <v>674</v>
      </c>
      <c r="F372" s="32" t="s">
        <v>716</v>
      </c>
      <c r="G372" s="32" t="s">
        <v>744</v>
      </c>
      <c r="H372" s="32" t="s">
        <v>935</v>
      </c>
      <c r="I372" s="32" t="s">
        <v>688</v>
      </c>
      <c r="J372" s="32" t="s">
        <v>710</v>
      </c>
      <c r="K372" s="32" t="s">
        <v>690</v>
      </c>
      <c r="L372" s="32" t="s">
        <v>681</v>
      </c>
      <c r="M372" s="32">
        <v>1</v>
      </c>
      <c r="N372" s="32" t="s">
        <v>220</v>
      </c>
      <c r="O372" s="32" t="s">
        <v>746</v>
      </c>
      <c r="P372" s="32" t="s">
        <v>683</v>
      </c>
      <c r="Q372" s="32" t="s">
        <v>665</v>
      </c>
      <c r="R372" s="32" t="s">
        <v>188</v>
      </c>
      <c r="S372" s="32" t="s">
        <v>673</v>
      </c>
    </row>
    <row r="373" spans="1:19" x14ac:dyDescent="0.3">
      <c r="A373" s="29" t="s">
        <v>694</v>
      </c>
      <c r="B373" s="30" t="s">
        <v>695</v>
      </c>
      <c r="C373" s="30" t="s">
        <v>696</v>
      </c>
      <c r="D373" s="30" t="s">
        <v>673</v>
      </c>
      <c r="E373" s="30" t="s">
        <v>674</v>
      </c>
      <c r="F373" s="30" t="s">
        <v>675</v>
      </c>
      <c r="G373" s="30" t="s">
        <v>676</v>
      </c>
      <c r="H373" s="30" t="s">
        <v>677</v>
      </c>
      <c r="I373" s="30" t="s">
        <v>697</v>
      </c>
      <c r="J373" s="30" t="s">
        <v>698</v>
      </c>
      <c r="K373" s="30" t="s">
        <v>690</v>
      </c>
      <c r="L373" s="30" t="s">
        <v>699</v>
      </c>
      <c r="M373" s="30">
        <v>1</v>
      </c>
      <c r="N373" s="30" t="s">
        <v>77</v>
      </c>
      <c r="O373" s="30" t="s">
        <v>746</v>
      </c>
      <c r="P373" s="30" t="s">
        <v>683</v>
      </c>
      <c r="Q373" s="30" t="s">
        <v>665</v>
      </c>
      <c r="R373" s="30" t="s">
        <v>188</v>
      </c>
      <c r="S373" s="32" t="s">
        <v>673</v>
      </c>
    </row>
    <row r="374" spans="1:19" x14ac:dyDescent="0.3">
      <c r="A374" s="31" t="s">
        <v>1190</v>
      </c>
      <c r="B374" s="32" t="s">
        <v>154</v>
      </c>
      <c r="C374" s="32" t="s">
        <v>1023</v>
      </c>
      <c r="D374" s="32" t="s">
        <v>673</v>
      </c>
      <c r="E374" s="32" t="s">
        <v>674</v>
      </c>
      <c r="F374" s="32" t="s">
        <v>716</v>
      </c>
      <c r="G374" s="32" t="s">
        <v>744</v>
      </c>
      <c r="H374" s="32" t="s">
        <v>935</v>
      </c>
      <c r="I374" s="32" t="s">
        <v>688</v>
      </c>
      <c r="J374" s="32" t="s">
        <v>710</v>
      </c>
      <c r="K374" s="32" t="s">
        <v>690</v>
      </c>
      <c r="L374" s="32" t="s">
        <v>681</v>
      </c>
      <c r="M374" s="32">
        <v>1</v>
      </c>
      <c r="N374" s="32" t="s">
        <v>162</v>
      </c>
      <c r="O374" s="32" t="s">
        <v>746</v>
      </c>
      <c r="P374" s="32" t="s">
        <v>683</v>
      </c>
      <c r="Q374" s="32" t="s">
        <v>665</v>
      </c>
      <c r="R374" s="32" t="s">
        <v>188</v>
      </c>
      <c r="S374" s="32" t="s">
        <v>673</v>
      </c>
    </row>
    <row r="375" spans="1:19" x14ac:dyDescent="0.3">
      <c r="A375" s="29" t="s">
        <v>1190</v>
      </c>
      <c r="B375" s="30" t="s">
        <v>154</v>
      </c>
      <c r="C375" s="30" t="s">
        <v>1023</v>
      </c>
      <c r="D375" s="30" t="s">
        <v>673</v>
      </c>
      <c r="E375" s="30" t="s">
        <v>674</v>
      </c>
      <c r="F375" s="30" t="s">
        <v>716</v>
      </c>
      <c r="G375" s="30" t="s">
        <v>744</v>
      </c>
      <c r="H375" s="30" t="s">
        <v>935</v>
      </c>
      <c r="I375" s="30" t="s">
        <v>688</v>
      </c>
      <c r="J375" s="30" t="s">
        <v>710</v>
      </c>
      <c r="K375" s="30" t="s">
        <v>690</v>
      </c>
      <c r="L375" s="30" t="s">
        <v>681</v>
      </c>
      <c r="M375" s="30">
        <v>1</v>
      </c>
      <c r="N375" s="30" t="s">
        <v>575</v>
      </c>
      <c r="O375" s="30" t="s">
        <v>746</v>
      </c>
      <c r="P375" s="30" t="s">
        <v>683</v>
      </c>
      <c r="Q375" s="30" t="s">
        <v>665</v>
      </c>
      <c r="R375" s="30" t="s">
        <v>188</v>
      </c>
      <c r="S375" s="32" t="s">
        <v>673</v>
      </c>
    </row>
    <row r="376" spans="1:19" x14ac:dyDescent="0.3">
      <c r="A376" s="31" t="s">
        <v>879</v>
      </c>
      <c r="B376" s="32" t="s">
        <v>142</v>
      </c>
      <c r="C376" s="32" t="s">
        <v>880</v>
      </c>
      <c r="D376" s="32" t="s">
        <v>673</v>
      </c>
      <c r="E376" s="32" t="s">
        <v>674</v>
      </c>
      <c r="F376" s="32" t="s">
        <v>716</v>
      </c>
      <c r="G376" s="32" t="s">
        <v>744</v>
      </c>
      <c r="H376" s="32" t="s">
        <v>677</v>
      </c>
      <c r="I376" s="32" t="s">
        <v>678</v>
      </c>
      <c r="J376" s="32" t="s">
        <v>698</v>
      </c>
      <c r="K376" s="32" t="s">
        <v>690</v>
      </c>
      <c r="L376" s="32" t="s">
        <v>699</v>
      </c>
      <c r="M376" s="32">
        <v>1</v>
      </c>
      <c r="N376" s="32" t="s">
        <v>531</v>
      </c>
      <c r="O376" s="32" t="s">
        <v>1919</v>
      </c>
      <c r="P376" s="32" t="s">
        <v>683</v>
      </c>
      <c r="Q376" s="32" t="s">
        <v>767</v>
      </c>
      <c r="R376" s="32" t="s">
        <v>142</v>
      </c>
      <c r="S376" s="32" t="s">
        <v>673</v>
      </c>
    </row>
    <row r="377" spans="1:19" x14ac:dyDescent="0.3">
      <c r="A377" s="29" t="s">
        <v>879</v>
      </c>
      <c r="B377" s="30" t="s">
        <v>142</v>
      </c>
      <c r="C377" s="30" t="s">
        <v>880</v>
      </c>
      <c r="D377" s="30" t="s">
        <v>673</v>
      </c>
      <c r="E377" s="30" t="s">
        <v>674</v>
      </c>
      <c r="F377" s="30" t="s">
        <v>716</v>
      </c>
      <c r="G377" s="30" t="s">
        <v>744</v>
      </c>
      <c r="H377" s="30" t="s">
        <v>677</v>
      </c>
      <c r="I377" s="30" t="s">
        <v>678</v>
      </c>
      <c r="J377" s="30" t="s">
        <v>698</v>
      </c>
      <c r="K377" s="30" t="s">
        <v>690</v>
      </c>
      <c r="L377" s="30" t="s">
        <v>699</v>
      </c>
      <c r="M377" s="30">
        <v>1</v>
      </c>
      <c r="N377" s="30" t="s">
        <v>396</v>
      </c>
      <c r="O377" s="30" t="s">
        <v>746</v>
      </c>
      <c r="P377" s="30" t="s">
        <v>683</v>
      </c>
      <c r="Q377" s="30" t="s">
        <v>665</v>
      </c>
      <c r="R377" s="30" t="s">
        <v>142</v>
      </c>
      <c r="S377" s="32" t="s">
        <v>673</v>
      </c>
    </row>
    <row r="378" spans="1:19" x14ac:dyDescent="0.3">
      <c r="A378" s="31" t="s">
        <v>809</v>
      </c>
      <c r="B378" s="32" t="s">
        <v>704</v>
      </c>
      <c r="C378" s="32" t="s">
        <v>810</v>
      </c>
      <c r="D378" s="32" t="s">
        <v>673</v>
      </c>
      <c r="E378" s="32" t="s">
        <v>674</v>
      </c>
      <c r="F378" s="32" t="s">
        <v>675</v>
      </c>
      <c r="G378" s="32" t="s">
        <v>676</v>
      </c>
      <c r="H378" s="32" t="s">
        <v>677</v>
      </c>
      <c r="I378" s="32" t="s">
        <v>811</v>
      </c>
      <c r="J378" s="32" t="s">
        <v>710</v>
      </c>
      <c r="K378" s="32" t="s">
        <v>690</v>
      </c>
      <c r="L378" s="32" t="s">
        <v>681</v>
      </c>
      <c r="M378" s="32">
        <v>1</v>
      </c>
      <c r="N378" s="32" t="s">
        <v>140</v>
      </c>
      <c r="O378" s="32" t="s">
        <v>682</v>
      </c>
      <c r="P378" s="32" t="s">
        <v>683</v>
      </c>
      <c r="Q378" s="32" t="s">
        <v>665</v>
      </c>
      <c r="R378" s="32" t="s">
        <v>565</v>
      </c>
      <c r="S378" s="32" t="s">
        <v>673</v>
      </c>
    </row>
    <row r="379" spans="1:19" x14ac:dyDescent="0.3">
      <c r="A379" s="29" t="s">
        <v>834</v>
      </c>
      <c r="B379" s="30" t="s">
        <v>835</v>
      </c>
      <c r="C379" s="30" t="s">
        <v>836</v>
      </c>
      <c r="D379" s="30" t="s">
        <v>673</v>
      </c>
      <c r="E379" s="30" t="s">
        <v>674</v>
      </c>
      <c r="F379" s="30" t="s">
        <v>675</v>
      </c>
      <c r="G379" s="30" t="s">
        <v>676</v>
      </c>
      <c r="H379" s="30" t="s">
        <v>702</v>
      </c>
      <c r="I379" s="30" t="s">
        <v>678</v>
      </c>
      <c r="J379" s="30" t="s">
        <v>713</v>
      </c>
      <c r="K379" s="30" t="s">
        <v>690</v>
      </c>
      <c r="L379" s="30" t="s">
        <v>681</v>
      </c>
      <c r="M379" s="30">
        <v>0.5</v>
      </c>
      <c r="N379" s="30" t="s">
        <v>170</v>
      </c>
      <c r="O379" s="30" t="s">
        <v>682</v>
      </c>
      <c r="P379" s="30" t="s">
        <v>683</v>
      </c>
      <c r="Q379" s="30" t="s">
        <v>665</v>
      </c>
      <c r="R379" s="30" t="s">
        <v>565</v>
      </c>
      <c r="S379" s="32" t="s">
        <v>673</v>
      </c>
    </row>
    <row r="380" spans="1:19" x14ac:dyDescent="0.3">
      <c r="A380" s="31" t="s">
        <v>793</v>
      </c>
      <c r="B380" s="32" t="s">
        <v>178</v>
      </c>
      <c r="C380" s="32" t="s">
        <v>794</v>
      </c>
      <c r="D380" s="32" t="s">
        <v>673</v>
      </c>
      <c r="E380" s="32" t="s">
        <v>674</v>
      </c>
      <c r="F380" s="32" t="s">
        <v>675</v>
      </c>
      <c r="G380" s="32" t="s">
        <v>676</v>
      </c>
      <c r="H380" s="32" t="s">
        <v>702</v>
      </c>
      <c r="I380" s="32" t="s">
        <v>688</v>
      </c>
      <c r="J380" s="32" t="s">
        <v>713</v>
      </c>
      <c r="K380" s="32" t="s">
        <v>690</v>
      </c>
      <c r="L380" s="32" t="s">
        <v>699</v>
      </c>
      <c r="M380" s="32">
        <v>0.5</v>
      </c>
      <c r="N380" s="32" t="s">
        <v>170</v>
      </c>
      <c r="O380" s="32" t="s">
        <v>682</v>
      </c>
      <c r="P380" s="32" t="s">
        <v>683</v>
      </c>
      <c r="Q380" s="32" t="s">
        <v>665</v>
      </c>
      <c r="R380" s="32" t="s">
        <v>565</v>
      </c>
      <c r="S380" s="32" t="s">
        <v>673</v>
      </c>
    </row>
    <row r="381" spans="1:19" x14ac:dyDescent="0.3">
      <c r="A381" s="29" t="s">
        <v>844</v>
      </c>
      <c r="B381" s="30" t="s">
        <v>704</v>
      </c>
      <c r="C381" s="30" t="s">
        <v>845</v>
      </c>
      <c r="D381" s="30" t="s">
        <v>673</v>
      </c>
      <c r="E381" s="30" t="s">
        <v>674</v>
      </c>
      <c r="F381" s="30" t="s">
        <v>716</v>
      </c>
      <c r="G381" s="30" t="s">
        <v>676</v>
      </c>
      <c r="H381" s="30" t="s">
        <v>702</v>
      </c>
      <c r="I381" s="30" t="s">
        <v>811</v>
      </c>
      <c r="J381" s="30" t="s">
        <v>713</v>
      </c>
      <c r="K381" s="30" t="s">
        <v>690</v>
      </c>
      <c r="L381" s="30" t="s">
        <v>691</v>
      </c>
      <c r="M381" s="30">
        <v>0.5</v>
      </c>
      <c r="N381" s="30" t="s">
        <v>175</v>
      </c>
      <c r="O381" s="30" t="s">
        <v>682</v>
      </c>
      <c r="P381" s="30" t="s">
        <v>683</v>
      </c>
      <c r="Q381" s="30" t="s">
        <v>665</v>
      </c>
      <c r="R381" s="30" t="s">
        <v>565</v>
      </c>
      <c r="S381" s="32" t="s">
        <v>673</v>
      </c>
    </row>
    <row r="382" spans="1:19" x14ac:dyDescent="0.3">
      <c r="A382" s="31" t="s">
        <v>846</v>
      </c>
      <c r="B382" s="32" t="s">
        <v>178</v>
      </c>
      <c r="C382" s="32" t="s">
        <v>847</v>
      </c>
      <c r="D382" s="32" t="s">
        <v>673</v>
      </c>
      <c r="E382" s="32" t="s">
        <v>674</v>
      </c>
      <c r="F382" s="32" t="s">
        <v>675</v>
      </c>
      <c r="G382" s="32" t="s">
        <v>676</v>
      </c>
      <c r="H382" s="32" t="s">
        <v>702</v>
      </c>
      <c r="I382" s="32" t="s">
        <v>678</v>
      </c>
      <c r="J382" s="32" t="s">
        <v>713</v>
      </c>
      <c r="K382" s="32" t="s">
        <v>690</v>
      </c>
      <c r="L382" s="32" t="s">
        <v>681</v>
      </c>
      <c r="M382" s="32">
        <v>0.3</v>
      </c>
      <c r="N382" s="32" t="s">
        <v>175</v>
      </c>
      <c r="O382" s="32" t="s">
        <v>682</v>
      </c>
      <c r="P382" s="32" t="s">
        <v>683</v>
      </c>
      <c r="Q382" s="32" t="s">
        <v>665</v>
      </c>
      <c r="R382" s="32" t="s">
        <v>565</v>
      </c>
      <c r="S382" s="32" t="s">
        <v>673</v>
      </c>
    </row>
    <row r="383" spans="1:19" x14ac:dyDescent="0.3">
      <c r="A383" s="29" t="s">
        <v>1192</v>
      </c>
      <c r="B383" s="30" t="s">
        <v>178</v>
      </c>
      <c r="C383" s="30" t="s">
        <v>1193</v>
      </c>
      <c r="D383" s="30" t="s">
        <v>673</v>
      </c>
      <c r="E383" s="30" t="s">
        <v>674</v>
      </c>
      <c r="F383" s="30" t="s">
        <v>716</v>
      </c>
      <c r="G383" s="30" t="s">
        <v>676</v>
      </c>
      <c r="H383" s="30" t="s">
        <v>702</v>
      </c>
      <c r="I383" s="30" t="s">
        <v>811</v>
      </c>
      <c r="J383" s="30" t="s">
        <v>713</v>
      </c>
      <c r="K383" s="30" t="s">
        <v>690</v>
      </c>
      <c r="L383" s="30" t="s">
        <v>691</v>
      </c>
      <c r="M383" s="30">
        <v>0.2</v>
      </c>
      <c r="N383" s="30" t="s">
        <v>175</v>
      </c>
      <c r="O383" s="30" t="s">
        <v>682</v>
      </c>
      <c r="P383" s="30" t="s">
        <v>683</v>
      </c>
      <c r="Q383" s="30" t="s">
        <v>665</v>
      </c>
      <c r="R383" s="30" t="s">
        <v>565</v>
      </c>
      <c r="S383" s="32" t="s">
        <v>673</v>
      </c>
    </row>
    <row r="384" spans="1:19" x14ac:dyDescent="0.3">
      <c r="A384" s="31" t="s">
        <v>793</v>
      </c>
      <c r="B384" s="32" t="s">
        <v>178</v>
      </c>
      <c r="C384" s="32" t="s">
        <v>794</v>
      </c>
      <c r="D384" s="32" t="s">
        <v>673</v>
      </c>
      <c r="E384" s="32" t="s">
        <v>674</v>
      </c>
      <c r="F384" s="32" t="s">
        <v>675</v>
      </c>
      <c r="G384" s="32" t="s">
        <v>676</v>
      </c>
      <c r="H384" s="32" t="s">
        <v>702</v>
      </c>
      <c r="I384" s="32" t="s">
        <v>688</v>
      </c>
      <c r="J384" s="32" t="s">
        <v>713</v>
      </c>
      <c r="K384" s="32" t="s">
        <v>690</v>
      </c>
      <c r="L384" s="32" t="s">
        <v>699</v>
      </c>
      <c r="M384" s="32">
        <v>1</v>
      </c>
      <c r="N384" s="32" t="s">
        <v>196</v>
      </c>
      <c r="O384" s="32" t="s">
        <v>682</v>
      </c>
      <c r="P384" s="32" t="s">
        <v>683</v>
      </c>
      <c r="Q384" s="32" t="s">
        <v>665</v>
      </c>
      <c r="R384" s="32" t="s">
        <v>565</v>
      </c>
      <c r="S384" s="32" t="s">
        <v>673</v>
      </c>
    </row>
    <row r="385" spans="1:19" x14ac:dyDescent="0.3">
      <c r="A385" s="29" t="s">
        <v>671</v>
      </c>
      <c r="B385" s="30" t="s">
        <v>178</v>
      </c>
      <c r="C385" s="30" t="s">
        <v>672</v>
      </c>
      <c r="D385" s="30" t="s">
        <v>673</v>
      </c>
      <c r="E385" s="30" t="s">
        <v>674</v>
      </c>
      <c r="F385" s="30" t="s">
        <v>675</v>
      </c>
      <c r="G385" s="30" t="s">
        <v>676</v>
      </c>
      <c r="H385" s="30" t="s">
        <v>677</v>
      </c>
      <c r="I385" s="30" t="s">
        <v>678</v>
      </c>
      <c r="J385" s="30" t="s">
        <v>679</v>
      </c>
      <c r="K385" s="30" t="s">
        <v>680</v>
      </c>
      <c r="L385" s="30" t="s">
        <v>681</v>
      </c>
      <c r="M385" s="30">
        <v>1</v>
      </c>
      <c r="N385" s="30" t="s">
        <v>198</v>
      </c>
      <c r="O385" s="30" t="s">
        <v>682</v>
      </c>
      <c r="P385" s="30" t="s">
        <v>683</v>
      </c>
      <c r="Q385" s="30" t="s">
        <v>665</v>
      </c>
      <c r="R385" s="30" t="s">
        <v>565</v>
      </c>
      <c r="S385" s="32" t="s">
        <v>673</v>
      </c>
    </row>
    <row r="386" spans="1:19" x14ac:dyDescent="0.3">
      <c r="A386" s="31" t="s">
        <v>1194</v>
      </c>
      <c r="B386" s="32" t="s">
        <v>704</v>
      </c>
      <c r="C386" s="32" t="s">
        <v>1195</v>
      </c>
      <c r="D386" s="32" t="s">
        <v>673</v>
      </c>
      <c r="E386" s="32" t="s">
        <v>674</v>
      </c>
      <c r="F386" s="32" t="s">
        <v>716</v>
      </c>
      <c r="G386" s="32" t="s">
        <v>731</v>
      </c>
      <c r="H386" s="32" t="s">
        <v>702</v>
      </c>
      <c r="I386" s="32" t="s">
        <v>688</v>
      </c>
      <c r="J386" s="32" t="s">
        <v>710</v>
      </c>
      <c r="K386" s="32" t="s">
        <v>690</v>
      </c>
      <c r="L386" s="32" t="s">
        <v>691</v>
      </c>
      <c r="M386" s="32">
        <v>1</v>
      </c>
      <c r="N386" s="32" t="s">
        <v>215</v>
      </c>
      <c r="O386" s="32" t="s">
        <v>682</v>
      </c>
      <c r="P386" s="32" t="s">
        <v>683</v>
      </c>
      <c r="Q386" s="32" t="s">
        <v>665</v>
      </c>
      <c r="R386" s="32" t="s">
        <v>565</v>
      </c>
      <c r="S386" s="32" t="s">
        <v>673</v>
      </c>
    </row>
    <row r="387" spans="1:19" x14ac:dyDescent="0.3">
      <c r="A387" s="29" t="s">
        <v>834</v>
      </c>
      <c r="B387" s="30" t="s">
        <v>835</v>
      </c>
      <c r="C387" s="30" t="s">
        <v>836</v>
      </c>
      <c r="D387" s="30" t="s">
        <v>673</v>
      </c>
      <c r="E387" s="30" t="s">
        <v>674</v>
      </c>
      <c r="F387" s="30" t="s">
        <v>675</v>
      </c>
      <c r="G387" s="30" t="s">
        <v>676</v>
      </c>
      <c r="H387" s="30" t="s">
        <v>702</v>
      </c>
      <c r="I387" s="30" t="s">
        <v>678</v>
      </c>
      <c r="J387" s="30" t="s">
        <v>713</v>
      </c>
      <c r="K387" s="30" t="s">
        <v>690</v>
      </c>
      <c r="L387" s="30" t="s">
        <v>681</v>
      </c>
      <c r="M387" s="30">
        <v>1</v>
      </c>
      <c r="N387" s="30" t="s">
        <v>223</v>
      </c>
      <c r="O387" s="30" t="s">
        <v>682</v>
      </c>
      <c r="P387" s="30" t="s">
        <v>683</v>
      </c>
      <c r="Q387" s="30" t="s">
        <v>665</v>
      </c>
      <c r="R387" s="30" t="s">
        <v>565</v>
      </c>
      <c r="S387" s="32" t="s">
        <v>673</v>
      </c>
    </row>
    <row r="388" spans="1:19" x14ac:dyDescent="0.3">
      <c r="A388" s="31" t="s">
        <v>703</v>
      </c>
      <c r="B388" s="32" t="s">
        <v>704</v>
      </c>
      <c r="C388" s="32" t="s">
        <v>705</v>
      </c>
      <c r="D388" s="32" t="s">
        <v>673</v>
      </c>
      <c r="E388" s="32" t="s">
        <v>674</v>
      </c>
      <c r="F388" s="32" t="s">
        <v>675</v>
      </c>
      <c r="G388" s="32" t="s">
        <v>676</v>
      </c>
      <c r="H388" s="32" t="s">
        <v>677</v>
      </c>
      <c r="I388" s="32" t="s">
        <v>678</v>
      </c>
      <c r="J388" s="32" t="s">
        <v>679</v>
      </c>
      <c r="K388" s="32" t="s">
        <v>680</v>
      </c>
      <c r="L388" s="32" t="s">
        <v>681</v>
      </c>
      <c r="M388" s="32">
        <v>1</v>
      </c>
      <c r="N388" s="32" t="s">
        <v>226</v>
      </c>
      <c r="O388" s="32" t="s">
        <v>682</v>
      </c>
      <c r="P388" s="32" t="s">
        <v>683</v>
      </c>
      <c r="Q388" s="32" t="s">
        <v>665</v>
      </c>
      <c r="R388" s="32" t="s">
        <v>565</v>
      </c>
      <c r="S388" s="32" t="s">
        <v>673</v>
      </c>
    </row>
    <row r="389" spans="1:19" x14ac:dyDescent="0.3">
      <c r="A389" s="29" t="s">
        <v>851</v>
      </c>
      <c r="B389" s="30" t="s">
        <v>849</v>
      </c>
      <c r="C389" s="30" t="s">
        <v>852</v>
      </c>
      <c r="D389" s="30" t="s">
        <v>673</v>
      </c>
      <c r="E389" s="30" t="s">
        <v>674</v>
      </c>
      <c r="F389" s="30" t="s">
        <v>675</v>
      </c>
      <c r="G389" s="30" t="s">
        <v>731</v>
      </c>
      <c r="H389" s="30" t="s">
        <v>702</v>
      </c>
      <c r="I389" s="30" t="s">
        <v>688</v>
      </c>
      <c r="J389" s="30" t="s">
        <v>713</v>
      </c>
      <c r="K389" s="30" t="s">
        <v>690</v>
      </c>
      <c r="L389" s="30" t="s">
        <v>681</v>
      </c>
      <c r="M389" s="30">
        <v>0.5</v>
      </c>
      <c r="N389" s="30" t="s">
        <v>227</v>
      </c>
      <c r="O389" s="30" t="s">
        <v>682</v>
      </c>
      <c r="P389" s="30" t="s">
        <v>683</v>
      </c>
      <c r="Q389" s="30" t="s">
        <v>665</v>
      </c>
      <c r="R389" s="30" t="s">
        <v>565</v>
      </c>
      <c r="S389" s="32" t="s">
        <v>673</v>
      </c>
    </row>
    <row r="390" spans="1:19" x14ac:dyDescent="0.3">
      <c r="A390" s="31" t="s">
        <v>848</v>
      </c>
      <c r="B390" s="32" t="s">
        <v>849</v>
      </c>
      <c r="C390" s="32" t="s">
        <v>850</v>
      </c>
      <c r="D390" s="32" t="s">
        <v>673</v>
      </c>
      <c r="E390" s="32" t="s">
        <v>674</v>
      </c>
      <c r="F390" s="32" t="s">
        <v>675</v>
      </c>
      <c r="G390" s="32" t="s">
        <v>731</v>
      </c>
      <c r="H390" s="32" t="s">
        <v>702</v>
      </c>
      <c r="I390" s="32" t="s">
        <v>811</v>
      </c>
      <c r="J390" s="32" t="s">
        <v>713</v>
      </c>
      <c r="K390" s="32" t="s">
        <v>690</v>
      </c>
      <c r="L390" s="32" t="s">
        <v>681</v>
      </c>
      <c r="M390" s="32">
        <v>0.5</v>
      </c>
      <c r="N390" s="32" t="s">
        <v>227</v>
      </c>
      <c r="O390" s="32" t="s">
        <v>682</v>
      </c>
      <c r="P390" s="32" t="s">
        <v>683</v>
      </c>
      <c r="Q390" s="32" t="s">
        <v>665</v>
      </c>
      <c r="R390" s="32" t="s">
        <v>565</v>
      </c>
      <c r="S390" s="32" t="s">
        <v>673</v>
      </c>
    </row>
    <row r="391" spans="1:19" x14ac:dyDescent="0.3">
      <c r="A391" s="29" t="s">
        <v>837</v>
      </c>
      <c r="B391" s="30" t="s">
        <v>686</v>
      </c>
      <c r="C391" s="30" t="s">
        <v>838</v>
      </c>
      <c r="D391" s="30" t="s">
        <v>673</v>
      </c>
      <c r="E391" s="30" t="s">
        <v>674</v>
      </c>
      <c r="F391" s="30" t="s">
        <v>716</v>
      </c>
      <c r="G391" s="30" t="s">
        <v>731</v>
      </c>
      <c r="H391" s="30" t="s">
        <v>702</v>
      </c>
      <c r="I391" s="30" t="s">
        <v>688</v>
      </c>
      <c r="J391" s="30" t="s">
        <v>689</v>
      </c>
      <c r="K391" s="30" t="s">
        <v>690</v>
      </c>
      <c r="L391" s="30" t="s">
        <v>691</v>
      </c>
      <c r="M391" s="30">
        <v>1</v>
      </c>
      <c r="N391" s="30" t="s">
        <v>229</v>
      </c>
      <c r="O391" s="30" t="s">
        <v>682</v>
      </c>
      <c r="P391" s="30" t="s">
        <v>683</v>
      </c>
      <c r="Q391" s="30" t="s">
        <v>665</v>
      </c>
      <c r="R391" s="30" t="s">
        <v>565</v>
      </c>
      <c r="S391" s="32" t="s">
        <v>673</v>
      </c>
    </row>
    <row r="392" spans="1:19" x14ac:dyDescent="0.3">
      <c r="A392" s="31" t="s">
        <v>1196</v>
      </c>
      <c r="B392" s="32" t="s">
        <v>704</v>
      </c>
      <c r="C392" s="32" t="s">
        <v>1197</v>
      </c>
      <c r="D392" s="32" t="s">
        <v>673</v>
      </c>
      <c r="E392" s="32" t="s">
        <v>674</v>
      </c>
      <c r="F392" s="32" t="s">
        <v>675</v>
      </c>
      <c r="G392" s="32" t="s">
        <v>676</v>
      </c>
      <c r="H392" s="32" t="s">
        <v>677</v>
      </c>
      <c r="I392" s="32" t="s">
        <v>678</v>
      </c>
      <c r="J392" s="32" t="s">
        <v>679</v>
      </c>
      <c r="K392" s="32" t="s">
        <v>680</v>
      </c>
      <c r="L392" s="32" t="s">
        <v>681</v>
      </c>
      <c r="M392" s="32">
        <v>1</v>
      </c>
      <c r="N392" s="32" t="s">
        <v>233</v>
      </c>
      <c r="O392" s="32" t="s">
        <v>682</v>
      </c>
      <c r="P392" s="32" t="s">
        <v>683</v>
      </c>
      <c r="Q392" s="32" t="s">
        <v>665</v>
      </c>
      <c r="R392" s="32" t="s">
        <v>565</v>
      </c>
      <c r="S392" s="32" t="s">
        <v>673</v>
      </c>
    </row>
    <row r="393" spans="1:19" x14ac:dyDescent="0.3">
      <c r="A393" s="29" t="s">
        <v>793</v>
      </c>
      <c r="B393" s="30" t="s">
        <v>178</v>
      </c>
      <c r="C393" s="30" t="s">
        <v>794</v>
      </c>
      <c r="D393" s="30" t="s">
        <v>673</v>
      </c>
      <c r="E393" s="30" t="s">
        <v>674</v>
      </c>
      <c r="F393" s="30" t="s">
        <v>675</v>
      </c>
      <c r="G393" s="30" t="s">
        <v>676</v>
      </c>
      <c r="H393" s="30" t="s">
        <v>702</v>
      </c>
      <c r="I393" s="30" t="s">
        <v>688</v>
      </c>
      <c r="J393" s="30" t="s">
        <v>713</v>
      </c>
      <c r="K393" s="30" t="s">
        <v>690</v>
      </c>
      <c r="L393" s="30" t="s">
        <v>699</v>
      </c>
      <c r="M393" s="30">
        <v>1</v>
      </c>
      <c r="N393" s="30" t="s">
        <v>235</v>
      </c>
      <c r="O393" s="30" t="s">
        <v>682</v>
      </c>
      <c r="P393" s="30" t="s">
        <v>683</v>
      </c>
      <c r="Q393" s="30" t="s">
        <v>665</v>
      </c>
      <c r="R393" s="30" t="s">
        <v>565</v>
      </c>
      <c r="S393" s="32" t="s">
        <v>673</v>
      </c>
    </row>
    <row r="394" spans="1:19" x14ac:dyDescent="0.3">
      <c r="A394" s="31" t="s">
        <v>729</v>
      </c>
      <c r="B394" s="32" t="s">
        <v>704</v>
      </c>
      <c r="C394" s="32" t="s">
        <v>730</v>
      </c>
      <c r="D394" s="32" t="s">
        <v>673</v>
      </c>
      <c r="E394" s="32" t="s">
        <v>674</v>
      </c>
      <c r="F394" s="32" t="s">
        <v>675</v>
      </c>
      <c r="G394" s="32" t="s">
        <v>731</v>
      </c>
      <c r="H394" s="32" t="s">
        <v>702</v>
      </c>
      <c r="I394" s="32" t="s">
        <v>688</v>
      </c>
      <c r="J394" s="32" t="s">
        <v>713</v>
      </c>
      <c r="K394" s="32" t="s">
        <v>690</v>
      </c>
      <c r="L394" s="32" t="s">
        <v>681</v>
      </c>
      <c r="M394" s="32">
        <v>1</v>
      </c>
      <c r="N394" s="32" t="s">
        <v>237</v>
      </c>
      <c r="O394" s="32" t="s">
        <v>682</v>
      </c>
      <c r="P394" s="32" t="s">
        <v>683</v>
      </c>
      <c r="Q394" s="32" t="s">
        <v>665</v>
      </c>
      <c r="R394" s="32" t="s">
        <v>565</v>
      </c>
      <c r="S394" s="32" t="s">
        <v>673</v>
      </c>
    </row>
    <row r="395" spans="1:19" x14ac:dyDescent="0.3">
      <c r="A395" s="29" t="s">
        <v>1198</v>
      </c>
      <c r="B395" s="30" t="s">
        <v>704</v>
      </c>
      <c r="C395" s="30" t="s">
        <v>1199</v>
      </c>
      <c r="D395" s="30" t="s">
        <v>673</v>
      </c>
      <c r="E395" s="30" t="s">
        <v>674</v>
      </c>
      <c r="F395" s="30" t="s">
        <v>675</v>
      </c>
      <c r="G395" s="30" t="s">
        <v>676</v>
      </c>
      <c r="H395" s="30" t="s">
        <v>677</v>
      </c>
      <c r="I395" s="30" t="s">
        <v>688</v>
      </c>
      <c r="J395" s="30" t="s">
        <v>710</v>
      </c>
      <c r="K395" s="30" t="s">
        <v>690</v>
      </c>
      <c r="L395" s="30" t="s">
        <v>681</v>
      </c>
      <c r="M395" s="30">
        <v>1</v>
      </c>
      <c r="N395" s="30" t="s">
        <v>238</v>
      </c>
      <c r="O395" s="30" t="s">
        <v>682</v>
      </c>
      <c r="P395" s="30" t="s">
        <v>683</v>
      </c>
      <c r="Q395" s="30" t="s">
        <v>665</v>
      </c>
      <c r="R395" s="30" t="s">
        <v>565</v>
      </c>
      <c r="S395" s="32" t="s">
        <v>673</v>
      </c>
    </row>
    <row r="396" spans="1:19" x14ac:dyDescent="0.3">
      <c r="A396" s="31" t="s">
        <v>834</v>
      </c>
      <c r="B396" s="32" t="s">
        <v>835</v>
      </c>
      <c r="C396" s="32" t="s">
        <v>836</v>
      </c>
      <c r="D396" s="32" t="s">
        <v>673</v>
      </c>
      <c r="E396" s="32" t="s">
        <v>674</v>
      </c>
      <c r="F396" s="32" t="s">
        <v>675</v>
      </c>
      <c r="G396" s="32" t="s">
        <v>676</v>
      </c>
      <c r="H396" s="32" t="s">
        <v>702</v>
      </c>
      <c r="I396" s="32" t="s">
        <v>678</v>
      </c>
      <c r="J396" s="32" t="s">
        <v>713</v>
      </c>
      <c r="K396" s="32" t="s">
        <v>690</v>
      </c>
      <c r="L396" s="32" t="s">
        <v>681</v>
      </c>
      <c r="M396" s="32">
        <v>0.2</v>
      </c>
      <c r="N396" s="32" t="s">
        <v>239</v>
      </c>
      <c r="O396" s="32" t="s">
        <v>682</v>
      </c>
      <c r="P396" s="32" t="s">
        <v>683</v>
      </c>
      <c r="Q396" s="32" t="s">
        <v>665</v>
      </c>
      <c r="R396" s="32" t="s">
        <v>565</v>
      </c>
      <c r="S396" s="32" t="s">
        <v>673</v>
      </c>
    </row>
    <row r="397" spans="1:19" x14ac:dyDescent="0.3">
      <c r="A397" s="29" t="s">
        <v>793</v>
      </c>
      <c r="B397" s="30" t="s">
        <v>178</v>
      </c>
      <c r="C397" s="30" t="s">
        <v>794</v>
      </c>
      <c r="D397" s="30" t="s">
        <v>673</v>
      </c>
      <c r="E397" s="30" t="s">
        <v>674</v>
      </c>
      <c r="F397" s="30" t="s">
        <v>675</v>
      </c>
      <c r="G397" s="30" t="s">
        <v>676</v>
      </c>
      <c r="H397" s="30" t="s">
        <v>702</v>
      </c>
      <c r="I397" s="30" t="s">
        <v>688</v>
      </c>
      <c r="J397" s="30" t="s">
        <v>713</v>
      </c>
      <c r="K397" s="30" t="s">
        <v>690</v>
      </c>
      <c r="L397" s="30" t="s">
        <v>699</v>
      </c>
      <c r="M397" s="30">
        <v>0.8</v>
      </c>
      <c r="N397" s="30" t="s">
        <v>239</v>
      </c>
      <c r="O397" s="30" t="s">
        <v>682</v>
      </c>
      <c r="P397" s="30" t="s">
        <v>683</v>
      </c>
      <c r="Q397" s="30" t="s">
        <v>665</v>
      </c>
      <c r="R397" s="30" t="s">
        <v>565</v>
      </c>
      <c r="S397" s="32" t="s">
        <v>673</v>
      </c>
    </row>
    <row r="398" spans="1:19" x14ac:dyDescent="0.3">
      <c r="A398" s="31" t="s">
        <v>729</v>
      </c>
      <c r="B398" s="32" t="s">
        <v>704</v>
      </c>
      <c r="C398" s="32" t="s">
        <v>730</v>
      </c>
      <c r="D398" s="32" t="s">
        <v>673</v>
      </c>
      <c r="E398" s="32" t="s">
        <v>674</v>
      </c>
      <c r="F398" s="32" t="s">
        <v>675</v>
      </c>
      <c r="G398" s="32" t="s">
        <v>731</v>
      </c>
      <c r="H398" s="32" t="s">
        <v>702</v>
      </c>
      <c r="I398" s="32" t="s">
        <v>688</v>
      </c>
      <c r="J398" s="32" t="s">
        <v>713</v>
      </c>
      <c r="K398" s="32" t="s">
        <v>690</v>
      </c>
      <c r="L398" s="32" t="s">
        <v>681</v>
      </c>
      <c r="M398" s="32">
        <v>1</v>
      </c>
      <c r="N398" s="32" t="s">
        <v>271</v>
      </c>
      <c r="O398" s="32" t="s">
        <v>682</v>
      </c>
      <c r="P398" s="32" t="s">
        <v>683</v>
      </c>
      <c r="Q398" s="32" t="s">
        <v>665</v>
      </c>
      <c r="R398" s="32" t="s">
        <v>565</v>
      </c>
      <c r="S398" s="32" t="s">
        <v>673</v>
      </c>
    </row>
    <row r="399" spans="1:19" x14ac:dyDescent="0.3">
      <c r="A399" s="29" t="s">
        <v>671</v>
      </c>
      <c r="B399" s="30" t="s">
        <v>178</v>
      </c>
      <c r="C399" s="30" t="s">
        <v>672</v>
      </c>
      <c r="D399" s="30" t="s">
        <v>673</v>
      </c>
      <c r="E399" s="30" t="s">
        <v>674</v>
      </c>
      <c r="F399" s="30" t="s">
        <v>675</v>
      </c>
      <c r="G399" s="30" t="s">
        <v>676</v>
      </c>
      <c r="H399" s="30" t="s">
        <v>677</v>
      </c>
      <c r="I399" s="30" t="s">
        <v>678</v>
      </c>
      <c r="J399" s="30" t="s">
        <v>679</v>
      </c>
      <c r="K399" s="30" t="s">
        <v>680</v>
      </c>
      <c r="L399" s="30" t="s">
        <v>681</v>
      </c>
      <c r="M399" s="30">
        <v>0.4</v>
      </c>
      <c r="N399" s="30" t="s">
        <v>485</v>
      </c>
      <c r="O399" s="30" t="s">
        <v>682</v>
      </c>
      <c r="P399" s="30" t="s">
        <v>683</v>
      </c>
      <c r="Q399" s="30" t="s">
        <v>665</v>
      </c>
      <c r="R399" s="30" t="s">
        <v>565</v>
      </c>
      <c r="S399" s="32" t="s">
        <v>673</v>
      </c>
    </row>
    <row r="400" spans="1:19" x14ac:dyDescent="0.3">
      <c r="A400" s="31" t="s">
        <v>779</v>
      </c>
      <c r="B400" s="32" t="s">
        <v>704</v>
      </c>
      <c r="C400" s="32" t="s">
        <v>780</v>
      </c>
      <c r="D400" s="32" t="s">
        <v>673</v>
      </c>
      <c r="E400" s="32" t="s">
        <v>674</v>
      </c>
      <c r="F400" s="32" t="s">
        <v>675</v>
      </c>
      <c r="G400" s="32" t="s">
        <v>676</v>
      </c>
      <c r="H400" s="32" t="s">
        <v>677</v>
      </c>
      <c r="I400" s="32" t="s">
        <v>678</v>
      </c>
      <c r="J400" s="32" t="s">
        <v>679</v>
      </c>
      <c r="K400" s="32" t="s">
        <v>680</v>
      </c>
      <c r="L400" s="32" t="s">
        <v>681</v>
      </c>
      <c r="M400" s="32">
        <v>0.6</v>
      </c>
      <c r="N400" s="32" t="s">
        <v>485</v>
      </c>
      <c r="O400" s="32" t="s">
        <v>682</v>
      </c>
      <c r="P400" s="32" t="s">
        <v>683</v>
      </c>
      <c r="Q400" s="32" t="s">
        <v>665</v>
      </c>
      <c r="R400" s="32" t="s">
        <v>565</v>
      </c>
      <c r="S400" s="32" t="s">
        <v>673</v>
      </c>
    </row>
    <row r="401" spans="1:19" x14ac:dyDescent="0.3">
      <c r="A401" s="29" t="s">
        <v>729</v>
      </c>
      <c r="B401" s="30" t="s">
        <v>704</v>
      </c>
      <c r="C401" s="30" t="s">
        <v>730</v>
      </c>
      <c r="D401" s="30" t="s">
        <v>673</v>
      </c>
      <c r="E401" s="30" t="s">
        <v>674</v>
      </c>
      <c r="F401" s="30" t="s">
        <v>675</v>
      </c>
      <c r="G401" s="30" t="s">
        <v>731</v>
      </c>
      <c r="H401" s="30" t="s">
        <v>702</v>
      </c>
      <c r="I401" s="30" t="s">
        <v>688</v>
      </c>
      <c r="J401" s="30" t="s">
        <v>713</v>
      </c>
      <c r="K401" s="30" t="s">
        <v>690</v>
      </c>
      <c r="L401" s="30" t="s">
        <v>681</v>
      </c>
      <c r="M401" s="30">
        <v>1</v>
      </c>
      <c r="N401" s="30" t="s">
        <v>486</v>
      </c>
      <c r="O401" s="30" t="s">
        <v>682</v>
      </c>
      <c r="P401" s="30" t="s">
        <v>683</v>
      </c>
      <c r="Q401" s="30" t="s">
        <v>665</v>
      </c>
      <c r="R401" s="30" t="s">
        <v>565</v>
      </c>
      <c r="S401" s="32" t="s">
        <v>673</v>
      </c>
    </row>
    <row r="402" spans="1:19" x14ac:dyDescent="0.3">
      <c r="A402" s="31" t="s">
        <v>837</v>
      </c>
      <c r="B402" s="32" t="s">
        <v>686</v>
      </c>
      <c r="C402" s="32" t="s">
        <v>838</v>
      </c>
      <c r="D402" s="32" t="s">
        <v>673</v>
      </c>
      <c r="E402" s="32" t="s">
        <v>674</v>
      </c>
      <c r="F402" s="32" t="s">
        <v>716</v>
      </c>
      <c r="G402" s="32" t="s">
        <v>731</v>
      </c>
      <c r="H402" s="32" t="s">
        <v>702</v>
      </c>
      <c r="I402" s="32" t="s">
        <v>688</v>
      </c>
      <c r="J402" s="32" t="s">
        <v>689</v>
      </c>
      <c r="K402" s="32" t="s">
        <v>690</v>
      </c>
      <c r="L402" s="32" t="s">
        <v>691</v>
      </c>
      <c r="M402" s="32">
        <v>1</v>
      </c>
      <c r="N402" s="32" t="s">
        <v>487</v>
      </c>
      <c r="O402" s="32" t="s">
        <v>682</v>
      </c>
      <c r="P402" s="32" t="s">
        <v>683</v>
      </c>
      <c r="Q402" s="32" t="s">
        <v>665</v>
      </c>
      <c r="R402" s="32" t="s">
        <v>565</v>
      </c>
      <c r="S402" s="32" t="s">
        <v>673</v>
      </c>
    </row>
    <row r="403" spans="1:19" x14ac:dyDescent="0.3">
      <c r="A403" s="29" t="s">
        <v>834</v>
      </c>
      <c r="B403" s="30" t="s">
        <v>835</v>
      </c>
      <c r="C403" s="30" t="s">
        <v>836</v>
      </c>
      <c r="D403" s="30" t="s">
        <v>673</v>
      </c>
      <c r="E403" s="30" t="s">
        <v>674</v>
      </c>
      <c r="F403" s="30" t="s">
        <v>675</v>
      </c>
      <c r="G403" s="30" t="s">
        <v>676</v>
      </c>
      <c r="H403" s="30" t="s">
        <v>702</v>
      </c>
      <c r="I403" s="30" t="s">
        <v>678</v>
      </c>
      <c r="J403" s="30" t="s">
        <v>713</v>
      </c>
      <c r="K403" s="30" t="s">
        <v>690</v>
      </c>
      <c r="L403" s="30" t="s">
        <v>681</v>
      </c>
      <c r="M403" s="30">
        <v>1</v>
      </c>
      <c r="N403" s="30" t="s">
        <v>488</v>
      </c>
      <c r="O403" s="30" t="s">
        <v>682</v>
      </c>
      <c r="P403" s="30" t="s">
        <v>683</v>
      </c>
      <c r="Q403" s="30" t="s">
        <v>665</v>
      </c>
      <c r="R403" s="30" t="s">
        <v>565</v>
      </c>
      <c r="S403" s="32" t="s">
        <v>673</v>
      </c>
    </row>
    <row r="404" spans="1:19" x14ac:dyDescent="0.3">
      <c r="A404" s="31" t="s">
        <v>729</v>
      </c>
      <c r="B404" s="32" t="s">
        <v>704</v>
      </c>
      <c r="C404" s="32" t="s">
        <v>730</v>
      </c>
      <c r="D404" s="32" t="s">
        <v>673</v>
      </c>
      <c r="E404" s="32" t="s">
        <v>674</v>
      </c>
      <c r="F404" s="32" t="s">
        <v>675</v>
      </c>
      <c r="G404" s="32" t="s">
        <v>731</v>
      </c>
      <c r="H404" s="32" t="s">
        <v>702</v>
      </c>
      <c r="I404" s="32" t="s">
        <v>688</v>
      </c>
      <c r="J404" s="32" t="s">
        <v>713</v>
      </c>
      <c r="K404" s="32" t="s">
        <v>690</v>
      </c>
      <c r="L404" s="32" t="s">
        <v>681</v>
      </c>
      <c r="M404" s="32">
        <v>1</v>
      </c>
      <c r="N404" s="32" t="s">
        <v>611</v>
      </c>
      <c r="O404" s="32" t="s">
        <v>682</v>
      </c>
      <c r="P404" s="32" t="s">
        <v>683</v>
      </c>
      <c r="Q404" s="32" t="s">
        <v>665</v>
      </c>
      <c r="R404" s="32" t="s">
        <v>565</v>
      </c>
      <c r="S404" s="32" t="s">
        <v>673</v>
      </c>
    </row>
    <row r="405" spans="1:19" x14ac:dyDescent="0.3">
      <c r="A405" s="29" t="s">
        <v>703</v>
      </c>
      <c r="B405" s="30" t="s">
        <v>704</v>
      </c>
      <c r="C405" s="30" t="s">
        <v>705</v>
      </c>
      <c r="D405" s="30" t="s">
        <v>673</v>
      </c>
      <c r="E405" s="30" t="s">
        <v>674</v>
      </c>
      <c r="F405" s="30" t="s">
        <v>675</v>
      </c>
      <c r="G405" s="30" t="s">
        <v>676</v>
      </c>
      <c r="H405" s="30" t="s">
        <v>677</v>
      </c>
      <c r="I405" s="30" t="s">
        <v>678</v>
      </c>
      <c r="J405" s="30" t="s">
        <v>679</v>
      </c>
      <c r="K405" s="30" t="s">
        <v>680</v>
      </c>
      <c r="L405" s="30" t="s">
        <v>681</v>
      </c>
      <c r="M405" s="30">
        <v>1</v>
      </c>
      <c r="N405" s="30" t="s">
        <v>615</v>
      </c>
      <c r="O405" s="30" t="s">
        <v>682</v>
      </c>
      <c r="P405" s="30" t="s">
        <v>683</v>
      </c>
      <c r="Q405" s="30" t="s">
        <v>665</v>
      </c>
      <c r="R405" s="30" t="s">
        <v>565</v>
      </c>
      <c r="S405" s="32" t="s">
        <v>673</v>
      </c>
    </row>
    <row r="406" spans="1:19" x14ac:dyDescent="0.3">
      <c r="A406" s="31" t="s">
        <v>834</v>
      </c>
      <c r="B406" s="32" t="s">
        <v>835</v>
      </c>
      <c r="C406" s="32" t="s">
        <v>836</v>
      </c>
      <c r="D406" s="32" t="s">
        <v>673</v>
      </c>
      <c r="E406" s="32" t="s">
        <v>674</v>
      </c>
      <c r="F406" s="32" t="s">
        <v>675</v>
      </c>
      <c r="G406" s="32" t="s">
        <v>676</v>
      </c>
      <c r="H406" s="32" t="s">
        <v>702</v>
      </c>
      <c r="I406" s="32" t="s">
        <v>678</v>
      </c>
      <c r="J406" s="32" t="s">
        <v>713</v>
      </c>
      <c r="K406" s="32" t="s">
        <v>690</v>
      </c>
      <c r="L406" s="32" t="s">
        <v>681</v>
      </c>
      <c r="M406" s="32">
        <v>0.4</v>
      </c>
      <c r="N406" s="32" t="s">
        <v>619</v>
      </c>
      <c r="O406" s="32" t="s">
        <v>682</v>
      </c>
      <c r="P406" s="32" t="s">
        <v>683</v>
      </c>
      <c r="Q406" s="32" t="s">
        <v>665</v>
      </c>
      <c r="R406" s="32" t="s">
        <v>565</v>
      </c>
      <c r="S406" s="32" t="s">
        <v>673</v>
      </c>
    </row>
    <row r="407" spans="1:19" x14ac:dyDescent="0.3">
      <c r="A407" s="29" t="s">
        <v>793</v>
      </c>
      <c r="B407" s="30" t="s">
        <v>178</v>
      </c>
      <c r="C407" s="30" t="s">
        <v>794</v>
      </c>
      <c r="D407" s="30" t="s">
        <v>673</v>
      </c>
      <c r="E407" s="30" t="s">
        <v>674</v>
      </c>
      <c r="F407" s="30" t="s">
        <v>675</v>
      </c>
      <c r="G407" s="30" t="s">
        <v>676</v>
      </c>
      <c r="H407" s="30" t="s">
        <v>702</v>
      </c>
      <c r="I407" s="30" t="s">
        <v>688</v>
      </c>
      <c r="J407" s="30" t="s">
        <v>713</v>
      </c>
      <c r="K407" s="30" t="s">
        <v>690</v>
      </c>
      <c r="L407" s="30" t="s">
        <v>699</v>
      </c>
      <c r="M407" s="30">
        <v>0.2</v>
      </c>
      <c r="N407" s="30" t="s">
        <v>619</v>
      </c>
      <c r="O407" s="30" t="s">
        <v>682</v>
      </c>
      <c r="P407" s="30" t="s">
        <v>683</v>
      </c>
      <c r="Q407" s="30" t="s">
        <v>665</v>
      </c>
      <c r="R407" s="30" t="s">
        <v>565</v>
      </c>
      <c r="S407" s="32" t="s">
        <v>673</v>
      </c>
    </row>
    <row r="408" spans="1:19" x14ac:dyDescent="0.3">
      <c r="A408" s="31" t="s">
        <v>844</v>
      </c>
      <c r="B408" s="32" t="s">
        <v>704</v>
      </c>
      <c r="C408" s="32" t="s">
        <v>845</v>
      </c>
      <c r="D408" s="32" t="s">
        <v>673</v>
      </c>
      <c r="E408" s="32" t="s">
        <v>674</v>
      </c>
      <c r="F408" s="32" t="s">
        <v>716</v>
      </c>
      <c r="G408" s="32" t="s">
        <v>676</v>
      </c>
      <c r="H408" s="32" t="s">
        <v>702</v>
      </c>
      <c r="I408" s="32" t="s">
        <v>811</v>
      </c>
      <c r="J408" s="32" t="s">
        <v>713</v>
      </c>
      <c r="K408" s="32" t="s">
        <v>690</v>
      </c>
      <c r="L408" s="32" t="s">
        <v>691</v>
      </c>
      <c r="M408" s="32">
        <v>0.4</v>
      </c>
      <c r="N408" s="32" t="s">
        <v>619</v>
      </c>
      <c r="O408" s="32" t="s">
        <v>682</v>
      </c>
      <c r="P408" s="32" t="s">
        <v>683</v>
      </c>
      <c r="Q408" s="32" t="s">
        <v>665</v>
      </c>
      <c r="R408" s="32" t="s">
        <v>565</v>
      </c>
      <c r="S408" s="32" t="s">
        <v>673</v>
      </c>
    </row>
    <row r="409" spans="1:19" x14ac:dyDescent="0.3">
      <c r="A409" s="29" t="s">
        <v>729</v>
      </c>
      <c r="B409" s="30" t="s">
        <v>704</v>
      </c>
      <c r="C409" s="30" t="s">
        <v>730</v>
      </c>
      <c r="D409" s="30" t="s">
        <v>673</v>
      </c>
      <c r="E409" s="30" t="s">
        <v>674</v>
      </c>
      <c r="F409" s="30" t="s">
        <v>675</v>
      </c>
      <c r="G409" s="30" t="s">
        <v>731</v>
      </c>
      <c r="H409" s="30" t="s">
        <v>702</v>
      </c>
      <c r="I409" s="30" t="s">
        <v>688</v>
      </c>
      <c r="J409" s="30" t="s">
        <v>713</v>
      </c>
      <c r="K409" s="30" t="s">
        <v>690</v>
      </c>
      <c r="L409" s="30" t="s">
        <v>681</v>
      </c>
      <c r="M409" s="30">
        <v>1</v>
      </c>
      <c r="N409" s="30" t="s">
        <v>623</v>
      </c>
      <c r="O409" s="30" t="s">
        <v>682</v>
      </c>
      <c r="P409" s="30" t="s">
        <v>683</v>
      </c>
      <c r="Q409" s="30" t="s">
        <v>665</v>
      </c>
      <c r="R409" s="30" t="s">
        <v>565</v>
      </c>
      <c r="S409" s="32" t="s">
        <v>673</v>
      </c>
    </row>
    <row r="410" spans="1:19" x14ac:dyDescent="0.3">
      <c r="A410" s="31" t="s">
        <v>1198</v>
      </c>
      <c r="B410" s="32" t="s">
        <v>704</v>
      </c>
      <c r="C410" s="32" t="s">
        <v>1199</v>
      </c>
      <c r="D410" s="32" t="s">
        <v>673</v>
      </c>
      <c r="E410" s="32" t="s">
        <v>674</v>
      </c>
      <c r="F410" s="32" t="s">
        <v>675</v>
      </c>
      <c r="G410" s="32" t="s">
        <v>676</v>
      </c>
      <c r="H410" s="32" t="s">
        <v>677</v>
      </c>
      <c r="I410" s="32" t="s">
        <v>688</v>
      </c>
      <c r="J410" s="32" t="s">
        <v>710</v>
      </c>
      <c r="K410" s="32" t="s">
        <v>690</v>
      </c>
      <c r="L410" s="32" t="s">
        <v>681</v>
      </c>
      <c r="M410" s="32">
        <v>1</v>
      </c>
      <c r="N410" s="32" t="s">
        <v>625</v>
      </c>
      <c r="O410" s="32" t="s">
        <v>682</v>
      </c>
      <c r="P410" s="32" t="s">
        <v>683</v>
      </c>
      <c r="Q410" s="32" t="s">
        <v>665</v>
      </c>
      <c r="R410" s="32" t="s">
        <v>565</v>
      </c>
      <c r="S410" s="32" t="s">
        <v>673</v>
      </c>
    </row>
    <row r="411" spans="1:19" x14ac:dyDescent="0.3">
      <c r="A411" s="29" t="s">
        <v>793</v>
      </c>
      <c r="B411" s="30" t="s">
        <v>178</v>
      </c>
      <c r="C411" s="30" t="s">
        <v>794</v>
      </c>
      <c r="D411" s="30" t="s">
        <v>673</v>
      </c>
      <c r="E411" s="30" t="s">
        <v>674</v>
      </c>
      <c r="F411" s="30" t="s">
        <v>675</v>
      </c>
      <c r="G411" s="30" t="s">
        <v>676</v>
      </c>
      <c r="H411" s="30" t="s">
        <v>702</v>
      </c>
      <c r="I411" s="30" t="s">
        <v>688</v>
      </c>
      <c r="J411" s="30" t="s">
        <v>713</v>
      </c>
      <c r="K411" s="30" t="s">
        <v>690</v>
      </c>
      <c r="L411" s="30" t="s">
        <v>699</v>
      </c>
      <c r="M411" s="30">
        <v>1</v>
      </c>
      <c r="N411" s="30" t="s">
        <v>630</v>
      </c>
      <c r="O411" s="30" t="s">
        <v>682</v>
      </c>
      <c r="P411" s="30" t="s">
        <v>683</v>
      </c>
      <c r="Q411" s="30" t="s">
        <v>665</v>
      </c>
      <c r="R411" s="30" t="s">
        <v>565</v>
      </c>
      <c r="S411" s="32" t="s">
        <v>673</v>
      </c>
    </row>
    <row r="412" spans="1:19" x14ac:dyDescent="0.3">
      <c r="A412" s="31" t="s">
        <v>844</v>
      </c>
      <c r="B412" s="32" t="s">
        <v>704</v>
      </c>
      <c r="C412" s="32" t="s">
        <v>845</v>
      </c>
      <c r="D412" s="32" t="s">
        <v>673</v>
      </c>
      <c r="E412" s="32" t="s">
        <v>674</v>
      </c>
      <c r="F412" s="32" t="s">
        <v>716</v>
      </c>
      <c r="G412" s="32" t="s">
        <v>676</v>
      </c>
      <c r="H412" s="32" t="s">
        <v>702</v>
      </c>
      <c r="I412" s="32" t="s">
        <v>811</v>
      </c>
      <c r="J412" s="32" t="s">
        <v>713</v>
      </c>
      <c r="K412" s="32" t="s">
        <v>690</v>
      </c>
      <c r="L412" s="32" t="s">
        <v>691</v>
      </c>
      <c r="M412" s="32">
        <v>0.5</v>
      </c>
      <c r="N412" s="32" t="s">
        <v>645</v>
      </c>
      <c r="O412" s="32" t="s">
        <v>682</v>
      </c>
      <c r="P412" s="32" t="s">
        <v>683</v>
      </c>
      <c r="Q412" s="32" t="s">
        <v>665</v>
      </c>
      <c r="R412" s="32" t="s">
        <v>565</v>
      </c>
      <c r="S412" s="32" t="s">
        <v>673</v>
      </c>
    </row>
    <row r="413" spans="1:19" x14ac:dyDescent="0.3">
      <c r="A413" s="29" t="s">
        <v>793</v>
      </c>
      <c r="B413" s="30" t="s">
        <v>178</v>
      </c>
      <c r="C413" s="30" t="s">
        <v>794</v>
      </c>
      <c r="D413" s="30" t="s">
        <v>673</v>
      </c>
      <c r="E413" s="30" t="s">
        <v>674</v>
      </c>
      <c r="F413" s="30" t="s">
        <v>675</v>
      </c>
      <c r="G413" s="30" t="s">
        <v>676</v>
      </c>
      <c r="H413" s="30" t="s">
        <v>702</v>
      </c>
      <c r="I413" s="30" t="s">
        <v>688</v>
      </c>
      <c r="J413" s="30" t="s">
        <v>713</v>
      </c>
      <c r="K413" s="30" t="s">
        <v>690</v>
      </c>
      <c r="L413" s="30" t="s">
        <v>699</v>
      </c>
      <c r="M413" s="30">
        <v>0.5</v>
      </c>
      <c r="N413" s="30" t="s">
        <v>645</v>
      </c>
      <c r="O413" s="30" t="s">
        <v>682</v>
      </c>
      <c r="P413" s="30" t="s">
        <v>683</v>
      </c>
      <c r="Q413" s="30" t="s">
        <v>665</v>
      </c>
      <c r="R413" s="30" t="s">
        <v>565</v>
      </c>
      <c r="S413" s="32" t="s">
        <v>673</v>
      </c>
    </row>
    <row r="414" spans="1:19" x14ac:dyDescent="0.3">
      <c r="A414" s="31" t="s">
        <v>1194</v>
      </c>
      <c r="B414" s="32" t="s">
        <v>704</v>
      </c>
      <c r="C414" s="32" t="s">
        <v>1195</v>
      </c>
      <c r="D414" s="32" t="s">
        <v>673</v>
      </c>
      <c r="E414" s="32" t="s">
        <v>674</v>
      </c>
      <c r="F414" s="32" t="s">
        <v>716</v>
      </c>
      <c r="G414" s="32" t="s">
        <v>731</v>
      </c>
      <c r="H414" s="32" t="s">
        <v>702</v>
      </c>
      <c r="I414" s="32" t="s">
        <v>688</v>
      </c>
      <c r="J414" s="32" t="s">
        <v>710</v>
      </c>
      <c r="K414" s="32" t="s">
        <v>690</v>
      </c>
      <c r="L414" s="32" t="s">
        <v>691</v>
      </c>
      <c r="M414" s="32">
        <v>1</v>
      </c>
      <c r="N414" s="32" t="s">
        <v>646</v>
      </c>
      <c r="O414" s="32" t="s">
        <v>682</v>
      </c>
      <c r="P414" s="32" t="s">
        <v>683</v>
      </c>
      <c r="Q414" s="32" t="s">
        <v>665</v>
      </c>
      <c r="R414" s="32" t="s">
        <v>565</v>
      </c>
      <c r="S414" s="32" t="s">
        <v>673</v>
      </c>
    </row>
    <row r="415" spans="1:19" x14ac:dyDescent="0.3">
      <c r="A415" s="29" t="s">
        <v>1194</v>
      </c>
      <c r="B415" s="30" t="s">
        <v>704</v>
      </c>
      <c r="C415" s="30" t="s">
        <v>1195</v>
      </c>
      <c r="D415" s="30" t="s">
        <v>673</v>
      </c>
      <c r="E415" s="30" t="s">
        <v>674</v>
      </c>
      <c r="F415" s="30" t="s">
        <v>716</v>
      </c>
      <c r="G415" s="30" t="s">
        <v>731</v>
      </c>
      <c r="H415" s="30" t="s">
        <v>702</v>
      </c>
      <c r="I415" s="30" t="s">
        <v>688</v>
      </c>
      <c r="J415" s="30" t="s">
        <v>710</v>
      </c>
      <c r="K415" s="30" t="s">
        <v>690</v>
      </c>
      <c r="L415" s="30" t="s">
        <v>691</v>
      </c>
      <c r="M415" s="30">
        <v>0.5</v>
      </c>
      <c r="N415" s="30" t="s">
        <v>648</v>
      </c>
      <c r="O415" s="30" t="s">
        <v>682</v>
      </c>
      <c r="P415" s="30" t="s">
        <v>683</v>
      </c>
      <c r="Q415" s="30" t="s">
        <v>665</v>
      </c>
      <c r="R415" s="30" t="s">
        <v>565</v>
      </c>
      <c r="S415" s="32" t="s">
        <v>673</v>
      </c>
    </row>
    <row r="416" spans="1:19" x14ac:dyDescent="0.3">
      <c r="A416" s="31" t="s">
        <v>809</v>
      </c>
      <c r="B416" s="32" t="s">
        <v>704</v>
      </c>
      <c r="C416" s="32" t="s">
        <v>810</v>
      </c>
      <c r="D416" s="32" t="s">
        <v>673</v>
      </c>
      <c r="E416" s="32" t="s">
        <v>674</v>
      </c>
      <c r="F416" s="32" t="s">
        <v>675</v>
      </c>
      <c r="G416" s="32" t="s">
        <v>676</v>
      </c>
      <c r="H416" s="32" t="s">
        <v>677</v>
      </c>
      <c r="I416" s="32" t="s">
        <v>811</v>
      </c>
      <c r="J416" s="32" t="s">
        <v>710</v>
      </c>
      <c r="K416" s="32" t="s">
        <v>690</v>
      </c>
      <c r="L416" s="32" t="s">
        <v>681</v>
      </c>
      <c r="M416" s="32">
        <v>0.5</v>
      </c>
      <c r="N416" s="32" t="s">
        <v>648</v>
      </c>
      <c r="O416" s="32" t="s">
        <v>682</v>
      </c>
      <c r="P416" s="32" t="s">
        <v>683</v>
      </c>
      <c r="Q416" s="32" t="s">
        <v>665</v>
      </c>
      <c r="R416" s="32" t="s">
        <v>565</v>
      </c>
      <c r="S416" s="32" t="s">
        <v>673</v>
      </c>
    </row>
    <row r="417" spans="1:19" x14ac:dyDescent="0.3">
      <c r="A417" s="29" t="s">
        <v>793</v>
      </c>
      <c r="B417" s="30" t="s">
        <v>178</v>
      </c>
      <c r="C417" s="30" t="s">
        <v>794</v>
      </c>
      <c r="D417" s="30" t="s">
        <v>673</v>
      </c>
      <c r="E417" s="30" t="s">
        <v>674</v>
      </c>
      <c r="F417" s="30" t="s">
        <v>675</v>
      </c>
      <c r="G417" s="30" t="s">
        <v>676</v>
      </c>
      <c r="H417" s="30" t="s">
        <v>702</v>
      </c>
      <c r="I417" s="30" t="s">
        <v>688</v>
      </c>
      <c r="J417" s="30" t="s">
        <v>713</v>
      </c>
      <c r="K417" s="30" t="s">
        <v>690</v>
      </c>
      <c r="L417" s="30" t="s">
        <v>699</v>
      </c>
      <c r="M417" s="30">
        <v>0.3</v>
      </c>
      <c r="N417" s="30" t="s">
        <v>565</v>
      </c>
      <c r="O417" s="30" t="s">
        <v>682</v>
      </c>
      <c r="P417" s="30" t="s">
        <v>683</v>
      </c>
      <c r="Q417" s="30" t="s">
        <v>665</v>
      </c>
      <c r="R417" s="30" t="s">
        <v>366</v>
      </c>
      <c r="S417" s="30" t="s">
        <v>719</v>
      </c>
    </row>
    <row r="418" spans="1:19" x14ac:dyDescent="0.3">
      <c r="A418" s="31" t="s">
        <v>809</v>
      </c>
      <c r="B418" s="32" t="s">
        <v>704</v>
      </c>
      <c r="C418" s="32" t="s">
        <v>810</v>
      </c>
      <c r="D418" s="32" t="s">
        <v>673</v>
      </c>
      <c r="E418" s="32" t="s">
        <v>674</v>
      </c>
      <c r="F418" s="32" t="s">
        <v>675</v>
      </c>
      <c r="G418" s="32" t="s">
        <v>676</v>
      </c>
      <c r="H418" s="32" t="s">
        <v>677</v>
      </c>
      <c r="I418" s="32" t="s">
        <v>811</v>
      </c>
      <c r="J418" s="32" t="s">
        <v>710</v>
      </c>
      <c r="K418" s="32" t="s">
        <v>690</v>
      </c>
      <c r="L418" s="32" t="s">
        <v>681</v>
      </c>
      <c r="M418" s="32">
        <v>0.2</v>
      </c>
      <c r="N418" s="32" t="s">
        <v>565</v>
      </c>
      <c r="O418" s="32" t="s">
        <v>682</v>
      </c>
      <c r="P418" s="32" t="s">
        <v>683</v>
      </c>
      <c r="Q418" s="32" t="s">
        <v>665</v>
      </c>
      <c r="R418" s="32" t="s">
        <v>366</v>
      </c>
      <c r="S418" s="30" t="s">
        <v>719</v>
      </c>
    </row>
    <row r="419" spans="1:19" x14ac:dyDescent="0.3">
      <c r="A419" s="29" t="s">
        <v>671</v>
      </c>
      <c r="B419" s="30" t="s">
        <v>178</v>
      </c>
      <c r="C419" s="30" t="s">
        <v>672</v>
      </c>
      <c r="D419" s="30" t="s">
        <v>673</v>
      </c>
      <c r="E419" s="30" t="s">
        <v>674</v>
      </c>
      <c r="F419" s="30" t="s">
        <v>675</v>
      </c>
      <c r="G419" s="30" t="s">
        <v>676</v>
      </c>
      <c r="H419" s="30" t="s">
        <v>677</v>
      </c>
      <c r="I419" s="30" t="s">
        <v>678</v>
      </c>
      <c r="J419" s="30" t="s">
        <v>679</v>
      </c>
      <c r="K419" s="30" t="s">
        <v>680</v>
      </c>
      <c r="L419" s="30" t="s">
        <v>681</v>
      </c>
      <c r="M419" s="30">
        <v>0.3</v>
      </c>
      <c r="N419" s="30" t="s">
        <v>565</v>
      </c>
      <c r="O419" s="30" t="s">
        <v>682</v>
      </c>
      <c r="P419" s="30" t="s">
        <v>683</v>
      </c>
      <c r="Q419" s="30" t="s">
        <v>665</v>
      </c>
      <c r="R419" s="30" t="s">
        <v>366</v>
      </c>
      <c r="S419" s="30" t="s">
        <v>719</v>
      </c>
    </row>
    <row r="420" spans="1:19" x14ac:dyDescent="0.3">
      <c r="A420" s="31" t="s">
        <v>837</v>
      </c>
      <c r="B420" s="32" t="s">
        <v>686</v>
      </c>
      <c r="C420" s="32" t="s">
        <v>838</v>
      </c>
      <c r="D420" s="32" t="s">
        <v>673</v>
      </c>
      <c r="E420" s="32" t="s">
        <v>674</v>
      </c>
      <c r="F420" s="32" t="s">
        <v>716</v>
      </c>
      <c r="G420" s="32" t="s">
        <v>731</v>
      </c>
      <c r="H420" s="32" t="s">
        <v>702</v>
      </c>
      <c r="I420" s="32" t="s">
        <v>688</v>
      </c>
      <c r="J420" s="32" t="s">
        <v>689</v>
      </c>
      <c r="K420" s="32" t="s">
        <v>690</v>
      </c>
      <c r="L420" s="32" t="s">
        <v>691</v>
      </c>
      <c r="M420" s="32">
        <v>0.2</v>
      </c>
      <c r="N420" s="32" t="s">
        <v>565</v>
      </c>
      <c r="O420" s="32" t="s">
        <v>682</v>
      </c>
      <c r="P420" s="32" t="s">
        <v>683</v>
      </c>
      <c r="Q420" s="32" t="s">
        <v>665</v>
      </c>
      <c r="R420" s="32" t="s">
        <v>366</v>
      </c>
      <c r="S420" s="30" t="s">
        <v>719</v>
      </c>
    </row>
    <row r="421" spans="1:19" x14ac:dyDescent="0.3">
      <c r="A421" s="29" t="s">
        <v>1202</v>
      </c>
      <c r="B421" s="30" t="s">
        <v>154</v>
      </c>
      <c r="C421" s="30" t="s">
        <v>862</v>
      </c>
      <c r="D421" s="30" t="s">
        <v>673</v>
      </c>
      <c r="E421" s="30" t="s">
        <v>674</v>
      </c>
      <c r="F421" s="30" t="s">
        <v>716</v>
      </c>
      <c r="G421" s="30" t="s">
        <v>744</v>
      </c>
      <c r="H421" s="30" t="s">
        <v>935</v>
      </c>
      <c r="I421" s="30" t="s">
        <v>678</v>
      </c>
      <c r="J421" s="30" t="s">
        <v>713</v>
      </c>
      <c r="K421" s="30" t="s">
        <v>690</v>
      </c>
      <c r="L421" s="30" t="s">
        <v>681</v>
      </c>
      <c r="M421" s="30">
        <v>0.3</v>
      </c>
      <c r="N421" s="30" t="s">
        <v>536</v>
      </c>
      <c r="O421" s="30" t="s">
        <v>1915</v>
      </c>
      <c r="P421" s="30" t="s">
        <v>683</v>
      </c>
      <c r="Q421" s="30" t="s">
        <v>767</v>
      </c>
      <c r="R421" s="30" t="s">
        <v>123</v>
      </c>
      <c r="S421" s="32" t="s">
        <v>673</v>
      </c>
    </row>
    <row r="422" spans="1:19" x14ac:dyDescent="0.3">
      <c r="A422" s="31" t="s">
        <v>1203</v>
      </c>
      <c r="B422" s="32" t="s">
        <v>154</v>
      </c>
      <c r="C422" s="32" t="s">
        <v>1204</v>
      </c>
      <c r="D422" s="32" t="s">
        <v>673</v>
      </c>
      <c r="E422" s="32" t="s">
        <v>674</v>
      </c>
      <c r="F422" s="32" t="s">
        <v>716</v>
      </c>
      <c r="G422" s="32" t="s">
        <v>744</v>
      </c>
      <c r="H422" s="32" t="s">
        <v>935</v>
      </c>
      <c r="I422" s="32" t="s">
        <v>678</v>
      </c>
      <c r="J422" s="32" t="s">
        <v>713</v>
      </c>
      <c r="K422" s="32" t="s">
        <v>690</v>
      </c>
      <c r="L422" s="32" t="s">
        <v>681</v>
      </c>
      <c r="M422" s="32">
        <v>0.5</v>
      </c>
      <c r="N422" s="32" t="s">
        <v>536</v>
      </c>
      <c r="O422" s="32" t="s">
        <v>1915</v>
      </c>
      <c r="P422" s="32" t="s">
        <v>683</v>
      </c>
      <c r="Q422" s="32" t="s">
        <v>767</v>
      </c>
      <c r="R422" s="32" t="s">
        <v>123</v>
      </c>
      <c r="S422" s="32" t="s">
        <v>673</v>
      </c>
    </row>
    <row r="423" spans="1:19" x14ac:dyDescent="0.3">
      <c r="A423" s="29" t="s">
        <v>1205</v>
      </c>
      <c r="B423" s="30" t="s">
        <v>154</v>
      </c>
      <c r="C423" s="30" t="s">
        <v>1206</v>
      </c>
      <c r="D423" s="30" t="s">
        <v>673</v>
      </c>
      <c r="E423" s="30" t="s">
        <v>674</v>
      </c>
      <c r="F423" s="30" t="s">
        <v>716</v>
      </c>
      <c r="G423" s="30" t="s">
        <v>744</v>
      </c>
      <c r="H423" s="30" t="s">
        <v>935</v>
      </c>
      <c r="I423" s="30" t="s">
        <v>688</v>
      </c>
      <c r="J423" s="30" t="s">
        <v>713</v>
      </c>
      <c r="K423" s="30" t="s">
        <v>690</v>
      </c>
      <c r="L423" s="30" t="s">
        <v>681</v>
      </c>
      <c r="M423" s="30">
        <v>0.5</v>
      </c>
      <c r="N423" s="30" t="s">
        <v>469</v>
      </c>
      <c r="O423" s="30" t="s">
        <v>746</v>
      </c>
      <c r="P423" s="30" t="s">
        <v>683</v>
      </c>
      <c r="Q423" s="30" t="s">
        <v>665</v>
      </c>
      <c r="R423" s="30" t="s">
        <v>123</v>
      </c>
      <c r="S423" s="32" t="s">
        <v>673</v>
      </c>
    </row>
    <row r="424" spans="1:19" x14ac:dyDescent="0.3">
      <c r="A424" s="31" t="s">
        <v>822</v>
      </c>
      <c r="B424" s="32" t="s">
        <v>760</v>
      </c>
      <c r="C424" s="32" t="s">
        <v>823</v>
      </c>
      <c r="D424" s="32" t="s">
        <v>673</v>
      </c>
      <c r="E424" s="32" t="s">
        <v>674</v>
      </c>
      <c r="F424" s="32" t="s">
        <v>675</v>
      </c>
      <c r="G424" s="32" t="s">
        <v>676</v>
      </c>
      <c r="H424" s="32" t="s">
        <v>677</v>
      </c>
      <c r="I424" s="32" t="s">
        <v>678</v>
      </c>
      <c r="J424" s="32" t="s">
        <v>713</v>
      </c>
      <c r="K424" s="32" t="s">
        <v>690</v>
      </c>
      <c r="L424" s="32" t="s">
        <v>699</v>
      </c>
      <c r="M424" s="32">
        <v>0.3</v>
      </c>
      <c r="N424" s="32" t="s">
        <v>469</v>
      </c>
      <c r="O424" s="32" t="s">
        <v>746</v>
      </c>
      <c r="P424" s="32" t="s">
        <v>683</v>
      </c>
      <c r="Q424" s="32" t="s">
        <v>665</v>
      </c>
      <c r="R424" s="32" t="s">
        <v>123</v>
      </c>
      <c r="S424" s="32" t="s">
        <v>673</v>
      </c>
    </row>
    <row r="425" spans="1:19" x14ac:dyDescent="0.3">
      <c r="A425" s="29" t="s">
        <v>941</v>
      </c>
      <c r="B425" s="30" t="s">
        <v>154</v>
      </c>
      <c r="C425" s="30" t="s">
        <v>942</v>
      </c>
      <c r="D425" s="30" t="s">
        <v>673</v>
      </c>
      <c r="E425" s="30" t="s">
        <v>674</v>
      </c>
      <c r="F425" s="30" t="s">
        <v>716</v>
      </c>
      <c r="G425" s="30" t="s">
        <v>744</v>
      </c>
      <c r="H425" s="30" t="s">
        <v>935</v>
      </c>
      <c r="I425" s="30" t="s">
        <v>678</v>
      </c>
      <c r="J425" s="30" t="s">
        <v>713</v>
      </c>
      <c r="K425" s="30" t="s">
        <v>690</v>
      </c>
      <c r="L425" s="30" t="s">
        <v>681</v>
      </c>
      <c r="M425" s="30">
        <v>1</v>
      </c>
      <c r="N425" s="30" t="s">
        <v>440</v>
      </c>
      <c r="O425" s="30" t="s">
        <v>746</v>
      </c>
      <c r="P425" s="30" t="s">
        <v>683</v>
      </c>
      <c r="Q425" s="30" t="s">
        <v>665</v>
      </c>
      <c r="R425" s="30" t="s">
        <v>123</v>
      </c>
      <c r="S425" s="32" t="s">
        <v>673</v>
      </c>
    </row>
    <row r="426" spans="1:19" x14ac:dyDescent="0.3">
      <c r="A426" s="31" t="s">
        <v>1202</v>
      </c>
      <c r="B426" s="32" t="s">
        <v>154</v>
      </c>
      <c r="C426" s="32" t="s">
        <v>862</v>
      </c>
      <c r="D426" s="32" t="s">
        <v>673</v>
      </c>
      <c r="E426" s="32" t="s">
        <v>674</v>
      </c>
      <c r="F426" s="32" t="s">
        <v>716</v>
      </c>
      <c r="G426" s="32" t="s">
        <v>744</v>
      </c>
      <c r="H426" s="32" t="s">
        <v>935</v>
      </c>
      <c r="I426" s="32" t="s">
        <v>678</v>
      </c>
      <c r="J426" s="32" t="s">
        <v>713</v>
      </c>
      <c r="K426" s="32" t="s">
        <v>690</v>
      </c>
      <c r="L426" s="32" t="s">
        <v>681</v>
      </c>
      <c r="M426" s="32">
        <v>0.3</v>
      </c>
      <c r="N426" s="32" t="s">
        <v>430</v>
      </c>
      <c r="O426" s="32" t="s">
        <v>746</v>
      </c>
      <c r="P426" s="32" t="s">
        <v>683</v>
      </c>
      <c r="Q426" s="32" t="s">
        <v>665</v>
      </c>
      <c r="R426" s="32" t="s">
        <v>123</v>
      </c>
      <c r="S426" s="32" t="s">
        <v>673</v>
      </c>
    </row>
    <row r="427" spans="1:19" x14ac:dyDescent="0.3">
      <c r="A427" s="29" t="s">
        <v>1205</v>
      </c>
      <c r="B427" s="30" t="s">
        <v>154</v>
      </c>
      <c r="C427" s="30" t="s">
        <v>1206</v>
      </c>
      <c r="D427" s="30" t="s">
        <v>673</v>
      </c>
      <c r="E427" s="30" t="s">
        <v>674</v>
      </c>
      <c r="F427" s="30" t="s">
        <v>716</v>
      </c>
      <c r="G427" s="30" t="s">
        <v>744</v>
      </c>
      <c r="H427" s="30" t="s">
        <v>935</v>
      </c>
      <c r="I427" s="30" t="s">
        <v>688</v>
      </c>
      <c r="J427" s="30" t="s">
        <v>713</v>
      </c>
      <c r="K427" s="30" t="s">
        <v>690</v>
      </c>
      <c r="L427" s="30" t="s">
        <v>681</v>
      </c>
      <c r="M427" s="30">
        <v>0.5</v>
      </c>
      <c r="N427" s="30" t="s">
        <v>430</v>
      </c>
      <c r="O427" s="30" t="s">
        <v>746</v>
      </c>
      <c r="P427" s="30" t="s">
        <v>683</v>
      </c>
      <c r="Q427" s="30" t="s">
        <v>665</v>
      </c>
      <c r="R427" s="30" t="s">
        <v>123</v>
      </c>
      <c r="S427" s="32" t="s">
        <v>673</v>
      </c>
    </row>
    <row r="428" spans="1:19" x14ac:dyDescent="0.3">
      <c r="A428" s="31" t="s">
        <v>1207</v>
      </c>
      <c r="B428" s="32" t="s">
        <v>967</v>
      </c>
      <c r="C428" s="32" t="s">
        <v>1208</v>
      </c>
      <c r="D428" s="32" t="s">
        <v>673</v>
      </c>
      <c r="E428" s="32" t="s">
        <v>674</v>
      </c>
      <c r="F428" s="32" t="s">
        <v>716</v>
      </c>
      <c r="G428" s="32" t="s">
        <v>744</v>
      </c>
      <c r="H428" s="32" t="s">
        <v>935</v>
      </c>
      <c r="I428" s="32" t="s">
        <v>688</v>
      </c>
      <c r="J428" s="32" t="s">
        <v>713</v>
      </c>
      <c r="K428" s="32" t="s">
        <v>690</v>
      </c>
      <c r="L428" s="32" t="s">
        <v>681</v>
      </c>
      <c r="M428" s="32">
        <v>1</v>
      </c>
      <c r="N428" s="32" t="s">
        <v>382</v>
      </c>
      <c r="O428" s="32" t="s">
        <v>746</v>
      </c>
      <c r="P428" s="32" t="s">
        <v>683</v>
      </c>
      <c r="Q428" s="32" t="s">
        <v>665</v>
      </c>
      <c r="R428" s="32" t="s">
        <v>123</v>
      </c>
      <c r="S428" s="32" t="s">
        <v>673</v>
      </c>
    </row>
    <row r="429" spans="1:19" x14ac:dyDescent="0.3">
      <c r="A429" s="29" t="s">
        <v>1202</v>
      </c>
      <c r="B429" s="30" t="s">
        <v>154</v>
      </c>
      <c r="C429" s="30" t="s">
        <v>862</v>
      </c>
      <c r="D429" s="30" t="s">
        <v>673</v>
      </c>
      <c r="E429" s="30" t="s">
        <v>674</v>
      </c>
      <c r="F429" s="30" t="s">
        <v>716</v>
      </c>
      <c r="G429" s="30" t="s">
        <v>744</v>
      </c>
      <c r="H429" s="30" t="s">
        <v>935</v>
      </c>
      <c r="I429" s="30" t="s">
        <v>678</v>
      </c>
      <c r="J429" s="30" t="s">
        <v>713</v>
      </c>
      <c r="K429" s="30" t="s">
        <v>690</v>
      </c>
      <c r="L429" s="30" t="s">
        <v>681</v>
      </c>
      <c r="M429" s="30">
        <v>0.1</v>
      </c>
      <c r="N429" s="30" t="s">
        <v>347</v>
      </c>
      <c r="O429" s="30" t="s">
        <v>746</v>
      </c>
      <c r="P429" s="30" t="s">
        <v>683</v>
      </c>
      <c r="Q429" s="30" t="s">
        <v>665</v>
      </c>
      <c r="R429" s="30" t="s">
        <v>123</v>
      </c>
      <c r="S429" s="32" t="s">
        <v>673</v>
      </c>
    </row>
    <row r="430" spans="1:19" x14ac:dyDescent="0.3">
      <c r="A430" s="31" t="s">
        <v>1205</v>
      </c>
      <c r="B430" s="32" t="s">
        <v>154</v>
      </c>
      <c r="C430" s="32" t="s">
        <v>1206</v>
      </c>
      <c r="D430" s="32" t="s">
        <v>673</v>
      </c>
      <c r="E430" s="32" t="s">
        <v>674</v>
      </c>
      <c r="F430" s="32" t="s">
        <v>716</v>
      </c>
      <c r="G430" s="32" t="s">
        <v>744</v>
      </c>
      <c r="H430" s="32" t="s">
        <v>935</v>
      </c>
      <c r="I430" s="32" t="s">
        <v>688</v>
      </c>
      <c r="J430" s="32" t="s">
        <v>713</v>
      </c>
      <c r="K430" s="32" t="s">
        <v>690</v>
      </c>
      <c r="L430" s="32" t="s">
        <v>681</v>
      </c>
      <c r="M430" s="32">
        <v>0.1</v>
      </c>
      <c r="N430" s="32" t="s">
        <v>69</v>
      </c>
      <c r="O430" s="32" t="s">
        <v>746</v>
      </c>
      <c r="P430" s="32" t="s">
        <v>683</v>
      </c>
      <c r="Q430" s="32" t="s">
        <v>665</v>
      </c>
      <c r="R430" s="32" t="s">
        <v>123</v>
      </c>
      <c r="S430" s="32" t="s">
        <v>673</v>
      </c>
    </row>
    <row r="431" spans="1:19" x14ac:dyDescent="0.3">
      <c r="A431" s="29" t="s">
        <v>957</v>
      </c>
      <c r="B431" s="30" t="s">
        <v>154</v>
      </c>
      <c r="C431" s="30" t="s">
        <v>958</v>
      </c>
      <c r="D431" s="30" t="s">
        <v>673</v>
      </c>
      <c r="E431" s="30" t="s">
        <v>674</v>
      </c>
      <c r="F431" s="30" t="s">
        <v>716</v>
      </c>
      <c r="G431" s="30" t="s">
        <v>744</v>
      </c>
      <c r="H431" s="30" t="s">
        <v>935</v>
      </c>
      <c r="I431" s="30" t="s">
        <v>678</v>
      </c>
      <c r="J431" s="30" t="s">
        <v>713</v>
      </c>
      <c r="K431" s="30" t="s">
        <v>690</v>
      </c>
      <c r="L431" s="30" t="s">
        <v>681</v>
      </c>
      <c r="M431" s="30">
        <v>0.5</v>
      </c>
      <c r="N431" s="30" t="s">
        <v>66</v>
      </c>
      <c r="O431" s="30" t="s">
        <v>1915</v>
      </c>
      <c r="P431" s="30" t="s">
        <v>683</v>
      </c>
      <c r="Q431" s="30" t="s">
        <v>767</v>
      </c>
      <c r="R431" s="30" t="s">
        <v>123</v>
      </c>
      <c r="S431" s="32" t="s">
        <v>673</v>
      </c>
    </row>
    <row r="432" spans="1:19" x14ac:dyDescent="0.3">
      <c r="A432" s="31" t="s">
        <v>971</v>
      </c>
      <c r="B432" s="32" t="s">
        <v>753</v>
      </c>
      <c r="C432" s="32" t="s">
        <v>972</v>
      </c>
      <c r="D432" s="32" t="s">
        <v>755</v>
      </c>
      <c r="E432" s="32" t="s">
        <v>674</v>
      </c>
      <c r="F432" s="32" t="s">
        <v>675</v>
      </c>
      <c r="G432" s="32" t="s">
        <v>676</v>
      </c>
      <c r="H432" s="32" t="s">
        <v>702</v>
      </c>
      <c r="I432" s="32" t="s">
        <v>678</v>
      </c>
      <c r="J432" s="32" t="s">
        <v>679</v>
      </c>
      <c r="K432" s="32" t="s">
        <v>680</v>
      </c>
      <c r="L432" s="32" t="s">
        <v>699</v>
      </c>
      <c r="M432" s="32">
        <v>0.5</v>
      </c>
      <c r="N432" s="32" t="s">
        <v>97</v>
      </c>
      <c r="O432" s="32" t="s">
        <v>1915</v>
      </c>
      <c r="P432" s="32" t="s">
        <v>683</v>
      </c>
      <c r="Q432" s="32" t="s">
        <v>767</v>
      </c>
      <c r="R432" s="32" t="s">
        <v>753</v>
      </c>
      <c r="S432" s="30" t="s">
        <v>755</v>
      </c>
    </row>
    <row r="433" spans="1:19" x14ac:dyDescent="0.3">
      <c r="A433" s="29" t="s">
        <v>756</v>
      </c>
      <c r="B433" s="30" t="s">
        <v>753</v>
      </c>
      <c r="C433" s="30" t="s">
        <v>756</v>
      </c>
      <c r="D433" s="30" t="s">
        <v>755</v>
      </c>
      <c r="E433" s="30" t="s">
        <v>674</v>
      </c>
      <c r="F433" s="30" t="s">
        <v>716</v>
      </c>
      <c r="G433" s="30" t="s">
        <v>744</v>
      </c>
      <c r="H433" s="30" t="s">
        <v>702</v>
      </c>
      <c r="I433" s="30" t="s">
        <v>678</v>
      </c>
      <c r="J433" s="30" t="s">
        <v>679</v>
      </c>
      <c r="K433" s="30" t="s">
        <v>680</v>
      </c>
      <c r="L433" s="30" t="s">
        <v>681</v>
      </c>
      <c r="M433" s="30">
        <v>1</v>
      </c>
      <c r="N433" s="30" t="s">
        <v>63</v>
      </c>
      <c r="O433" s="30" t="s">
        <v>746</v>
      </c>
      <c r="P433" s="30" t="s">
        <v>683</v>
      </c>
      <c r="Q433" s="30" t="s">
        <v>665</v>
      </c>
      <c r="R433" s="30" t="s">
        <v>34</v>
      </c>
      <c r="S433" s="30" t="s">
        <v>755</v>
      </c>
    </row>
    <row r="434" spans="1:19" x14ac:dyDescent="0.3">
      <c r="A434" s="31" t="s">
        <v>1004</v>
      </c>
      <c r="B434" s="32" t="s">
        <v>858</v>
      </c>
      <c r="C434" s="32" t="s">
        <v>1005</v>
      </c>
      <c r="D434" s="32" t="s">
        <v>684</v>
      </c>
      <c r="E434" s="32" t="s">
        <v>674</v>
      </c>
      <c r="F434" s="32" t="s">
        <v>716</v>
      </c>
      <c r="G434" s="32" t="s">
        <v>744</v>
      </c>
      <c r="H434" s="32" t="s">
        <v>677</v>
      </c>
      <c r="I434" s="32" t="s">
        <v>678</v>
      </c>
      <c r="J434" s="32" t="s">
        <v>860</v>
      </c>
      <c r="K434" s="32" t="s">
        <v>861</v>
      </c>
      <c r="L434" s="32" t="s">
        <v>699</v>
      </c>
      <c r="M434" s="32">
        <v>0.25</v>
      </c>
      <c r="N434" s="32" t="s">
        <v>472</v>
      </c>
      <c r="O434" s="32" t="s">
        <v>746</v>
      </c>
      <c r="P434" s="32" t="s">
        <v>683</v>
      </c>
      <c r="Q434" s="32" t="s">
        <v>665</v>
      </c>
      <c r="R434" s="32" t="s">
        <v>300</v>
      </c>
      <c r="S434" s="30" t="s">
        <v>684</v>
      </c>
    </row>
    <row r="435" spans="1:19" x14ac:dyDescent="0.3">
      <c r="A435" s="29" t="s">
        <v>809</v>
      </c>
      <c r="B435" s="30" t="s">
        <v>704</v>
      </c>
      <c r="C435" s="30" t="s">
        <v>810</v>
      </c>
      <c r="D435" s="30" t="s">
        <v>673</v>
      </c>
      <c r="E435" s="30" t="s">
        <v>674</v>
      </c>
      <c r="F435" s="30" t="s">
        <v>675</v>
      </c>
      <c r="G435" s="30" t="s">
        <v>676</v>
      </c>
      <c r="H435" s="30" t="s">
        <v>677</v>
      </c>
      <c r="I435" s="30" t="s">
        <v>811</v>
      </c>
      <c r="J435" s="30" t="s">
        <v>710</v>
      </c>
      <c r="K435" s="30" t="s">
        <v>690</v>
      </c>
      <c r="L435" s="30" t="s">
        <v>681</v>
      </c>
      <c r="M435" s="30">
        <v>0.2</v>
      </c>
      <c r="N435" s="30" t="s">
        <v>217</v>
      </c>
      <c r="O435" s="30" t="s">
        <v>682</v>
      </c>
      <c r="P435" s="30" t="s">
        <v>683</v>
      </c>
      <c r="Q435" s="30" t="s">
        <v>665</v>
      </c>
      <c r="R435" s="30" t="s">
        <v>89</v>
      </c>
      <c r="S435" s="30" t="s">
        <v>684</v>
      </c>
    </row>
    <row r="436" spans="1:19" x14ac:dyDescent="0.3">
      <c r="A436" s="31" t="s">
        <v>694</v>
      </c>
      <c r="B436" s="32" t="s">
        <v>695</v>
      </c>
      <c r="C436" s="32" t="s">
        <v>696</v>
      </c>
      <c r="D436" s="32" t="s">
        <v>673</v>
      </c>
      <c r="E436" s="32" t="s">
        <v>674</v>
      </c>
      <c r="F436" s="32" t="s">
        <v>675</v>
      </c>
      <c r="G436" s="32" t="s">
        <v>676</v>
      </c>
      <c r="H436" s="32" t="s">
        <v>677</v>
      </c>
      <c r="I436" s="32" t="s">
        <v>697</v>
      </c>
      <c r="J436" s="32" t="s">
        <v>698</v>
      </c>
      <c r="K436" s="32" t="s">
        <v>690</v>
      </c>
      <c r="L436" s="32" t="s">
        <v>699</v>
      </c>
      <c r="M436" s="32">
        <v>0.2</v>
      </c>
      <c r="N436" s="32" t="s">
        <v>217</v>
      </c>
      <c r="O436" s="32" t="s">
        <v>682</v>
      </c>
      <c r="P436" s="32" t="s">
        <v>683</v>
      </c>
      <c r="Q436" s="32" t="s">
        <v>665</v>
      </c>
      <c r="R436" s="32" t="s">
        <v>89</v>
      </c>
      <c r="S436" s="30" t="s">
        <v>684</v>
      </c>
    </row>
    <row r="437" spans="1:19" x14ac:dyDescent="0.3">
      <c r="A437" s="29" t="s">
        <v>694</v>
      </c>
      <c r="B437" s="30" t="s">
        <v>695</v>
      </c>
      <c r="C437" s="30" t="s">
        <v>696</v>
      </c>
      <c r="D437" s="30" t="s">
        <v>673</v>
      </c>
      <c r="E437" s="30" t="s">
        <v>674</v>
      </c>
      <c r="F437" s="30" t="s">
        <v>675</v>
      </c>
      <c r="G437" s="30" t="s">
        <v>676</v>
      </c>
      <c r="H437" s="30" t="s">
        <v>677</v>
      </c>
      <c r="I437" s="30" t="s">
        <v>697</v>
      </c>
      <c r="J437" s="30" t="s">
        <v>698</v>
      </c>
      <c r="K437" s="30" t="s">
        <v>690</v>
      </c>
      <c r="L437" s="30" t="s">
        <v>699</v>
      </c>
      <c r="M437" s="30">
        <v>0.9</v>
      </c>
      <c r="N437" s="30" t="s">
        <v>302</v>
      </c>
      <c r="O437" s="30" t="s">
        <v>866</v>
      </c>
      <c r="P437" s="30" t="s">
        <v>683</v>
      </c>
      <c r="Q437" s="30" t="s">
        <v>665</v>
      </c>
      <c r="R437" s="30" t="s">
        <v>89</v>
      </c>
      <c r="S437" s="30" t="s">
        <v>684</v>
      </c>
    </row>
    <row r="438" spans="1:19" x14ac:dyDescent="0.3">
      <c r="A438" s="31" t="s">
        <v>1061</v>
      </c>
      <c r="B438" s="32" t="s">
        <v>864</v>
      </c>
      <c r="C438" s="32" t="s">
        <v>1062</v>
      </c>
      <c r="D438" s="32" t="s">
        <v>755</v>
      </c>
      <c r="E438" s="32" t="s">
        <v>674</v>
      </c>
      <c r="F438" s="32" t="s">
        <v>675</v>
      </c>
      <c r="G438" s="32" t="s">
        <v>676</v>
      </c>
      <c r="H438" s="32" t="s">
        <v>702</v>
      </c>
      <c r="I438" s="32" t="s">
        <v>678</v>
      </c>
      <c r="J438" s="32" t="s">
        <v>774</v>
      </c>
      <c r="K438" s="32" t="s">
        <v>680</v>
      </c>
      <c r="L438" s="32" t="s">
        <v>699</v>
      </c>
      <c r="M438" s="32">
        <v>0.1</v>
      </c>
      <c r="N438" s="32" t="s">
        <v>458</v>
      </c>
      <c r="O438" s="32" t="s">
        <v>746</v>
      </c>
      <c r="P438" s="32" t="s">
        <v>683</v>
      </c>
      <c r="Q438" s="32" t="s">
        <v>665</v>
      </c>
      <c r="R438" s="32" t="s">
        <v>89</v>
      </c>
      <c r="S438" s="30" t="s">
        <v>684</v>
      </c>
    </row>
    <row r="439" spans="1:19" x14ac:dyDescent="0.3">
      <c r="A439" s="29" t="s">
        <v>1209</v>
      </c>
      <c r="B439" s="30" t="s">
        <v>707</v>
      </c>
      <c r="C439" s="30" t="s">
        <v>715</v>
      </c>
      <c r="D439" s="30" t="s">
        <v>755</v>
      </c>
      <c r="E439" s="30" t="s">
        <v>674</v>
      </c>
      <c r="F439" s="30" t="s">
        <v>716</v>
      </c>
      <c r="G439" s="30" t="s">
        <v>717</v>
      </c>
      <c r="H439" s="30" t="s">
        <v>717</v>
      </c>
      <c r="I439" s="30" t="s">
        <v>717</v>
      </c>
      <c r="J439" s="30" t="s">
        <v>679</v>
      </c>
      <c r="K439" s="30" t="s">
        <v>680</v>
      </c>
      <c r="L439" s="30" t="s">
        <v>699</v>
      </c>
      <c r="M439" s="30">
        <v>0.4</v>
      </c>
      <c r="N439" s="30" t="s">
        <v>1210</v>
      </c>
      <c r="O439" s="30" t="s">
        <v>746</v>
      </c>
      <c r="P439" s="30" t="s">
        <v>683</v>
      </c>
      <c r="Q439" s="30" t="s">
        <v>665</v>
      </c>
      <c r="R439" s="30" t="s">
        <v>1211</v>
      </c>
      <c r="S439" s="30" t="s">
        <v>719</v>
      </c>
    </row>
    <row r="440" spans="1:19" x14ac:dyDescent="0.3">
      <c r="A440" s="31" t="s">
        <v>1009</v>
      </c>
      <c r="B440" s="32" t="s">
        <v>707</v>
      </c>
      <c r="C440" s="32" t="s">
        <v>715</v>
      </c>
      <c r="D440" s="32" t="s">
        <v>684</v>
      </c>
      <c r="E440" s="32" t="s">
        <v>674</v>
      </c>
      <c r="F440" s="32" t="s">
        <v>716</v>
      </c>
      <c r="G440" s="32" t="s">
        <v>717</v>
      </c>
      <c r="H440" s="32" t="s">
        <v>717</v>
      </c>
      <c r="I440" s="32" t="s">
        <v>717</v>
      </c>
      <c r="J440" s="32" t="s">
        <v>737</v>
      </c>
      <c r="K440" s="32" t="s">
        <v>738</v>
      </c>
      <c r="L440" s="32" t="s">
        <v>699</v>
      </c>
      <c r="M440" s="32">
        <v>0.3</v>
      </c>
      <c r="N440" s="32" t="s">
        <v>1210</v>
      </c>
      <c r="O440" s="32" t="s">
        <v>746</v>
      </c>
      <c r="P440" s="32" t="s">
        <v>683</v>
      </c>
      <c r="Q440" s="32" t="s">
        <v>665</v>
      </c>
      <c r="R440" s="32" t="s">
        <v>1211</v>
      </c>
      <c r="S440" s="30" t="s">
        <v>719</v>
      </c>
    </row>
    <row r="441" spans="1:19" x14ac:dyDescent="0.3">
      <c r="A441" s="29" t="s">
        <v>841</v>
      </c>
      <c r="B441" s="30" t="s">
        <v>707</v>
      </c>
      <c r="C441" s="30" t="s">
        <v>715</v>
      </c>
      <c r="D441" s="30" t="s">
        <v>673</v>
      </c>
      <c r="E441" s="30" t="s">
        <v>674</v>
      </c>
      <c r="F441" s="30" t="s">
        <v>716</v>
      </c>
      <c r="G441" s="30" t="s">
        <v>717</v>
      </c>
      <c r="H441" s="30" t="s">
        <v>717</v>
      </c>
      <c r="I441" s="30" t="s">
        <v>717</v>
      </c>
      <c r="J441" s="30" t="s">
        <v>713</v>
      </c>
      <c r="K441" s="30" t="s">
        <v>690</v>
      </c>
      <c r="L441" s="30" t="s">
        <v>699</v>
      </c>
      <c r="M441" s="30">
        <v>0.3</v>
      </c>
      <c r="N441" s="30" t="s">
        <v>1210</v>
      </c>
      <c r="O441" s="30" t="s">
        <v>746</v>
      </c>
      <c r="P441" s="30" t="s">
        <v>683</v>
      </c>
      <c r="Q441" s="30" t="s">
        <v>665</v>
      </c>
      <c r="R441" s="30" t="s">
        <v>1211</v>
      </c>
      <c r="S441" s="30" t="s">
        <v>719</v>
      </c>
    </row>
    <row r="442" spans="1:19" x14ac:dyDescent="0.3">
      <c r="A442" s="31" t="s">
        <v>1212</v>
      </c>
      <c r="B442" s="32" t="s">
        <v>704</v>
      </c>
      <c r="C442" s="32" t="s">
        <v>1213</v>
      </c>
      <c r="D442" s="32" t="s">
        <v>673</v>
      </c>
      <c r="E442" s="32" t="s">
        <v>674</v>
      </c>
      <c r="F442" s="32" t="s">
        <v>675</v>
      </c>
      <c r="G442" s="32" t="s">
        <v>676</v>
      </c>
      <c r="H442" s="32" t="s">
        <v>677</v>
      </c>
      <c r="I442" s="32" t="s">
        <v>678</v>
      </c>
      <c r="J442" s="32" t="s">
        <v>713</v>
      </c>
      <c r="K442" s="32" t="s">
        <v>690</v>
      </c>
      <c r="L442" s="32" t="s">
        <v>681</v>
      </c>
      <c r="M442" s="32">
        <v>0.7</v>
      </c>
      <c r="N442" s="32" t="s">
        <v>211</v>
      </c>
      <c r="O442" s="32" t="s">
        <v>682</v>
      </c>
      <c r="P442" s="32" t="s">
        <v>683</v>
      </c>
      <c r="Q442" s="32" t="s">
        <v>665</v>
      </c>
      <c r="R442" s="32" t="s">
        <v>178</v>
      </c>
      <c r="S442" s="32" t="s">
        <v>673</v>
      </c>
    </row>
    <row r="443" spans="1:19" x14ac:dyDescent="0.3">
      <c r="A443" s="29" t="s">
        <v>2299</v>
      </c>
      <c r="B443" s="30" t="s">
        <v>704</v>
      </c>
      <c r="C443" s="30" t="s">
        <v>2300</v>
      </c>
      <c r="D443" s="30" t="s">
        <v>673</v>
      </c>
      <c r="E443" s="30" t="s">
        <v>674</v>
      </c>
      <c r="F443" s="30" t="s">
        <v>675</v>
      </c>
      <c r="G443" s="30" t="s">
        <v>676</v>
      </c>
      <c r="H443" s="30" t="s">
        <v>677</v>
      </c>
      <c r="I443" s="30" t="s">
        <v>678</v>
      </c>
      <c r="J443" s="30" t="s">
        <v>713</v>
      </c>
      <c r="K443" s="30" t="s">
        <v>690</v>
      </c>
      <c r="L443" s="30" t="s">
        <v>681</v>
      </c>
      <c r="M443" s="30">
        <v>0.3</v>
      </c>
      <c r="N443" s="30" t="s">
        <v>211</v>
      </c>
      <c r="O443" s="30" t="s">
        <v>682</v>
      </c>
      <c r="P443" s="30" t="s">
        <v>683</v>
      </c>
      <c r="Q443" s="30" t="s">
        <v>665</v>
      </c>
      <c r="R443" s="30" t="s">
        <v>178</v>
      </c>
      <c r="S443" s="32" t="s">
        <v>673</v>
      </c>
    </row>
    <row r="444" spans="1:19" x14ac:dyDescent="0.3">
      <c r="A444" s="31" t="s">
        <v>804</v>
      </c>
      <c r="B444" s="32" t="s">
        <v>704</v>
      </c>
      <c r="C444" s="32" t="s">
        <v>805</v>
      </c>
      <c r="D444" s="32" t="s">
        <v>673</v>
      </c>
      <c r="E444" s="32" t="s">
        <v>674</v>
      </c>
      <c r="F444" s="32" t="s">
        <v>675</v>
      </c>
      <c r="G444" s="32" t="s">
        <v>676</v>
      </c>
      <c r="H444" s="32" t="s">
        <v>677</v>
      </c>
      <c r="I444" s="32" t="s">
        <v>678</v>
      </c>
      <c r="J444" s="32" t="s">
        <v>679</v>
      </c>
      <c r="K444" s="32" t="s">
        <v>680</v>
      </c>
      <c r="L444" s="32" t="s">
        <v>681</v>
      </c>
      <c r="M444" s="32">
        <v>0.3</v>
      </c>
      <c r="N444" s="32" t="s">
        <v>224</v>
      </c>
      <c r="O444" s="32" t="s">
        <v>682</v>
      </c>
      <c r="P444" s="32" t="s">
        <v>683</v>
      </c>
      <c r="Q444" s="32" t="s">
        <v>665</v>
      </c>
      <c r="R444" s="32" t="s">
        <v>178</v>
      </c>
      <c r="S444" s="32" t="s">
        <v>673</v>
      </c>
    </row>
    <row r="445" spans="1:19" x14ac:dyDescent="0.3">
      <c r="A445" s="29" t="s">
        <v>1196</v>
      </c>
      <c r="B445" s="30" t="s">
        <v>704</v>
      </c>
      <c r="C445" s="30" t="s">
        <v>1197</v>
      </c>
      <c r="D445" s="30" t="s">
        <v>673</v>
      </c>
      <c r="E445" s="30" t="s">
        <v>674</v>
      </c>
      <c r="F445" s="30" t="s">
        <v>675</v>
      </c>
      <c r="G445" s="30" t="s">
        <v>676</v>
      </c>
      <c r="H445" s="30" t="s">
        <v>677</v>
      </c>
      <c r="I445" s="30" t="s">
        <v>678</v>
      </c>
      <c r="J445" s="30" t="s">
        <v>679</v>
      </c>
      <c r="K445" s="30" t="s">
        <v>680</v>
      </c>
      <c r="L445" s="30" t="s">
        <v>681</v>
      </c>
      <c r="M445" s="30">
        <v>0.2</v>
      </c>
      <c r="N445" s="30" t="s">
        <v>224</v>
      </c>
      <c r="O445" s="30" t="s">
        <v>682</v>
      </c>
      <c r="P445" s="30" t="s">
        <v>683</v>
      </c>
      <c r="Q445" s="30" t="s">
        <v>665</v>
      </c>
      <c r="R445" s="30" t="s">
        <v>178</v>
      </c>
      <c r="S445" s="32" t="s">
        <v>673</v>
      </c>
    </row>
    <row r="446" spans="1:19" x14ac:dyDescent="0.3">
      <c r="A446" s="31" t="s">
        <v>1216</v>
      </c>
      <c r="B446" s="32" t="s">
        <v>1217</v>
      </c>
      <c r="C446" s="32" t="s">
        <v>1218</v>
      </c>
      <c r="D446" s="32" t="s">
        <v>684</v>
      </c>
      <c r="E446" s="32" t="s">
        <v>674</v>
      </c>
      <c r="F446" s="32" t="s">
        <v>675</v>
      </c>
      <c r="G446" s="32" t="s">
        <v>744</v>
      </c>
      <c r="H446" s="32" t="s">
        <v>677</v>
      </c>
      <c r="I446" s="32" t="s">
        <v>688</v>
      </c>
      <c r="J446" s="32" t="s">
        <v>860</v>
      </c>
      <c r="K446" s="32" t="s">
        <v>861</v>
      </c>
      <c r="L446" s="32" t="s">
        <v>681</v>
      </c>
      <c r="M446" s="32">
        <v>0.5</v>
      </c>
      <c r="N446" s="32" t="s">
        <v>224</v>
      </c>
      <c r="O446" s="32" t="s">
        <v>682</v>
      </c>
      <c r="P446" s="32" t="s">
        <v>683</v>
      </c>
      <c r="Q446" s="32" t="s">
        <v>665</v>
      </c>
      <c r="R446" s="32" t="s">
        <v>178</v>
      </c>
      <c r="S446" s="32" t="s">
        <v>673</v>
      </c>
    </row>
    <row r="447" spans="1:19" x14ac:dyDescent="0.3">
      <c r="A447" s="29" t="s">
        <v>1219</v>
      </c>
      <c r="B447" s="30" t="s">
        <v>704</v>
      </c>
      <c r="C447" s="30" t="s">
        <v>1220</v>
      </c>
      <c r="D447" s="30" t="s">
        <v>673</v>
      </c>
      <c r="E447" s="30" t="s">
        <v>674</v>
      </c>
      <c r="F447" s="30" t="s">
        <v>675</v>
      </c>
      <c r="G447" s="30" t="s">
        <v>676</v>
      </c>
      <c r="H447" s="30" t="s">
        <v>677</v>
      </c>
      <c r="I447" s="30" t="s">
        <v>678</v>
      </c>
      <c r="J447" s="30" t="s">
        <v>679</v>
      </c>
      <c r="K447" s="30" t="s">
        <v>680</v>
      </c>
      <c r="L447" s="30" t="s">
        <v>681</v>
      </c>
      <c r="M447" s="30">
        <v>0.5</v>
      </c>
      <c r="N447" s="30" t="s">
        <v>253</v>
      </c>
      <c r="O447" s="30" t="s">
        <v>682</v>
      </c>
      <c r="P447" s="30" t="s">
        <v>683</v>
      </c>
      <c r="Q447" s="30" t="s">
        <v>665</v>
      </c>
      <c r="R447" s="30" t="s">
        <v>178</v>
      </c>
      <c r="S447" s="32" t="s">
        <v>673</v>
      </c>
    </row>
    <row r="448" spans="1:19" x14ac:dyDescent="0.3">
      <c r="A448" s="31" t="s">
        <v>1221</v>
      </c>
      <c r="B448" s="32" t="s">
        <v>704</v>
      </c>
      <c r="C448" s="32" t="s">
        <v>1222</v>
      </c>
      <c r="D448" s="32" t="s">
        <v>673</v>
      </c>
      <c r="E448" s="32" t="s">
        <v>674</v>
      </c>
      <c r="F448" s="32" t="s">
        <v>675</v>
      </c>
      <c r="G448" s="32" t="s">
        <v>676</v>
      </c>
      <c r="H448" s="32" t="s">
        <v>677</v>
      </c>
      <c r="I448" s="32" t="s">
        <v>678</v>
      </c>
      <c r="J448" s="32" t="s">
        <v>679</v>
      </c>
      <c r="K448" s="32" t="s">
        <v>680</v>
      </c>
      <c r="L448" s="32" t="s">
        <v>699</v>
      </c>
      <c r="M448" s="32">
        <v>0.5</v>
      </c>
      <c r="N448" s="32" t="s">
        <v>253</v>
      </c>
      <c r="O448" s="32" t="s">
        <v>682</v>
      </c>
      <c r="P448" s="32" t="s">
        <v>683</v>
      </c>
      <c r="Q448" s="32" t="s">
        <v>665</v>
      </c>
      <c r="R448" s="32" t="s">
        <v>178</v>
      </c>
      <c r="S448" s="32" t="s">
        <v>673</v>
      </c>
    </row>
    <row r="449" spans="1:19" x14ac:dyDescent="0.3">
      <c r="A449" s="29" t="s">
        <v>809</v>
      </c>
      <c r="B449" s="30" t="s">
        <v>704</v>
      </c>
      <c r="C449" s="30" t="s">
        <v>810</v>
      </c>
      <c r="D449" s="30" t="s">
        <v>673</v>
      </c>
      <c r="E449" s="30" t="s">
        <v>674</v>
      </c>
      <c r="F449" s="30" t="s">
        <v>675</v>
      </c>
      <c r="G449" s="30" t="s">
        <v>676</v>
      </c>
      <c r="H449" s="30" t="s">
        <v>677</v>
      </c>
      <c r="I449" s="30" t="s">
        <v>811</v>
      </c>
      <c r="J449" s="30" t="s">
        <v>710</v>
      </c>
      <c r="K449" s="30" t="s">
        <v>690</v>
      </c>
      <c r="L449" s="30" t="s">
        <v>681</v>
      </c>
      <c r="M449" s="30">
        <v>0.1</v>
      </c>
      <c r="N449" s="30" t="s">
        <v>474</v>
      </c>
      <c r="O449" s="30" t="s">
        <v>682</v>
      </c>
      <c r="P449" s="30" t="s">
        <v>683</v>
      </c>
      <c r="Q449" s="30" t="s">
        <v>665</v>
      </c>
      <c r="R449" s="30" t="s">
        <v>178</v>
      </c>
      <c r="S449" s="32" t="s">
        <v>673</v>
      </c>
    </row>
    <row r="450" spans="1:19" x14ac:dyDescent="0.3">
      <c r="A450" s="31" t="s">
        <v>1198</v>
      </c>
      <c r="B450" s="32" t="s">
        <v>704</v>
      </c>
      <c r="C450" s="32" t="s">
        <v>1199</v>
      </c>
      <c r="D450" s="32" t="s">
        <v>673</v>
      </c>
      <c r="E450" s="32" t="s">
        <v>674</v>
      </c>
      <c r="F450" s="32" t="s">
        <v>675</v>
      </c>
      <c r="G450" s="32" t="s">
        <v>676</v>
      </c>
      <c r="H450" s="32" t="s">
        <v>677</v>
      </c>
      <c r="I450" s="32" t="s">
        <v>688</v>
      </c>
      <c r="J450" s="32" t="s">
        <v>710</v>
      </c>
      <c r="K450" s="32" t="s">
        <v>690</v>
      </c>
      <c r="L450" s="32" t="s">
        <v>681</v>
      </c>
      <c r="M450" s="32">
        <v>0.4</v>
      </c>
      <c r="N450" s="32" t="s">
        <v>474</v>
      </c>
      <c r="O450" s="32" t="s">
        <v>682</v>
      </c>
      <c r="P450" s="32" t="s">
        <v>683</v>
      </c>
      <c r="Q450" s="32" t="s">
        <v>665</v>
      </c>
      <c r="R450" s="32" t="s">
        <v>178</v>
      </c>
      <c r="S450" s="32" t="s">
        <v>673</v>
      </c>
    </row>
    <row r="451" spans="1:19" x14ac:dyDescent="0.3">
      <c r="A451" s="29" t="s">
        <v>790</v>
      </c>
      <c r="B451" s="30" t="s">
        <v>791</v>
      </c>
      <c r="C451" s="30" t="s">
        <v>792</v>
      </c>
      <c r="D451" s="30" t="s">
        <v>673</v>
      </c>
      <c r="E451" s="30" t="s">
        <v>674</v>
      </c>
      <c r="F451" s="30" t="s">
        <v>675</v>
      </c>
      <c r="G451" s="30" t="s">
        <v>676</v>
      </c>
      <c r="H451" s="30" t="s">
        <v>677</v>
      </c>
      <c r="I451" s="30" t="s">
        <v>678</v>
      </c>
      <c r="J451" s="30" t="s">
        <v>710</v>
      </c>
      <c r="K451" s="30" t="s">
        <v>690</v>
      </c>
      <c r="L451" s="30" t="s">
        <v>739</v>
      </c>
      <c r="M451" s="30">
        <v>0.2</v>
      </c>
      <c r="N451" s="30" t="s">
        <v>474</v>
      </c>
      <c r="O451" s="30" t="s">
        <v>682</v>
      </c>
      <c r="P451" s="30" t="s">
        <v>683</v>
      </c>
      <c r="Q451" s="30" t="s">
        <v>665</v>
      </c>
      <c r="R451" s="30" t="s">
        <v>178</v>
      </c>
      <c r="S451" s="32" t="s">
        <v>673</v>
      </c>
    </row>
    <row r="452" spans="1:19" x14ac:dyDescent="0.3">
      <c r="A452" s="31" t="s">
        <v>740</v>
      </c>
      <c r="B452" s="32" t="s">
        <v>704</v>
      </c>
      <c r="C452" s="32" t="s">
        <v>741</v>
      </c>
      <c r="D452" s="32" t="s">
        <v>673</v>
      </c>
      <c r="E452" s="32" t="s">
        <v>674</v>
      </c>
      <c r="F452" s="32" t="s">
        <v>675</v>
      </c>
      <c r="G452" s="32" t="s">
        <v>676</v>
      </c>
      <c r="H452" s="32" t="s">
        <v>677</v>
      </c>
      <c r="I452" s="32" t="s">
        <v>678</v>
      </c>
      <c r="J452" s="32" t="s">
        <v>710</v>
      </c>
      <c r="K452" s="32" t="s">
        <v>690</v>
      </c>
      <c r="L452" s="32" t="s">
        <v>681</v>
      </c>
      <c r="M452" s="32">
        <v>0.2</v>
      </c>
      <c r="N452" s="32" t="s">
        <v>474</v>
      </c>
      <c r="O452" s="32" t="s">
        <v>682</v>
      </c>
      <c r="P452" s="32" t="s">
        <v>683</v>
      </c>
      <c r="Q452" s="32" t="s">
        <v>665</v>
      </c>
      <c r="R452" s="32" t="s">
        <v>178</v>
      </c>
      <c r="S452" s="32" t="s">
        <v>673</v>
      </c>
    </row>
    <row r="453" spans="1:19" x14ac:dyDescent="0.3">
      <c r="A453" s="29" t="s">
        <v>1223</v>
      </c>
      <c r="B453" s="30" t="s">
        <v>56</v>
      </c>
      <c r="C453" s="30" t="s">
        <v>1224</v>
      </c>
      <c r="D453" s="30" t="s">
        <v>673</v>
      </c>
      <c r="E453" s="30" t="s">
        <v>674</v>
      </c>
      <c r="F453" s="30" t="s">
        <v>675</v>
      </c>
      <c r="G453" s="30" t="s">
        <v>676</v>
      </c>
      <c r="H453" s="30" t="s">
        <v>702</v>
      </c>
      <c r="I453" s="30" t="s">
        <v>678</v>
      </c>
      <c r="J453" s="30" t="s">
        <v>710</v>
      </c>
      <c r="K453" s="30" t="s">
        <v>690</v>
      </c>
      <c r="L453" s="30" t="s">
        <v>739</v>
      </c>
      <c r="M453" s="30">
        <v>0.1</v>
      </c>
      <c r="N453" s="30" t="s">
        <v>474</v>
      </c>
      <c r="O453" s="30" t="s">
        <v>682</v>
      </c>
      <c r="P453" s="30" t="s">
        <v>683</v>
      </c>
      <c r="Q453" s="30" t="s">
        <v>665</v>
      </c>
      <c r="R453" s="30" t="s">
        <v>178</v>
      </c>
      <c r="S453" s="32" t="s">
        <v>673</v>
      </c>
    </row>
    <row r="454" spans="1:19" x14ac:dyDescent="0.3">
      <c r="A454" s="31" t="s">
        <v>779</v>
      </c>
      <c r="B454" s="32" t="s">
        <v>704</v>
      </c>
      <c r="C454" s="32" t="s">
        <v>780</v>
      </c>
      <c r="D454" s="32" t="s">
        <v>673</v>
      </c>
      <c r="E454" s="32" t="s">
        <v>674</v>
      </c>
      <c r="F454" s="32" t="s">
        <v>675</v>
      </c>
      <c r="G454" s="32" t="s">
        <v>676</v>
      </c>
      <c r="H454" s="32" t="s">
        <v>677</v>
      </c>
      <c r="I454" s="32" t="s">
        <v>678</v>
      </c>
      <c r="J454" s="32" t="s">
        <v>679</v>
      </c>
      <c r="K454" s="32" t="s">
        <v>680</v>
      </c>
      <c r="L454" s="32" t="s">
        <v>681</v>
      </c>
      <c r="M454" s="32">
        <v>0.5</v>
      </c>
      <c r="N454" s="32" t="s">
        <v>612</v>
      </c>
      <c r="O454" s="32" t="s">
        <v>682</v>
      </c>
      <c r="P454" s="32" t="s">
        <v>683</v>
      </c>
      <c r="Q454" s="32" t="s">
        <v>665</v>
      </c>
      <c r="R454" s="32" t="s">
        <v>178</v>
      </c>
      <c r="S454" s="32" t="s">
        <v>673</v>
      </c>
    </row>
    <row r="455" spans="1:19" x14ac:dyDescent="0.3">
      <c r="A455" s="29" t="s">
        <v>1225</v>
      </c>
      <c r="B455" s="30" t="s">
        <v>178</v>
      </c>
      <c r="C455" s="30" t="s">
        <v>1226</v>
      </c>
      <c r="D455" s="30" t="s">
        <v>673</v>
      </c>
      <c r="E455" s="30" t="s">
        <v>674</v>
      </c>
      <c r="F455" s="30" t="s">
        <v>675</v>
      </c>
      <c r="G455" s="30" t="s">
        <v>724</v>
      </c>
      <c r="H455" s="30" t="s">
        <v>677</v>
      </c>
      <c r="I455" s="30" t="s">
        <v>678</v>
      </c>
      <c r="J455" s="30" t="s">
        <v>710</v>
      </c>
      <c r="K455" s="30" t="s">
        <v>690</v>
      </c>
      <c r="L455" s="30" t="s">
        <v>681</v>
      </c>
      <c r="M455" s="30">
        <v>0.5</v>
      </c>
      <c r="N455" s="30" t="s">
        <v>644</v>
      </c>
      <c r="O455" s="30" t="s">
        <v>682</v>
      </c>
      <c r="P455" s="30" t="s">
        <v>683</v>
      </c>
      <c r="Q455" s="30" t="s">
        <v>665</v>
      </c>
      <c r="R455" s="30" t="s">
        <v>178</v>
      </c>
      <c r="S455" s="32" t="s">
        <v>673</v>
      </c>
    </row>
    <row r="456" spans="1:19" x14ac:dyDescent="0.3">
      <c r="A456" s="31" t="s">
        <v>1200</v>
      </c>
      <c r="B456" s="32" t="s">
        <v>178</v>
      </c>
      <c r="C456" s="32" t="s">
        <v>1201</v>
      </c>
      <c r="D456" s="32" t="s">
        <v>673</v>
      </c>
      <c r="E456" s="32" t="s">
        <v>674</v>
      </c>
      <c r="F456" s="32" t="s">
        <v>675</v>
      </c>
      <c r="G456" s="32" t="s">
        <v>676</v>
      </c>
      <c r="H456" s="32" t="s">
        <v>702</v>
      </c>
      <c r="I456" s="32" t="s">
        <v>678</v>
      </c>
      <c r="J456" s="32" t="s">
        <v>710</v>
      </c>
      <c r="K456" s="32" t="s">
        <v>690</v>
      </c>
      <c r="L456" s="32" t="s">
        <v>681</v>
      </c>
      <c r="M456" s="32">
        <v>0.5</v>
      </c>
      <c r="N456" s="32" t="s">
        <v>644</v>
      </c>
      <c r="O456" s="32" t="s">
        <v>682</v>
      </c>
      <c r="P456" s="32" t="s">
        <v>683</v>
      </c>
      <c r="Q456" s="32" t="s">
        <v>665</v>
      </c>
      <c r="R456" s="32" t="s">
        <v>178</v>
      </c>
      <c r="S456" s="32" t="s">
        <v>673</v>
      </c>
    </row>
    <row r="457" spans="1:19" x14ac:dyDescent="0.3">
      <c r="A457" s="29" t="s">
        <v>714</v>
      </c>
      <c r="B457" s="30" t="s">
        <v>707</v>
      </c>
      <c r="C457" s="30" t="s">
        <v>715</v>
      </c>
      <c r="D457" s="30" t="s">
        <v>673</v>
      </c>
      <c r="E457" s="30" t="s">
        <v>674</v>
      </c>
      <c r="F457" s="30" t="s">
        <v>716</v>
      </c>
      <c r="G457" s="30" t="s">
        <v>717</v>
      </c>
      <c r="H457" s="30" t="s">
        <v>717</v>
      </c>
      <c r="I457" s="30" t="s">
        <v>717</v>
      </c>
      <c r="J457" s="30" t="s">
        <v>710</v>
      </c>
      <c r="K457" s="30" t="s">
        <v>690</v>
      </c>
      <c r="L457" s="30" t="s">
        <v>699</v>
      </c>
      <c r="M457" s="30">
        <v>0.1</v>
      </c>
      <c r="N457" s="30" t="s">
        <v>178</v>
      </c>
      <c r="O457" s="30" t="s">
        <v>682</v>
      </c>
      <c r="P457" s="30" t="s">
        <v>683</v>
      </c>
      <c r="Q457" s="30" t="s">
        <v>665</v>
      </c>
      <c r="R457" s="30" t="s">
        <v>366</v>
      </c>
      <c r="S457" s="30" t="s">
        <v>719</v>
      </c>
    </row>
    <row r="458" spans="1:19" x14ac:dyDescent="0.3">
      <c r="A458" s="31" t="s">
        <v>1227</v>
      </c>
      <c r="B458" s="32" t="s">
        <v>704</v>
      </c>
      <c r="C458" s="32" t="s">
        <v>1228</v>
      </c>
      <c r="D458" s="32" t="s">
        <v>673</v>
      </c>
      <c r="E458" s="32" t="s">
        <v>674</v>
      </c>
      <c r="F458" s="32" t="s">
        <v>675</v>
      </c>
      <c r="G458" s="32" t="s">
        <v>676</v>
      </c>
      <c r="H458" s="32" t="s">
        <v>677</v>
      </c>
      <c r="I458" s="32" t="s">
        <v>678</v>
      </c>
      <c r="J458" s="32" t="s">
        <v>710</v>
      </c>
      <c r="K458" s="32" t="s">
        <v>690</v>
      </c>
      <c r="L458" s="32" t="s">
        <v>681</v>
      </c>
      <c r="M458" s="32">
        <v>0.2</v>
      </c>
      <c r="N458" s="32" t="s">
        <v>178</v>
      </c>
      <c r="O458" s="32" t="s">
        <v>682</v>
      </c>
      <c r="P458" s="32" t="s">
        <v>683</v>
      </c>
      <c r="Q458" s="32" t="s">
        <v>665</v>
      </c>
      <c r="R458" s="32" t="s">
        <v>366</v>
      </c>
      <c r="S458" s="30" t="s">
        <v>719</v>
      </c>
    </row>
    <row r="459" spans="1:19" x14ac:dyDescent="0.3">
      <c r="A459" s="29" t="s">
        <v>802</v>
      </c>
      <c r="B459" s="30" t="s">
        <v>704</v>
      </c>
      <c r="C459" s="30" t="s">
        <v>803</v>
      </c>
      <c r="D459" s="30" t="s">
        <v>673</v>
      </c>
      <c r="E459" s="30" t="s">
        <v>674</v>
      </c>
      <c r="F459" s="30" t="s">
        <v>675</v>
      </c>
      <c r="G459" s="30" t="s">
        <v>676</v>
      </c>
      <c r="H459" s="30" t="s">
        <v>677</v>
      </c>
      <c r="I459" s="30" t="s">
        <v>678</v>
      </c>
      <c r="J459" s="30" t="s">
        <v>710</v>
      </c>
      <c r="K459" s="30" t="s">
        <v>690</v>
      </c>
      <c r="L459" s="30" t="s">
        <v>681</v>
      </c>
      <c r="M459" s="30">
        <v>0.3</v>
      </c>
      <c r="N459" s="30" t="s">
        <v>178</v>
      </c>
      <c r="O459" s="30" t="s">
        <v>682</v>
      </c>
      <c r="P459" s="30" t="s">
        <v>683</v>
      </c>
      <c r="Q459" s="30" t="s">
        <v>665</v>
      </c>
      <c r="R459" s="30" t="s">
        <v>366</v>
      </c>
      <c r="S459" s="30" t="s">
        <v>719</v>
      </c>
    </row>
    <row r="460" spans="1:19" x14ac:dyDescent="0.3">
      <c r="A460" s="31" t="s">
        <v>841</v>
      </c>
      <c r="B460" s="32" t="s">
        <v>707</v>
      </c>
      <c r="C460" s="32" t="s">
        <v>715</v>
      </c>
      <c r="D460" s="32" t="s">
        <v>673</v>
      </c>
      <c r="E460" s="32" t="s">
        <v>674</v>
      </c>
      <c r="F460" s="32" t="s">
        <v>716</v>
      </c>
      <c r="G460" s="32" t="s">
        <v>717</v>
      </c>
      <c r="H460" s="32" t="s">
        <v>717</v>
      </c>
      <c r="I460" s="32" t="s">
        <v>717</v>
      </c>
      <c r="J460" s="32" t="s">
        <v>713</v>
      </c>
      <c r="K460" s="32" t="s">
        <v>690</v>
      </c>
      <c r="L460" s="32" t="s">
        <v>699</v>
      </c>
      <c r="M460" s="32">
        <v>0.2</v>
      </c>
      <c r="N460" s="32" t="s">
        <v>178</v>
      </c>
      <c r="O460" s="32" t="s">
        <v>682</v>
      </c>
      <c r="P460" s="32" t="s">
        <v>683</v>
      </c>
      <c r="Q460" s="32" t="s">
        <v>665</v>
      </c>
      <c r="R460" s="32" t="s">
        <v>366</v>
      </c>
      <c r="S460" s="30" t="s">
        <v>719</v>
      </c>
    </row>
    <row r="461" spans="1:19" x14ac:dyDescent="0.3">
      <c r="A461" s="29" t="s">
        <v>1209</v>
      </c>
      <c r="B461" s="30" t="s">
        <v>707</v>
      </c>
      <c r="C461" s="30" t="s">
        <v>715</v>
      </c>
      <c r="D461" s="30" t="s">
        <v>755</v>
      </c>
      <c r="E461" s="30" t="s">
        <v>674</v>
      </c>
      <c r="F461" s="30" t="s">
        <v>716</v>
      </c>
      <c r="G461" s="30" t="s">
        <v>717</v>
      </c>
      <c r="H461" s="30" t="s">
        <v>717</v>
      </c>
      <c r="I461" s="30" t="s">
        <v>717</v>
      </c>
      <c r="J461" s="30" t="s">
        <v>679</v>
      </c>
      <c r="K461" s="30" t="s">
        <v>680</v>
      </c>
      <c r="L461" s="30" t="s">
        <v>699</v>
      </c>
      <c r="M461" s="30">
        <v>0.2</v>
      </c>
      <c r="N461" s="30" t="s">
        <v>178</v>
      </c>
      <c r="O461" s="30" t="s">
        <v>682</v>
      </c>
      <c r="P461" s="30" t="s">
        <v>683</v>
      </c>
      <c r="Q461" s="30" t="s">
        <v>665</v>
      </c>
      <c r="R461" s="30" t="s">
        <v>366</v>
      </c>
      <c r="S461" s="30" t="s">
        <v>719</v>
      </c>
    </row>
    <row r="462" spans="1:19" x14ac:dyDescent="0.3">
      <c r="A462" s="31" t="s">
        <v>1238</v>
      </c>
      <c r="B462" s="32" t="s">
        <v>1239</v>
      </c>
      <c r="C462" s="32" t="s">
        <v>1240</v>
      </c>
      <c r="D462" s="32" t="s">
        <v>684</v>
      </c>
      <c r="E462" s="32" t="s">
        <v>674</v>
      </c>
      <c r="F462" s="32" t="s">
        <v>675</v>
      </c>
      <c r="G462" s="32" t="s">
        <v>676</v>
      </c>
      <c r="H462" s="32" t="s">
        <v>677</v>
      </c>
      <c r="I462" s="32" t="s">
        <v>688</v>
      </c>
      <c r="J462" s="32" t="s">
        <v>860</v>
      </c>
      <c r="K462" s="32" t="s">
        <v>861</v>
      </c>
      <c r="L462" s="32" t="s">
        <v>691</v>
      </c>
      <c r="M462" s="32">
        <v>0.5</v>
      </c>
      <c r="N462" s="32" t="s">
        <v>1443</v>
      </c>
      <c r="O462" s="30" t="s">
        <v>746</v>
      </c>
      <c r="P462" s="32" t="s">
        <v>683</v>
      </c>
      <c r="Q462" s="32" t="s">
        <v>767</v>
      </c>
      <c r="R462" s="32" t="s">
        <v>1242</v>
      </c>
      <c r="S462" s="30" t="s">
        <v>673</v>
      </c>
    </row>
    <row r="463" spans="1:19" x14ac:dyDescent="0.3">
      <c r="A463" s="29" t="s">
        <v>1243</v>
      </c>
      <c r="B463" s="30" t="s">
        <v>1239</v>
      </c>
      <c r="C463" s="30" t="s">
        <v>1244</v>
      </c>
      <c r="D463" s="30" t="s">
        <v>684</v>
      </c>
      <c r="E463" s="30" t="s">
        <v>674</v>
      </c>
      <c r="F463" s="30" t="s">
        <v>675</v>
      </c>
      <c r="G463" s="30" t="s">
        <v>676</v>
      </c>
      <c r="H463" s="30" t="s">
        <v>677</v>
      </c>
      <c r="I463" s="30" t="s">
        <v>688</v>
      </c>
      <c r="J463" s="30" t="s">
        <v>860</v>
      </c>
      <c r="K463" s="30" t="s">
        <v>861</v>
      </c>
      <c r="L463" s="30" t="s">
        <v>739</v>
      </c>
      <c r="M463" s="30">
        <v>0.5</v>
      </c>
      <c r="N463" s="30" t="s">
        <v>1443</v>
      </c>
      <c r="O463" s="30" t="s">
        <v>746</v>
      </c>
      <c r="P463" s="30" t="s">
        <v>683</v>
      </c>
      <c r="Q463" s="32" t="s">
        <v>767</v>
      </c>
      <c r="R463" s="32" t="s">
        <v>1242</v>
      </c>
      <c r="S463" s="30" t="s">
        <v>673</v>
      </c>
    </row>
    <row r="464" spans="1:19" x14ac:dyDescent="0.3">
      <c r="A464" s="31" t="s">
        <v>1190</v>
      </c>
      <c r="B464" s="32" t="s">
        <v>154</v>
      </c>
      <c r="C464" s="32" t="s">
        <v>1023</v>
      </c>
      <c r="D464" s="32" t="s">
        <v>673</v>
      </c>
      <c r="E464" s="32" t="s">
        <v>674</v>
      </c>
      <c r="F464" s="32" t="s">
        <v>716</v>
      </c>
      <c r="G464" s="32" t="s">
        <v>744</v>
      </c>
      <c r="H464" s="32" t="s">
        <v>935</v>
      </c>
      <c r="I464" s="32" t="s">
        <v>688</v>
      </c>
      <c r="J464" s="32" t="s">
        <v>710</v>
      </c>
      <c r="K464" s="32" t="s">
        <v>690</v>
      </c>
      <c r="L464" s="32" t="s">
        <v>681</v>
      </c>
      <c r="M464" s="32">
        <v>0.5</v>
      </c>
      <c r="N464" s="32" t="s">
        <v>1241</v>
      </c>
      <c r="O464" s="32" t="s">
        <v>1915</v>
      </c>
      <c r="P464" s="32" t="s">
        <v>683</v>
      </c>
      <c r="Q464" s="32" t="s">
        <v>767</v>
      </c>
      <c r="R464" s="32" t="s">
        <v>1242</v>
      </c>
      <c r="S464" s="32" t="s">
        <v>673</v>
      </c>
    </row>
    <row r="465" spans="1:19" x14ac:dyDescent="0.3">
      <c r="A465" s="29" t="s">
        <v>1243</v>
      </c>
      <c r="B465" s="30" t="s">
        <v>1239</v>
      </c>
      <c r="C465" s="30" t="s">
        <v>1244</v>
      </c>
      <c r="D465" s="30" t="s">
        <v>684</v>
      </c>
      <c r="E465" s="30" t="s">
        <v>674</v>
      </c>
      <c r="F465" s="30" t="s">
        <v>675</v>
      </c>
      <c r="G465" s="30" t="s">
        <v>676</v>
      </c>
      <c r="H465" s="30" t="s">
        <v>677</v>
      </c>
      <c r="I465" s="30" t="s">
        <v>688</v>
      </c>
      <c r="J465" s="30" t="s">
        <v>860</v>
      </c>
      <c r="K465" s="30" t="s">
        <v>861</v>
      </c>
      <c r="L465" s="30" t="s">
        <v>739</v>
      </c>
      <c r="M465" s="30">
        <v>0.5</v>
      </c>
      <c r="N465" s="30" t="s">
        <v>1241</v>
      </c>
      <c r="O465" s="30" t="s">
        <v>1915</v>
      </c>
      <c r="P465" s="30" t="s">
        <v>683</v>
      </c>
      <c r="Q465" s="30" t="s">
        <v>767</v>
      </c>
      <c r="R465" s="30" t="s">
        <v>1242</v>
      </c>
      <c r="S465" s="32" t="s">
        <v>673</v>
      </c>
    </row>
    <row r="466" spans="1:19" x14ac:dyDescent="0.3">
      <c r="A466" s="31" t="s">
        <v>694</v>
      </c>
      <c r="B466" s="32" t="s">
        <v>695</v>
      </c>
      <c r="C466" s="32" t="s">
        <v>696</v>
      </c>
      <c r="D466" s="32" t="s">
        <v>673</v>
      </c>
      <c r="E466" s="32" t="s">
        <v>674</v>
      </c>
      <c r="F466" s="32" t="s">
        <v>675</v>
      </c>
      <c r="G466" s="32" t="s">
        <v>676</v>
      </c>
      <c r="H466" s="32" t="s">
        <v>677</v>
      </c>
      <c r="I466" s="32" t="s">
        <v>697</v>
      </c>
      <c r="J466" s="32" t="s">
        <v>698</v>
      </c>
      <c r="K466" s="32" t="s">
        <v>690</v>
      </c>
      <c r="L466" s="32" t="s">
        <v>699</v>
      </c>
      <c r="M466" s="32">
        <v>1</v>
      </c>
      <c r="N466" s="32" t="s">
        <v>1442</v>
      </c>
      <c r="O466" s="32" t="s">
        <v>1915</v>
      </c>
      <c r="P466" s="32" t="s">
        <v>683</v>
      </c>
      <c r="Q466" s="32" t="s">
        <v>767</v>
      </c>
      <c r="R466" s="32" t="s">
        <v>1242</v>
      </c>
      <c r="S466" s="32" t="s">
        <v>673</v>
      </c>
    </row>
    <row r="467" spans="1:19" x14ac:dyDescent="0.3">
      <c r="A467" s="29" t="s">
        <v>1044</v>
      </c>
      <c r="B467" s="30" t="s">
        <v>142</v>
      </c>
      <c r="C467" s="30" t="s">
        <v>1045</v>
      </c>
      <c r="D467" s="30" t="s">
        <v>673</v>
      </c>
      <c r="E467" s="30" t="s">
        <v>674</v>
      </c>
      <c r="F467" s="30" t="s">
        <v>675</v>
      </c>
      <c r="G467" s="30" t="s">
        <v>676</v>
      </c>
      <c r="H467" s="30" t="s">
        <v>702</v>
      </c>
      <c r="I467" s="30" t="s">
        <v>678</v>
      </c>
      <c r="J467" s="30" t="s">
        <v>698</v>
      </c>
      <c r="K467" s="30" t="s">
        <v>690</v>
      </c>
      <c r="L467" s="30" t="s">
        <v>691</v>
      </c>
      <c r="M467" s="30">
        <v>1</v>
      </c>
      <c r="N467" s="30" t="s">
        <v>46</v>
      </c>
      <c r="O467" s="30" t="s">
        <v>746</v>
      </c>
      <c r="P467" s="30" t="s">
        <v>683</v>
      </c>
      <c r="Q467" s="30" t="s">
        <v>665</v>
      </c>
      <c r="R467" s="30" t="s">
        <v>142</v>
      </c>
      <c r="S467" s="32" t="s">
        <v>673</v>
      </c>
    </row>
    <row r="468" spans="1:19" x14ac:dyDescent="0.3">
      <c r="A468" s="31" t="s">
        <v>879</v>
      </c>
      <c r="B468" s="32" t="s">
        <v>142</v>
      </c>
      <c r="C468" s="32" t="s">
        <v>880</v>
      </c>
      <c r="D468" s="32" t="s">
        <v>673</v>
      </c>
      <c r="E468" s="32" t="s">
        <v>674</v>
      </c>
      <c r="F468" s="32" t="s">
        <v>716</v>
      </c>
      <c r="G468" s="32" t="s">
        <v>744</v>
      </c>
      <c r="H468" s="32" t="s">
        <v>677</v>
      </c>
      <c r="I468" s="32" t="s">
        <v>678</v>
      </c>
      <c r="J468" s="32" t="s">
        <v>698</v>
      </c>
      <c r="K468" s="32" t="s">
        <v>690</v>
      </c>
      <c r="L468" s="32" t="s">
        <v>699</v>
      </c>
      <c r="M468" s="32">
        <v>1</v>
      </c>
      <c r="N468" s="32" t="s">
        <v>596</v>
      </c>
      <c r="O468" s="32" t="s">
        <v>746</v>
      </c>
      <c r="P468" s="32" t="s">
        <v>683</v>
      </c>
      <c r="Q468" s="32" t="s">
        <v>665</v>
      </c>
      <c r="R468" s="32" t="s">
        <v>142</v>
      </c>
      <c r="S468" s="32" t="s">
        <v>673</v>
      </c>
    </row>
    <row r="469" spans="1:19" x14ac:dyDescent="0.3">
      <c r="A469" s="29" t="s">
        <v>879</v>
      </c>
      <c r="B469" s="30" t="s">
        <v>142</v>
      </c>
      <c r="C469" s="30" t="s">
        <v>880</v>
      </c>
      <c r="D469" s="30" t="s">
        <v>673</v>
      </c>
      <c r="E469" s="30" t="s">
        <v>674</v>
      </c>
      <c r="F469" s="30" t="s">
        <v>716</v>
      </c>
      <c r="G469" s="30" t="s">
        <v>744</v>
      </c>
      <c r="H469" s="30" t="s">
        <v>677</v>
      </c>
      <c r="I469" s="30" t="s">
        <v>678</v>
      </c>
      <c r="J469" s="30" t="s">
        <v>698</v>
      </c>
      <c r="K469" s="30" t="s">
        <v>690</v>
      </c>
      <c r="L469" s="30" t="s">
        <v>699</v>
      </c>
      <c r="M469" s="30">
        <v>1</v>
      </c>
      <c r="N469" s="30" t="s">
        <v>409</v>
      </c>
      <c r="O469" s="30" t="s">
        <v>746</v>
      </c>
      <c r="P469" s="30" t="s">
        <v>683</v>
      </c>
      <c r="Q469" s="30" t="s">
        <v>665</v>
      </c>
      <c r="R469" s="30" t="s">
        <v>142</v>
      </c>
      <c r="S469" s="32" t="s">
        <v>673</v>
      </c>
    </row>
    <row r="470" spans="1:19" x14ac:dyDescent="0.3">
      <c r="A470" s="31" t="s">
        <v>879</v>
      </c>
      <c r="B470" s="32" t="s">
        <v>142</v>
      </c>
      <c r="C470" s="32" t="s">
        <v>880</v>
      </c>
      <c r="D470" s="32" t="s">
        <v>673</v>
      </c>
      <c r="E470" s="32" t="s">
        <v>674</v>
      </c>
      <c r="F470" s="32" t="s">
        <v>716</v>
      </c>
      <c r="G470" s="32" t="s">
        <v>744</v>
      </c>
      <c r="H470" s="32" t="s">
        <v>677</v>
      </c>
      <c r="I470" s="32" t="s">
        <v>678</v>
      </c>
      <c r="J470" s="32" t="s">
        <v>698</v>
      </c>
      <c r="K470" s="32" t="s">
        <v>690</v>
      </c>
      <c r="L470" s="32" t="s">
        <v>699</v>
      </c>
      <c r="M470" s="32">
        <v>1</v>
      </c>
      <c r="N470" s="32" t="s">
        <v>142</v>
      </c>
      <c r="O470" s="32" t="s">
        <v>711</v>
      </c>
      <c r="P470" s="32" t="s">
        <v>683</v>
      </c>
      <c r="Q470" s="32" t="s">
        <v>665</v>
      </c>
      <c r="R470" s="32" t="s">
        <v>366</v>
      </c>
      <c r="S470" s="30" t="s">
        <v>719</v>
      </c>
    </row>
    <row r="471" spans="1:19" x14ac:dyDescent="0.3">
      <c r="A471" s="29" t="s">
        <v>1167</v>
      </c>
      <c r="B471" s="30" t="s">
        <v>753</v>
      </c>
      <c r="C471" s="30" t="s">
        <v>1168</v>
      </c>
      <c r="D471" s="30" t="s">
        <v>755</v>
      </c>
      <c r="E471" s="30" t="s">
        <v>674</v>
      </c>
      <c r="F471" s="30" t="s">
        <v>716</v>
      </c>
      <c r="G471" s="30" t="s">
        <v>744</v>
      </c>
      <c r="H471" s="30" t="s">
        <v>702</v>
      </c>
      <c r="I471" s="30" t="s">
        <v>2286</v>
      </c>
      <c r="J471" s="30" t="s">
        <v>679</v>
      </c>
      <c r="K471" s="30" t="s">
        <v>680</v>
      </c>
      <c r="L471" s="30" t="s">
        <v>699</v>
      </c>
      <c r="M471" s="30">
        <v>0.1</v>
      </c>
      <c r="N471" s="30" t="s">
        <v>115</v>
      </c>
      <c r="O471" s="30" t="s">
        <v>746</v>
      </c>
      <c r="P471" s="30" t="s">
        <v>683</v>
      </c>
      <c r="Q471" s="30" t="s">
        <v>665</v>
      </c>
      <c r="R471" s="30" t="s">
        <v>132</v>
      </c>
      <c r="S471" s="32" t="s">
        <v>673</v>
      </c>
    </row>
    <row r="472" spans="1:19" x14ac:dyDescent="0.3">
      <c r="A472" s="31" t="s">
        <v>1050</v>
      </c>
      <c r="B472" s="32" t="s">
        <v>132</v>
      </c>
      <c r="C472" s="32" t="s">
        <v>1051</v>
      </c>
      <c r="D472" s="32" t="s">
        <v>673</v>
      </c>
      <c r="E472" s="32" t="s">
        <v>674</v>
      </c>
      <c r="F472" s="32" t="s">
        <v>716</v>
      </c>
      <c r="G472" s="32" t="s">
        <v>731</v>
      </c>
      <c r="H472" s="32" t="s">
        <v>702</v>
      </c>
      <c r="I472" s="32" t="s">
        <v>688</v>
      </c>
      <c r="J472" s="32" t="s">
        <v>713</v>
      </c>
      <c r="K472" s="32" t="s">
        <v>690</v>
      </c>
      <c r="L472" s="32" t="s">
        <v>691</v>
      </c>
      <c r="M472" s="32">
        <v>0.1</v>
      </c>
      <c r="N472" s="32" t="s">
        <v>115</v>
      </c>
      <c r="O472" s="32" t="s">
        <v>746</v>
      </c>
      <c r="P472" s="32" t="s">
        <v>683</v>
      </c>
      <c r="Q472" s="32" t="s">
        <v>665</v>
      </c>
      <c r="R472" s="32" t="s">
        <v>132</v>
      </c>
      <c r="S472" s="32" t="s">
        <v>673</v>
      </c>
    </row>
    <row r="473" spans="1:19" x14ac:dyDescent="0.3">
      <c r="A473" s="29" t="s">
        <v>1050</v>
      </c>
      <c r="B473" s="30" t="s">
        <v>132</v>
      </c>
      <c r="C473" s="30" t="s">
        <v>1051</v>
      </c>
      <c r="D473" s="30" t="s">
        <v>673</v>
      </c>
      <c r="E473" s="30" t="s">
        <v>674</v>
      </c>
      <c r="F473" s="30" t="s">
        <v>716</v>
      </c>
      <c r="G473" s="30" t="s">
        <v>731</v>
      </c>
      <c r="H473" s="30" t="s">
        <v>702</v>
      </c>
      <c r="I473" s="30" t="s">
        <v>688</v>
      </c>
      <c r="J473" s="30" t="s">
        <v>713</v>
      </c>
      <c r="K473" s="30" t="s">
        <v>690</v>
      </c>
      <c r="L473" s="30" t="s">
        <v>691</v>
      </c>
      <c r="M473" s="30">
        <v>1</v>
      </c>
      <c r="N473" s="30" t="s">
        <v>113</v>
      </c>
      <c r="O473" s="30" t="s">
        <v>746</v>
      </c>
      <c r="P473" s="30" t="s">
        <v>683</v>
      </c>
      <c r="Q473" s="30" t="s">
        <v>665</v>
      </c>
      <c r="R473" s="30" t="s">
        <v>132</v>
      </c>
      <c r="S473" s="32" t="s">
        <v>673</v>
      </c>
    </row>
    <row r="474" spans="1:19" x14ac:dyDescent="0.3">
      <c r="A474" s="31" t="s">
        <v>1050</v>
      </c>
      <c r="B474" s="32" t="s">
        <v>132</v>
      </c>
      <c r="C474" s="32" t="s">
        <v>1051</v>
      </c>
      <c r="D474" s="32" t="s">
        <v>673</v>
      </c>
      <c r="E474" s="32" t="s">
        <v>674</v>
      </c>
      <c r="F474" s="32" t="s">
        <v>716</v>
      </c>
      <c r="G474" s="32" t="s">
        <v>731</v>
      </c>
      <c r="H474" s="32" t="s">
        <v>702</v>
      </c>
      <c r="I474" s="32" t="s">
        <v>688</v>
      </c>
      <c r="J474" s="32" t="s">
        <v>713</v>
      </c>
      <c r="K474" s="32" t="s">
        <v>690</v>
      </c>
      <c r="L474" s="32" t="s">
        <v>691</v>
      </c>
      <c r="M474" s="32">
        <v>0.2</v>
      </c>
      <c r="N474" s="32" t="s">
        <v>496</v>
      </c>
      <c r="O474" s="32" t="s">
        <v>746</v>
      </c>
      <c r="P474" s="32" t="s">
        <v>683</v>
      </c>
      <c r="Q474" s="32" t="s">
        <v>665</v>
      </c>
      <c r="R474" s="32" t="s">
        <v>132</v>
      </c>
      <c r="S474" s="32" t="s">
        <v>673</v>
      </c>
    </row>
    <row r="475" spans="1:19" x14ac:dyDescent="0.3">
      <c r="A475" s="29" t="s">
        <v>2291</v>
      </c>
      <c r="B475" s="30" t="s">
        <v>760</v>
      </c>
      <c r="C475" s="30" t="s">
        <v>2292</v>
      </c>
      <c r="D475" s="30" t="s">
        <v>673</v>
      </c>
      <c r="E475" s="30" t="s">
        <v>674</v>
      </c>
      <c r="F475" s="30" t="s">
        <v>716</v>
      </c>
      <c r="G475" s="30" t="s">
        <v>744</v>
      </c>
      <c r="H475" s="30" t="s">
        <v>702</v>
      </c>
      <c r="I475" s="30" t="s">
        <v>688</v>
      </c>
      <c r="J475" s="30" t="s">
        <v>751</v>
      </c>
      <c r="K475" s="30" t="s">
        <v>690</v>
      </c>
      <c r="L475" s="30" t="s">
        <v>699</v>
      </c>
      <c r="M475" s="30">
        <v>0.8</v>
      </c>
      <c r="N475" s="30" t="s">
        <v>496</v>
      </c>
      <c r="O475" s="30" t="s">
        <v>746</v>
      </c>
      <c r="P475" s="30" t="s">
        <v>683</v>
      </c>
      <c r="Q475" s="30" t="s">
        <v>665</v>
      </c>
      <c r="R475" s="30" t="s">
        <v>132</v>
      </c>
      <c r="S475" s="32" t="s">
        <v>673</v>
      </c>
    </row>
    <row r="476" spans="1:19" x14ac:dyDescent="0.3">
      <c r="A476" s="31" t="s">
        <v>921</v>
      </c>
      <c r="B476" s="32" t="s">
        <v>544</v>
      </c>
      <c r="C476" s="32" t="s">
        <v>922</v>
      </c>
      <c r="D476" s="32" t="s">
        <v>684</v>
      </c>
      <c r="E476" s="32" t="s">
        <v>674</v>
      </c>
      <c r="F476" s="32" t="s">
        <v>716</v>
      </c>
      <c r="G476" s="32" t="s">
        <v>744</v>
      </c>
      <c r="H476" s="32" t="s">
        <v>702</v>
      </c>
      <c r="I476" s="32" t="s">
        <v>736</v>
      </c>
      <c r="J476" s="32" t="s">
        <v>737</v>
      </c>
      <c r="K476" s="32" t="s">
        <v>738</v>
      </c>
      <c r="L476" s="32" t="s">
        <v>808</v>
      </c>
      <c r="M476" s="32">
        <v>0.2</v>
      </c>
      <c r="N476" s="32" t="s">
        <v>1594</v>
      </c>
      <c r="O476" s="32" t="s">
        <v>1915</v>
      </c>
      <c r="P476" s="32" t="s">
        <v>683</v>
      </c>
      <c r="Q476" s="32" t="s">
        <v>767</v>
      </c>
      <c r="R476" s="32" t="s">
        <v>132</v>
      </c>
      <c r="S476" s="32" t="s">
        <v>673</v>
      </c>
    </row>
    <row r="477" spans="1:19" x14ac:dyDescent="0.3">
      <c r="A477" s="29" t="s">
        <v>857</v>
      </c>
      <c r="B477" s="30" t="s">
        <v>858</v>
      </c>
      <c r="C477" s="30" t="s">
        <v>859</v>
      </c>
      <c r="D477" s="30" t="s">
        <v>684</v>
      </c>
      <c r="E477" s="30" t="s">
        <v>674</v>
      </c>
      <c r="F477" s="30" t="s">
        <v>716</v>
      </c>
      <c r="G477" s="30" t="s">
        <v>744</v>
      </c>
      <c r="H477" s="30" t="s">
        <v>677</v>
      </c>
      <c r="I477" s="30" t="s">
        <v>688</v>
      </c>
      <c r="J477" s="30" t="s">
        <v>860</v>
      </c>
      <c r="K477" s="30" t="s">
        <v>861</v>
      </c>
      <c r="L477" s="30" t="s">
        <v>699</v>
      </c>
      <c r="M477" s="30">
        <v>1</v>
      </c>
      <c r="N477" s="30" t="s">
        <v>1008</v>
      </c>
      <c r="O477" s="30" t="s">
        <v>1915</v>
      </c>
      <c r="P477" s="30" t="s">
        <v>683</v>
      </c>
      <c r="Q477" s="30" t="s">
        <v>767</v>
      </c>
      <c r="R477" s="30" t="s">
        <v>300</v>
      </c>
      <c r="S477" s="30" t="s">
        <v>684</v>
      </c>
    </row>
    <row r="478" spans="1:19" x14ac:dyDescent="0.3">
      <c r="A478" s="31" t="s">
        <v>1247</v>
      </c>
      <c r="B478" s="32" t="s">
        <v>952</v>
      </c>
      <c r="C478" s="32" t="s">
        <v>953</v>
      </c>
      <c r="D478" s="32" t="s">
        <v>673</v>
      </c>
      <c r="E478" s="32" t="s">
        <v>674</v>
      </c>
      <c r="F478" s="32" t="s">
        <v>716</v>
      </c>
      <c r="G478" s="32" t="s">
        <v>744</v>
      </c>
      <c r="H478" s="32" t="s">
        <v>702</v>
      </c>
      <c r="I478" s="32" t="s">
        <v>678</v>
      </c>
      <c r="J478" s="32" t="s">
        <v>713</v>
      </c>
      <c r="K478" s="32" t="s">
        <v>690</v>
      </c>
      <c r="L478" s="32" t="s">
        <v>681</v>
      </c>
      <c r="M478" s="32">
        <v>1</v>
      </c>
      <c r="N478" s="32" t="s">
        <v>28</v>
      </c>
      <c r="O478" s="32" t="s">
        <v>1915</v>
      </c>
      <c r="P478" s="32" t="s">
        <v>683</v>
      </c>
      <c r="Q478" s="32" t="s">
        <v>767</v>
      </c>
      <c r="R478" s="32" t="s">
        <v>84</v>
      </c>
      <c r="S478" s="32" t="s">
        <v>673</v>
      </c>
    </row>
    <row r="479" spans="1:19" x14ac:dyDescent="0.3">
      <c r="A479" s="29" t="s">
        <v>1248</v>
      </c>
      <c r="B479" s="30" t="s">
        <v>154</v>
      </c>
      <c r="C479" s="30" t="s">
        <v>1249</v>
      </c>
      <c r="D479" s="30" t="s">
        <v>673</v>
      </c>
      <c r="E479" s="30" t="s">
        <v>674</v>
      </c>
      <c r="F479" s="30" t="s">
        <v>716</v>
      </c>
      <c r="G479" s="30" t="s">
        <v>744</v>
      </c>
      <c r="H479" s="30" t="s">
        <v>935</v>
      </c>
      <c r="I479" s="30" t="s">
        <v>688</v>
      </c>
      <c r="J479" s="30" t="s">
        <v>713</v>
      </c>
      <c r="K479" s="30" t="s">
        <v>690</v>
      </c>
      <c r="L479" s="30" t="s">
        <v>681</v>
      </c>
      <c r="M479" s="30">
        <v>0.7</v>
      </c>
      <c r="N479" s="30" t="s">
        <v>241</v>
      </c>
      <c r="O479" s="30" t="s">
        <v>1919</v>
      </c>
      <c r="P479" s="30" t="s">
        <v>683</v>
      </c>
      <c r="Q479" s="30" t="s">
        <v>767</v>
      </c>
      <c r="R479" s="30" t="s">
        <v>84</v>
      </c>
      <c r="S479" s="32" t="s">
        <v>673</v>
      </c>
    </row>
    <row r="480" spans="1:19" x14ac:dyDescent="0.3">
      <c r="A480" s="31" t="s">
        <v>1250</v>
      </c>
      <c r="B480" s="32" t="s">
        <v>154</v>
      </c>
      <c r="C480" s="32" t="s">
        <v>1251</v>
      </c>
      <c r="D480" s="32" t="s">
        <v>673</v>
      </c>
      <c r="E480" s="32" t="s">
        <v>674</v>
      </c>
      <c r="F480" s="32" t="s">
        <v>716</v>
      </c>
      <c r="G480" s="32" t="s">
        <v>744</v>
      </c>
      <c r="H480" s="32" t="s">
        <v>935</v>
      </c>
      <c r="I480" s="32" t="s">
        <v>688</v>
      </c>
      <c r="J480" s="32" t="s">
        <v>713</v>
      </c>
      <c r="K480" s="32" t="s">
        <v>690</v>
      </c>
      <c r="L480" s="32" t="s">
        <v>681</v>
      </c>
      <c r="M480" s="32">
        <v>0.3</v>
      </c>
      <c r="N480" s="32" t="s">
        <v>241</v>
      </c>
      <c r="O480" s="32" t="s">
        <v>1919</v>
      </c>
      <c r="P480" s="32" t="s">
        <v>683</v>
      </c>
      <c r="Q480" s="32" t="s">
        <v>767</v>
      </c>
      <c r="R480" s="32" t="s">
        <v>84</v>
      </c>
      <c r="S480" s="32" t="s">
        <v>673</v>
      </c>
    </row>
    <row r="481" spans="1:19" x14ac:dyDescent="0.3">
      <c r="A481" s="29" t="s">
        <v>1247</v>
      </c>
      <c r="B481" s="30" t="s">
        <v>952</v>
      </c>
      <c r="C481" s="30" t="s">
        <v>953</v>
      </c>
      <c r="D481" s="30" t="s">
        <v>673</v>
      </c>
      <c r="E481" s="30" t="s">
        <v>674</v>
      </c>
      <c r="F481" s="30" t="s">
        <v>716</v>
      </c>
      <c r="G481" s="30" t="s">
        <v>744</v>
      </c>
      <c r="H481" s="30" t="s">
        <v>702</v>
      </c>
      <c r="I481" s="30" t="s">
        <v>678</v>
      </c>
      <c r="J481" s="30" t="s">
        <v>713</v>
      </c>
      <c r="K481" s="30" t="s">
        <v>690</v>
      </c>
      <c r="L481" s="30" t="s">
        <v>681</v>
      </c>
      <c r="M481" s="30">
        <v>1</v>
      </c>
      <c r="N481" s="30" t="s">
        <v>332</v>
      </c>
      <c r="O481" s="30" t="s">
        <v>1915</v>
      </c>
      <c r="P481" s="30" t="s">
        <v>683</v>
      </c>
      <c r="Q481" s="30" t="s">
        <v>767</v>
      </c>
      <c r="R481" s="30" t="s">
        <v>84</v>
      </c>
      <c r="S481" s="32" t="s">
        <v>673</v>
      </c>
    </row>
    <row r="482" spans="1:19" x14ac:dyDescent="0.3">
      <c r="A482" s="31" t="s">
        <v>1247</v>
      </c>
      <c r="B482" s="32" t="s">
        <v>952</v>
      </c>
      <c r="C482" s="32" t="s">
        <v>953</v>
      </c>
      <c r="D482" s="32" t="s">
        <v>673</v>
      </c>
      <c r="E482" s="32" t="s">
        <v>674</v>
      </c>
      <c r="F482" s="32" t="s">
        <v>716</v>
      </c>
      <c r="G482" s="32" t="s">
        <v>744</v>
      </c>
      <c r="H482" s="32" t="s">
        <v>702</v>
      </c>
      <c r="I482" s="32" t="s">
        <v>678</v>
      </c>
      <c r="J482" s="32" t="s">
        <v>713</v>
      </c>
      <c r="K482" s="32" t="s">
        <v>690</v>
      </c>
      <c r="L482" s="32" t="s">
        <v>681</v>
      </c>
      <c r="M482" s="32">
        <v>0.5</v>
      </c>
      <c r="N482" s="32" t="s">
        <v>476</v>
      </c>
      <c r="O482" s="32" t="s">
        <v>746</v>
      </c>
      <c r="P482" s="32" t="s">
        <v>683</v>
      </c>
      <c r="Q482" s="32" t="s">
        <v>665</v>
      </c>
      <c r="R482" s="32" t="s">
        <v>84</v>
      </c>
      <c r="S482" s="32" t="s">
        <v>673</v>
      </c>
    </row>
    <row r="483" spans="1:19" x14ac:dyDescent="0.3">
      <c r="A483" s="29" t="s">
        <v>2301</v>
      </c>
      <c r="B483" s="30" t="s">
        <v>952</v>
      </c>
      <c r="C483" s="30" t="s">
        <v>1846</v>
      </c>
      <c r="D483" s="30" t="s">
        <v>673</v>
      </c>
      <c r="E483" s="30" t="s">
        <v>674</v>
      </c>
      <c r="F483" s="30" t="s">
        <v>716</v>
      </c>
      <c r="G483" s="30" t="s">
        <v>744</v>
      </c>
      <c r="H483" s="30" t="s">
        <v>702</v>
      </c>
      <c r="I483" s="30" t="s">
        <v>811</v>
      </c>
      <c r="J483" s="30" t="s">
        <v>713</v>
      </c>
      <c r="K483" s="30" t="s">
        <v>690</v>
      </c>
      <c r="L483" s="30" t="s">
        <v>681</v>
      </c>
      <c r="M483" s="30">
        <v>0.5</v>
      </c>
      <c r="N483" s="30" t="s">
        <v>476</v>
      </c>
      <c r="O483" s="30" t="s">
        <v>746</v>
      </c>
      <c r="P483" s="30" t="s">
        <v>683</v>
      </c>
      <c r="Q483" s="30" t="s">
        <v>665</v>
      </c>
      <c r="R483" s="30" t="s">
        <v>84</v>
      </c>
      <c r="S483" s="32" t="s">
        <v>673</v>
      </c>
    </row>
    <row r="484" spans="1:19" x14ac:dyDescent="0.3">
      <c r="A484" s="31" t="s">
        <v>1247</v>
      </c>
      <c r="B484" s="32" t="s">
        <v>952</v>
      </c>
      <c r="C484" s="32" t="s">
        <v>953</v>
      </c>
      <c r="D484" s="32" t="s">
        <v>673</v>
      </c>
      <c r="E484" s="32" t="s">
        <v>674</v>
      </c>
      <c r="F484" s="32" t="s">
        <v>716</v>
      </c>
      <c r="G484" s="32" t="s">
        <v>744</v>
      </c>
      <c r="H484" s="32" t="s">
        <v>702</v>
      </c>
      <c r="I484" s="32" t="s">
        <v>678</v>
      </c>
      <c r="J484" s="32" t="s">
        <v>713</v>
      </c>
      <c r="K484" s="32" t="s">
        <v>690</v>
      </c>
      <c r="L484" s="32" t="s">
        <v>681</v>
      </c>
      <c r="M484" s="32">
        <v>1</v>
      </c>
      <c r="N484" s="32" t="s">
        <v>453</v>
      </c>
      <c r="O484" s="32" t="s">
        <v>2204</v>
      </c>
      <c r="P484" s="32" t="s">
        <v>683</v>
      </c>
      <c r="Q484" s="32" t="s">
        <v>767</v>
      </c>
      <c r="R484" s="32" t="s">
        <v>84</v>
      </c>
      <c r="S484" s="32" t="s">
        <v>673</v>
      </c>
    </row>
    <row r="485" spans="1:19" x14ac:dyDescent="0.3">
      <c r="A485" s="29" t="s">
        <v>1248</v>
      </c>
      <c r="B485" s="30" t="s">
        <v>154</v>
      </c>
      <c r="C485" s="30" t="s">
        <v>1249</v>
      </c>
      <c r="D485" s="30" t="s">
        <v>673</v>
      </c>
      <c r="E485" s="30" t="s">
        <v>674</v>
      </c>
      <c r="F485" s="30" t="s">
        <v>716</v>
      </c>
      <c r="G485" s="30" t="s">
        <v>744</v>
      </c>
      <c r="H485" s="30" t="s">
        <v>935</v>
      </c>
      <c r="I485" s="30" t="s">
        <v>688</v>
      </c>
      <c r="J485" s="30" t="s">
        <v>713</v>
      </c>
      <c r="K485" s="30" t="s">
        <v>690</v>
      </c>
      <c r="L485" s="30" t="s">
        <v>681</v>
      </c>
      <c r="M485" s="30">
        <v>0.7</v>
      </c>
      <c r="N485" s="30" t="s">
        <v>39</v>
      </c>
      <c r="O485" s="30" t="s">
        <v>746</v>
      </c>
      <c r="P485" s="30" t="s">
        <v>683</v>
      </c>
      <c r="Q485" s="30" t="s">
        <v>665</v>
      </c>
      <c r="R485" s="30" t="s">
        <v>84</v>
      </c>
      <c r="S485" s="32" t="s">
        <v>673</v>
      </c>
    </row>
    <row r="486" spans="1:19" x14ac:dyDescent="0.3">
      <c r="A486" s="31" t="s">
        <v>1250</v>
      </c>
      <c r="B486" s="32" t="s">
        <v>154</v>
      </c>
      <c r="C486" s="32" t="s">
        <v>1251</v>
      </c>
      <c r="D486" s="32" t="s">
        <v>673</v>
      </c>
      <c r="E486" s="32" t="s">
        <v>674</v>
      </c>
      <c r="F486" s="32" t="s">
        <v>716</v>
      </c>
      <c r="G486" s="32" t="s">
        <v>744</v>
      </c>
      <c r="H486" s="32" t="s">
        <v>935</v>
      </c>
      <c r="I486" s="32" t="s">
        <v>688</v>
      </c>
      <c r="J486" s="32" t="s">
        <v>713</v>
      </c>
      <c r="K486" s="32" t="s">
        <v>690</v>
      </c>
      <c r="L486" s="32" t="s">
        <v>681</v>
      </c>
      <c r="M486" s="32">
        <v>0.3</v>
      </c>
      <c r="N486" s="32" t="s">
        <v>39</v>
      </c>
      <c r="O486" s="32" t="s">
        <v>746</v>
      </c>
      <c r="P486" s="32" t="s">
        <v>683</v>
      </c>
      <c r="Q486" s="32" t="s">
        <v>665</v>
      </c>
      <c r="R486" s="32" t="s">
        <v>84</v>
      </c>
      <c r="S486" s="32" t="s">
        <v>673</v>
      </c>
    </row>
    <row r="487" spans="1:19" x14ac:dyDescent="0.3">
      <c r="A487" s="29" t="s">
        <v>1247</v>
      </c>
      <c r="B487" s="30" t="s">
        <v>952</v>
      </c>
      <c r="C487" s="30" t="s">
        <v>953</v>
      </c>
      <c r="D487" s="30" t="s">
        <v>673</v>
      </c>
      <c r="E487" s="30" t="s">
        <v>674</v>
      </c>
      <c r="F487" s="30" t="s">
        <v>716</v>
      </c>
      <c r="G487" s="30" t="s">
        <v>744</v>
      </c>
      <c r="H487" s="30" t="s">
        <v>702</v>
      </c>
      <c r="I487" s="30" t="s">
        <v>678</v>
      </c>
      <c r="J487" s="30" t="s">
        <v>713</v>
      </c>
      <c r="K487" s="30" t="s">
        <v>690</v>
      </c>
      <c r="L487" s="30" t="s">
        <v>681</v>
      </c>
      <c r="M487" s="30">
        <v>0.7</v>
      </c>
      <c r="N487" s="30" t="s">
        <v>301</v>
      </c>
      <c r="O487" s="30" t="s">
        <v>746</v>
      </c>
      <c r="P487" s="30" t="s">
        <v>683</v>
      </c>
      <c r="Q487" s="30" t="s">
        <v>665</v>
      </c>
      <c r="R487" s="30" t="s">
        <v>84</v>
      </c>
      <c r="S487" s="32" t="s">
        <v>673</v>
      </c>
    </row>
    <row r="488" spans="1:19" x14ac:dyDescent="0.3">
      <c r="A488" s="31" t="s">
        <v>1252</v>
      </c>
      <c r="B488" s="32" t="s">
        <v>1253</v>
      </c>
      <c r="C488" s="32" t="s">
        <v>1254</v>
      </c>
      <c r="D488" s="32" t="s">
        <v>673</v>
      </c>
      <c r="E488" s="32" t="s">
        <v>674</v>
      </c>
      <c r="F488" s="32" t="s">
        <v>716</v>
      </c>
      <c r="G488" s="32" t="s">
        <v>744</v>
      </c>
      <c r="H488" s="32" t="s">
        <v>935</v>
      </c>
      <c r="I488" s="32" t="s">
        <v>688</v>
      </c>
      <c r="J488" s="32" t="s">
        <v>710</v>
      </c>
      <c r="K488" s="32" t="s">
        <v>690</v>
      </c>
      <c r="L488" s="32" t="s">
        <v>681</v>
      </c>
      <c r="M488" s="32">
        <v>1</v>
      </c>
      <c r="N488" s="32" t="s">
        <v>1255</v>
      </c>
      <c r="O488" s="32" t="s">
        <v>1915</v>
      </c>
      <c r="P488" s="32" t="s">
        <v>683</v>
      </c>
      <c r="Q488" s="32" t="s">
        <v>767</v>
      </c>
      <c r="R488" s="32" t="s">
        <v>49</v>
      </c>
      <c r="S488" s="32" t="s">
        <v>673</v>
      </c>
    </row>
    <row r="489" spans="1:19" x14ac:dyDescent="0.3">
      <c r="A489" s="29" t="s">
        <v>694</v>
      </c>
      <c r="B489" s="30" t="s">
        <v>695</v>
      </c>
      <c r="C489" s="30" t="s">
        <v>696</v>
      </c>
      <c r="D489" s="30" t="s">
        <v>673</v>
      </c>
      <c r="E489" s="30" t="s">
        <v>674</v>
      </c>
      <c r="F489" s="30" t="s">
        <v>675</v>
      </c>
      <c r="G489" s="30" t="s">
        <v>676</v>
      </c>
      <c r="H489" s="30" t="s">
        <v>677</v>
      </c>
      <c r="I489" s="30" t="s">
        <v>697</v>
      </c>
      <c r="J489" s="30" t="s">
        <v>698</v>
      </c>
      <c r="K489" s="30" t="s">
        <v>690</v>
      </c>
      <c r="L489" s="30" t="s">
        <v>699</v>
      </c>
      <c r="M489" s="30">
        <v>1</v>
      </c>
      <c r="N489" s="30" t="s">
        <v>1256</v>
      </c>
      <c r="O489" s="30" t="s">
        <v>746</v>
      </c>
      <c r="P489" s="30" t="s">
        <v>683</v>
      </c>
      <c r="Q489" s="30" t="s">
        <v>665</v>
      </c>
      <c r="R489" s="30" t="s">
        <v>49</v>
      </c>
      <c r="S489" s="32" t="s">
        <v>673</v>
      </c>
    </row>
    <row r="490" spans="1:19" x14ac:dyDescent="0.3">
      <c r="A490" s="31" t="s">
        <v>1257</v>
      </c>
      <c r="B490" s="32" t="s">
        <v>1258</v>
      </c>
      <c r="C490" s="32" t="s">
        <v>1259</v>
      </c>
      <c r="D490" s="32" t="s">
        <v>755</v>
      </c>
      <c r="E490" s="32" t="s">
        <v>674</v>
      </c>
      <c r="F490" s="32" t="s">
        <v>716</v>
      </c>
      <c r="G490" s="32" t="s">
        <v>724</v>
      </c>
      <c r="H490" s="32" t="s">
        <v>677</v>
      </c>
      <c r="I490" s="32" t="s">
        <v>688</v>
      </c>
      <c r="J490" s="32" t="s">
        <v>950</v>
      </c>
      <c r="K490" s="32" t="s">
        <v>680</v>
      </c>
      <c r="L490" s="32" t="s">
        <v>699</v>
      </c>
      <c r="M490" s="32">
        <v>1</v>
      </c>
      <c r="N490" s="32" t="s">
        <v>337</v>
      </c>
      <c r="O490" s="32" t="s">
        <v>746</v>
      </c>
      <c r="P490" s="32" t="s">
        <v>683</v>
      </c>
      <c r="Q490" s="32" t="s">
        <v>665</v>
      </c>
      <c r="R490" s="32" t="s">
        <v>293</v>
      </c>
      <c r="S490" s="30" t="s">
        <v>755</v>
      </c>
    </row>
    <row r="491" spans="1:19" x14ac:dyDescent="0.3">
      <c r="A491" s="29" t="s">
        <v>1339</v>
      </c>
      <c r="B491" s="30" t="s">
        <v>1340</v>
      </c>
      <c r="C491" s="30" t="s">
        <v>1341</v>
      </c>
      <c r="D491" s="30" t="s">
        <v>673</v>
      </c>
      <c r="E491" s="30" t="s">
        <v>674</v>
      </c>
      <c r="F491" s="30" t="s">
        <v>675</v>
      </c>
      <c r="G491" s="30" t="s">
        <v>744</v>
      </c>
      <c r="H491" s="30" t="s">
        <v>677</v>
      </c>
      <c r="I491" s="30" t="s">
        <v>688</v>
      </c>
      <c r="J491" s="30" t="s">
        <v>713</v>
      </c>
      <c r="K491" s="30" t="s">
        <v>690</v>
      </c>
      <c r="L491" s="30" t="s">
        <v>681</v>
      </c>
      <c r="M491" s="30">
        <v>1</v>
      </c>
      <c r="N491" s="30" t="s">
        <v>100</v>
      </c>
      <c r="O491" s="30" t="s">
        <v>746</v>
      </c>
      <c r="P491" s="30" t="s">
        <v>683</v>
      </c>
      <c r="Q491" s="30" t="s">
        <v>665</v>
      </c>
      <c r="R491" s="30" t="s">
        <v>411</v>
      </c>
      <c r="S491" s="32" t="s">
        <v>673</v>
      </c>
    </row>
    <row r="492" spans="1:19" x14ac:dyDescent="0.3">
      <c r="A492" s="31" t="s">
        <v>1024</v>
      </c>
      <c r="B492" s="32" t="s">
        <v>154</v>
      </c>
      <c r="C492" s="32" t="s">
        <v>1025</v>
      </c>
      <c r="D492" s="32" t="s">
        <v>673</v>
      </c>
      <c r="E492" s="32" t="s">
        <v>674</v>
      </c>
      <c r="F492" s="32" t="s">
        <v>675</v>
      </c>
      <c r="G492" s="32" t="s">
        <v>676</v>
      </c>
      <c r="H492" s="32" t="s">
        <v>677</v>
      </c>
      <c r="I492" s="32" t="s">
        <v>688</v>
      </c>
      <c r="J492" s="32" t="s">
        <v>713</v>
      </c>
      <c r="K492" s="32" t="s">
        <v>690</v>
      </c>
      <c r="L492" s="32" t="s">
        <v>681</v>
      </c>
      <c r="M492" s="32">
        <v>1</v>
      </c>
      <c r="N492" s="32" t="s">
        <v>493</v>
      </c>
      <c r="O492" s="32" t="s">
        <v>746</v>
      </c>
      <c r="P492" s="32" t="s">
        <v>683</v>
      </c>
      <c r="Q492" s="32" t="s">
        <v>665</v>
      </c>
      <c r="R492" s="32" t="s">
        <v>411</v>
      </c>
      <c r="S492" s="32" t="s">
        <v>673</v>
      </c>
    </row>
    <row r="493" spans="1:19" x14ac:dyDescent="0.3">
      <c r="A493" s="29" t="s">
        <v>966</v>
      </c>
      <c r="B493" s="30" t="s">
        <v>967</v>
      </c>
      <c r="C493" s="30" t="s">
        <v>968</v>
      </c>
      <c r="D493" s="30" t="s">
        <v>673</v>
      </c>
      <c r="E493" s="30" t="s">
        <v>674</v>
      </c>
      <c r="F493" s="30" t="s">
        <v>716</v>
      </c>
      <c r="G493" s="30" t="s">
        <v>744</v>
      </c>
      <c r="H493" s="30" t="s">
        <v>935</v>
      </c>
      <c r="I493" s="30" t="s">
        <v>678</v>
      </c>
      <c r="J493" s="30" t="s">
        <v>713</v>
      </c>
      <c r="K493" s="30" t="s">
        <v>690</v>
      </c>
      <c r="L493" s="30" t="s">
        <v>681</v>
      </c>
      <c r="M493" s="30">
        <v>0.1</v>
      </c>
      <c r="N493" s="30" t="s">
        <v>560</v>
      </c>
      <c r="O493" s="30" t="s">
        <v>746</v>
      </c>
      <c r="P493" s="30" t="s">
        <v>683</v>
      </c>
      <c r="Q493" s="30" t="s">
        <v>665</v>
      </c>
      <c r="R493" s="30" t="s">
        <v>411</v>
      </c>
      <c r="S493" s="32" t="s">
        <v>673</v>
      </c>
    </row>
    <row r="494" spans="1:19" x14ac:dyDescent="0.3">
      <c r="A494" s="31" t="s">
        <v>1202</v>
      </c>
      <c r="B494" s="32" t="s">
        <v>154</v>
      </c>
      <c r="C494" s="32" t="s">
        <v>862</v>
      </c>
      <c r="D494" s="32" t="s">
        <v>673</v>
      </c>
      <c r="E494" s="32" t="s">
        <v>674</v>
      </c>
      <c r="F494" s="32" t="s">
        <v>716</v>
      </c>
      <c r="G494" s="32" t="s">
        <v>744</v>
      </c>
      <c r="H494" s="32" t="s">
        <v>935</v>
      </c>
      <c r="I494" s="32" t="s">
        <v>678</v>
      </c>
      <c r="J494" s="32" t="s">
        <v>713</v>
      </c>
      <c r="K494" s="32" t="s">
        <v>690</v>
      </c>
      <c r="L494" s="32" t="s">
        <v>681</v>
      </c>
      <c r="M494" s="32">
        <v>0.1</v>
      </c>
      <c r="N494" s="32" t="s">
        <v>560</v>
      </c>
      <c r="O494" s="32" t="s">
        <v>746</v>
      </c>
      <c r="P494" s="32" t="s">
        <v>683</v>
      </c>
      <c r="Q494" s="32" t="s">
        <v>665</v>
      </c>
      <c r="R494" s="32" t="s">
        <v>411</v>
      </c>
      <c r="S494" s="32" t="s">
        <v>673</v>
      </c>
    </row>
    <row r="495" spans="1:19" x14ac:dyDescent="0.3">
      <c r="A495" s="29" t="s">
        <v>1334</v>
      </c>
      <c r="B495" s="30" t="s">
        <v>154</v>
      </c>
      <c r="C495" s="30" t="s">
        <v>1335</v>
      </c>
      <c r="D495" s="30" t="s">
        <v>673</v>
      </c>
      <c r="E495" s="30" t="s">
        <v>674</v>
      </c>
      <c r="F495" s="30" t="s">
        <v>716</v>
      </c>
      <c r="G495" s="30" t="s">
        <v>744</v>
      </c>
      <c r="H495" s="30" t="s">
        <v>935</v>
      </c>
      <c r="I495" s="30" t="s">
        <v>678</v>
      </c>
      <c r="J495" s="30" t="s">
        <v>713</v>
      </c>
      <c r="K495" s="30" t="s">
        <v>690</v>
      </c>
      <c r="L495" s="30" t="s">
        <v>681</v>
      </c>
      <c r="M495" s="30">
        <v>0.2</v>
      </c>
      <c r="N495" s="30" t="s">
        <v>560</v>
      </c>
      <c r="O495" s="30" t="s">
        <v>746</v>
      </c>
      <c r="P495" s="30" t="s">
        <v>683</v>
      </c>
      <c r="Q495" s="30" t="s">
        <v>665</v>
      </c>
      <c r="R495" s="30" t="s">
        <v>411</v>
      </c>
      <c r="S495" s="32" t="s">
        <v>673</v>
      </c>
    </row>
    <row r="496" spans="1:19" x14ac:dyDescent="0.3">
      <c r="A496" s="31" t="s">
        <v>954</v>
      </c>
      <c r="B496" s="32" t="s">
        <v>955</v>
      </c>
      <c r="C496" s="32" t="s">
        <v>956</v>
      </c>
      <c r="D496" s="32" t="s">
        <v>673</v>
      </c>
      <c r="E496" s="32" t="s">
        <v>674</v>
      </c>
      <c r="F496" s="32" t="s">
        <v>675</v>
      </c>
      <c r="G496" s="32" t="s">
        <v>676</v>
      </c>
      <c r="H496" s="32" t="s">
        <v>677</v>
      </c>
      <c r="I496" s="32" t="s">
        <v>688</v>
      </c>
      <c r="J496" s="32" t="s">
        <v>713</v>
      </c>
      <c r="K496" s="32" t="s">
        <v>690</v>
      </c>
      <c r="L496" s="32" t="s">
        <v>699</v>
      </c>
      <c r="M496" s="32">
        <v>0.2</v>
      </c>
      <c r="N496" s="32" t="s">
        <v>560</v>
      </c>
      <c r="O496" s="32" t="s">
        <v>746</v>
      </c>
      <c r="P496" s="32" t="s">
        <v>683</v>
      </c>
      <c r="Q496" s="32" t="s">
        <v>665</v>
      </c>
      <c r="R496" s="32" t="s">
        <v>411</v>
      </c>
      <c r="S496" s="32" t="s">
        <v>673</v>
      </c>
    </row>
    <row r="497" spans="1:19" x14ac:dyDescent="0.3">
      <c r="A497" s="29" t="s">
        <v>1205</v>
      </c>
      <c r="B497" s="30" t="s">
        <v>154</v>
      </c>
      <c r="C497" s="30" t="s">
        <v>1206</v>
      </c>
      <c r="D497" s="30" t="s">
        <v>673</v>
      </c>
      <c r="E497" s="30" t="s">
        <v>674</v>
      </c>
      <c r="F497" s="30" t="s">
        <v>716</v>
      </c>
      <c r="G497" s="30" t="s">
        <v>744</v>
      </c>
      <c r="H497" s="30" t="s">
        <v>935</v>
      </c>
      <c r="I497" s="30" t="s">
        <v>688</v>
      </c>
      <c r="J497" s="30" t="s">
        <v>713</v>
      </c>
      <c r="K497" s="30" t="s">
        <v>690</v>
      </c>
      <c r="L497" s="30" t="s">
        <v>681</v>
      </c>
      <c r="M497" s="30">
        <v>0.2</v>
      </c>
      <c r="N497" s="30" t="s">
        <v>560</v>
      </c>
      <c r="O497" s="30" t="s">
        <v>746</v>
      </c>
      <c r="P497" s="30" t="s">
        <v>683</v>
      </c>
      <c r="Q497" s="30" t="s">
        <v>665</v>
      </c>
      <c r="R497" s="30" t="s">
        <v>411</v>
      </c>
      <c r="S497" s="32" t="s">
        <v>673</v>
      </c>
    </row>
    <row r="498" spans="1:19" x14ac:dyDescent="0.3">
      <c r="A498" s="31" t="s">
        <v>1016</v>
      </c>
      <c r="B498" s="32" t="s">
        <v>955</v>
      </c>
      <c r="C498" s="32" t="s">
        <v>1017</v>
      </c>
      <c r="D498" s="32" t="s">
        <v>673</v>
      </c>
      <c r="E498" s="32" t="s">
        <v>674</v>
      </c>
      <c r="F498" s="32" t="s">
        <v>675</v>
      </c>
      <c r="G498" s="32" t="s">
        <v>676</v>
      </c>
      <c r="H498" s="32" t="s">
        <v>677</v>
      </c>
      <c r="I498" s="32" t="s">
        <v>688</v>
      </c>
      <c r="J498" s="32" t="s">
        <v>713</v>
      </c>
      <c r="K498" s="32" t="s">
        <v>690</v>
      </c>
      <c r="L498" s="32" t="s">
        <v>699</v>
      </c>
      <c r="M498" s="32">
        <v>0.2</v>
      </c>
      <c r="N498" s="32" t="s">
        <v>560</v>
      </c>
      <c r="O498" s="32" t="s">
        <v>746</v>
      </c>
      <c r="P498" s="32" t="s">
        <v>683</v>
      </c>
      <c r="Q498" s="32" t="s">
        <v>665</v>
      </c>
      <c r="R498" s="32" t="s">
        <v>411</v>
      </c>
      <c r="S498" s="32" t="s">
        <v>673</v>
      </c>
    </row>
    <row r="499" spans="1:19" x14ac:dyDescent="0.3">
      <c r="A499" s="29" t="s">
        <v>1016</v>
      </c>
      <c r="B499" s="30" t="s">
        <v>955</v>
      </c>
      <c r="C499" s="30" t="s">
        <v>1017</v>
      </c>
      <c r="D499" s="30" t="s">
        <v>673</v>
      </c>
      <c r="E499" s="30" t="s">
        <v>674</v>
      </c>
      <c r="F499" s="30" t="s">
        <v>675</v>
      </c>
      <c r="G499" s="30" t="s">
        <v>676</v>
      </c>
      <c r="H499" s="30" t="s">
        <v>677</v>
      </c>
      <c r="I499" s="30" t="s">
        <v>688</v>
      </c>
      <c r="J499" s="30" t="s">
        <v>713</v>
      </c>
      <c r="K499" s="30" t="s">
        <v>690</v>
      </c>
      <c r="L499" s="30" t="s">
        <v>699</v>
      </c>
      <c r="M499" s="30">
        <v>0.5</v>
      </c>
      <c r="N499" s="30" t="s">
        <v>287</v>
      </c>
      <c r="O499" s="30" t="s">
        <v>746</v>
      </c>
      <c r="P499" s="30" t="s">
        <v>683</v>
      </c>
      <c r="Q499" s="30" t="s">
        <v>665</v>
      </c>
      <c r="R499" s="30" t="s">
        <v>411</v>
      </c>
      <c r="S499" s="32" t="s">
        <v>673</v>
      </c>
    </row>
    <row r="500" spans="1:19" x14ac:dyDescent="0.3">
      <c r="A500" s="31" t="s">
        <v>954</v>
      </c>
      <c r="B500" s="32" t="s">
        <v>955</v>
      </c>
      <c r="C500" s="32" t="s">
        <v>956</v>
      </c>
      <c r="D500" s="32" t="s">
        <v>673</v>
      </c>
      <c r="E500" s="32" t="s">
        <v>674</v>
      </c>
      <c r="F500" s="32" t="s">
        <v>675</v>
      </c>
      <c r="G500" s="32" t="s">
        <v>676</v>
      </c>
      <c r="H500" s="32" t="s">
        <v>677</v>
      </c>
      <c r="I500" s="32" t="s">
        <v>688</v>
      </c>
      <c r="J500" s="32" t="s">
        <v>713</v>
      </c>
      <c r="K500" s="32" t="s">
        <v>690</v>
      </c>
      <c r="L500" s="32" t="s">
        <v>699</v>
      </c>
      <c r="M500" s="32">
        <v>1</v>
      </c>
      <c r="N500" s="32" t="s">
        <v>513</v>
      </c>
      <c r="O500" s="32" t="s">
        <v>746</v>
      </c>
      <c r="P500" s="32" t="s">
        <v>683</v>
      </c>
      <c r="Q500" s="32" t="s">
        <v>665</v>
      </c>
      <c r="R500" s="32" t="s">
        <v>411</v>
      </c>
      <c r="S500" s="32" t="s">
        <v>673</v>
      </c>
    </row>
    <row r="501" spans="1:19" x14ac:dyDescent="0.3">
      <c r="A501" s="29" t="s">
        <v>966</v>
      </c>
      <c r="B501" s="30" t="s">
        <v>967</v>
      </c>
      <c r="C501" s="30" t="s">
        <v>968</v>
      </c>
      <c r="D501" s="30" t="s">
        <v>673</v>
      </c>
      <c r="E501" s="30" t="s">
        <v>674</v>
      </c>
      <c r="F501" s="30" t="s">
        <v>716</v>
      </c>
      <c r="G501" s="30" t="s">
        <v>744</v>
      </c>
      <c r="H501" s="30" t="s">
        <v>935</v>
      </c>
      <c r="I501" s="30" t="s">
        <v>678</v>
      </c>
      <c r="J501" s="30" t="s">
        <v>713</v>
      </c>
      <c r="K501" s="30" t="s">
        <v>690</v>
      </c>
      <c r="L501" s="30" t="s">
        <v>681</v>
      </c>
      <c r="M501" s="30">
        <v>0.5</v>
      </c>
      <c r="N501" s="30" t="s">
        <v>489</v>
      </c>
      <c r="O501" s="30" t="s">
        <v>746</v>
      </c>
      <c r="P501" s="30" t="s">
        <v>683</v>
      </c>
      <c r="Q501" s="30" t="s">
        <v>665</v>
      </c>
      <c r="R501" s="30" t="s">
        <v>411</v>
      </c>
      <c r="S501" s="32" t="s">
        <v>673</v>
      </c>
    </row>
    <row r="502" spans="1:19" x14ac:dyDescent="0.3">
      <c r="A502" s="31" t="s">
        <v>1334</v>
      </c>
      <c r="B502" s="32" t="s">
        <v>154</v>
      </c>
      <c r="C502" s="32" t="s">
        <v>1335</v>
      </c>
      <c r="D502" s="32" t="s">
        <v>673</v>
      </c>
      <c r="E502" s="32" t="s">
        <v>674</v>
      </c>
      <c r="F502" s="32" t="s">
        <v>716</v>
      </c>
      <c r="G502" s="32" t="s">
        <v>744</v>
      </c>
      <c r="H502" s="32" t="s">
        <v>935</v>
      </c>
      <c r="I502" s="32" t="s">
        <v>678</v>
      </c>
      <c r="J502" s="32" t="s">
        <v>713</v>
      </c>
      <c r="K502" s="32" t="s">
        <v>690</v>
      </c>
      <c r="L502" s="32" t="s">
        <v>681</v>
      </c>
      <c r="M502" s="32">
        <v>0.5</v>
      </c>
      <c r="N502" s="32" t="s">
        <v>489</v>
      </c>
      <c r="O502" s="32" t="s">
        <v>746</v>
      </c>
      <c r="P502" s="32" t="s">
        <v>683</v>
      </c>
      <c r="Q502" s="32" t="s">
        <v>665</v>
      </c>
      <c r="R502" s="32" t="s">
        <v>411</v>
      </c>
      <c r="S502" s="32" t="s">
        <v>673</v>
      </c>
    </row>
    <row r="503" spans="1:19" x14ac:dyDescent="0.3">
      <c r="A503" s="29" t="s">
        <v>1336</v>
      </c>
      <c r="B503" s="30" t="s">
        <v>1337</v>
      </c>
      <c r="C503" s="30" t="s">
        <v>1338</v>
      </c>
      <c r="D503" s="30" t="s">
        <v>673</v>
      </c>
      <c r="E503" s="30" t="s">
        <v>674</v>
      </c>
      <c r="F503" s="30" t="s">
        <v>675</v>
      </c>
      <c r="G503" s="30" t="s">
        <v>744</v>
      </c>
      <c r="H503" s="30" t="s">
        <v>677</v>
      </c>
      <c r="I503" s="30" t="s">
        <v>688</v>
      </c>
      <c r="J503" s="30" t="s">
        <v>713</v>
      </c>
      <c r="K503" s="30" t="s">
        <v>690</v>
      </c>
      <c r="L503" s="30" t="s">
        <v>681</v>
      </c>
      <c r="M503" s="30">
        <v>1</v>
      </c>
      <c r="N503" s="30" t="s">
        <v>361</v>
      </c>
      <c r="O503" s="30" t="s">
        <v>746</v>
      </c>
      <c r="P503" s="30" t="s">
        <v>683</v>
      </c>
      <c r="Q503" s="30" t="s">
        <v>665</v>
      </c>
      <c r="R503" s="30" t="s">
        <v>411</v>
      </c>
      <c r="S503" s="32" t="s">
        <v>673</v>
      </c>
    </row>
    <row r="504" spans="1:19" x14ac:dyDescent="0.3">
      <c r="A504" s="31" t="s">
        <v>957</v>
      </c>
      <c r="B504" s="32" t="s">
        <v>154</v>
      </c>
      <c r="C504" s="32" t="s">
        <v>958</v>
      </c>
      <c r="D504" s="32" t="s">
        <v>673</v>
      </c>
      <c r="E504" s="32" t="s">
        <v>674</v>
      </c>
      <c r="F504" s="32" t="s">
        <v>716</v>
      </c>
      <c r="G504" s="32" t="s">
        <v>744</v>
      </c>
      <c r="H504" s="32" t="s">
        <v>935</v>
      </c>
      <c r="I504" s="32" t="s">
        <v>678</v>
      </c>
      <c r="J504" s="32" t="s">
        <v>713</v>
      </c>
      <c r="K504" s="32" t="s">
        <v>690</v>
      </c>
      <c r="L504" s="32" t="s">
        <v>681</v>
      </c>
      <c r="M504" s="32">
        <v>0.5</v>
      </c>
      <c r="N504" s="32" t="s">
        <v>552</v>
      </c>
      <c r="O504" s="32" t="s">
        <v>746</v>
      </c>
      <c r="P504" s="32" t="s">
        <v>683</v>
      </c>
      <c r="Q504" s="32" t="s">
        <v>665</v>
      </c>
      <c r="R504" s="32" t="s">
        <v>411</v>
      </c>
      <c r="S504" s="32" t="s">
        <v>673</v>
      </c>
    </row>
    <row r="505" spans="1:19" x14ac:dyDescent="0.3">
      <c r="A505" s="29" t="s">
        <v>1334</v>
      </c>
      <c r="B505" s="30" t="s">
        <v>154</v>
      </c>
      <c r="C505" s="30" t="s">
        <v>1335</v>
      </c>
      <c r="D505" s="30" t="s">
        <v>673</v>
      </c>
      <c r="E505" s="30" t="s">
        <v>674</v>
      </c>
      <c r="F505" s="30" t="s">
        <v>716</v>
      </c>
      <c r="G505" s="30" t="s">
        <v>744</v>
      </c>
      <c r="H505" s="30" t="s">
        <v>935</v>
      </c>
      <c r="I505" s="30" t="s">
        <v>678</v>
      </c>
      <c r="J505" s="30" t="s">
        <v>713</v>
      </c>
      <c r="K505" s="30" t="s">
        <v>690</v>
      </c>
      <c r="L505" s="30" t="s">
        <v>681</v>
      </c>
      <c r="M505" s="30">
        <v>0.5</v>
      </c>
      <c r="N505" s="30" t="s">
        <v>552</v>
      </c>
      <c r="O505" s="30" t="s">
        <v>746</v>
      </c>
      <c r="P505" s="30" t="s">
        <v>683</v>
      </c>
      <c r="Q505" s="30" t="s">
        <v>665</v>
      </c>
      <c r="R505" s="30" t="s">
        <v>411</v>
      </c>
      <c r="S505" s="32" t="s">
        <v>673</v>
      </c>
    </row>
    <row r="506" spans="1:19" x14ac:dyDescent="0.3">
      <c r="A506" s="31" t="s">
        <v>966</v>
      </c>
      <c r="B506" s="32" t="s">
        <v>967</v>
      </c>
      <c r="C506" s="32" t="s">
        <v>968</v>
      </c>
      <c r="D506" s="32" t="s">
        <v>673</v>
      </c>
      <c r="E506" s="32" t="s">
        <v>674</v>
      </c>
      <c r="F506" s="32" t="s">
        <v>716</v>
      </c>
      <c r="G506" s="32" t="s">
        <v>744</v>
      </c>
      <c r="H506" s="32" t="s">
        <v>935</v>
      </c>
      <c r="I506" s="32" t="s">
        <v>678</v>
      </c>
      <c r="J506" s="32" t="s">
        <v>713</v>
      </c>
      <c r="K506" s="32" t="s">
        <v>690</v>
      </c>
      <c r="L506" s="32" t="s">
        <v>681</v>
      </c>
      <c r="M506" s="32">
        <v>0.5</v>
      </c>
      <c r="N506" s="32" t="s">
        <v>147</v>
      </c>
      <c r="O506" s="32" t="s">
        <v>1915</v>
      </c>
      <c r="P506" s="32" t="s">
        <v>683</v>
      </c>
      <c r="Q506" s="32" t="s">
        <v>767</v>
      </c>
      <c r="R506" s="32" t="s">
        <v>2174</v>
      </c>
      <c r="S506" s="32" t="s">
        <v>673</v>
      </c>
    </row>
    <row r="507" spans="1:19" x14ac:dyDescent="0.3">
      <c r="A507" s="29" t="s">
        <v>957</v>
      </c>
      <c r="B507" s="30" t="s">
        <v>154</v>
      </c>
      <c r="C507" s="30" t="s">
        <v>958</v>
      </c>
      <c r="D507" s="30" t="s">
        <v>673</v>
      </c>
      <c r="E507" s="30" t="s">
        <v>674</v>
      </c>
      <c r="F507" s="30" t="s">
        <v>716</v>
      </c>
      <c r="G507" s="30" t="s">
        <v>744</v>
      </c>
      <c r="H507" s="30" t="s">
        <v>935</v>
      </c>
      <c r="I507" s="30" t="s">
        <v>678</v>
      </c>
      <c r="J507" s="30" t="s">
        <v>713</v>
      </c>
      <c r="K507" s="30" t="s">
        <v>690</v>
      </c>
      <c r="L507" s="30" t="s">
        <v>681</v>
      </c>
      <c r="M507" s="30">
        <v>0.5</v>
      </c>
      <c r="N507" s="30" t="s">
        <v>147</v>
      </c>
      <c r="O507" s="30" t="s">
        <v>1915</v>
      </c>
      <c r="P507" s="30" t="s">
        <v>683</v>
      </c>
      <c r="Q507" s="30" t="s">
        <v>767</v>
      </c>
      <c r="R507" s="30" t="s">
        <v>2174</v>
      </c>
      <c r="S507" s="32" t="s">
        <v>673</v>
      </c>
    </row>
    <row r="508" spans="1:19" x14ac:dyDescent="0.3">
      <c r="A508" s="31" t="s">
        <v>1202</v>
      </c>
      <c r="B508" s="32" t="s">
        <v>154</v>
      </c>
      <c r="C508" s="32" t="s">
        <v>862</v>
      </c>
      <c r="D508" s="32" t="s">
        <v>673</v>
      </c>
      <c r="E508" s="32" t="s">
        <v>674</v>
      </c>
      <c r="F508" s="32" t="s">
        <v>716</v>
      </c>
      <c r="G508" s="32" t="s">
        <v>744</v>
      </c>
      <c r="H508" s="32" t="s">
        <v>935</v>
      </c>
      <c r="I508" s="32" t="s">
        <v>678</v>
      </c>
      <c r="J508" s="32" t="s">
        <v>713</v>
      </c>
      <c r="K508" s="32" t="s">
        <v>690</v>
      </c>
      <c r="L508" s="32" t="s">
        <v>681</v>
      </c>
      <c r="M508" s="32">
        <v>0.5</v>
      </c>
      <c r="N508" s="32" t="s">
        <v>72</v>
      </c>
      <c r="O508" s="32" t="s">
        <v>746</v>
      </c>
      <c r="P508" s="32" t="s">
        <v>683</v>
      </c>
      <c r="Q508" s="32" t="s">
        <v>665</v>
      </c>
      <c r="R508" s="32" t="s">
        <v>411</v>
      </c>
      <c r="S508" s="32" t="s">
        <v>673</v>
      </c>
    </row>
    <row r="509" spans="1:19" x14ac:dyDescent="0.3">
      <c r="A509" s="29" t="s">
        <v>1205</v>
      </c>
      <c r="B509" s="30" t="s">
        <v>154</v>
      </c>
      <c r="C509" s="30" t="s">
        <v>1206</v>
      </c>
      <c r="D509" s="30" t="s">
        <v>673</v>
      </c>
      <c r="E509" s="30" t="s">
        <v>674</v>
      </c>
      <c r="F509" s="30" t="s">
        <v>716</v>
      </c>
      <c r="G509" s="30" t="s">
        <v>744</v>
      </c>
      <c r="H509" s="30" t="s">
        <v>935</v>
      </c>
      <c r="I509" s="30" t="s">
        <v>688</v>
      </c>
      <c r="J509" s="30" t="s">
        <v>713</v>
      </c>
      <c r="K509" s="30" t="s">
        <v>690</v>
      </c>
      <c r="L509" s="30" t="s">
        <v>681</v>
      </c>
      <c r="M509" s="30">
        <v>0.5</v>
      </c>
      <c r="N509" s="30" t="s">
        <v>72</v>
      </c>
      <c r="O509" s="30" t="s">
        <v>746</v>
      </c>
      <c r="P509" s="30" t="s">
        <v>683</v>
      </c>
      <c r="Q509" s="30" t="s">
        <v>665</v>
      </c>
      <c r="R509" s="30" t="s">
        <v>411</v>
      </c>
      <c r="S509" s="32" t="s">
        <v>673</v>
      </c>
    </row>
    <row r="510" spans="1:19" x14ac:dyDescent="0.3">
      <c r="A510" s="31" t="s">
        <v>954</v>
      </c>
      <c r="B510" s="32" t="s">
        <v>955</v>
      </c>
      <c r="C510" s="32" t="s">
        <v>956</v>
      </c>
      <c r="D510" s="32" t="s">
        <v>673</v>
      </c>
      <c r="E510" s="32" t="s">
        <v>674</v>
      </c>
      <c r="F510" s="32" t="s">
        <v>675</v>
      </c>
      <c r="G510" s="32" t="s">
        <v>676</v>
      </c>
      <c r="H510" s="32" t="s">
        <v>677</v>
      </c>
      <c r="I510" s="32" t="s">
        <v>688</v>
      </c>
      <c r="J510" s="32" t="s">
        <v>713</v>
      </c>
      <c r="K510" s="32" t="s">
        <v>690</v>
      </c>
      <c r="L510" s="32" t="s">
        <v>699</v>
      </c>
      <c r="M510" s="32">
        <v>1</v>
      </c>
      <c r="N510" s="32" t="s">
        <v>384</v>
      </c>
      <c r="O510" s="32" t="s">
        <v>746</v>
      </c>
      <c r="P510" s="32" t="s">
        <v>683</v>
      </c>
      <c r="Q510" s="32" t="s">
        <v>665</v>
      </c>
      <c r="R510" s="32" t="s">
        <v>411</v>
      </c>
      <c r="S510" s="32" t="s">
        <v>673</v>
      </c>
    </row>
    <row r="511" spans="1:19" x14ac:dyDescent="0.3">
      <c r="A511" s="29" t="s">
        <v>957</v>
      </c>
      <c r="B511" s="30" t="s">
        <v>154</v>
      </c>
      <c r="C511" s="30" t="s">
        <v>958</v>
      </c>
      <c r="D511" s="30" t="s">
        <v>673</v>
      </c>
      <c r="E511" s="30" t="s">
        <v>674</v>
      </c>
      <c r="F511" s="30" t="s">
        <v>716</v>
      </c>
      <c r="G511" s="30" t="s">
        <v>744</v>
      </c>
      <c r="H511" s="30" t="s">
        <v>935</v>
      </c>
      <c r="I511" s="30" t="s">
        <v>678</v>
      </c>
      <c r="J511" s="30" t="s">
        <v>713</v>
      </c>
      <c r="K511" s="30" t="s">
        <v>690</v>
      </c>
      <c r="L511" s="30" t="s">
        <v>681</v>
      </c>
      <c r="M511" s="30">
        <v>0.1</v>
      </c>
      <c r="N511" s="30" t="s">
        <v>411</v>
      </c>
      <c r="O511" s="30" t="s">
        <v>746</v>
      </c>
      <c r="P511" s="30" t="s">
        <v>683</v>
      </c>
      <c r="Q511" s="30" t="s">
        <v>665</v>
      </c>
      <c r="R511" s="30" t="s">
        <v>123</v>
      </c>
      <c r="S511" s="32" t="s">
        <v>673</v>
      </c>
    </row>
    <row r="512" spans="1:19" x14ac:dyDescent="0.3">
      <c r="A512" s="31" t="s">
        <v>1202</v>
      </c>
      <c r="B512" s="32" t="s">
        <v>154</v>
      </c>
      <c r="C512" s="32" t="s">
        <v>862</v>
      </c>
      <c r="D512" s="32" t="s">
        <v>673</v>
      </c>
      <c r="E512" s="32" t="s">
        <v>674</v>
      </c>
      <c r="F512" s="32" t="s">
        <v>716</v>
      </c>
      <c r="G512" s="32" t="s">
        <v>744</v>
      </c>
      <c r="H512" s="32" t="s">
        <v>935</v>
      </c>
      <c r="I512" s="32" t="s">
        <v>678</v>
      </c>
      <c r="J512" s="32" t="s">
        <v>713</v>
      </c>
      <c r="K512" s="32" t="s">
        <v>690</v>
      </c>
      <c r="L512" s="32" t="s">
        <v>681</v>
      </c>
      <c r="M512" s="32">
        <v>0.1</v>
      </c>
      <c r="N512" s="32" t="s">
        <v>411</v>
      </c>
      <c r="O512" s="32" t="s">
        <v>746</v>
      </c>
      <c r="P512" s="32" t="s">
        <v>683</v>
      </c>
      <c r="Q512" s="32" t="s">
        <v>665</v>
      </c>
      <c r="R512" s="32" t="s">
        <v>123</v>
      </c>
      <c r="S512" s="32" t="s">
        <v>673</v>
      </c>
    </row>
    <row r="513" spans="1:19" x14ac:dyDescent="0.3">
      <c r="A513" s="29" t="s">
        <v>1203</v>
      </c>
      <c r="B513" s="30" t="s">
        <v>154</v>
      </c>
      <c r="C513" s="30" t="s">
        <v>1204</v>
      </c>
      <c r="D513" s="30" t="s">
        <v>673</v>
      </c>
      <c r="E513" s="30" t="s">
        <v>674</v>
      </c>
      <c r="F513" s="30" t="s">
        <v>716</v>
      </c>
      <c r="G513" s="30" t="s">
        <v>744</v>
      </c>
      <c r="H513" s="30" t="s">
        <v>935</v>
      </c>
      <c r="I513" s="30" t="s">
        <v>678</v>
      </c>
      <c r="J513" s="30" t="s">
        <v>713</v>
      </c>
      <c r="K513" s="30" t="s">
        <v>690</v>
      </c>
      <c r="L513" s="30" t="s">
        <v>681</v>
      </c>
      <c r="M513" s="30">
        <v>0.1</v>
      </c>
      <c r="N513" s="30" t="s">
        <v>411</v>
      </c>
      <c r="O513" s="30" t="s">
        <v>746</v>
      </c>
      <c r="P513" s="30" t="s">
        <v>683</v>
      </c>
      <c r="Q513" s="30" t="s">
        <v>665</v>
      </c>
      <c r="R513" s="30" t="s">
        <v>123</v>
      </c>
      <c r="S513" s="32" t="s">
        <v>673</v>
      </c>
    </row>
    <row r="514" spans="1:19" x14ac:dyDescent="0.3">
      <c r="A514" s="31" t="s">
        <v>1016</v>
      </c>
      <c r="B514" s="32" t="s">
        <v>955</v>
      </c>
      <c r="C514" s="32" t="s">
        <v>1017</v>
      </c>
      <c r="D514" s="32" t="s">
        <v>673</v>
      </c>
      <c r="E514" s="32" t="s">
        <v>674</v>
      </c>
      <c r="F514" s="32" t="s">
        <v>675</v>
      </c>
      <c r="G514" s="32" t="s">
        <v>676</v>
      </c>
      <c r="H514" s="32" t="s">
        <v>677</v>
      </c>
      <c r="I514" s="32" t="s">
        <v>688</v>
      </c>
      <c r="J514" s="32" t="s">
        <v>713</v>
      </c>
      <c r="K514" s="32" t="s">
        <v>690</v>
      </c>
      <c r="L514" s="32" t="s">
        <v>699</v>
      </c>
      <c r="M514" s="32">
        <v>0.2</v>
      </c>
      <c r="N514" s="32" t="s">
        <v>411</v>
      </c>
      <c r="O514" s="32" t="s">
        <v>746</v>
      </c>
      <c r="P514" s="32" t="s">
        <v>683</v>
      </c>
      <c r="Q514" s="32" t="s">
        <v>665</v>
      </c>
      <c r="R514" s="32" t="s">
        <v>123</v>
      </c>
      <c r="S514" s="32" t="s">
        <v>673</v>
      </c>
    </row>
    <row r="515" spans="1:19" x14ac:dyDescent="0.3">
      <c r="A515" s="29" t="s">
        <v>1205</v>
      </c>
      <c r="B515" s="30" t="s">
        <v>154</v>
      </c>
      <c r="C515" s="30" t="s">
        <v>1206</v>
      </c>
      <c r="D515" s="30" t="s">
        <v>673</v>
      </c>
      <c r="E515" s="30" t="s">
        <v>674</v>
      </c>
      <c r="F515" s="30" t="s">
        <v>716</v>
      </c>
      <c r="G515" s="30" t="s">
        <v>744</v>
      </c>
      <c r="H515" s="30" t="s">
        <v>935</v>
      </c>
      <c r="I515" s="30" t="s">
        <v>688</v>
      </c>
      <c r="J515" s="30" t="s">
        <v>713</v>
      </c>
      <c r="K515" s="30" t="s">
        <v>690</v>
      </c>
      <c r="L515" s="30" t="s">
        <v>681</v>
      </c>
      <c r="M515" s="30">
        <v>0.1</v>
      </c>
      <c r="N515" s="30" t="s">
        <v>411</v>
      </c>
      <c r="O515" s="30" t="s">
        <v>746</v>
      </c>
      <c r="P515" s="30" t="s">
        <v>683</v>
      </c>
      <c r="Q515" s="30" t="s">
        <v>665</v>
      </c>
      <c r="R515" s="30" t="s">
        <v>123</v>
      </c>
      <c r="S515" s="32" t="s">
        <v>673</v>
      </c>
    </row>
    <row r="516" spans="1:19" x14ac:dyDescent="0.3">
      <c r="A516" s="31" t="s">
        <v>966</v>
      </c>
      <c r="B516" s="32" t="s">
        <v>967</v>
      </c>
      <c r="C516" s="32" t="s">
        <v>968</v>
      </c>
      <c r="D516" s="32" t="s">
        <v>673</v>
      </c>
      <c r="E516" s="32" t="s">
        <v>674</v>
      </c>
      <c r="F516" s="32" t="s">
        <v>716</v>
      </c>
      <c r="G516" s="32" t="s">
        <v>744</v>
      </c>
      <c r="H516" s="32" t="s">
        <v>935</v>
      </c>
      <c r="I516" s="32" t="s">
        <v>678</v>
      </c>
      <c r="J516" s="32" t="s">
        <v>713</v>
      </c>
      <c r="K516" s="32" t="s">
        <v>690</v>
      </c>
      <c r="L516" s="32" t="s">
        <v>681</v>
      </c>
      <c r="M516" s="32">
        <v>0.1</v>
      </c>
      <c r="N516" s="32" t="s">
        <v>411</v>
      </c>
      <c r="O516" s="32" t="s">
        <v>746</v>
      </c>
      <c r="P516" s="32" t="s">
        <v>683</v>
      </c>
      <c r="Q516" s="32" t="s">
        <v>665</v>
      </c>
      <c r="R516" s="32" t="s">
        <v>123</v>
      </c>
      <c r="S516" s="32" t="s">
        <v>673</v>
      </c>
    </row>
    <row r="517" spans="1:19" x14ac:dyDescent="0.3">
      <c r="A517" s="29" t="s">
        <v>954</v>
      </c>
      <c r="B517" s="30" t="s">
        <v>955</v>
      </c>
      <c r="C517" s="30" t="s">
        <v>956</v>
      </c>
      <c r="D517" s="30" t="s">
        <v>673</v>
      </c>
      <c r="E517" s="30" t="s">
        <v>674</v>
      </c>
      <c r="F517" s="30" t="s">
        <v>675</v>
      </c>
      <c r="G517" s="30" t="s">
        <v>676</v>
      </c>
      <c r="H517" s="30" t="s">
        <v>677</v>
      </c>
      <c r="I517" s="30" t="s">
        <v>688</v>
      </c>
      <c r="J517" s="30" t="s">
        <v>713</v>
      </c>
      <c r="K517" s="30" t="s">
        <v>690</v>
      </c>
      <c r="L517" s="30" t="s">
        <v>699</v>
      </c>
      <c r="M517" s="30">
        <v>0.2</v>
      </c>
      <c r="N517" s="30" t="s">
        <v>411</v>
      </c>
      <c r="O517" s="30" t="s">
        <v>746</v>
      </c>
      <c r="P517" s="30" t="s">
        <v>683</v>
      </c>
      <c r="Q517" s="30" t="s">
        <v>665</v>
      </c>
      <c r="R517" s="30" t="s">
        <v>123</v>
      </c>
      <c r="S517" s="32" t="s">
        <v>673</v>
      </c>
    </row>
    <row r="518" spans="1:19" x14ac:dyDescent="0.3">
      <c r="A518" s="31" t="s">
        <v>1334</v>
      </c>
      <c r="B518" s="32" t="s">
        <v>154</v>
      </c>
      <c r="C518" s="32" t="s">
        <v>1335</v>
      </c>
      <c r="D518" s="32" t="s">
        <v>673</v>
      </c>
      <c r="E518" s="32" t="s">
        <v>674</v>
      </c>
      <c r="F518" s="32" t="s">
        <v>716</v>
      </c>
      <c r="G518" s="32" t="s">
        <v>744</v>
      </c>
      <c r="H518" s="32" t="s">
        <v>935</v>
      </c>
      <c r="I518" s="32" t="s">
        <v>678</v>
      </c>
      <c r="J518" s="32" t="s">
        <v>713</v>
      </c>
      <c r="K518" s="32" t="s">
        <v>690</v>
      </c>
      <c r="L518" s="32" t="s">
        <v>681</v>
      </c>
      <c r="M518" s="32">
        <v>0.1</v>
      </c>
      <c r="N518" s="32" t="s">
        <v>411</v>
      </c>
      <c r="O518" s="32" t="s">
        <v>746</v>
      </c>
      <c r="P518" s="32" t="s">
        <v>683</v>
      </c>
      <c r="Q518" s="32" t="s">
        <v>665</v>
      </c>
      <c r="R518" s="32" t="s">
        <v>123</v>
      </c>
      <c r="S518" s="32" t="s">
        <v>673</v>
      </c>
    </row>
    <row r="519" spans="1:19" x14ac:dyDescent="0.3">
      <c r="A519" s="29" t="s">
        <v>911</v>
      </c>
      <c r="B519" s="30" t="s">
        <v>544</v>
      </c>
      <c r="C519" s="30" t="s">
        <v>912</v>
      </c>
      <c r="D519" s="30" t="s">
        <v>684</v>
      </c>
      <c r="E519" s="30" t="s">
        <v>674</v>
      </c>
      <c r="F519" s="30" t="s">
        <v>716</v>
      </c>
      <c r="G519" s="30" t="s">
        <v>744</v>
      </c>
      <c r="H519" s="30" t="s">
        <v>702</v>
      </c>
      <c r="I519" s="30" t="s">
        <v>736</v>
      </c>
      <c r="J519" s="30" t="s">
        <v>737</v>
      </c>
      <c r="K519" s="30" t="s">
        <v>738</v>
      </c>
      <c r="L519" s="30" t="s">
        <v>808</v>
      </c>
      <c r="M519" s="30">
        <v>0.2</v>
      </c>
      <c r="N519" s="30" t="s">
        <v>1346</v>
      </c>
      <c r="O519" s="30" t="s">
        <v>746</v>
      </c>
      <c r="P519" s="30" t="s">
        <v>683</v>
      </c>
      <c r="Q519" s="30" t="s">
        <v>665</v>
      </c>
      <c r="R519" s="30" t="s">
        <v>639</v>
      </c>
      <c r="S519" s="30" t="s">
        <v>684</v>
      </c>
    </row>
    <row r="520" spans="1:19" x14ac:dyDescent="0.3">
      <c r="A520" s="31" t="s">
        <v>898</v>
      </c>
      <c r="B520" s="32" t="s">
        <v>544</v>
      </c>
      <c r="C520" s="32" t="s">
        <v>899</v>
      </c>
      <c r="D520" s="32" t="s">
        <v>684</v>
      </c>
      <c r="E520" s="32" t="s">
        <v>674</v>
      </c>
      <c r="F520" s="32" t="s">
        <v>716</v>
      </c>
      <c r="G520" s="32" t="s">
        <v>744</v>
      </c>
      <c r="H520" s="32" t="s">
        <v>702</v>
      </c>
      <c r="I520" s="32" t="s">
        <v>736</v>
      </c>
      <c r="J520" s="32" t="s">
        <v>737</v>
      </c>
      <c r="K520" s="32" t="s">
        <v>738</v>
      </c>
      <c r="L520" s="32" t="s">
        <v>808</v>
      </c>
      <c r="M520" s="32">
        <v>0.2</v>
      </c>
      <c r="N520" s="32" t="s">
        <v>1346</v>
      </c>
      <c r="O520" s="32" t="s">
        <v>746</v>
      </c>
      <c r="P520" s="32" t="s">
        <v>683</v>
      </c>
      <c r="Q520" s="32" t="s">
        <v>665</v>
      </c>
      <c r="R520" s="32" t="s">
        <v>639</v>
      </c>
      <c r="S520" s="30" t="s">
        <v>684</v>
      </c>
    </row>
    <row r="521" spans="1:19" x14ac:dyDescent="0.3">
      <c r="A521" s="29" t="s">
        <v>913</v>
      </c>
      <c r="B521" s="30" t="s">
        <v>544</v>
      </c>
      <c r="C521" s="30" t="s">
        <v>914</v>
      </c>
      <c r="D521" s="30" t="s">
        <v>684</v>
      </c>
      <c r="E521" s="30" t="s">
        <v>674</v>
      </c>
      <c r="F521" s="30" t="s">
        <v>716</v>
      </c>
      <c r="G521" s="30" t="s">
        <v>744</v>
      </c>
      <c r="H521" s="30" t="s">
        <v>702</v>
      </c>
      <c r="I521" s="30" t="s">
        <v>736</v>
      </c>
      <c r="J521" s="30" t="s">
        <v>737</v>
      </c>
      <c r="K521" s="30" t="s">
        <v>738</v>
      </c>
      <c r="L521" s="30" t="s">
        <v>808</v>
      </c>
      <c r="M521" s="30">
        <v>0.2</v>
      </c>
      <c r="N521" s="30" t="s">
        <v>1346</v>
      </c>
      <c r="O521" s="30" t="s">
        <v>746</v>
      </c>
      <c r="P521" s="30" t="s">
        <v>683</v>
      </c>
      <c r="Q521" s="30" t="s">
        <v>665</v>
      </c>
      <c r="R521" s="30" t="s">
        <v>639</v>
      </c>
      <c r="S521" s="30" t="s">
        <v>684</v>
      </c>
    </row>
    <row r="522" spans="1:19" x14ac:dyDescent="0.3">
      <c r="A522" s="31" t="s">
        <v>915</v>
      </c>
      <c r="B522" s="32" t="s">
        <v>544</v>
      </c>
      <c r="C522" s="32" t="s">
        <v>916</v>
      </c>
      <c r="D522" s="32" t="s">
        <v>684</v>
      </c>
      <c r="E522" s="32" t="s">
        <v>674</v>
      </c>
      <c r="F522" s="32" t="s">
        <v>716</v>
      </c>
      <c r="G522" s="32" t="s">
        <v>744</v>
      </c>
      <c r="H522" s="32" t="s">
        <v>702</v>
      </c>
      <c r="I522" s="32" t="s">
        <v>736</v>
      </c>
      <c r="J522" s="32" t="s">
        <v>737</v>
      </c>
      <c r="K522" s="32" t="s">
        <v>738</v>
      </c>
      <c r="L522" s="32" t="s">
        <v>681</v>
      </c>
      <c r="M522" s="32">
        <v>0.4</v>
      </c>
      <c r="N522" s="32" t="s">
        <v>1346</v>
      </c>
      <c r="O522" s="32" t="s">
        <v>746</v>
      </c>
      <c r="P522" s="32" t="s">
        <v>683</v>
      </c>
      <c r="Q522" s="32" t="s">
        <v>665</v>
      </c>
      <c r="R522" s="32" t="s">
        <v>639</v>
      </c>
      <c r="S522" s="30" t="s">
        <v>684</v>
      </c>
    </row>
    <row r="523" spans="1:19" x14ac:dyDescent="0.3">
      <c r="A523" s="29" t="s">
        <v>1190</v>
      </c>
      <c r="B523" s="30" t="s">
        <v>154</v>
      </c>
      <c r="C523" s="30" t="s">
        <v>1023</v>
      </c>
      <c r="D523" s="30" t="s">
        <v>673</v>
      </c>
      <c r="E523" s="30" t="s">
        <v>674</v>
      </c>
      <c r="F523" s="30" t="s">
        <v>716</v>
      </c>
      <c r="G523" s="30" t="s">
        <v>744</v>
      </c>
      <c r="H523" s="30" t="s">
        <v>935</v>
      </c>
      <c r="I523" s="30" t="s">
        <v>688</v>
      </c>
      <c r="J523" s="30" t="s">
        <v>710</v>
      </c>
      <c r="K523" s="30" t="s">
        <v>690</v>
      </c>
      <c r="L523" s="30" t="s">
        <v>681</v>
      </c>
      <c r="M523" s="30">
        <v>1</v>
      </c>
      <c r="N523" s="30" t="s">
        <v>53</v>
      </c>
      <c r="O523" s="30" t="s">
        <v>746</v>
      </c>
      <c r="P523" s="30" t="s">
        <v>683</v>
      </c>
      <c r="Q523" s="30" t="s">
        <v>665</v>
      </c>
      <c r="R523" s="30" t="s">
        <v>49</v>
      </c>
      <c r="S523" s="32" t="s">
        <v>673</v>
      </c>
    </row>
    <row r="524" spans="1:19" x14ac:dyDescent="0.3">
      <c r="A524" s="31" t="s">
        <v>1190</v>
      </c>
      <c r="B524" s="32" t="s">
        <v>154</v>
      </c>
      <c r="C524" s="32" t="s">
        <v>1023</v>
      </c>
      <c r="D524" s="32" t="s">
        <v>673</v>
      </c>
      <c r="E524" s="32" t="s">
        <v>674</v>
      </c>
      <c r="F524" s="32" t="s">
        <v>716</v>
      </c>
      <c r="G524" s="32" t="s">
        <v>744</v>
      </c>
      <c r="H524" s="32" t="s">
        <v>935</v>
      </c>
      <c r="I524" s="32" t="s">
        <v>688</v>
      </c>
      <c r="J524" s="32" t="s">
        <v>710</v>
      </c>
      <c r="K524" s="32" t="s">
        <v>690</v>
      </c>
      <c r="L524" s="32" t="s">
        <v>681</v>
      </c>
      <c r="M524" s="32">
        <v>1</v>
      </c>
      <c r="N524" s="32" t="s">
        <v>600</v>
      </c>
      <c r="O524" s="32" t="s">
        <v>746</v>
      </c>
      <c r="P524" s="32" t="s">
        <v>683</v>
      </c>
      <c r="Q524" s="32" t="s">
        <v>665</v>
      </c>
      <c r="R524" s="32" t="s">
        <v>49</v>
      </c>
      <c r="S524" s="32" t="s">
        <v>673</v>
      </c>
    </row>
    <row r="525" spans="1:19" x14ac:dyDescent="0.3">
      <c r="A525" s="29" t="s">
        <v>1190</v>
      </c>
      <c r="B525" s="30" t="s">
        <v>154</v>
      </c>
      <c r="C525" s="30" t="s">
        <v>1023</v>
      </c>
      <c r="D525" s="30" t="s">
        <v>673</v>
      </c>
      <c r="E525" s="30" t="s">
        <v>674</v>
      </c>
      <c r="F525" s="30" t="s">
        <v>716</v>
      </c>
      <c r="G525" s="30" t="s">
        <v>744</v>
      </c>
      <c r="H525" s="30" t="s">
        <v>935</v>
      </c>
      <c r="I525" s="30" t="s">
        <v>688</v>
      </c>
      <c r="J525" s="30" t="s">
        <v>710</v>
      </c>
      <c r="K525" s="30" t="s">
        <v>690</v>
      </c>
      <c r="L525" s="30" t="s">
        <v>681</v>
      </c>
      <c r="M525" s="30">
        <v>1</v>
      </c>
      <c r="N525" s="30" t="s">
        <v>230</v>
      </c>
      <c r="O525" s="30" t="s">
        <v>746</v>
      </c>
      <c r="P525" s="30" t="s">
        <v>683</v>
      </c>
      <c r="Q525" s="30" t="s">
        <v>665</v>
      </c>
      <c r="R525" s="30" t="s">
        <v>49</v>
      </c>
      <c r="S525" s="32" t="s">
        <v>673</v>
      </c>
    </row>
    <row r="526" spans="1:19" x14ac:dyDescent="0.3">
      <c r="A526" s="31" t="s">
        <v>1252</v>
      </c>
      <c r="B526" s="32" t="s">
        <v>1253</v>
      </c>
      <c r="C526" s="32" t="s">
        <v>1254</v>
      </c>
      <c r="D526" s="32" t="s">
        <v>673</v>
      </c>
      <c r="E526" s="32" t="s">
        <v>674</v>
      </c>
      <c r="F526" s="32" t="s">
        <v>716</v>
      </c>
      <c r="G526" s="32" t="s">
        <v>744</v>
      </c>
      <c r="H526" s="32" t="s">
        <v>935</v>
      </c>
      <c r="I526" s="32" t="s">
        <v>688</v>
      </c>
      <c r="J526" s="32" t="s">
        <v>710</v>
      </c>
      <c r="K526" s="32" t="s">
        <v>690</v>
      </c>
      <c r="L526" s="32" t="s">
        <v>681</v>
      </c>
      <c r="M526" s="32">
        <v>0.2</v>
      </c>
      <c r="N526" s="32" t="s">
        <v>460</v>
      </c>
      <c r="O526" s="32" t="s">
        <v>746</v>
      </c>
      <c r="P526" s="32" t="s">
        <v>683</v>
      </c>
      <c r="Q526" s="32" t="s">
        <v>665</v>
      </c>
      <c r="R526" s="32" t="s">
        <v>49</v>
      </c>
      <c r="S526" s="32" t="s">
        <v>673</v>
      </c>
    </row>
    <row r="527" spans="1:19" x14ac:dyDescent="0.3">
      <c r="A527" s="29" t="s">
        <v>1328</v>
      </c>
      <c r="B527" s="30" t="s">
        <v>1253</v>
      </c>
      <c r="C527" s="30" t="s">
        <v>1329</v>
      </c>
      <c r="D527" s="30" t="s">
        <v>673</v>
      </c>
      <c r="E527" s="30" t="s">
        <v>674</v>
      </c>
      <c r="F527" s="30" t="s">
        <v>716</v>
      </c>
      <c r="G527" s="30" t="s">
        <v>744</v>
      </c>
      <c r="H527" s="30" t="s">
        <v>677</v>
      </c>
      <c r="I527" s="30" t="s">
        <v>688</v>
      </c>
      <c r="J527" s="30" t="s">
        <v>906</v>
      </c>
      <c r="K527" s="30" t="s">
        <v>690</v>
      </c>
      <c r="L527" s="30" t="s">
        <v>681</v>
      </c>
      <c r="M527" s="30">
        <v>0.3</v>
      </c>
      <c r="N527" s="30" t="s">
        <v>460</v>
      </c>
      <c r="O527" s="30" t="s">
        <v>746</v>
      </c>
      <c r="P527" s="30" t="s">
        <v>683</v>
      </c>
      <c r="Q527" s="30" t="s">
        <v>665</v>
      </c>
      <c r="R527" s="30" t="s">
        <v>49</v>
      </c>
      <c r="S527" s="32" t="s">
        <v>673</v>
      </c>
    </row>
    <row r="528" spans="1:19" x14ac:dyDescent="0.3">
      <c r="A528" s="31" t="s">
        <v>1332</v>
      </c>
      <c r="B528" s="32" t="s">
        <v>1253</v>
      </c>
      <c r="C528" s="32" t="s">
        <v>1333</v>
      </c>
      <c r="D528" s="32" t="s">
        <v>673</v>
      </c>
      <c r="E528" s="32" t="s">
        <v>674</v>
      </c>
      <c r="F528" s="32" t="s">
        <v>716</v>
      </c>
      <c r="G528" s="32" t="s">
        <v>744</v>
      </c>
      <c r="H528" s="32" t="s">
        <v>677</v>
      </c>
      <c r="I528" s="32" t="s">
        <v>688</v>
      </c>
      <c r="J528" s="32" t="s">
        <v>906</v>
      </c>
      <c r="K528" s="32" t="s">
        <v>690</v>
      </c>
      <c r="L528" s="32" t="s">
        <v>681</v>
      </c>
      <c r="M528" s="32">
        <v>0.2</v>
      </c>
      <c r="N528" s="32" t="s">
        <v>460</v>
      </c>
      <c r="O528" s="32" t="s">
        <v>746</v>
      </c>
      <c r="P528" s="32" t="s">
        <v>683</v>
      </c>
      <c r="Q528" s="32" t="s">
        <v>665</v>
      </c>
      <c r="R528" s="32" t="s">
        <v>49</v>
      </c>
      <c r="S528" s="32" t="s">
        <v>673</v>
      </c>
    </row>
    <row r="529" spans="1:19" x14ac:dyDescent="0.3">
      <c r="A529" s="29" t="s">
        <v>1326</v>
      </c>
      <c r="B529" s="30" t="s">
        <v>1253</v>
      </c>
      <c r="C529" s="30" t="s">
        <v>1327</v>
      </c>
      <c r="D529" s="30" t="s">
        <v>673</v>
      </c>
      <c r="E529" s="30" t="s">
        <v>674</v>
      </c>
      <c r="F529" s="30" t="s">
        <v>716</v>
      </c>
      <c r="G529" s="30" t="s">
        <v>744</v>
      </c>
      <c r="H529" s="30" t="s">
        <v>677</v>
      </c>
      <c r="I529" s="30" t="s">
        <v>688</v>
      </c>
      <c r="J529" s="30" t="s">
        <v>906</v>
      </c>
      <c r="K529" s="30" t="s">
        <v>690</v>
      </c>
      <c r="L529" s="30" t="s">
        <v>681</v>
      </c>
      <c r="M529" s="30">
        <v>0.3</v>
      </c>
      <c r="N529" s="30" t="s">
        <v>460</v>
      </c>
      <c r="O529" s="30" t="s">
        <v>746</v>
      </c>
      <c r="P529" s="30" t="s">
        <v>683</v>
      </c>
      <c r="Q529" s="30" t="s">
        <v>665</v>
      </c>
      <c r="R529" s="30" t="s">
        <v>49</v>
      </c>
      <c r="S529" s="32" t="s">
        <v>673</v>
      </c>
    </row>
    <row r="530" spans="1:19" x14ac:dyDescent="0.3">
      <c r="A530" s="31" t="s">
        <v>1324</v>
      </c>
      <c r="B530" s="32" t="s">
        <v>1253</v>
      </c>
      <c r="C530" s="32" t="s">
        <v>1325</v>
      </c>
      <c r="D530" s="32" t="s">
        <v>673</v>
      </c>
      <c r="E530" s="32" t="s">
        <v>674</v>
      </c>
      <c r="F530" s="32" t="s">
        <v>716</v>
      </c>
      <c r="G530" s="32" t="s">
        <v>744</v>
      </c>
      <c r="H530" s="32" t="s">
        <v>677</v>
      </c>
      <c r="I530" s="32" t="s">
        <v>688</v>
      </c>
      <c r="J530" s="32" t="s">
        <v>713</v>
      </c>
      <c r="K530" s="32" t="s">
        <v>690</v>
      </c>
      <c r="L530" s="32" t="s">
        <v>681</v>
      </c>
      <c r="M530" s="32">
        <v>1</v>
      </c>
      <c r="N530" s="32" t="s">
        <v>408</v>
      </c>
      <c r="O530" s="32" t="s">
        <v>2204</v>
      </c>
      <c r="P530" s="32" t="s">
        <v>683</v>
      </c>
      <c r="Q530" s="32" t="s">
        <v>767</v>
      </c>
      <c r="R530" s="32" t="s">
        <v>49</v>
      </c>
      <c r="S530" s="32" t="s">
        <v>673</v>
      </c>
    </row>
    <row r="531" spans="1:19" x14ac:dyDescent="0.3">
      <c r="A531" s="29" t="s">
        <v>1324</v>
      </c>
      <c r="B531" s="30" t="s">
        <v>1253</v>
      </c>
      <c r="C531" s="30" t="s">
        <v>1325</v>
      </c>
      <c r="D531" s="30" t="s">
        <v>673</v>
      </c>
      <c r="E531" s="30" t="s">
        <v>674</v>
      </c>
      <c r="F531" s="30" t="s">
        <v>716</v>
      </c>
      <c r="G531" s="30" t="s">
        <v>744</v>
      </c>
      <c r="H531" s="30" t="s">
        <v>677</v>
      </c>
      <c r="I531" s="30" t="s">
        <v>688</v>
      </c>
      <c r="J531" s="30" t="s">
        <v>713</v>
      </c>
      <c r="K531" s="30" t="s">
        <v>690</v>
      </c>
      <c r="L531" s="30" t="s">
        <v>681</v>
      </c>
      <c r="M531" s="30">
        <v>0.2</v>
      </c>
      <c r="N531" s="30" t="s">
        <v>467</v>
      </c>
      <c r="O531" s="30" t="s">
        <v>746</v>
      </c>
      <c r="P531" s="30" t="s">
        <v>683</v>
      </c>
      <c r="Q531" s="30" t="s">
        <v>665</v>
      </c>
      <c r="R531" s="30" t="s">
        <v>49</v>
      </c>
      <c r="S531" s="32" t="s">
        <v>673</v>
      </c>
    </row>
    <row r="532" spans="1:19" x14ac:dyDescent="0.3">
      <c r="A532" s="31" t="s">
        <v>1317</v>
      </c>
      <c r="B532" s="32" t="s">
        <v>1049</v>
      </c>
      <c r="C532" s="32" t="s">
        <v>1318</v>
      </c>
      <c r="D532" s="32" t="s">
        <v>673</v>
      </c>
      <c r="E532" s="32" t="s">
        <v>674</v>
      </c>
      <c r="F532" s="32" t="s">
        <v>716</v>
      </c>
      <c r="G532" s="32" t="s">
        <v>744</v>
      </c>
      <c r="H532" s="32" t="s">
        <v>677</v>
      </c>
      <c r="I532" s="32" t="s">
        <v>688</v>
      </c>
      <c r="J532" s="32" t="s">
        <v>710</v>
      </c>
      <c r="K532" s="32" t="s">
        <v>690</v>
      </c>
      <c r="L532" s="32" t="s">
        <v>681</v>
      </c>
      <c r="M532" s="32">
        <v>0.8</v>
      </c>
      <c r="N532" s="32" t="s">
        <v>467</v>
      </c>
      <c r="O532" s="32" t="s">
        <v>746</v>
      </c>
      <c r="P532" s="32" t="s">
        <v>683</v>
      </c>
      <c r="Q532" s="32" t="s">
        <v>665</v>
      </c>
      <c r="R532" s="32" t="s">
        <v>49</v>
      </c>
      <c r="S532" s="32" t="s">
        <v>673</v>
      </c>
    </row>
    <row r="533" spans="1:19" x14ac:dyDescent="0.3">
      <c r="A533" s="29" t="s">
        <v>1257</v>
      </c>
      <c r="B533" s="30" t="s">
        <v>1258</v>
      </c>
      <c r="C533" s="30" t="s">
        <v>1259</v>
      </c>
      <c r="D533" s="30" t="s">
        <v>755</v>
      </c>
      <c r="E533" s="30" t="s">
        <v>674</v>
      </c>
      <c r="F533" s="30" t="s">
        <v>716</v>
      </c>
      <c r="G533" s="30" t="s">
        <v>724</v>
      </c>
      <c r="H533" s="30" t="s">
        <v>677</v>
      </c>
      <c r="I533" s="30" t="s">
        <v>688</v>
      </c>
      <c r="J533" s="30" t="s">
        <v>950</v>
      </c>
      <c r="K533" s="30" t="s">
        <v>680</v>
      </c>
      <c r="L533" s="30" t="s">
        <v>699</v>
      </c>
      <c r="M533" s="30">
        <v>1</v>
      </c>
      <c r="N533" s="30" t="s">
        <v>420</v>
      </c>
      <c r="O533" s="30" t="s">
        <v>746</v>
      </c>
      <c r="P533" s="30" t="s">
        <v>683</v>
      </c>
      <c r="Q533" s="30" t="s">
        <v>665</v>
      </c>
      <c r="R533" s="30" t="s">
        <v>293</v>
      </c>
      <c r="S533" s="30" t="s">
        <v>755</v>
      </c>
    </row>
    <row r="534" spans="1:19" x14ac:dyDescent="0.3">
      <c r="A534" s="31" t="s">
        <v>1379</v>
      </c>
      <c r="B534" s="32" t="s">
        <v>1258</v>
      </c>
      <c r="C534" s="32" t="s">
        <v>1380</v>
      </c>
      <c r="D534" s="32" t="s">
        <v>755</v>
      </c>
      <c r="E534" s="32" t="s">
        <v>674</v>
      </c>
      <c r="F534" s="32" t="s">
        <v>716</v>
      </c>
      <c r="G534" s="32" t="s">
        <v>724</v>
      </c>
      <c r="H534" s="32" t="s">
        <v>677</v>
      </c>
      <c r="I534" s="32" t="s">
        <v>688</v>
      </c>
      <c r="J534" s="32" t="s">
        <v>950</v>
      </c>
      <c r="K534" s="32" t="s">
        <v>680</v>
      </c>
      <c r="L534" s="32" t="s">
        <v>699</v>
      </c>
      <c r="M534" s="32">
        <v>1</v>
      </c>
      <c r="N534" s="32" t="s">
        <v>568</v>
      </c>
      <c r="O534" s="32" t="s">
        <v>746</v>
      </c>
      <c r="P534" s="32" t="s">
        <v>683</v>
      </c>
      <c r="Q534" s="32" t="s">
        <v>665</v>
      </c>
      <c r="R534" s="32" t="s">
        <v>293</v>
      </c>
      <c r="S534" s="30" t="s">
        <v>755</v>
      </c>
    </row>
    <row r="535" spans="1:19" x14ac:dyDescent="0.3">
      <c r="A535" s="29" t="s">
        <v>1381</v>
      </c>
      <c r="B535" s="30" t="s">
        <v>1258</v>
      </c>
      <c r="C535" s="30" t="s">
        <v>1382</v>
      </c>
      <c r="D535" s="30" t="s">
        <v>755</v>
      </c>
      <c r="E535" s="30" t="s">
        <v>674</v>
      </c>
      <c r="F535" s="30" t="s">
        <v>716</v>
      </c>
      <c r="G535" s="30" t="s">
        <v>744</v>
      </c>
      <c r="H535" s="30" t="s">
        <v>677</v>
      </c>
      <c r="I535" s="30" t="s">
        <v>678</v>
      </c>
      <c r="J535" s="30" t="s">
        <v>950</v>
      </c>
      <c r="K535" s="30" t="s">
        <v>680</v>
      </c>
      <c r="L535" s="30" t="s">
        <v>699</v>
      </c>
      <c r="M535" s="30">
        <v>1</v>
      </c>
      <c r="N535" s="30" t="s">
        <v>102</v>
      </c>
      <c r="O535" s="30" t="s">
        <v>746</v>
      </c>
      <c r="P535" s="30" t="s">
        <v>683</v>
      </c>
      <c r="Q535" s="30" t="s">
        <v>665</v>
      </c>
      <c r="R535" s="30" t="s">
        <v>293</v>
      </c>
      <c r="S535" s="30" t="s">
        <v>755</v>
      </c>
    </row>
    <row r="536" spans="1:19" x14ac:dyDescent="0.3">
      <c r="A536" s="31" t="s">
        <v>1383</v>
      </c>
      <c r="B536" s="32" t="s">
        <v>1258</v>
      </c>
      <c r="C536" s="32" t="s">
        <v>1384</v>
      </c>
      <c r="D536" s="32" t="s">
        <v>755</v>
      </c>
      <c r="E536" s="32" t="s">
        <v>674</v>
      </c>
      <c r="F536" s="32" t="s">
        <v>716</v>
      </c>
      <c r="G536" s="32" t="s">
        <v>744</v>
      </c>
      <c r="H536" s="32" t="s">
        <v>677</v>
      </c>
      <c r="I536" s="32" t="s">
        <v>688</v>
      </c>
      <c r="J536" s="32" t="s">
        <v>950</v>
      </c>
      <c r="K536" s="32" t="s">
        <v>680</v>
      </c>
      <c r="L536" s="32" t="s">
        <v>699</v>
      </c>
      <c r="M536" s="32">
        <v>1</v>
      </c>
      <c r="N536" s="32" t="s">
        <v>436</v>
      </c>
      <c r="O536" s="32" t="s">
        <v>746</v>
      </c>
      <c r="P536" s="32" t="s">
        <v>683</v>
      </c>
      <c r="Q536" s="32" t="s">
        <v>665</v>
      </c>
      <c r="R536" s="32" t="s">
        <v>293</v>
      </c>
      <c r="S536" s="30" t="s">
        <v>755</v>
      </c>
    </row>
    <row r="537" spans="1:19" x14ac:dyDescent="0.3">
      <c r="A537" s="29" t="s">
        <v>1383</v>
      </c>
      <c r="B537" s="30" t="s">
        <v>1258</v>
      </c>
      <c r="C537" s="30" t="s">
        <v>1384</v>
      </c>
      <c r="D537" s="30" t="s">
        <v>755</v>
      </c>
      <c r="E537" s="30" t="s">
        <v>674</v>
      </c>
      <c r="F537" s="30" t="s">
        <v>716</v>
      </c>
      <c r="G537" s="30" t="s">
        <v>744</v>
      </c>
      <c r="H537" s="30" t="s">
        <v>677</v>
      </c>
      <c r="I537" s="30" t="s">
        <v>688</v>
      </c>
      <c r="J537" s="30" t="s">
        <v>950</v>
      </c>
      <c r="K537" s="30" t="s">
        <v>680</v>
      </c>
      <c r="L537" s="30" t="s">
        <v>699</v>
      </c>
      <c r="M537" s="30">
        <v>1</v>
      </c>
      <c r="N537" s="30" t="s">
        <v>149</v>
      </c>
      <c r="O537" s="30" t="s">
        <v>1915</v>
      </c>
      <c r="P537" s="30" t="s">
        <v>683</v>
      </c>
      <c r="Q537" s="30" t="s">
        <v>767</v>
      </c>
      <c r="R537" s="30" t="s">
        <v>293</v>
      </c>
      <c r="S537" s="30" t="s">
        <v>755</v>
      </c>
    </row>
    <row r="538" spans="1:19" x14ac:dyDescent="0.3">
      <c r="A538" s="31" t="s">
        <v>1385</v>
      </c>
      <c r="B538" s="32" t="s">
        <v>1258</v>
      </c>
      <c r="C538" s="32" t="s">
        <v>1386</v>
      </c>
      <c r="D538" s="32" t="s">
        <v>755</v>
      </c>
      <c r="E538" s="32" t="s">
        <v>674</v>
      </c>
      <c r="F538" s="32" t="s">
        <v>716</v>
      </c>
      <c r="G538" s="32" t="s">
        <v>744</v>
      </c>
      <c r="H538" s="32" t="s">
        <v>677</v>
      </c>
      <c r="I538" s="32" t="s">
        <v>688</v>
      </c>
      <c r="J538" s="32" t="s">
        <v>950</v>
      </c>
      <c r="K538" s="32" t="s">
        <v>680</v>
      </c>
      <c r="L538" s="32" t="s">
        <v>699</v>
      </c>
      <c r="M538" s="32">
        <v>1</v>
      </c>
      <c r="N538" s="32" t="s">
        <v>437</v>
      </c>
      <c r="O538" s="32" t="s">
        <v>1915</v>
      </c>
      <c r="P538" s="32" t="s">
        <v>683</v>
      </c>
      <c r="Q538" s="32" t="s">
        <v>767</v>
      </c>
      <c r="R538" s="32" t="s">
        <v>293</v>
      </c>
      <c r="S538" s="30" t="s">
        <v>755</v>
      </c>
    </row>
    <row r="539" spans="1:19" x14ac:dyDescent="0.3">
      <c r="A539" s="29" t="s">
        <v>1379</v>
      </c>
      <c r="B539" s="30" t="s">
        <v>1258</v>
      </c>
      <c r="C539" s="30" t="s">
        <v>1380</v>
      </c>
      <c r="D539" s="30" t="s">
        <v>755</v>
      </c>
      <c r="E539" s="30" t="s">
        <v>674</v>
      </c>
      <c r="F539" s="30" t="s">
        <v>716</v>
      </c>
      <c r="G539" s="30" t="s">
        <v>724</v>
      </c>
      <c r="H539" s="30" t="s">
        <v>677</v>
      </c>
      <c r="I539" s="30" t="s">
        <v>688</v>
      </c>
      <c r="J539" s="30" t="s">
        <v>950</v>
      </c>
      <c r="K539" s="30" t="s">
        <v>680</v>
      </c>
      <c r="L539" s="30" t="s">
        <v>699</v>
      </c>
      <c r="M539" s="30">
        <v>1</v>
      </c>
      <c r="N539" s="30" t="s">
        <v>555</v>
      </c>
      <c r="O539" s="30" t="s">
        <v>746</v>
      </c>
      <c r="P539" s="30" t="s">
        <v>683</v>
      </c>
      <c r="Q539" s="30" t="s">
        <v>665</v>
      </c>
      <c r="R539" s="30" t="s">
        <v>293</v>
      </c>
      <c r="S539" s="30" t="s">
        <v>755</v>
      </c>
    </row>
    <row r="540" spans="1:19" x14ac:dyDescent="0.3">
      <c r="A540" s="31" t="s">
        <v>1379</v>
      </c>
      <c r="B540" s="32" t="s">
        <v>1258</v>
      </c>
      <c r="C540" s="32" t="s">
        <v>1380</v>
      </c>
      <c r="D540" s="32" t="s">
        <v>755</v>
      </c>
      <c r="E540" s="32" t="s">
        <v>674</v>
      </c>
      <c r="F540" s="32" t="s">
        <v>716</v>
      </c>
      <c r="G540" s="32" t="s">
        <v>724</v>
      </c>
      <c r="H540" s="32" t="s">
        <v>677</v>
      </c>
      <c r="I540" s="32" t="s">
        <v>688</v>
      </c>
      <c r="J540" s="32" t="s">
        <v>950</v>
      </c>
      <c r="K540" s="32" t="s">
        <v>680</v>
      </c>
      <c r="L540" s="32" t="s">
        <v>699</v>
      </c>
      <c r="M540" s="32">
        <v>1</v>
      </c>
      <c r="N540" s="32" t="s">
        <v>595</v>
      </c>
      <c r="O540" s="32" t="s">
        <v>746</v>
      </c>
      <c r="P540" s="32" t="s">
        <v>683</v>
      </c>
      <c r="Q540" s="32" t="s">
        <v>665</v>
      </c>
      <c r="R540" s="32" t="s">
        <v>293</v>
      </c>
      <c r="S540" s="30" t="s">
        <v>755</v>
      </c>
    </row>
    <row r="541" spans="1:19" x14ac:dyDescent="0.3">
      <c r="A541" s="29" t="s">
        <v>1387</v>
      </c>
      <c r="B541" s="30" t="s">
        <v>1258</v>
      </c>
      <c r="C541" s="30" t="s">
        <v>1388</v>
      </c>
      <c r="D541" s="30" t="s">
        <v>755</v>
      </c>
      <c r="E541" s="30" t="s">
        <v>674</v>
      </c>
      <c r="F541" s="30" t="s">
        <v>716</v>
      </c>
      <c r="G541" s="30" t="s">
        <v>724</v>
      </c>
      <c r="H541" s="30" t="s">
        <v>677</v>
      </c>
      <c r="I541" s="30" t="s">
        <v>688</v>
      </c>
      <c r="J541" s="30" t="s">
        <v>950</v>
      </c>
      <c r="K541" s="30" t="s">
        <v>680</v>
      </c>
      <c r="L541" s="30" t="s">
        <v>699</v>
      </c>
      <c r="M541" s="30">
        <v>1</v>
      </c>
      <c r="N541" s="30" t="s">
        <v>209</v>
      </c>
      <c r="O541" s="30" t="s">
        <v>746</v>
      </c>
      <c r="P541" s="30" t="s">
        <v>683</v>
      </c>
      <c r="Q541" s="30" t="s">
        <v>665</v>
      </c>
      <c r="R541" s="30" t="s">
        <v>293</v>
      </c>
      <c r="S541" s="30" t="s">
        <v>755</v>
      </c>
    </row>
    <row r="542" spans="1:19" x14ac:dyDescent="0.3">
      <c r="A542" s="31" t="s">
        <v>1387</v>
      </c>
      <c r="B542" s="32" t="s">
        <v>1258</v>
      </c>
      <c r="C542" s="32" t="s">
        <v>1388</v>
      </c>
      <c r="D542" s="32" t="s">
        <v>755</v>
      </c>
      <c r="E542" s="32" t="s">
        <v>674</v>
      </c>
      <c r="F542" s="32" t="s">
        <v>716</v>
      </c>
      <c r="G542" s="32" t="s">
        <v>724</v>
      </c>
      <c r="H542" s="32" t="s">
        <v>677</v>
      </c>
      <c r="I542" s="32" t="s">
        <v>688</v>
      </c>
      <c r="J542" s="32" t="s">
        <v>950</v>
      </c>
      <c r="K542" s="32" t="s">
        <v>680</v>
      </c>
      <c r="L542" s="32" t="s">
        <v>699</v>
      </c>
      <c r="M542" s="32">
        <v>1</v>
      </c>
      <c r="N542" s="32" t="s">
        <v>590</v>
      </c>
      <c r="O542" s="32" t="s">
        <v>1915</v>
      </c>
      <c r="P542" s="32" t="s">
        <v>683</v>
      </c>
      <c r="Q542" s="32" t="s">
        <v>767</v>
      </c>
      <c r="R542" s="32" t="s">
        <v>293</v>
      </c>
      <c r="S542" s="30" t="s">
        <v>755</v>
      </c>
    </row>
    <row r="543" spans="1:19" x14ac:dyDescent="0.3">
      <c r="A543" s="29" t="s">
        <v>1387</v>
      </c>
      <c r="B543" s="30" t="s">
        <v>1258</v>
      </c>
      <c r="C543" s="30" t="s">
        <v>1388</v>
      </c>
      <c r="D543" s="30" t="s">
        <v>755</v>
      </c>
      <c r="E543" s="30" t="s">
        <v>674</v>
      </c>
      <c r="F543" s="30" t="s">
        <v>716</v>
      </c>
      <c r="G543" s="30" t="s">
        <v>724</v>
      </c>
      <c r="H543" s="30" t="s">
        <v>677</v>
      </c>
      <c r="I543" s="30" t="s">
        <v>688</v>
      </c>
      <c r="J543" s="30" t="s">
        <v>950</v>
      </c>
      <c r="K543" s="30" t="s">
        <v>680</v>
      </c>
      <c r="L543" s="30" t="s">
        <v>699</v>
      </c>
      <c r="M543" s="30">
        <v>1</v>
      </c>
      <c r="N543" s="30" t="s">
        <v>182</v>
      </c>
      <c r="O543" s="30" t="s">
        <v>2162</v>
      </c>
      <c r="P543" s="30" t="s">
        <v>683</v>
      </c>
      <c r="Q543" s="30" t="s">
        <v>767</v>
      </c>
      <c r="R543" s="30" t="s">
        <v>293</v>
      </c>
      <c r="S543" s="30" t="s">
        <v>755</v>
      </c>
    </row>
    <row r="544" spans="1:19" x14ac:dyDescent="0.3">
      <c r="A544" s="31" t="s">
        <v>1379</v>
      </c>
      <c r="B544" s="32" t="s">
        <v>1258</v>
      </c>
      <c r="C544" s="32" t="s">
        <v>1380</v>
      </c>
      <c r="D544" s="32" t="s">
        <v>755</v>
      </c>
      <c r="E544" s="32" t="s">
        <v>674</v>
      </c>
      <c r="F544" s="32" t="s">
        <v>716</v>
      </c>
      <c r="G544" s="32" t="s">
        <v>724</v>
      </c>
      <c r="H544" s="32" t="s">
        <v>677</v>
      </c>
      <c r="I544" s="32" t="s">
        <v>688</v>
      </c>
      <c r="J544" s="32" t="s">
        <v>950</v>
      </c>
      <c r="K544" s="32" t="s">
        <v>680</v>
      </c>
      <c r="L544" s="32" t="s">
        <v>699</v>
      </c>
      <c r="M544" s="32">
        <v>0.25</v>
      </c>
      <c r="N544" s="32" t="s">
        <v>1389</v>
      </c>
      <c r="O544" s="32" t="s">
        <v>746</v>
      </c>
      <c r="P544" s="32" t="s">
        <v>683</v>
      </c>
      <c r="Q544" s="32" t="s">
        <v>665</v>
      </c>
      <c r="R544" s="32" t="s">
        <v>309</v>
      </c>
      <c r="S544" s="30" t="s">
        <v>755</v>
      </c>
    </row>
    <row r="545" spans="1:19" x14ac:dyDescent="0.3">
      <c r="A545" s="29" t="s">
        <v>1381</v>
      </c>
      <c r="B545" s="30" t="s">
        <v>1258</v>
      </c>
      <c r="C545" s="30" t="s">
        <v>1382</v>
      </c>
      <c r="D545" s="30" t="s">
        <v>755</v>
      </c>
      <c r="E545" s="30" t="s">
        <v>674</v>
      </c>
      <c r="F545" s="30" t="s">
        <v>716</v>
      </c>
      <c r="G545" s="30" t="s">
        <v>744</v>
      </c>
      <c r="H545" s="30" t="s">
        <v>677</v>
      </c>
      <c r="I545" s="30" t="s">
        <v>678</v>
      </c>
      <c r="J545" s="30" t="s">
        <v>950</v>
      </c>
      <c r="K545" s="30" t="s">
        <v>680</v>
      </c>
      <c r="L545" s="30" t="s">
        <v>699</v>
      </c>
      <c r="M545" s="30">
        <v>0.75</v>
      </c>
      <c r="N545" s="30" t="s">
        <v>1389</v>
      </c>
      <c r="O545" s="30" t="s">
        <v>746</v>
      </c>
      <c r="P545" s="30" t="s">
        <v>683</v>
      </c>
      <c r="Q545" s="30" t="s">
        <v>665</v>
      </c>
      <c r="R545" s="30" t="s">
        <v>309</v>
      </c>
      <c r="S545" s="30" t="s">
        <v>755</v>
      </c>
    </row>
    <row r="546" spans="1:19" x14ac:dyDescent="0.3">
      <c r="A546" s="31" t="s">
        <v>1381</v>
      </c>
      <c r="B546" s="32" t="s">
        <v>1258</v>
      </c>
      <c r="C546" s="32" t="s">
        <v>1382</v>
      </c>
      <c r="D546" s="32" t="s">
        <v>755</v>
      </c>
      <c r="E546" s="32" t="s">
        <v>674</v>
      </c>
      <c r="F546" s="32" t="s">
        <v>716</v>
      </c>
      <c r="G546" s="32" t="s">
        <v>744</v>
      </c>
      <c r="H546" s="32" t="s">
        <v>677</v>
      </c>
      <c r="I546" s="32" t="s">
        <v>678</v>
      </c>
      <c r="J546" s="32" t="s">
        <v>950</v>
      </c>
      <c r="K546" s="32" t="s">
        <v>680</v>
      </c>
      <c r="L546" s="32" t="s">
        <v>699</v>
      </c>
      <c r="M546" s="32">
        <v>0.5</v>
      </c>
      <c r="N546" s="32" t="s">
        <v>355</v>
      </c>
      <c r="O546" s="32" t="s">
        <v>746</v>
      </c>
      <c r="P546" s="32" t="s">
        <v>683</v>
      </c>
      <c r="Q546" s="32" t="s">
        <v>665</v>
      </c>
      <c r="R546" s="32" t="s">
        <v>309</v>
      </c>
      <c r="S546" s="30" t="s">
        <v>755</v>
      </c>
    </row>
    <row r="547" spans="1:19" x14ac:dyDescent="0.3">
      <c r="A547" s="29" t="s">
        <v>1379</v>
      </c>
      <c r="B547" s="30" t="s">
        <v>1258</v>
      </c>
      <c r="C547" s="30" t="s">
        <v>1380</v>
      </c>
      <c r="D547" s="30" t="s">
        <v>755</v>
      </c>
      <c r="E547" s="30" t="s">
        <v>674</v>
      </c>
      <c r="F547" s="30" t="s">
        <v>716</v>
      </c>
      <c r="G547" s="30" t="s">
        <v>724</v>
      </c>
      <c r="H547" s="30" t="s">
        <v>677</v>
      </c>
      <c r="I547" s="30" t="s">
        <v>688</v>
      </c>
      <c r="J547" s="30" t="s">
        <v>950</v>
      </c>
      <c r="K547" s="30" t="s">
        <v>680</v>
      </c>
      <c r="L547" s="30" t="s">
        <v>699</v>
      </c>
      <c r="M547" s="30">
        <v>1</v>
      </c>
      <c r="N547" s="30" t="s">
        <v>1391</v>
      </c>
      <c r="O547" s="30" t="s">
        <v>2259</v>
      </c>
      <c r="P547" s="30" t="s">
        <v>683</v>
      </c>
      <c r="Q547" s="30" t="s">
        <v>767</v>
      </c>
      <c r="R547" s="30" t="s">
        <v>309</v>
      </c>
      <c r="S547" s="30" t="s">
        <v>755</v>
      </c>
    </row>
    <row r="548" spans="1:19" x14ac:dyDescent="0.3">
      <c r="A548" s="31" t="s">
        <v>1379</v>
      </c>
      <c r="B548" s="32" t="s">
        <v>1258</v>
      </c>
      <c r="C548" s="32" t="s">
        <v>1380</v>
      </c>
      <c r="D548" s="32" t="s">
        <v>755</v>
      </c>
      <c r="E548" s="32" t="s">
        <v>674</v>
      </c>
      <c r="F548" s="32" t="s">
        <v>716</v>
      </c>
      <c r="G548" s="32" t="s">
        <v>724</v>
      </c>
      <c r="H548" s="32" t="s">
        <v>677</v>
      </c>
      <c r="I548" s="32" t="s">
        <v>688</v>
      </c>
      <c r="J548" s="32" t="s">
        <v>950</v>
      </c>
      <c r="K548" s="32" t="s">
        <v>680</v>
      </c>
      <c r="L548" s="32" t="s">
        <v>699</v>
      </c>
      <c r="M548" s="32">
        <v>1</v>
      </c>
      <c r="N548" s="32" t="s">
        <v>146</v>
      </c>
      <c r="O548" s="32" t="s">
        <v>1915</v>
      </c>
      <c r="P548" s="32" t="s">
        <v>683</v>
      </c>
      <c r="Q548" s="32" t="s">
        <v>767</v>
      </c>
      <c r="R548" s="32" t="s">
        <v>309</v>
      </c>
      <c r="S548" s="30" t="s">
        <v>755</v>
      </c>
    </row>
    <row r="549" spans="1:19" x14ac:dyDescent="0.3">
      <c r="A549" s="29" t="s">
        <v>1257</v>
      </c>
      <c r="B549" s="30" t="s">
        <v>1258</v>
      </c>
      <c r="C549" s="30" t="s">
        <v>1259</v>
      </c>
      <c r="D549" s="30" t="s">
        <v>755</v>
      </c>
      <c r="E549" s="30" t="s">
        <v>674</v>
      </c>
      <c r="F549" s="30" t="s">
        <v>716</v>
      </c>
      <c r="G549" s="30" t="s">
        <v>724</v>
      </c>
      <c r="H549" s="30" t="s">
        <v>677</v>
      </c>
      <c r="I549" s="30" t="s">
        <v>688</v>
      </c>
      <c r="J549" s="30" t="s">
        <v>950</v>
      </c>
      <c r="K549" s="30" t="s">
        <v>680</v>
      </c>
      <c r="L549" s="30" t="s">
        <v>699</v>
      </c>
      <c r="M549" s="30">
        <v>1</v>
      </c>
      <c r="N549" s="30" t="s">
        <v>605</v>
      </c>
      <c r="O549" s="30" t="s">
        <v>746</v>
      </c>
      <c r="P549" s="30" t="s">
        <v>683</v>
      </c>
      <c r="Q549" s="30" t="s">
        <v>665</v>
      </c>
      <c r="R549" s="30" t="s">
        <v>309</v>
      </c>
      <c r="S549" s="30" t="s">
        <v>755</v>
      </c>
    </row>
    <row r="550" spans="1:19" x14ac:dyDescent="0.3">
      <c r="A550" s="31" t="s">
        <v>1379</v>
      </c>
      <c r="B550" s="32" t="s">
        <v>1258</v>
      </c>
      <c r="C550" s="32" t="s">
        <v>1380</v>
      </c>
      <c r="D550" s="32" t="s">
        <v>755</v>
      </c>
      <c r="E550" s="32" t="s">
        <v>674</v>
      </c>
      <c r="F550" s="32" t="s">
        <v>716</v>
      </c>
      <c r="G550" s="32" t="s">
        <v>724</v>
      </c>
      <c r="H550" s="32" t="s">
        <v>677</v>
      </c>
      <c r="I550" s="32" t="s">
        <v>688</v>
      </c>
      <c r="J550" s="32" t="s">
        <v>950</v>
      </c>
      <c r="K550" s="32" t="s">
        <v>680</v>
      </c>
      <c r="L550" s="32" t="s">
        <v>699</v>
      </c>
      <c r="M550" s="32">
        <v>1</v>
      </c>
      <c r="N550" s="32" t="s">
        <v>428</v>
      </c>
      <c r="O550" s="32" t="s">
        <v>746</v>
      </c>
      <c r="P550" s="32" t="s">
        <v>683</v>
      </c>
      <c r="Q550" s="32" t="s">
        <v>665</v>
      </c>
      <c r="R550" s="32" t="s">
        <v>309</v>
      </c>
      <c r="S550" s="30" t="s">
        <v>755</v>
      </c>
    </row>
    <row r="551" spans="1:19" x14ac:dyDescent="0.3">
      <c r="A551" s="29" t="s">
        <v>1385</v>
      </c>
      <c r="B551" s="30" t="s">
        <v>1258</v>
      </c>
      <c r="C551" s="30" t="s">
        <v>1386</v>
      </c>
      <c r="D551" s="30" t="s">
        <v>755</v>
      </c>
      <c r="E551" s="30" t="s">
        <v>674</v>
      </c>
      <c r="F551" s="30" t="s">
        <v>716</v>
      </c>
      <c r="G551" s="30" t="s">
        <v>744</v>
      </c>
      <c r="H551" s="30" t="s">
        <v>677</v>
      </c>
      <c r="I551" s="30" t="s">
        <v>688</v>
      </c>
      <c r="J551" s="30" t="s">
        <v>950</v>
      </c>
      <c r="K551" s="30" t="s">
        <v>680</v>
      </c>
      <c r="L551" s="30" t="s">
        <v>699</v>
      </c>
      <c r="M551" s="30">
        <v>1</v>
      </c>
      <c r="N551" s="30" t="s">
        <v>1392</v>
      </c>
      <c r="O551" s="30" t="s">
        <v>2259</v>
      </c>
      <c r="P551" s="30" t="s">
        <v>683</v>
      </c>
      <c r="Q551" s="30" t="s">
        <v>767</v>
      </c>
      <c r="R551" s="30" t="s">
        <v>309</v>
      </c>
      <c r="S551" s="30" t="s">
        <v>755</v>
      </c>
    </row>
    <row r="552" spans="1:19" x14ac:dyDescent="0.3">
      <c r="A552" s="31" t="s">
        <v>1385</v>
      </c>
      <c r="B552" s="32" t="s">
        <v>1258</v>
      </c>
      <c r="C552" s="32" t="s">
        <v>1386</v>
      </c>
      <c r="D552" s="32" t="s">
        <v>755</v>
      </c>
      <c r="E552" s="32" t="s">
        <v>674</v>
      </c>
      <c r="F552" s="32" t="s">
        <v>716</v>
      </c>
      <c r="G552" s="32" t="s">
        <v>744</v>
      </c>
      <c r="H552" s="32" t="s">
        <v>677</v>
      </c>
      <c r="I552" s="32" t="s">
        <v>688</v>
      </c>
      <c r="J552" s="32" t="s">
        <v>950</v>
      </c>
      <c r="K552" s="32" t="s">
        <v>680</v>
      </c>
      <c r="L552" s="32" t="s">
        <v>699</v>
      </c>
      <c r="M552" s="32">
        <v>1</v>
      </c>
      <c r="N552" s="32" t="s">
        <v>187</v>
      </c>
      <c r="O552" s="32" t="s">
        <v>1915</v>
      </c>
      <c r="P552" s="32" t="s">
        <v>683</v>
      </c>
      <c r="Q552" s="32" t="s">
        <v>767</v>
      </c>
      <c r="R552" s="32" t="s">
        <v>309</v>
      </c>
      <c r="S552" s="30" t="s">
        <v>755</v>
      </c>
    </row>
    <row r="553" spans="1:19" x14ac:dyDescent="0.3">
      <c r="A553" s="29" t="s">
        <v>1379</v>
      </c>
      <c r="B553" s="30" t="s">
        <v>1258</v>
      </c>
      <c r="C553" s="30" t="s">
        <v>1380</v>
      </c>
      <c r="D553" s="30" t="s">
        <v>755</v>
      </c>
      <c r="E553" s="30" t="s">
        <v>674</v>
      </c>
      <c r="F553" s="30" t="s">
        <v>716</v>
      </c>
      <c r="G553" s="30" t="s">
        <v>724</v>
      </c>
      <c r="H553" s="30" t="s">
        <v>677</v>
      </c>
      <c r="I553" s="30" t="s">
        <v>688</v>
      </c>
      <c r="J553" s="30" t="s">
        <v>950</v>
      </c>
      <c r="K553" s="30" t="s">
        <v>680</v>
      </c>
      <c r="L553" s="30" t="s">
        <v>699</v>
      </c>
      <c r="M553" s="30">
        <v>1</v>
      </c>
      <c r="N553" s="30" t="s">
        <v>1393</v>
      </c>
      <c r="O553" s="30" t="s">
        <v>2091</v>
      </c>
      <c r="P553" s="30" t="s">
        <v>683</v>
      </c>
      <c r="Q553" s="30" t="s">
        <v>665</v>
      </c>
      <c r="R553" s="30" t="s">
        <v>309</v>
      </c>
      <c r="S553" s="30" t="s">
        <v>755</v>
      </c>
    </row>
    <row r="554" spans="1:19" x14ac:dyDescent="0.3">
      <c r="A554" s="31" t="s">
        <v>1381</v>
      </c>
      <c r="B554" s="32" t="s">
        <v>1258</v>
      </c>
      <c r="C554" s="32" t="s">
        <v>1382</v>
      </c>
      <c r="D554" s="32" t="s">
        <v>755</v>
      </c>
      <c r="E554" s="32" t="s">
        <v>674</v>
      </c>
      <c r="F554" s="32" t="s">
        <v>716</v>
      </c>
      <c r="G554" s="32" t="s">
        <v>744</v>
      </c>
      <c r="H554" s="32" t="s">
        <v>677</v>
      </c>
      <c r="I554" s="32" t="s">
        <v>678</v>
      </c>
      <c r="J554" s="32" t="s">
        <v>950</v>
      </c>
      <c r="K554" s="32" t="s">
        <v>680</v>
      </c>
      <c r="L554" s="32" t="s">
        <v>699</v>
      </c>
      <c r="M554" s="32">
        <v>0.75</v>
      </c>
      <c r="N554" s="32" t="s">
        <v>126</v>
      </c>
      <c r="O554" s="32" t="s">
        <v>746</v>
      </c>
      <c r="P554" s="32" t="s">
        <v>683</v>
      </c>
      <c r="Q554" s="32" t="s">
        <v>665</v>
      </c>
      <c r="R554" s="32" t="s">
        <v>309</v>
      </c>
      <c r="S554" s="30" t="s">
        <v>755</v>
      </c>
    </row>
    <row r="555" spans="1:19" x14ac:dyDescent="0.3">
      <c r="A555" s="29" t="s">
        <v>1381</v>
      </c>
      <c r="B555" s="30" t="s">
        <v>1258</v>
      </c>
      <c r="C555" s="30" t="s">
        <v>1382</v>
      </c>
      <c r="D555" s="30" t="s">
        <v>755</v>
      </c>
      <c r="E555" s="30" t="s">
        <v>674</v>
      </c>
      <c r="F555" s="30" t="s">
        <v>716</v>
      </c>
      <c r="G555" s="30" t="s">
        <v>744</v>
      </c>
      <c r="H555" s="30" t="s">
        <v>677</v>
      </c>
      <c r="I555" s="30" t="s">
        <v>678</v>
      </c>
      <c r="J555" s="30" t="s">
        <v>950</v>
      </c>
      <c r="K555" s="30" t="s">
        <v>680</v>
      </c>
      <c r="L555" s="30" t="s">
        <v>699</v>
      </c>
      <c r="M555" s="30">
        <v>1</v>
      </c>
      <c r="N555" s="30" t="s">
        <v>38</v>
      </c>
      <c r="O555" s="30" t="s">
        <v>746</v>
      </c>
      <c r="P555" s="30" t="s">
        <v>683</v>
      </c>
      <c r="Q555" s="30" t="s">
        <v>665</v>
      </c>
      <c r="R555" s="30" t="s">
        <v>309</v>
      </c>
      <c r="S555" s="30" t="s">
        <v>755</v>
      </c>
    </row>
    <row r="556" spans="1:19" x14ac:dyDescent="0.3">
      <c r="A556" s="31" t="s">
        <v>1379</v>
      </c>
      <c r="B556" s="32" t="s">
        <v>1258</v>
      </c>
      <c r="C556" s="32" t="s">
        <v>1380</v>
      </c>
      <c r="D556" s="32" t="s">
        <v>755</v>
      </c>
      <c r="E556" s="32" t="s">
        <v>674</v>
      </c>
      <c r="F556" s="32" t="s">
        <v>716</v>
      </c>
      <c r="G556" s="32" t="s">
        <v>724</v>
      </c>
      <c r="H556" s="32" t="s">
        <v>677</v>
      </c>
      <c r="I556" s="32" t="s">
        <v>688</v>
      </c>
      <c r="J556" s="32" t="s">
        <v>950</v>
      </c>
      <c r="K556" s="32" t="s">
        <v>680</v>
      </c>
      <c r="L556" s="32" t="s">
        <v>699</v>
      </c>
      <c r="M556" s="32">
        <v>0.25</v>
      </c>
      <c r="N556" s="32" t="s">
        <v>126</v>
      </c>
      <c r="O556" s="32" t="s">
        <v>746</v>
      </c>
      <c r="P556" s="32" t="s">
        <v>683</v>
      </c>
      <c r="Q556" s="32" t="s">
        <v>665</v>
      </c>
      <c r="R556" s="32" t="s">
        <v>309</v>
      </c>
      <c r="S556" s="30" t="s">
        <v>755</v>
      </c>
    </row>
    <row r="557" spans="1:19" x14ac:dyDescent="0.3">
      <c r="A557" s="29" t="s">
        <v>1257</v>
      </c>
      <c r="B557" s="30" t="s">
        <v>1258</v>
      </c>
      <c r="C557" s="30" t="s">
        <v>1259</v>
      </c>
      <c r="D557" s="30" t="s">
        <v>755</v>
      </c>
      <c r="E557" s="30" t="s">
        <v>674</v>
      </c>
      <c r="F557" s="30" t="s">
        <v>716</v>
      </c>
      <c r="G557" s="30" t="s">
        <v>724</v>
      </c>
      <c r="H557" s="30" t="s">
        <v>677</v>
      </c>
      <c r="I557" s="30" t="s">
        <v>688</v>
      </c>
      <c r="J557" s="30" t="s">
        <v>950</v>
      </c>
      <c r="K557" s="30" t="s">
        <v>680</v>
      </c>
      <c r="L557" s="30" t="s">
        <v>699</v>
      </c>
      <c r="M557" s="30">
        <v>1</v>
      </c>
      <c r="N557" s="30" t="s">
        <v>446</v>
      </c>
      <c r="O557" s="30" t="s">
        <v>1915</v>
      </c>
      <c r="P557" s="30" t="s">
        <v>683</v>
      </c>
      <c r="Q557" s="30" t="s">
        <v>767</v>
      </c>
      <c r="R557" s="30" t="s">
        <v>309</v>
      </c>
      <c r="S557" s="30" t="s">
        <v>755</v>
      </c>
    </row>
    <row r="558" spans="1:19" x14ac:dyDescent="0.3">
      <c r="A558" s="31" t="s">
        <v>1385</v>
      </c>
      <c r="B558" s="32" t="s">
        <v>1258</v>
      </c>
      <c r="C558" s="32" t="s">
        <v>1386</v>
      </c>
      <c r="D558" s="32" t="s">
        <v>755</v>
      </c>
      <c r="E558" s="32" t="s">
        <v>674</v>
      </c>
      <c r="F558" s="32" t="s">
        <v>716</v>
      </c>
      <c r="G558" s="32" t="s">
        <v>744</v>
      </c>
      <c r="H558" s="32" t="s">
        <v>677</v>
      </c>
      <c r="I558" s="32" t="s">
        <v>688</v>
      </c>
      <c r="J558" s="32" t="s">
        <v>950</v>
      </c>
      <c r="K558" s="32" t="s">
        <v>680</v>
      </c>
      <c r="L558" s="32" t="s">
        <v>699</v>
      </c>
      <c r="M558" s="32">
        <v>1</v>
      </c>
      <c r="N558" s="32" t="s">
        <v>501</v>
      </c>
      <c r="O558" s="32" t="s">
        <v>1915</v>
      </c>
      <c r="P558" s="32" t="s">
        <v>683</v>
      </c>
      <c r="Q558" s="32" t="s">
        <v>767</v>
      </c>
      <c r="R558" s="32" t="s">
        <v>309</v>
      </c>
      <c r="S558" s="30" t="s">
        <v>755</v>
      </c>
    </row>
    <row r="559" spans="1:19" x14ac:dyDescent="0.3">
      <c r="A559" s="29" t="s">
        <v>1379</v>
      </c>
      <c r="B559" s="30" t="s">
        <v>1258</v>
      </c>
      <c r="C559" s="30" t="s">
        <v>1380</v>
      </c>
      <c r="D559" s="30" t="s">
        <v>755</v>
      </c>
      <c r="E559" s="30" t="s">
        <v>674</v>
      </c>
      <c r="F559" s="30" t="s">
        <v>716</v>
      </c>
      <c r="G559" s="30" t="s">
        <v>724</v>
      </c>
      <c r="H559" s="30" t="s">
        <v>677</v>
      </c>
      <c r="I559" s="30" t="s">
        <v>688</v>
      </c>
      <c r="J559" s="30" t="s">
        <v>950</v>
      </c>
      <c r="K559" s="30" t="s">
        <v>680</v>
      </c>
      <c r="L559" s="30" t="s">
        <v>699</v>
      </c>
      <c r="M559" s="30">
        <v>0.5</v>
      </c>
      <c r="N559" s="30" t="s">
        <v>355</v>
      </c>
      <c r="O559" s="30" t="s">
        <v>746</v>
      </c>
      <c r="P559" s="30" t="s">
        <v>683</v>
      </c>
      <c r="Q559" s="30" t="s">
        <v>665</v>
      </c>
      <c r="R559" s="30" t="s">
        <v>309</v>
      </c>
      <c r="S559" s="30" t="s">
        <v>755</v>
      </c>
    </row>
    <row r="560" spans="1:19" x14ac:dyDescent="0.3">
      <c r="A560" s="31" t="s">
        <v>1016</v>
      </c>
      <c r="B560" s="32" t="s">
        <v>955</v>
      </c>
      <c r="C560" s="32" t="s">
        <v>1017</v>
      </c>
      <c r="D560" s="32" t="s">
        <v>673</v>
      </c>
      <c r="E560" s="32" t="s">
        <v>674</v>
      </c>
      <c r="F560" s="32" t="s">
        <v>675</v>
      </c>
      <c r="G560" s="32" t="s">
        <v>676</v>
      </c>
      <c r="H560" s="32" t="s">
        <v>677</v>
      </c>
      <c r="I560" s="32" t="s">
        <v>688</v>
      </c>
      <c r="J560" s="32" t="s">
        <v>713</v>
      </c>
      <c r="K560" s="32" t="s">
        <v>690</v>
      </c>
      <c r="L560" s="32" t="s">
        <v>699</v>
      </c>
      <c r="M560" s="32">
        <v>0.8</v>
      </c>
      <c r="N560" s="32" t="s">
        <v>257</v>
      </c>
      <c r="O560" s="32" t="s">
        <v>746</v>
      </c>
      <c r="P560" s="32" t="s">
        <v>683</v>
      </c>
      <c r="Q560" s="32" t="s">
        <v>665</v>
      </c>
      <c r="R560" s="32" t="s">
        <v>154</v>
      </c>
      <c r="S560" s="32" t="s">
        <v>673</v>
      </c>
    </row>
    <row r="561" spans="1:19" x14ac:dyDescent="0.3">
      <c r="A561" s="29" t="s">
        <v>964</v>
      </c>
      <c r="B561" s="30" t="s">
        <v>960</v>
      </c>
      <c r="C561" s="30" t="s">
        <v>965</v>
      </c>
      <c r="D561" s="30" t="s">
        <v>673</v>
      </c>
      <c r="E561" s="30" t="s">
        <v>674</v>
      </c>
      <c r="F561" s="30" t="s">
        <v>675</v>
      </c>
      <c r="G561" s="30" t="s">
        <v>676</v>
      </c>
      <c r="H561" s="30" t="s">
        <v>677</v>
      </c>
      <c r="I561" s="30" t="s">
        <v>678</v>
      </c>
      <c r="J561" s="30" t="s">
        <v>713</v>
      </c>
      <c r="K561" s="30" t="s">
        <v>690</v>
      </c>
      <c r="L561" s="30" t="s">
        <v>699</v>
      </c>
      <c r="M561" s="30">
        <v>0.2</v>
      </c>
      <c r="N561" s="30" t="s">
        <v>257</v>
      </c>
      <c r="O561" s="30" t="s">
        <v>746</v>
      </c>
      <c r="P561" s="30" t="s">
        <v>683</v>
      </c>
      <c r="Q561" s="30" t="s">
        <v>665</v>
      </c>
      <c r="R561" s="30" t="s">
        <v>154</v>
      </c>
      <c r="S561" s="32" t="s">
        <v>673</v>
      </c>
    </row>
    <row r="562" spans="1:19" x14ac:dyDescent="0.3">
      <c r="A562" s="31" t="s">
        <v>1020</v>
      </c>
      <c r="B562" s="32" t="s">
        <v>154</v>
      </c>
      <c r="C562" s="32" t="s">
        <v>1021</v>
      </c>
      <c r="D562" s="32" t="s">
        <v>673</v>
      </c>
      <c r="E562" s="32" t="s">
        <v>674</v>
      </c>
      <c r="F562" s="32" t="s">
        <v>675</v>
      </c>
      <c r="G562" s="32" t="s">
        <v>724</v>
      </c>
      <c r="H562" s="32" t="s">
        <v>677</v>
      </c>
      <c r="I562" s="32" t="s">
        <v>678</v>
      </c>
      <c r="J562" s="32" t="s">
        <v>713</v>
      </c>
      <c r="K562" s="32" t="s">
        <v>690</v>
      </c>
      <c r="L562" s="32" t="s">
        <v>681</v>
      </c>
      <c r="M562" s="32">
        <v>0.1</v>
      </c>
      <c r="N562" s="32" t="s">
        <v>410</v>
      </c>
      <c r="O562" s="32" t="s">
        <v>746</v>
      </c>
      <c r="P562" s="32" t="s">
        <v>683</v>
      </c>
      <c r="Q562" s="32" t="s">
        <v>665</v>
      </c>
      <c r="R562" s="32" t="s">
        <v>154</v>
      </c>
      <c r="S562" s="32" t="s">
        <v>673</v>
      </c>
    </row>
    <row r="563" spans="1:19" x14ac:dyDescent="0.3">
      <c r="A563" s="29" t="s">
        <v>1018</v>
      </c>
      <c r="B563" s="30" t="s">
        <v>154</v>
      </c>
      <c r="C563" s="30" t="s">
        <v>1019</v>
      </c>
      <c r="D563" s="30" t="s">
        <v>673</v>
      </c>
      <c r="E563" s="30" t="s">
        <v>674</v>
      </c>
      <c r="F563" s="30" t="s">
        <v>716</v>
      </c>
      <c r="G563" s="30" t="s">
        <v>744</v>
      </c>
      <c r="H563" s="30" t="s">
        <v>935</v>
      </c>
      <c r="I563" s="30" t="s">
        <v>678</v>
      </c>
      <c r="J563" s="30" t="s">
        <v>713</v>
      </c>
      <c r="K563" s="30" t="s">
        <v>690</v>
      </c>
      <c r="L563" s="30" t="s">
        <v>681</v>
      </c>
      <c r="M563" s="30">
        <v>0.9</v>
      </c>
      <c r="N563" s="30" t="s">
        <v>410</v>
      </c>
      <c r="O563" s="30" t="s">
        <v>746</v>
      </c>
      <c r="P563" s="30" t="s">
        <v>683</v>
      </c>
      <c r="Q563" s="30" t="s">
        <v>665</v>
      </c>
      <c r="R563" s="30" t="s">
        <v>154</v>
      </c>
      <c r="S563" s="32" t="s">
        <v>673</v>
      </c>
    </row>
    <row r="564" spans="1:19" x14ac:dyDescent="0.3">
      <c r="A564" s="31" t="s">
        <v>1022</v>
      </c>
      <c r="B564" s="32" t="s">
        <v>154</v>
      </c>
      <c r="C564" s="32" t="s">
        <v>1023</v>
      </c>
      <c r="D564" s="32" t="s">
        <v>673</v>
      </c>
      <c r="E564" s="32" t="s">
        <v>674</v>
      </c>
      <c r="F564" s="32" t="s">
        <v>675</v>
      </c>
      <c r="G564" s="32" t="s">
        <v>744</v>
      </c>
      <c r="H564" s="32" t="s">
        <v>935</v>
      </c>
      <c r="I564" s="32" t="s">
        <v>678</v>
      </c>
      <c r="J564" s="32" t="s">
        <v>710</v>
      </c>
      <c r="K564" s="32" t="s">
        <v>690</v>
      </c>
      <c r="L564" s="32" t="s">
        <v>681</v>
      </c>
      <c r="M564" s="32">
        <v>1</v>
      </c>
      <c r="N564" s="32" t="s">
        <v>484</v>
      </c>
      <c r="O564" s="32" t="s">
        <v>1915</v>
      </c>
      <c r="P564" s="32" t="s">
        <v>683</v>
      </c>
      <c r="Q564" s="32" t="s">
        <v>767</v>
      </c>
      <c r="R564" s="32" t="s">
        <v>154</v>
      </c>
      <c r="S564" s="32" t="s">
        <v>673</v>
      </c>
    </row>
    <row r="565" spans="1:19" x14ac:dyDescent="0.3">
      <c r="A565" s="29" t="s">
        <v>1022</v>
      </c>
      <c r="B565" s="30" t="s">
        <v>154</v>
      </c>
      <c r="C565" s="30" t="s">
        <v>1023</v>
      </c>
      <c r="D565" s="30" t="s">
        <v>673</v>
      </c>
      <c r="E565" s="30" t="s">
        <v>674</v>
      </c>
      <c r="F565" s="30" t="s">
        <v>675</v>
      </c>
      <c r="G565" s="30" t="s">
        <v>744</v>
      </c>
      <c r="H565" s="30" t="s">
        <v>935</v>
      </c>
      <c r="I565" s="30" t="s">
        <v>678</v>
      </c>
      <c r="J565" s="30" t="s">
        <v>710</v>
      </c>
      <c r="K565" s="30" t="s">
        <v>690</v>
      </c>
      <c r="L565" s="30" t="s">
        <v>681</v>
      </c>
      <c r="M565" s="30">
        <v>1</v>
      </c>
      <c r="N565" s="30" t="s">
        <v>509</v>
      </c>
      <c r="O565" s="30" t="s">
        <v>746</v>
      </c>
      <c r="P565" s="30" t="s">
        <v>683</v>
      </c>
      <c r="Q565" s="30" t="s">
        <v>665</v>
      </c>
      <c r="R565" s="30" t="s">
        <v>154</v>
      </c>
      <c r="S565" s="32" t="s">
        <v>673</v>
      </c>
    </row>
    <row r="566" spans="1:19" x14ac:dyDescent="0.3">
      <c r="A566" s="31" t="s">
        <v>824</v>
      </c>
      <c r="B566" s="32" t="s">
        <v>760</v>
      </c>
      <c r="C566" s="32" t="s">
        <v>825</v>
      </c>
      <c r="D566" s="32" t="s">
        <v>673</v>
      </c>
      <c r="E566" s="32" t="s">
        <v>674</v>
      </c>
      <c r="F566" s="32" t="s">
        <v>675</v>
      </c>
      <c r="G566" s="32" t="s">
        <v>676</v>
      </c>
      <c r="H566" s="32" t="s">
        <v>677</v>
      </c>
      <c r="I566" s="32" t="s">
        <v>678</v>
      </c>
      <c r="J566" s="32" t="s">
        <v>713</v>
      </c>
      <c r="K566" s="32" t="s">
        <v>690</v>
      </c>
      <c r="L566" s="32" t="s">
        <v>699</v>
      </c>
      <c r="M566" s="32">
        <v>0.5</v>
      </c>
      <c r="N566" s="32" t="s">
        <v>534</v>
      </c>
      <c r="O566" s="32" t="s">
        <v>1915</v>
      </c>
      <c r="P566" s="32" t="s">
        <v>683</v>
      </c>
      <c r="Q566" s="32" t="s">
        <v>767</v>
      </c>
      <c r="R566" s="32" t="s">
        <v>154</v>
      </c>
      <c r="S566" s="32" t="s">
        <v>673</v>
      </c>
    </row>
    <row r="567" spans="1:19" x14ac:dyDescent="0.3">
      <c r="A567" s="29" t="s">
        <v>954</v>
      </c>
      <c r="B567" s="30" t="s">
        <v>955</v>
      </c>
      <c r="C567" s="30" t="s">
        <v>956</v>
      </c>
      <c r="D567" s="30" t="s">
        <v>673</v>
      </c>
      <c r="E567" s="30" t="s">
        <v>674</v>
      </c>
      <c r="F567" s="30" t="s">
        <v>675</v>
      </c>
      <c r="G567" s="30" t="s">
        <v>676</v>
      </c>
      <c r="H567" s="30" t="s">
        <v>677</v>
      </c>
      <c r="I567" s="30" t="s">
        <v>688</v>
      </c>
      <c r="J567" s="30" t="s">
        <v>713</v>
      </c>
      <c r="K567" s="30" t="s">
        <v>690</v>
      </c>
      <c r="L567" s="30" t="s">
        <v>699</v>
      </c>
      <c r="M567" s="30">
        <v>0.5</v>
      </c>
      <c r="N567" s="30" t="s">
        <v>534</v>
      </c>
      <c r="O567" s="30" t="s">
        <v>1915</v>
      </c>
      <c r="P567" s="30" t="s">
        <v>683</v>
      </c>
      <c r="Q567" s="30" t="s">
        <v>767</v>
      </c>
      <c r="R567" s="30" t="s">
        <v>154</v>
      </c>
      <c r="S567" s="32" t="s">
        <v>673</v>
      </c>
    </row>
    <row r="568" spans="1:19" x14ac:dyDescent="0.3">
      <c r="A568" s="31" t="s">
        <v>1024</v>
      </c>
      <c r="B568" s="32" t="s">
        <v>154</v>
      </c>
      <c r="C568" s="32" t="s">
        <v>1025</v>
      </c>
      <c r="D568" s="32" t="s">
        <v>673</v>
      </c>
      <c r="E568" s="32" t="s">
        <v>674</v>
      </c>
      <c r="F568" s="32" t="s">
        <v>675</v>
      </c>
      <c r="G568" s="32" t="s">
        <v>676</v>
      </c>
      <c r="H568" s="32" t="s">
        <v>677</v>
      </c>
      <c r="I568" s="32" t="s">
        <v>688</v>
      </c>
      <c r="J568" s="32" t="s">
        <v>713</v>
      </c>
      <c r="K568" s="32" t="s">
        <v>690</v>
      </c>
      <c r="L568" s="32" t="s">
        <v>681</v>
      </c>
      <c r="M568" s="32">
        <v>0.3</v>
      </c>
      <c r="N568" s="32" t="s">
        <v>535</v>
      </c>
      <c r="O568" s="32" t="s">
        <v>746</v>
      </c>
      <c r="P568" s="32" t="s">
        <v>683</v>
      </c>
      <c r="Q568" s="32" t="s">
        <v>665</v>
      </c>
      <c r="R568" s="32" t="s">
        <v>154</v>
      </c>
      <c r="S568" s="32" t="s">
        <v>673</v>
      </c>
    </row>
    <row r="569" spans="1:19" x14ac:dyDescent="0.3">
      <c r="A569" s="29" t="s">
        <v>954</v>
      </c>
      <c r="B569" s="30" t="s">
        <v>955</v>
      </c>
      <c r="C569" s="30" t="s">
        <v>956</v>
      </c>
      <c r="D569" s="30" t="s">
        <v>673</v>
      </c>
      <c r="E569" s="30" t="s">
        <v>674</v>
      </c>
      <c r="F569" s="30" t="s">
        <v>675</v>
      </c>
      <c r="G569" s="30" t="s">
        <v>676</v>
      </c>
      <c r="H569" s="30" t="s">
        <v>677</v>
      </c>
      <c r="I569" s="30" t="s">
        <v>688</v>
      </c>
      <c r="J569" s="30" t="s">
        <v>713</v>
      </c>
      <c r="K569" s="30" t="s">
        <v>690</v>
      </c>
      <c r="L569" s="30" t="s">
        <v>699</v>
      </c>
      <c r="M569" s="30">
        <v>0.7</v>
      </c>
      <c r="N569" s="30" t="s">
        <v>535</v>
      </c>
      <c r="O569" s="30" t="s">
        <v>746</v>
      </c>
      <c r="P569" s="30" t="s">
        <v>683</v>
      </c>
      <c r="Q569" s="30" t="s">
        <v>665</v>
      </c>
      <c r="R569" s="30" t="s">
        <v>154</v>
      </c>
      <c r="S569" s="32" t="s">
        <v>673</v>
      </c>
    </row>
    <row r="570" spans="1:19" x14ac:dyDescent="0.3">
      <c r="A570" s="31" t="s">
        <v>959</v>
      </c>
      <c r="B570" s="32" t="s">
        <v>960</v>
      </c>
      <c r="C570" s="32" t="s">
        <v>961</v>
      </c>
      <c r="D570" s="32" t="s">
        <v>673</v>
      </c>
      <c r="E570" s="32" t="s">
        <v>674</v>
      </c>
      <c r="F570" s="32" t="s">
        <v>675</v>
      </c>
      <c r="G570" s="32" t="s">
        <v>676</v>
      </c>
      <c r="H570" s="32" t="s">
        <v>677</v>
      </c>
      <c r="I570" s="32" t="s">
        <v>678</v>
      </c>
      <c r="J570" s="32" t="s">
        <v>713</v>
      </c>
      <c r="K570" s="32" t="s">
        <v>690</v>
      </c>
      <c r="L570" s="32" t="s">
        <v>699</v>
      </c>
      <c r="M570" s="32">
        <v>0.2</v>
      </c>
      <c r="N570" s="32" t="s">
        <v>584</v>
      </c>
      <c r="O570" s="32" t="s">
        <v>746</v>
      </c>
      <c r="P570" s="32" t="s">
        <v>683</v>
      </c>
      <c r="Q570" s="32" t="s">
        <v>665</v>
      </c>
      <c r="R570" s="32" t="s">
        <v>154</v>
      </c>
      <c r="S570" s="32" t="s">
        <v>673</v>
      </c>
    </row>
    <row r="571" spans="1:19" x14ac:dyDescent="0.3">
      <c r="A571" s="29" t="s">
        <v>962</v>
      </c>
      <c r="B571" s="30" t="s">
        <v>760</v>
      </c>
      <c r="C571" s="30" t="s">
        <v>963</v>
      </c>
      <c r="D571" s="30" t="s">
        <v>673</v>
      </c>
      <c r="E571" s="30" t="s">
        <v>674</v>
      </c>
      <c r="F571" s="30" t="s">
        <v>675</v>
      </c>
      <c r="G571" s="30" t="s">
        <v>676</v>
      </c>
      <c r="H571" s="30" t="s">
        <v>677</v>
      </c>
      <c r="I571" s="30" t="s">
        <v>678</v>
      </c>
      <c r="J571" s="30" t="s">
        <v>713</v>
      </c>
      <c r="K571" s="30" t="s">
        <v>690</v>
      </c>
      <c r="L571" s="30" t="s">
        <v>699</v>
      </c>
      <c r="M571" s="30">
        <v>0.2</v>
      </c>
      <c r="N571" s="30" t="s">
        <v>584</v>
      </c>
      <c r="O571" s="30" t="s">
        <v>746</v>
      </c>
      <c r="P571" s="30" t="s">
        <v>683</v>
      </c>
      <c r="Q571" s="30" t="s">
        <v>665</v>
      </c>
      <c r="R571" s="30" t="s">
        <v>154</v>
      </c>
      <c r="S571" s="32" t="s">
        <v>673</v>
      </c>
    </row>
    <row r="572" spans="1:19" x14ac:dyDescent="0.3">
      <c r="A572" s="31" t="s">
        <v>822</v>
      </c>
      <c r="B572" s="32" t="s">
        <v>760</v>
      </c>
      <c r="C572" s="32" t="s">
        <v>823</v>
      </c>
      <c r="D572" s="32" t="s">
        <v>673</v>
      </c>
      <c r="E572" s="32" t="s">
        <v>674</v>
      </c>
      <c r="F572" s="32" t="s">
        <v>675</v>
      </c>
      <c r="G572" s="32" t="s">
        <v>676</v>
      </c>
      <c r="H572" s="32" t="s">
        <v>677</v>
      </c>
      <c r="I572" s="32" t="s">
        <v>678</v>
      </c>
      <c r="J572" s="32" t="s">
        <v>713</v>
      </c>
      <c r="K572" s="32" t="s">
        <v>690</v>
      </c>
      <c r="L572" s="32" t="s">
        <v>699</v>
      </c>
      <c r="M572" s="32">
        <v>0.6</v>
      </c>
      <c r="N572" s="32" t="s">
        <v>584</v>
      </c>
      <c r="O572" s="32" t="s">
        <v>746</v>
      </c>
      <c r="P572" s="32" t="s">
        <v>683</v>
      </c>
      <c r="Q572" s="32" t="s">
        <v>665</v>
      </c>
      <c r="R572" s="32" t="s">
        <v>154</v>
      </c>
      <c r="S572" s="32" t="s">
        <v>673</v>
      </c>
    </row>
    <row r="573" spans="1:19" x14ac:dyDescent="0.3">
      <c r="A573" s="29" t="s">
        <v>1248</v>
      </c>
      <c r="B573" s="30" t="s">
        <v>154</v>
      </c>
      <c r="C573" s="30" t="s">
        <v>1249</v>
      </c>
      <c r="D573" s="30" t="s">
        <v>673</v>
      </c>
      <c r="E573" s="30" t="s">
        <v>674</v>
      </c>
      <c r="F573" s="30" t="s">
        <v>716</v>
      </c>
      <c r="G573" s="30" t="s">
        <v>744</v>
      </c>
      <c r="H573" s="30" t="s">
        <v>935</v>
      </c>
      <c r="I573" s="30" t="s">
        <v>688</v>
      </c>
      <c r="J573" s="30" t="s">
        <v>713</v>
      </c>
      <c r="K573" s="30" t="s">
        <v>690</v>
      </c>
      <c r="L573" s="30" t="s">
        <v>681</v>
      </c>
      <c r="M573" s="30">
        <v>0.5</v>
      </c>
      <c r="N573" s="30" t="s">
        <v>84</v>
      </c>
      <c r="O573" s="30" t="s">
        <v>746</v>
      </c>
      <c r="P573" s="30" t="s">
        <v>683</v>
      </c>
      <c r="Q573" s="30" t="s">
        <v>665</v>
      </c>
      <c r="R573" s="30" t="s">
        <v>123</v>
      </c>
      <c r="S573" s="32" t="s">
        <v>673</v>
      </c>
    </row>
    <row r="574" spans="1:19" x14ac:dyDescent="0.3">
      <c r="A574" s="31" t="s">
        <v>1247</v>
      </c>
      <c r="B574" s="32" t="s">
        <v>952</v>
      </c>
      <c r="C574" s="32" t="s">
        <v>953</v>
      </c>
      <c r="D574" s="32" t="s">
        <v>673</v>
      </c>
      <c r="E574" s="32" t="s">
        <v>674</v>
      </c>
      <c r="F574" s="32" t="s">
        <v>716</v>
      </c>
      <c r="G574" s="32" t="s">
        <v>744</v>
      </c>
      <c r="H574" s="32" t="s">
        <v>702</v>
      </c>
      <c r="I574" s="32" t="s">
        <v>678</v>
      </c>
      <c r="J574" s="32" t="s">
        <v>713</v>
      </c>
      <c r="K574" s="32" t="s">
        <v>690</v>
      </c>
      <c r="L574" s="32" t="s">
        <v>681</v>
      </c>
      <c r="M574" s="32">
        <v>0.5</v>
      </c>
      <c r="N574" s="32" t="s">
        <v>84</v>
      </c>
      <c r="O574" s="32" t="s">
        <v>746</v>
      </c>
      <c r="P574" s="32" t="s">
        <v>683</v>
      </c>
      <c r="Q574" s="32" t="s">
        <v>665</v>
      </c>
      <c r="R574" s="32" t="s">
        <v>123</v>
      </c>
      <c r="S574" s="32" t="s">
        <v>673</v>
      </c>
    </row>
    <row r="575" spans="1:19" x14ac:dyDescent="0.3">
      <c r="A575" s="29" t="s">
        <v>1248</v>
      </c>
      <c r="B575" s="30" t="s">
        <v>154</v>
      </c>
      <c r="C575" s="30" t="s">
        <v>1249</v>
      </c>
      <c r="D575" s="30" t="s">
        <v>673</v>
      </c>
      <c r="E575" s="30" t="s">
        <v>674</v>
      </c>
      <c r="F575" s="30" t="s">
        <v>716</v>
      </c>
      <c r="G575" s="30" t="s">
        <v>744</v>
      </c>
      <c r="H575" s="30" t="s">
        <v>935</v>
      </c>
      <c r="I575" s="30" t="s">
        <v>688</v>
      </c>
      <c r="J575" s="30" t="s">
        <v>713</v>
      </c>
      <c r="K575" s="30" t="s">
        <v>690</v>
      </c>
      <c r="L575" s="30" t="s">
        <v>681</v>
      </c>
      <c r="M575" s="30">
        <v>0.3</v>
      </c>
      <c r="N575" s="30" t="s">
        <v>301</v>
      </c>
      <c r="O575" s="30" t="s">
        <v>746</v>
      </c>
      <c r="P575" s="30" t="s">
        <v>683</v>
      </c>
      <c r="Q575" s="30" t="s">
        <v>665</v>
      </c>
      <c r="R575" s="30" t="s">
        <v>84</v>
      </c>
      <c r="S575" s="32" t="s">
        <v>673</v>
      </c>
    </row>
    <row r="576" spans="1:19" x14ac:dyDescent="0.3">
      <c r="A576" s="31" t="s">
        <v>1024</v>
      </c>
      <c r="B576" s="32" t="s">
        <v>154</v>
      </c>
      <c r="C576" s="32" t="s">
        <v>1025</v>
      </c>
      <c r="D576" s="32" t="s">
        <v>673</v>
      </c>
      <c r="E576" s="32" t="s">
        <v>674</v>
      </c>
      <c r="F576" s="32" t="s">
        <v>675</v>
      </c>
      <c r="G576" s="32" t="s">
        <v>676</v>
      </c>
      <c r="H576" s="32" t="s">
        <v>677</v>
      </c>
      <c r="I576" s="32" t="s">
        <v>688</v>
      </c>
      <c r="J576" s="32" t="s">
        <v>713</v>
      </c>
      <c r="K576" s="32" t="s">
        <v>690</v>
      </c>
      <c r="L576" s="32" t="s">
        <v>681</v>
      </c>
      <c r="M576" s="32">
        <v>0.5</v>
      </c>
      <c r="N576" s="32" t="s">
        <v>287</v>
      </c>
      <c r="O576" s="32" t="s">
        <v>746</v>
      </c>
      <c r="P576" s="32" t="s">
        <v>683</v>
      </c>
      <c r="Q576" s="32" t="s">
        <v>665</v>
      </c>
      <c r="R576" s="32" t="s">
        <v>411</v>
      </c>
      <c r="S576" s="32" t="s">
        <v>673</v>
      </c>
    </row>
    <row r="577" spans="1:19" x14ac:dyDescent="0.3">
      <c r="A577" s="29" t="s">
        <v>926</v>
      </c>
      <c r="B577" s="30" t="s">
        <v>258</v>
      </c>
      <c r="C577" s="30" t="s">
        <v>927</v>
      </c>
      <c r="D577" s="30" t="s">
        <v>673</v>
      </c>
      <c r="E577" s="30" t="s">
        <v>674</v>
      </c>
      <c r="F577" s="30" t="s">
        <v>716</v>
      </c>
      <c r="G577" s="30" t="s">
        <v>744</v>
      </c>
      <c r="H577" s="30" t="s">
        <v>677</v>
      </c>
      <c r="I577" s="30" t="s">
        <v>678</v>
      </c>
      <c r="J577" s="30" t="s">
        <v>679</v>
      </c>
      <c r="K577" s="30" t="s">
        <v>680</v>
      </c>
      <c r="L577" s="30" t="s">
        <v>681</v>
      </c>
      <c r="M577" s="30">
        <v>1</v>
      </c>
      <c r="N577" s="30" t="s">
        <v>80</v>
      </c>
      <c r="O577" s="30" t="s">
        <v>746</v>
      </c>
      <c r="P577" s="30" t="s">
        <v>683</v>
      </c>
      <c r="Q577" s="30" t="s">
        <v>665</v>
      </c>
      <c r="R577" s="30" t="s">
        <v>258</v>
      </c>
      <c r="S577" s="32" t="s">
        <v>673</v>
      </c>
    </row>
    <row r="578" spans="1:19" x14ac:dyDescent="0.3">
      <c r="A578" s="31" t="s">
        <v>939</v>
      </c>
      <c r="B578" s="32" t="s">
        <v>258</v>
      </c>
      <c r="C578" s="32" t="s">
        <v>940</v>
      </c>
      <c r="D578" s="32" t="s">
        <v>673</v>
      </c>
      <c r="E578" s="32" t="s">
        <v>674</v>
      </c>
      <c r="F578" s="32" t="s">
        <v>716</v>
      </c>
      <c r="G578" s="32" t="s">
        <v>744</v>
      </c>
      <c r="H578" s="32" t="s">
        <v>677</v>
      </c>
      <c r="I578" s="32" t="s">
        <v>678</v>
      </c>
      <c r="J578" s="32" t="s">
        <v>679</v>
      </c>
      <c r="K578" s="32" t="s">
        <v>680</v>
      </c>
      <c r="L578" s="32" t="s">
        <v>681</v>
      </c>
      <c r="M578" s="32">
        <v>1</v>
      </c>
      <c r="N578" s="32" t="s">
        <v>1425</v>
      </c>
      <c r="O578" s="32" t="s">
        <v>1915</v>
      </c>
      <c r="P578" s="32" t="s">
        <v>683</v>
      </c>
      <c r="Q578" s="32" t="s">
        <v>767</v>
      </c>
      <c r="R578" s="32" t="s">
        <v>258</v>
      </c>
      <c r="S578" s="32" t="s">
        <v>673</v>
      </c>
    </row>
    <row r="579" spans="1:19" x14ac:dyDescent="0.3">
      <c r="A579" s="29" t="s">
        <v>943</v>
      </c>
      <c r="B579" s="30" t="s">
        <v>944</v>
      </c>
      <c r="C579" s="30" t="s">
        <v>945</v>
      </c>
      <c r="D579" s="30" t="s">
        <v>673</v>
      </c>
      <c r="E579" s="30" t="s">
        <v>674</v>
      </c>
      <c r="F579" s="30" t="s">
        <v>716</v>
      </c>
      <c r="G579" s="30" t="s">
        <v>744</v>
      </c>
      <c r="H579" s="30" t="s">
        <v>935</v>
      </c>
      <c r="I579" s="30" t="s">
        <v>678</v>
      </c>
      <c r="J579" s="30" t="s">
        <v>713</v>
      </c>
      <c r="K579" s="30" t="s">
        <v>690</v>
      </c>
      <c r="L579" s="30" t="s">
        <v>681</v>
      </c>
      <c r="M579" s="30">
        <v>1</v>
      </c>
      <c r="N579" s="30" t="s">
        <v>1437</v>
      </c>
      <c r="O579" s="30" t="s">
        <v>746</v>
      </c>
      <c r="P579" s="30" t="s">
        <v>683</v>
      </c>
      <c r="Q579" s="30" t="s">
        <v>665</v>
      </c>
      <c r="R579" s="30" t="s">
        <v>550</v>
      </c>
      <c r="S579" s="32" t="s">
        <v>673</v>
      </c>
    </row>
    <row r="580" spans="1:19" x14ac:dyDescent="0.3">
      <c r="A580" s="31" t="s">
        <v>928</v>
      </c>
      <c r="B580" s="32" t="s">
        <v>258</v>
      </c>
      <c r="C580" s="32" t="s">
        <v>929</v>
      </c>
      <c r="D580" s="32" t="s">
        <v>673</v>
      </c>
      <c r="E580" s="32" t="s">
        <v>674</v>
      </c>
      <c r="F580" s="32" t="s">
        <v>716</v>
      </c>
      <c r="G580" s="32" t="s">
        <v>744</v>
      </c>
      <c r="H580" s="32" t="s">
        <v>677</v>
      </c>
      <c r="I580" s="32" t="s">
        <v>678</v>
      </c>
      <c r="J580" s="32" t="s">
        <v>698</v>
      </c>
      <c r="K580" s="32" t="s">
        <v>690</v>
      </c>
      <c r="L580" s="32" t="s">
        <v>681</v>
      </c>
      <c r="M580" s="32">
        <v>1</v>
      </c>
      <c r="N580" s="32" t="s">
        <v>977</v>
      </c>
      <c r="O580" s="32" t="s">
        <v>1915</v>
      </c>
      <c r="P580" s="32" t="s">
        <v>683</v>
      </c>
      <c r="Q580" s="32" t="s">
        <v>767</v>
      </c>
      <c r="R580" s="32" t="s">
        <v>258</v>
      </c>
      <c r="S580" s="32" t="s">
        <v>673</v>
      </c>
    </row>
    <row r="581" spans="1:19" x14ac:dyDescent="0.3">
      <c r="A581" s="29" t="s">
        <v>946</v>
      </c>
      <c r="B581" s="30" t="s">
        <v>309</v>
      </c>
      <c r="C581" s="30" t="s">
        <v>947</v>
      </c>
      <c r="D581" s="30" t="s">
        <v>673</v>
      </c>
      <c r="E581" s="30" t="s">
        <v>674</v>
      </c>
      <c r="F581" s="30" t="s">
        <v>716</v>
      </c>
      <c r="G581" s="30" t="s">
        <v>744</v>
      </c>
      <c r="H581" s="30" t="s">
        <v>935</v>
      </c>
      <c r="I581" s="30" t="s">
        <v>678</v>
      </c>
      <c r="J581" s="30" t="s">
        <v>774</v>
      </c>
      <c r="K581" s="30" t="s">
        <v>680</v>
      </c>
      <c r="L581" s="30" t="s">
        <v>681</v>
      </c>
      <c r="M581" s="30">
        <v>0.3</v>
      </c>
      <c r="N581" s="30" t="s">
        <v>650</v>
      </c>
      <c r="O581" s="30" t="s">
        <v>746</v>
      </c>
      <c r="P581" s="30" t="s">
        <v>683</v>
      </c>
      <c r="Q581" s="30" t="s">
        <v>665</v>
      </c>
      <c r="R581" s="30" t="s">
        <v>258</v>
      </c>
      <c r="S581" s="32" t="s">
        <v>673</v>
      </c>
    </row>
    <row r="582" spans="1:19" x14ac:dyDescent="0.3">
      <c r="A582" s="31" t="s">
        <v>939</v>
      </c>
      <c r="B582" s="32" t="s">
        <v>258</v>
      </c>
      <c r="C582" s="32" t="s">
        <v>940</v>
      </c>
      <c r="D582" s="32" t="s">
        <v>673</v>
      </c>
      <c r="E582" s="32" t="s">
        <v>674</v>
      </c>
      <c r="F582" s="32" t="s">
        <v>716</v>
      </c>
      <c r="G582" s="32" t="s">
        <v>744</v>
      </c>
      <c r="H582" s="32" t="s">
        <v>677</v>
      </c>
      <c r="I582" s="32" t="s">
        <v>678</v>
      </c>
      <c r="J582" s="32" t="s">
        <v>679</v>
      </c>
      <c r="K582" s="32" t="s">
        <v>680</v>
      </c>
      <c r="L582" s="32" t="s">
        <v>681</v>
      </c>
      <c r="M582" s="32">
        <v>1</v>
      </c>
      <c r="N582" s="32" t="s">
        <v>492</v>
      </c>
      <c r="O582" s="32" t="s">
        <v>746</v>
      </c>
      <c r="P582" s="32" t="s">
        <v>683</v>
      </c>
      <c r="Q582" s="32" t="s">
        <v>665</v>
      </c>
      <c r="R582" s="32" t="s">
        <v>258</v>
      </c>
      <c r="S582" s="32" t="s">
        <v>673</v>
      </c>
    </row>
    <row r="583" spans="1:19" x14ac:dyDescent="0.3">
      <c r="A583" s="29" t="s">
        <v>946</v>
      </c>
      <c r="B583" s="30" t="s">
        <v>309</v>
      </c>
      <c r="C583" s="30" t="s">
        <v>947</v>
      </c>
      <c r="D583" s="30" t="s">
        <v>673</v>
      </c>
      <c r="E583" s="30" t="s">
        <v>674</v>
      </c>
      <c r="F583" s="30" t="s">
        <v>716</v>
      </c>
      <c r="G583" s="30" t="s">
        <v>744</v>
      </c>
      <c r="H583" s="30" t="s">
        <v>935</v>
      </c>
      <c r="I583" s="30" t="s">
        <v>678</v>
      </c>
      <c r="J583" s="30" t="s">
        <v>774</v>
      </c>
      <c r="K583" s="30" t="s">
        <v>680</v>
      </c>
      <c r="L583" s="30" t="s">
        <v>681</v>
      </c>
      <c r="M583" s="30">
        <v>0.3</v>
      </c>
      <c r="N583" s="30" t="s">
        <v>421</v>
      </c>
      <c r="O583" s="30" t="s">
        <v>746</v>
      </c>
      <c r="P583" s="30" t="s">
        <v>683</v>
      </c>
      <c r="Q583" s="30" t="s">
        <v>767</v>
      </c>
      <c r="R583" s="30" t="s">
        <v>258</v>
      </c>
      <c r="S583" s="32" t="s">
        <v>673</v>
      </c>
    </row>
    <row r="584" spans="1:19" x14ac:dyDescent="0.3">
      <c r="A584" s="31" t="s">
        <v>943</v>
      </c>
      <c r="B584" s="32" t="s">
        <v>944</v>
      </c>
      <c r="C584" s="32" t="s">
        <v>945</v>
      </c>
      <c r="D584" s="32" t="s">
        <v>673</v>
      </c>
      <c r="E584" s="32" t="s">
        <v>674</v>
      </c>
      <c r="F584" s="32" t="s">
        <v>716</v>
      </c>
      <c r="G584" s="32" t="s">
        <v>744</v>
      </c>
      <c r="H584" s="32" t="s">
        <v>935</v>
      </c>
      <c r="I584" s="32" t="s">
        <v>678</v>
      </c>
      <c r="J584" s="32" t="s">
        <v>713</v>
      </c>
      <c r="K584" s="32" t="s">
        <v>690</v>
      </c>
      <c r="L584" s="32" t="s">
        <v>681</v>
      </c>
      <c r="M584" s="32">
        <v>1</v>
      </c>
      <c r="N584" s="32" t="s">
        <v>194</v>
      </c>
      <c r="O584" s="32" t="s">
        <v>1915</v>
      </c>
      <c r="P584" s="32" t="s">
        <v>683</v>
      </c>
      <c r="Q584" s="32" t="s">
        <v>767</v>
      </c>
      <c r="R584" s="32" t="s">
        <v>258</v>
      </c>
      <c r="S584" s="32" t="s">
        <v>673</v>
      </c>
    </row>
    <row r="585" spans="1:19" x14ac:dyDescent="0.3">
      <c r="A585" s="29" t="s">
        <v>936</v>
      </c>
      <c r="B585" s="30" t="s">
        <v>258</v>
      </c>
      <c r="C585" s="30" t="s">
        <v>937</v>
      </c>
      <c r="D585" s="30" t="s">
        <v>673</v>
      </c>
      <c r="E585" s="30" t="s">
        <v>674</v>
      </c>
      <c r="F585" s="30" t="s">
        <v>716</v>
      </c>
      <c r="G585" s="30" t="s">
        <v>744</v>
      </c>
      <c r="H585" s="30" t="s">
        <v>938</v>
      </c>
      <c r="I585" s="30" t="s">
        <v>678</v>
      </c>
      <c r="J585" s="30" t="s">
        <v>713</v>
      </c>
      <c r="K585" s="30" t="s">
        <v>690</v>
      </c>
      <c r="L585" s="30" t="s">
        <v>681</v>
      </c>
      <c r="M585" s="30">
        <v>1</v>
      </c>
      <c r="N585" s="30" t="s">
        <v>399</v>
      </c>
      <c r="O585" s="30" t="s">
        <v>1915</v>
      </c>
      <c r="P585" s="30" t="s">
        <v>683</v>
      </c>
      <c r="Q585" s="30" t="s">
        <v>767</v>
      </c>
      <c r="R585" s="30" t="s">
        <v>258</v>
      </c>
      <c r="S585" s="32" t="s">
        <v>673</v>
      </c>
    </row>
    <row r="586" spans="1:19" x14ac:dyDescent="0.3">
      <c r="A586" s="31" t="s">
        <v>936</v>
      </c>
      <c r="B586" s="32" t="s">
        <v>258</v>
      </c>
      <c r="C586" s="32" t="s">
        <v>937</v>
      </c>
      <c r="D586" s="32" t="s">
        <v>673</v>
      </c>
      <c r="E586" s="32" t="s">
        <v>674</v>
      </c>
      <c r="F586" s="32" t="s">
        <v>716</v>
      </c>
      <c r="G586" s="32" t="s">
        <v>744</v>
      </c>
      <c r="H586" s="32" t="s">
        <v>938</v>
      </c>
      <c r="I586" s="32" t="s">
        <v>678</v>
      </c>
      <c r="J586" s="32" t="s">
        <v>713</v>
      </c>
      <c r="K586" s="32" t="s">
        <v>690</v>
      </c>
      <c r="L586" s="32" t="s">
        <v>681</v>
      </c>
      <c r="M586" s="32">
        <v>1</v>
      </c>
      <c r="N586" s="32" t="s">
        <v>180</v>
      </c>
      <c r="O586" s="32" t="s">
        <v>1915</v>
      </c>
      <c r="P586" s="32" t="s">
        <v>683</v>
      </c>
      <c r="Q586" s="32" t="s">
        <v>767</v>
      </c>
      <c r="R586" s="32" t="s">
        <v>258</v>
      </c>
      <c r="S586" s="32" t="s">
        <v>673</v>
      </c>
    </row>
    <row r="587" spans="1:19" x14ac:dyDescent="0.3">
      <c r="A587" s="29" t="s">
        <v>932</v>
      </c>
      <c r="B587" s="30" t="s">
        <v>933</v>
      </c>
      <c r="C587" s="30" t="s">
        <v>934</v>
      </c>
      <c r="D587" s="30" t="s">
        <v>673</v>
      </c>
      <c r="E587" s="30" t="s">
        <v>674</v>
      </c>
      <c r="F587" s="30" t="s">
        <v>716</v>
      </c>
      <c r="G587" s="30" t="s">
        <v>744</v>
      </c>
      <c r="H587" s="30" t="s">
        <v>935</v>
      </c>
      <c r="I587" s="30" t="s">
        <v>678</v>
      </c>
      <c r="J587" s="30" t="s">
        <v>713</v>
      </c>
      <c r="K587" s="30" t="s">
        <v>690</v>
      </c>
      <c r="L587" s="30" t="s">
        <v>681</v>
      </c>
      <c r="M587" s="30">
        <v>1</v>
      </c>
      <c r="N587" s="30" t="s">
        <v>270</v>
      </c>
      <c r="O587" s="30" t="s">
        <v>746</v>
      </c>
      <c r="P587" s="30" t="s">
        <v>683</v>
      </c>
      <c r="Q587" s="30" t="s">
        <v>665</v>
      </c>
      <c r="R587" s="30" t="s">
        <v>258</v>
      </c>
      <c r="S587" s="32" t="s">
        <v>673</v>
      </c>
    </row>
    <row r="588" spans="1:19" x14ac:dyDescent="0.3">
      <c r="A588" s="31" t="s">
        <v>941</v>
      </c>
      <c r="B588" s="32" t="s">
        <v>154</v>
      </c>
      <c r="C588" s="32" t="s">
        <v>942</v>
      </c>
      <c r="D588" s="32" t="s">
        <v>673</v>
      </c>
      <c r="E588" s="32" t="s">
        <v>674</v>
      </c>
      <c r="F588" s="32" t="s">
        <v>716</v>
      </c>
      <c r="G588" s="32" t="s">
        <v>744</v>
      </c>
      <c r="H588" s="32" t="s">
        <v>935</v>
      </c>
      <c r="I588" s="32" t="s">
        <v>678</v>
      </c>
      <c r="J588" s="32" t="s">
        <v>713</v>
      </c>
      <c r="K588" s="32" t="s">
        <v>690</v>
      </c>
      <c r="L588" s="32" t="s">
        <v>681</v>
      </c>
      <c r="M588" s="32">
        <v>0.7</v>
      </c>
      <c r="N588" s="32" t="s">
        <v>634</v>
      </c>
      <c r="O588" s="32" t="s">
        <v>746</v>
      </c>
      <c r="P588" s="32" t="s">
        <v>683</v>
      </c>
      <c r="Q588" s="32" t="s">
        <v>665</v>
      </c>
      <c r="R588" s="32" t="s">
        <v>258</v>
      </c>
      <c r="S588" s="32" t="s">
        <v>673</v>
      </c>
    </row>
    <row r="589" spans="1:19" x14ac:dyDescent="0.3">
      <c r="A589" s="29" t="s">
        <v>930</v>
      </c>
      <c r="B589" s="30" t="s">
        <v>258</v>
      </c>
      <c r="C589" s="30" t="s">
        <v>931</v>
      </c>
      <c r="D589" s="30" t="s">
        <v>673</v>
      </c>
      <c r="E589" s="30" t="s">
        <v>674</v>
      </c>
      <c r="F589" s="30" t="s">
        <v>716</v>
      </c>
      <c r="G589" s="30" t="s">
        <v>744</v>
      </c>
      <c r="H589" s="30" t="s">
        <v>677</v>
      </c>
      <c r="I589" s="30" t="s">
        <v>678</v>
      </c>
      <c r="J589" s="30" t="s">
        <v>698</v>
      </c>
      <c r="K589" s="30" t="s">
        <v>690</v>
      </c>
      <c r="L589" s="30" t="s">
        <v>681</v>
      </c>
      <c r="M589" s="30">
        <v>0.3</v>
      </c>
      <c r="N589" s="30" t="s">
        <v>634</v>
      </c>
      <c r="O589" s="30" t="s">
        <v>746</v>
      </c>
      <c r="P589" s="30" t="s">
        <v>683</v>
      </c>
      <c r="Q589" s="30" t="s">
        <v>665</v>
      </c>
      <c r="R589" s="30" t="s">
        <v>258</v>
      </c>
      <c r="S589" s="32" t="s">
        <v>673</v>
      </c>
    </row>
    <row r="590" spans="1:19" x14ac:dyDescent="0.3">
      <c r="A590" s="31" t="s">
        <v>932</v>
      </c>
      <c r="B590" s="32" t="s">
        <v>933</v>
      </c>
      <c r="C590" s="32" t="s">
        <v>934</v>
      </c>
      <c r="D590" s="32" t="s">
        <v>673</v>
      </c>
      <c r="E590" s="32" t="s">
        <v>674</v>
      </c>
      <c r="F590" s="32" t="s">
        <v>716</v>
      </c>
      <c r="G590" s="32" t="s">
        <v>744</v>
      </c>
      <c r="H590" s="32" t="s">
        <v>935</v>
      </c>
      <c r="I590" s="32" t="s">
        <v>678</v>
      </c>
      <c r="J590" s="32" t="s">
        <v>713</v>
      </c>
      <c r="K590" s="32" t="s">
        <v>690</v>
      </c>
      <c r="L590" s="32" t="s">
        <v>681</v>
      </c>
      <c r="M590" s="32">
        <v>1</v>
      </c>
      <c r="N590" s="32" t="s">
        <v>265</v>
      </c>
      <c r="O590" s="32" t="s">
        <v>746</v>
      </c>
      <c r="P590" s="32" t="s">
        <v>683</v>
      </c>
      <c r="Q590" s="32" t="s">
        <v>665</v>
      </c>
      <c r="R590" s="32" t="s">
        <v>258</v>
      </c>
      <c r="S590" s="32" t="s">
        <v>673</v>
      </c>
    </row>
    <row r="591" spans="1:19" x14ac:dyDescent="0.3">
      <c r="A591" s="29" t="s">
        <v>932</v>
      </c>
      <c r="B591" s="30" t="s">
        <v>933</v>
      </c>
      <c r="C591" s="30" t="s">
        <v>934</v>
      </c>
      <c r="D591" s="30" t="s">
        <v>673</v>
      </c>
      <c r="E591" s="30" t="s">
        <v>674</v>
      </c>
      <c r="F591" s="30" t="s">
        <v>716</v>
      </c>
      <c r="G591" s="30" t="s">
        <v>744</v>
      </c>
      <c r="H591" s="30" t="s">
        <v>935</v>
      </c>
      <c r="I591" s="30" t="s">
        <v>678</v>
      </c>
      <c r="J591" s="30" t="s">
        <v>713</v>
      </c>
      <c r="K591" s="30" t="s">
        <v>690</v>
      </c>
      <c r="L591" s="30" t="s">
        <v>681</v>
      </c>
      <c r="M591" s="30">
        <v>1</v>
      </c>
      <c r="N591" s="30" t="s">
        <v>475</v>
      </c>
      <c r="O591" s="30" t="s">
        <v>1915</v>
      </c>
      <c r="P591" s="30" t="s">
        <v>683</v>
      </c>
      <c r="Q591" s="30" t="s">
        <v>767</v>
      </c>
      <c r="R591" s="30" t="s">
        <v>258</v>
      </c>
      <c r="S591" s="32" t="s">
        <v>673</v>
      </c>
    </row>
    <row r="592" spans="1:19" x14ac:dyDescent="0.3">
      <c r="A592" s="31" t="s">
        <v>939</v>
      </c>
      <c r="B592" s="32" t="s">
        <v>258</v>
      </c>
      <c r="C592" s="32" t="s">
        <v>940</v>
      </c>
      <c r="D592" s="32" t="s">
        <v>673</v>
      </c>
      <c r="E592" s="32" t="s">
        <v>674</v>
      </c>
      <c r="F592" s="32" t="s">
        <v>716</v>
      </c>
      <c r="G592" s="32" t="s">
        <v>744</v>
      </c>
      <c r="H592" s="32" t="s">
        <v>677</v>
      </c>
      <c r="I592" s="32" t="s">
        <v>678</v>
      </c>
      <c r="J592" s="32" t="s">
        <v>679</v>
      </c>
      <c r="K592" s="32" t="s">
        <v>680</v>
      </c>
      <c r="L592" s="32" t="s">
        <v>681</v>
      </c>
      <c r="M592" s="32">
        <v>1</v>
      </c>
      <c r="N592" s="32" t="s">
        <v>354</v>
      </c>
      <c r="O592" s="32" t="s">
        <v>746</v>
      </c>
      <c r="P592" s="32" t="s">
        <v>683</v>
      </c>
      <c r="Q592" s="32" t="s">
        <v>665</v>
      </c>
      <c r="R592" s="32" t="s">
        <v>258</v>
      </c>
      <c r="S592" s="32" t="s">
        <v>673</v>
      </c>
    </row>
    <row r="593" spans="1:19" x14ac:dyDescent="0.3">
      <c r="A593" s="29" t="s">
        <v>939</v>
      </c>
      <c r="B593" s="30" t="s">
        <v>258</v>
      </c>
      <c r="C593" s="30" t="s">
        <v>940</v>
      </c>
      <c r="D593" s="30" t="s">
        <v>673</v>
      </c>
      <c r="E593" s="30" t="s">
        <v>674</v>
      </c>
      <c r="F593" s="30" t="s">
        <v>716</v>
      </c>
      <c r="G593" s="30" t="s">
        <v>744</v>
      </c>
      <c r="H593" s="30" t="s">
        <v>677</v>
      </c>
      <c r="I593" s="30" t="s">
        <v>678</v>
      </c>
      <c r="J593" s="30" t="s">
        <v>679</v>
      </c>
      <c r="K593" s="30" t="s">
        <v>680</v>
      </c>
      <c r="L593" s="30" t="s">
        <v>681</v>
      </c>
      <c r="M593" s="30">
        <v>1</v>
      </c>
      <c r="N593" s="30" t="s">
        <v>482</v>
      </c>
      <c r="O593" s="30" t="s">
        <v>746</v>
      </c>
      <c r="P593" s="30" t="s">
        <v>683</v>
      </c>
      <c r="Q593" s="30" t="s">
        <v>665</v>
      </c>
      <c r="R593" s="30" t="s">
        <v>258</v>
      </c>
      <c r="S593" s="32" t="s">
        <v>673</v>
      </c>
    </row>
    <row r="594" spans="1:19" x14ac:dyDescent="0.3">
      <c r="A594" s="31" t="s">
        <v>932</v>
      </c>
      <c r="B594" s="32" t="s">
        <v>933</v>
      </c>
      <c r="C594" s="32" t="s">
        <v>934</v>
      </c>
      <c r="D594" s="32" t="s">
        <v>673</v>
      </c>
      <c r="E594" s="32" t="s">
        <v>674</v>
      </c>
      <c r="F594" s="32" t="s">
        <v>716</v>
      </c>
      <c r="G594" s="32" t="s">
        <v>744</v>
      </c>
      <c r="H594" s="32" t="s">
        <v>935</v>
      </c>
      <c r="I594" s="32" t="s">
        <v>678</v>
      </c>
      <c r="J594" s="32" t="s">
        <v>713</v>
      </c>
      <c r="K594" s="32" t="s">
        <v>690</v>
      </c>
      <c r="L594" s="32" t="s">
        <v>681</v>
      </c>
      <c r="M594" s="32">
        <v>1</v>
      </c>
      <c r="N594" s="32" t="s">
        <v>480</v>
      </c>
      <c r="O594" s="32" t="s">
        <v>1915</v>
      </c>
      <c r="P594" s="32" t="s">
        <v>683</v>
      </c>
      <c r="Q594" s="32" t="s">
        <v>767</v>
      </c>
      <c r="R594" s="32" t="s">
        <v>258</v>
      </c>
      <c r="S594" s="32" t="s">
        <v>673</v>
      </c>
    </row>
    <row r="595" spans="1:19" x14ac:dyDescent="0.3">
      <c r="A595" s="29" t="s">
        <v>939</v>
      </c>
      <c r="B595" s="30" t="s">
        <v>258</v>
      </c>
      <c r="C595" s="30" t="s">
        <v>940</v>
      </c>
      <c r="D595" s="30" t="s">
        <v>673</v>
      </c>
      <c r="E595" s="30" t="s">
        <v>674</v>
      </c>
      <c r="F595" s="30" t="s">
        <v>716</v>
      </c>
      <c r="G595" s="30" t="s">
        <v>744</v>
      </c>
      <c r="H595" s="30" t="s">
        <v>677</v>
      </c>
      <c r="I595" s="30" t="s">
        <v>678</v>
      </c>
      <c r="J595" s="30" t="s">
        <v>679</v>
      </c>
      <c r="K595" s="30" t="s">
        <v>680</v>
      </c>
      <c r="L595" s="30" t="s">
        <v>681</v>
      </c>
      <c r="M595" s="30">
        <v>1</v>
      </c>
      <c r="N595" s="30" t="s">
        <v>156</v>
      </c>
      <c r="O595" s="30" t="s">
        <v>746</v>
      </c>
      <c r="P595" s="30" t="s">
        <v>683</v>
      </c>
      <c r="Q595" s="30" t="s">
        <v>665</v>
      </c>
      <c r="R595" s="30" t="s">
        <v>258</v>
      </c>
      <c r="S595" s="32" t="s">
        <v>673</v>
      </c>
    </row>
    <row r="596" spans="1:19" x14ac:dyDescent="0.3">
      <c r="A596" s="31" t="s">
        <v>936</v>
      </c>
      <c r="B596" s="32" t="s">
        <v>258</v>
      </c>
      <c r="C596" s="32" t="s">
        <v>937</v>
      </c>
      <c r="D596" s="32" t="s">
        <v>673</v>
      </c>
      <c r="E596" s="32" t="s">
        <v>674</v>
      </c>
      <c r="F596" s="32" t="s">
        <v>716</v>
      </c>
      <c r="G596" s="32" t="s">
        <v>744</v>
      </c>
      <c r="H596" s="32" t="s">
        <v>938</v>
      </c>
      <c r="I596" s="32" t="s">
        <v>678</v>
      </c>
      <c r="J596" s="32" t="s">
        <v>713</v>
      </c>
      <c r="K596" s="32" t="s">
        <v>690</v>
      </c>
      <c r="L596" s="32" t="s">
        <v>681</v>
      </c>
      <c r="M596" s="32">
        <v>0.9</v>
      </c>
      <c r="N596" s="32" t="s">
        <v>406</v>
      </c>
      <c r="O596" s="32" t="s">
        <v>1915</v>
      </c>
      <c r="P596" s="32" t="s">
        <v>683</v>
      </c>
      <c r="Q596" s="32" t="s">
        <v>767</v>
      </c>
      <c r="R596" s="32" t="s">
        <v>258</v>
      </c>
      <c r="S596" s="32" t="s">
        <v>673</v>
      </c>
    </row>
    <row r="597" spans="1:19" x14ac:dyDescent="0.3">
      <c r="A597" s="29" t="s">
        <v>932</v>
      </c>
      <c r="B597" s="30" t="s">
        <v>933</v>
      </c>
      <c r="C597" s="30" t="s">
        <v>934</v>
      </c>
      <c r="D597" s="30" t="s">
        <v>673</v>
      </c>
      <c r="E597" s="30" t="s">
        <v>674</v>
      </c>
      <c r="F597" s="30" t="s">
        <v>716</v>
      </c>
      <c r="G597" s="30" t="s">
        <v>744</v>
      </c>
      <c r="H597" s="30" t="s">
        <v>935</v>
      </c>
      <c r="I597" s="30" t="s">
        <v>678</v>
      </c>
      <c r="J597" s="30" t="s">
        <v>713</v>
      </c>
      <c r="K597" s="30" t="s">
        <v>690</v>
      </c>
      <c r="L597" s="30" t="s">
        <v>681</v>
      </c>
      <c r="M597" s="30">
        <v>1</v>
      </c>
      <c r="N597" s="30" t="s">
        <v>54</v>
      </c>
      <c r="O597" s="30" t="s">
        <v>746</v>
      </c>
      <c r="P597" s="30" t="s">
        <v>683</v>
      </c>
      <c r="Q597" s="30" t="s">
        <v>665</v>
      </c>
      <c r="R597" s="30" t="s">
        <v>258</v>
      </c>
      <c r="S597" s="32" t="s">
        <v>673</v>
      </c>
    </row>
    <row r="598" spans="1:19" x14ac:dyDescent="0.3">
      <c r="A598" s="31" t="s">
        <v>923</v>
      </c>
      <c r="B598" s="32" t="s">
        <v>924</v>
      </c>
      <c r="C598" s="32" t="s">
        <v>925</v>
      </c>
      <c r="D598" s="32" t="s">
        <v>673</v>
      </c>
      <c r="E598" s="32" t="s">
        <v>674</v>
      </c>
      <c r="F598" s="32" t="s">
        <v>716</v>
      </c>
      <c r="G598" s="32" t="s">
        <v>744</v>
      </c>
      <c r="H598" s="32" t="s">
        <v>677</v>
      </c>
      <c r="I598" s="32" t="s">
        <v>678</v>
      </c>
      <c r="J598" s="32" t="s">
        <v>710</v>
      </c>
      <c r="K598" s="32" t="s">
        <v>690</v>
      </c>
      <c r="L598" s="32" t="s">
        <v>681</v>
      </c>
      <c r="M598" s="32">
        <v>0.5</v>
      </c>
      <c r="N598" s="32" t="s">
        <v>650</v>
      </c>
      <c r="O598" s="32" t="s">
        <v>746</v>
      </c>
      <c r="P598" s="32" t="s">
        <v>683</v>
      </c>
      <c r="Q598" s="32" t="s">
        <v>665</v>
      </c>
      <c r="R598" s="32" t="s">
        <v>258</v>
      </c>
      <c r="S598" s="32" t="s">
        <v>673</v>
      </c>
    </row>
    <row r="599" spans="1:19" x14ac:dyDescent="0.3">
      <c r="A599" s="29" t="s">
        <v>926</v>
      </c>
      <c r="B599" s="30" t="s">
        <v>258</v>
      </c>
      <c r="C599" s="30" t="s">
        <v>927</v>
      </c>
      <c r="D599" s="30" t="s">
        <v>673</v>
      </c>
      <c r="E599" s="30" t="s">
        <v>674</v>
      </c>
      <c r="F599" s="30" t="s">
        <v>716</v>
      </c>
      <c r="G599" s="30" t="s">
        <v>744</v>
      </c>
      <c r="H599" s="30" t="s">
        <v>677</v>
      </c>
      <c r="I599" s="30" t="s">
        <v>678</v>
      </c>
      <c r="J599" s="30" t="s">
        <v>679</v>
      </c>
      <c r="K599" s="30" t="s">
        <v>680</v>
      </c>
      <c r="L599" s="30" t="s">
        <v>681</v>
      </c>
      <c r="M599" s="30">
        <v>1</v>
      </c>
      <c r="N599" s="30" t="s">
        <v>250</v>
      </c>
      <c r="O599" s="30" t="s">
        <v>746</v>
      </c>
      <c r="P599" s="30" t="s">
        <v>683</v>
      </c>
      <c r="Q599" s="30" t="s">
        <v>665</v>
      </c>
      <c r="R599" s="30" t="s">
        <v>258</v>
      </c>
      <c r="S599" s="32" t="s">
        <v>673</v>
      </c>
    </row>
    <row r="600" spans="1:19" x14ac:dyDescent="0.3">
      <c r="A600" s="31" t="s">
        <v>923</v>
      </c>
      <c r="B600" s="32" t="s">
        <v>924</v>
      </c>
      <c r="C600" s="32" t="s">
        <v>925</v>
      </c>
      <c r="D600" s="32" t="s">
        <v>673</v>
      </c>
      <c r="E600" s="32" t="s">
        <v>674</v>
      </c>
      <c r="F600" s="32" t="s">
        <v>716</v>
      </c>
      <c r="G600" s="32" t="s">
        <v>744</v>
      </c>
      <c r="H600" s="32" t="s">
        <v>677</v>
      </c>
      <c r="I600" s="32" t="s">
        <v>678</v>
      </c>
      <c r="J600" s="32" t="s">
        <v>710</v>
      </c>
      <c r="K600" s="32" t="s">
        <v>690</v>
      </c>
      <c r="L600" s="32" t="s">
        <v>681</v>
      </c>
      <c r="M600" s="32">
        <v>0.8</v>
      </c>
      <c r="N600" s="32" t="s">
        <v>339</v>
      </c>
      <c r="O600" s="32" t="s">
        <v>746</v>
      </c>
      <c r="P600" s="32" t="s">
        <v>683</v>
      </c>
      <c r="Q600" s="32" t="s">
        <v>665</v>
      </c>
      <c r="R600" s="32" t="s">
        <v>258</v>
      </c>
      <c r="S600" s="32" t="s">
        <v>673</v>
      </c>
    </row>
    <row r="601" spans="1:19" x14ac:dyDescent="0.3">
      <c r="A601" s="29" t="s">
        <v>841</v>
      </c>
      <c r="B601" s="30" t="s">
        <v>707</v>
      </c>
      <c r="C601" s="30" t="s">
        <v>715</v>
      </c>
      <c r="D601" s="30" t="s">
        <v>673</v>
      </c>
      <c r="E601" s="30" t="s">
        <v>674</v>
      </c>
      <c r="F601" s="30" t="s">
        <v>716</v>
      </c>
      <c r="G601" s="30" t="s">
        <v>717</v>
      </c>
      <c r="H601" s="30" t="s">
        <v>717</v>
      </c>
      <c r="I601" s="30" t="s">
        <v>717</v>
      </c>
      <c r="J601" s="30" t="s">
        <v>713</v>
      </c>
      <c r="K601" s="30" t="s">
        <v>690</v>
      </c>
      <c r="L601" s="30" t="s">
        <v>699</v>
      </c>
      <c r="M601" s="30">
        <v>0.5</v>
      </c>
      <c r="N601" s="30" t="s">
        <v>258</v>
      </c>
      <c r="O601" s="30" t="s">
        <v>746</v>
      </c>
      <c r="P601" s="30" t="s">
        <v>683</v>
      </c>
      <c r="Q601" s="30" t="s">
        <v>665</v>
      </c>
      <c r="R601" s="30" t="s">
        <v>269</v>
      </c>
      <c r="S601" s="32" t="s">
        <v>673</v>
      </c>
    </row>
    <row r="602" spans="1:19" x14ac:dyDescent="0.3">
      <c r="A602" s="31" t="s">
        <v>949</v>
      </c>
      <c r="B602" s="32" t="s">
        <v>707</v>
      </c>
      <c r="C602" s="32" t="s">
        <v>715</v>
      </c>
      <c r="D602" s="32" t="s">
        <v>755</v>
      </c>
      <c r="E602" s="32" t="s">
        <v>674</v>
      </c>
      <c r="F602" s="32" t="s">
        <v>716</v>
      </c>
      <c r="G602" s="32" t="s">
        <v>717</v>
      </c>
      <c r="H602" s="32" t="s">
        <v>717</v>
      </c>
      <c r="I602" s="32" t="s">
        <v>717</v>
      </c>
      <c r="J602" s="32" t="s">
        <v>950</v>
      </c>
      <c r="K602" s="32" t="s">
        <v>680</v>
      </c>
      <c r="L602" s="32" t="s">
        <v>699</v>
      </c>
      <c r="M602" s="32">
        <v>0.5</v>
      </c>
      <c r="N602" s="32" t="s">
        <v>258</v>
      </c>
      <c r="O602" s="32" t="s">
        <v>746</v>
      </c>
      <c r="P602" s="32" t="s">
        <v>683</v>
      </c>
      <c r="Q602" s="32" t="s">
        <v>665</v>
      </c>
      <c r="R602" s="32" t="s">
        <v>269</v>
      </c>
      <c r="S602" s="32" t="s">
        <v>673</v>
      </c>
    </row>
    <row r="603" spans="1:19" x14ac:dyDescent="0.3">
      <c r="A603" s="29" t="s">
        <v>1505</v>
      </c>
      <c r="B603" s="30" t="s">
        <v>544</v>
      </c>
      <c r="C603" s="30" t="s">
        <v>1499</v>
      </c>
      <c r="D603" s="30" t="s">
        <v>684</v>
      </c>
      <c r="E603" s="30" t="s">
        <v>674</v>
      </c>
      <c r="F603" s="30" t="s">
        <v>716</v>
      </c>
      <c r="G603" s="30" t="s">
        <v>717</v>
      </c>
      <c r="H603" s="30" t="s">
        <v>717</v>
      </c>
      <c r="I603" s="30" t="s">
        <v>736</v>
      </c>
      <c r="J603" s="30" t="s">
        <v>737</v>
      </c>
      <c r="K603" s="30" t="s">
        <v>738</v>
      </c>
      <c r="L603" s="30" t="s">
        <v>699</v>
      </c>
      <c r="M603" s="30">
        <v>0.5</v>
      </c>
      <c r="N603" s="30" t="s">
        <v>1048</v>
      </c>
      <c r="O603" s="30" t="s">
        <v>746</v>
      </c>
      <c r="P603" s="30" t="s">
        <v>683</v>
      </c>
      <c r="Q603" s="32" t="s">
        <v>767</v>
      </c>
      <c r="R603" s="32" t="s">
        <v>89</v>
      </c>
      <c r="S603" s="30" t="s">
        <v>684</v>
      </c>
    </row>
    <row r="604" spans="1:19" x14ac:dyDescent="0.3">
      <c r="A604" s="31" t="s">
        <v>1506</v>
      </c>
      <c r="B604" s="32" t="s">
        <v>544</v>
      </c>
      <c r="C604" s="32" t="s">
        <v>1500</v>
      </c>
      <c r="D604" s="32" t="s">
        <v>684</v>
      </c>
      <c r="E604" s="32" t="s">
        <v>674</v>
      </c>
      <c r="F604" s="32" t="s">
        <v>716</v>
      </c>
      <c r="G604" s="32" t="s">
        <v>717</v>
      </c>
      <c r="H604" s="32" t="s">
        <v>717</v>
      </c>
      <c r="I604" s="32" t="s">
        <v>736</v>
      </c>
      <c r="J604" s="32" t="s">
        <v>737</v>
      </c>
      <c r="K604" s="32" t="s">
        <v>738</v>
      </c>
      <c r="L604" s="32" t="s">
        <v>699</v>
      </c>
      <c r="M604" s="32">
        <v>0.5</v>
      </c>
      <c r="N604" s="32" t="s">
        <v>495</v>
      </c>
      <c r="O604" s="32" t="s">
        <v>1915</v>
      </c>
      <c r="P604" s="32" t="s">
        <v>683</v>
      </c>
      <c r="Q604" s="32" t="s">
        <v>767</v>
      </c>
      <c r="R604" s="32" t="s">
        <v>89</v>
      </c>
      <c r="S604" s="30" t="s">
        <v>684</v>
      </c>
    </row>
    <row r="605" spans="1:19" x14ac:dyDescent="0.3">
      <c r="A605" s="29" t="s">
        <v>1590</v>
      </c>
      <c r="B605" s="30" t="s">
        <v>998</v>
      </c>
      <c r="C605" s="30" t="s">
        <v>1591</v>
      </c>
      <c r="D605" s="30" t="s">
        <v>673</v>
      </c>
      <c r="E605" s="30" t="s">
        <v>674</v>
      </c>
      <c r="F605" s="30" t="s">
        <v>716</v>
      </c>
      <c r="G605" s="30" t="s">
        <v>744</v>
      </c>
      <c r="H605" s="30" t="s">
        <v>677</v>
      </c>
      <c r="I605" s="30" t="s">
        <v>688</v>
      </c>
      <c r="J605" s="30" t="s">
        <v>713</v>
      </c>
      <c r="K605" s="30" t="s">
        <v>690</v>
      </c>
      <c r="L605" s="30" t="s">
        <v>681</v>
      </c>
      <c r="M605" s="30">
        <v>0.2</v>
      </c>
      <c r="N605" s="30" t="s">
        <v>50</v>
      </c>
      <c r="O605" s="30" t="s">
        <v>1915</v>
      </c>
      <c r="P605" s="30" t="s">
        <v>683</v>
      </c>
      <c r="Q605" s="30" t="s">
        <v>767</v>
      </c>
      <c r="R605" s="30" t="s">
        <v>132</v>
      </c>
      <c r="S605" s="32" t="s">
        <v>673</v>
      </c>
    </row>
    <row r="606" spans="1:19" x14ac:dyDescent="0.3">
      <c r="A606" s="31" t="s">
        <v>1052</v>
      </c>
      <c r="B606" s="32" t="s">
        <v>998</v>
      </c>
      <c r="C606" s="32" t="s">
        <v>1053</v>
      </c>
      <c r="D606" s="32" t="s">
        <v>673</v>
      </c>
      <c r="E606" s="32" t="s">
        <v>674</v>
      </c>
      <c r="F606" s="32" t="s">
        <v>716</v>
      </c>
      <c r="G606" s="32" t="s">
        <v>744</v>
      </c>
      <c r="H606" s="32" t="s">
        <v>677</v>
      </c>
      <c r="I606" s="32" t="s">
        <v>688</v>
      </c>
      <c r="J606" s="32" t="s">
        <v>710</v>
      </c>
      <c r="K606" s="32" t="s">
        <v>690</v>
      </c>
      <c r="L606" s="32" t="s">
        <v>681</v>
      </c>
      <c r="M606" s="32">
        <v>0.4</v>
      </c>
      <c r="N606" s="32" t="s">
        <v>50</v>
      </c>
      <c r="O606" s="32" t="s">
        <v>1915</v>
      </c>
      <c r="P606" s="32" t="s">
        <v>683</v>
      </c>
      <c r="Q606" s="32" t="s">
        <v>767</v>
      </c>
      <c r="R606" s="32" t="s">
        <v>132</v>
      </c>
      <c r="S606" s="32" t="s">
        <v>673</v>
      </c>
    </row>
    <row r="607" spans="1:19" x14ac:dyDescent="0.3">
      <c r="A607" s="29" t="s">
        <v>1592</v>
      </c>
      <c r="B607" s="30" t="s">
        <v>998</v>
      </c>
      <c r="C607" s="30" t="s">
        <v>1593</v>
      </c>
      <c r="D607" s="30" t="s">
        <v>673</v>
      </c>
      <c r="E607" s="30" t="s">
        <v>674</v>
      </c>
      <c r="F607" s="30" t="s">
        <v>716</v>
      </c>
      <c r="G607" s="30" t="s">
        <v>744</v>
      </c>
      <c r="H607" s="30" t="s">
        <v>677</v>
      </c>
      <c r="I607" s="30" t="s">
        <v>688</v>
      </c>
      <c r="J607" s="30" t="s">
        <v>950</v>
      </c>
      <c r="K607" s="30" t="s">
        <v>680</v>
      </c>
      <c r="L607" s="30" t="s">
        <v>681</v>
      </c>
      <c r="M607" s="30">
        <v>0.1</v>
      </c>
      <c r="N607" s="30" t="s">
        <v>50</v>
      </c>
      <c r="O607" s="30" t="s">
        <v>1915</v>
      </c>
      <c r="P607" s="30" t="s">
        <v>683</v>
      </c>
      <c r="Q607" s="30" t="s">
        <v>767</v>
      </c>
      <c r="R607" s="30" t="s">
        <v>132</v>
      </c>
      <c r="S607" s="32" t="s">
        <v>673</v>
      </c>
    </row>
    <row r="608" spans="1:19" x14ac:dyDescent="0.3">
      <c r="A608" s="31" t="s">
        <v>1052</v>
      </c>
      <c r="B608" s="32" t="s">
        <v>998</v>
      </c>
      <c r="C608" s="32" t="s">
        <v>1053</v>
      </c>
      <c r="D608" s="32" t="s">
        <v>673</v>
      </c>
      <c r="E608" s="32" t="s">
        <v>674</v>
      </c>
      <c r="F608" s="32" t="s">
        <v>716</v>
      </c>
      <c r="G608" s="32" t="s">
        <v>744</v>
      </c>
      <c r="H608" s="32" t="s">
        <v>677</v>
      </c>
      <c r="I608" s="32" t="s">
        <v>688</v>
      </c>
      <c r="J608" s="32" t="s">
        <v>710</v>
      </c>
      <c r="K608" s="32" t="s">
        <v>690</v>
      </c>
      <c r="L608" s="32" t="s">
        <v>681</v>
      </c>
      <c r="M608" s="32">
        <v>0.6</v>
      </c>
      <c r="N608" s="32" t="s">
        <v>473</v>
      </c>
      <c r="O608" s="32" t="s">
        <v>1915</v>
      </c>
      <c r="P608" s="32" t="s">
        <v>683</v>
      </c>
      <c r="Q608" s="32" t="s">
        <v>767</v>
      </c>
      <c r="R608" s="32" t="s">
        <v>132</v>
      </c>
      <c r="S608" s="32" t="s">
        <v>673</v>
      </c>
    </row>
    <row r="609" spans="1:19" x14ac:dyDescent="0.3">
      <c r="A609" s="29" t="s">
        <v>1000</v>
      </c>
      <c r="B609" s="30" t="s">
        <v>998</v>
      </c>
      <c r="C609" s="30" t="s">
        <v>1001</v>
      </c>
      <c r="D609" s="30" t="s">
        <v>673</v>
      </c>
      <c r="E609" s="30" t="s">
        <v>674</v>
      </c>
      <c r="F609" s="30" t="s">
        <v>716</v>
      </c>
      <c r="G609" s="30" t="s">
        <v>744</v>
      </c>
      <c r="H609" s="30" t="s">
        <v>677</v>
      </c>
      <c r="I609" s="30" t="s">
        <v>688</v>
      </c>
      <c r="J609" s="30" t="s">
        <v>751</v>
      </c>
      <c r="K609" s="30" t="s">
        <v>690</v>
      </c>
      <c r="L609" s="30" t="s">
        <v>681</v>
      </c>
      <c r="M609" s="30">
        <v>0.2</v>
      </c>
      <c r="N609" s="30" t="s">
        <v>473</v>
      </c>
      <c r="O609" s="30" t="s">
        <v>1915</v>
      </c>
      <c r="P609" s="30" t="s">
        <v>683</v>
      </c>
      <c r="Q609" s="30" t="s">
        <v>767</v>
      </c>
      <c r="R609" s="30" t="s">
        <v>132</v>
      </c>
      <c r="S609" s="32" t="s">
        <v>673</v>
      </c>
    </row>
    <row r="610" spans="1:19" x14ac:dyDescent="0.3">
      <c r="A610" s="31" t="s">
        <v>1052</v>
      </c>
      <c r="B610" s="32" t="s">
        <v>998</v>
      </c>
      <c r="C610" s="32" t="s">
        <v>1053</v>
      </c>
      <c r="D610" s="32" t="s">
        <v>673</v>
      </c>
      <c r="E610" s="32" t="s">
        <v>674</v>
      </c>
      <c r="F610" s="32" t="s">
        <v>716</v>
      </c>
      <c r="G610" s="32" t="s">
        <v>744</v>
      </c>
      <c r="H610" s="32" t="s">
        <v>677</v>
      </c>
      <c r="I610" s="32" t="s">
        <v>688</v>
      </c>
      <c r="J610" s="32" t="s">
        <v>710</v>
      </c>
      <c r="K610" s="32" t="s">
        <v>690</v>
      </c>
      <c r="L610" s="32" t="s">
        <v>681</v>
      </c>
      <c r="M610" s="32">
        <v>0.5</v>
      </c>
      <c r="N610" s="32" t="s">
        <v>1594</v>
      </c>
      <c r="O610" s="32" t="s">
        <v>1915</v>
      </c>
      <c r="P610" s="32" t="s">
        <v>683</v>
      </c>
      <c r="Q610" s="32" t="s">
        <v>767</v>
      </c>
      <c r="R610" s="32" t="s">
        <v>132</v>
      </c>
      <c r="S610" s="32" t="s">
        <v>673</v>
      </c>
    </row>
    <row r="611" spans="1:19" x14ac:dyDescent="0.3">
      <c r="A611" s="29" t="s">
        <v>1592</v>
      </c>
      <c r="B611" s="30" t="s">
        <v>998</v>
      </c>
      <c r="C611" s="30" t="s">
        <v>1593</v>
      </c>
      <c r="D611" s="30" t="s">
        <v>673</v>
      </c>
      <c r="E611" s="30" t="s">
        <v>674</v>
      </c>
      <c r="F611" s="30" t="s">
        <v>716</v>
      </c>
      <c r="G611" s="30" t="s">
        <v>744</v>
      </c>
      <c r="H611" s="30" t="s">
        <v>677</v>
      </c>
      <c r="I611" s="30" t="s">
        <v>688</v>
      </c>
      <c r="J611" s="30" t="s">
        <v>950</v>
      </c>
      <c r="K611" s="30" t="s">
        <v>680</v>
      </c>
      <c r="L611" s="30" t="s">
        <v>681</v>
      </c>
      <c r="M611" s="30">
        <v>0.2</v>
      </c>
      <c r="N611" s="30" t="s">
        <v>1594</v>
      </c>
      <c r="O611" s="30" t="s">
        <v>1915</v>
      </c>
      <c r="P611" s="30" t="s">
        <v>683</v>
      </c>
      <c r="Q611" s="30" t="s">
        <v>767</v>
      </c>
      <c r="R611" s="30" t="s">
        <v>132</v>
      </c>
      <c r="S611" s="32" t="s">
        <v>673</v>
      </c>
    </row>
    <row r="612" spans="1:19" x14ac:dyDescent="0.3">
      <c r="A612" s="31" t="s">
        <v>1052</v>
      </c>
      <c r="B612" s="32" t="s">
        <v>998</v>
      </c>
      <c r="C612" s="32" t="s">
        <v>1053</v>
      </c>
      <c r="D612" s="32" t="s">
        <v>673</v>
      </c>
      <c r="E612" s="32" t="s">
        <v>674</v>
      </c>
      <c r="F612" s="32" t="s">
        <v>716</v>
      </c>
      <c r="G612" s="32" t="s">
        <v>744</v>
      </c>
      <c r="H612" s="32" t="s">
        <v>677</v>
      </c>
      <c r="I612" s="32" t="s">
        <v>688</v>
      </c>
      <c r="J612" s="32" t="s">
        <v>710</v>
      </c>
      <c r="K612" s="32" t="s">
        <v>690</v>
      </c>
      <c r="L612" s="32" t="s">
        <v>681</v>
      </c>
      <c r="M612" s="32">
        <v>0.5</v>
      </c>
      <c r="N612" s="32" t="s">
        <v>260</v>
      </c>
      <c r="O612" s="32" t="s">
        <v>746</v>
      </c>
      <c r="P612" s="32" t="s">
        <v>683</v>
      </c>
      <c r="Q612" s="32" t="s">
        <v>665</v>
      </c>
      <c r="R612" s="32" t="s">
        <v>132</v>
      </c>
      <c r="S612" s="32" t="s">
        <v>673</v>
      </c>
    </row>
    <row r="613" spans="1:19" x14ac:dyDescent="0.3">
      <c r="A613" s="29" t="s">
        <v>921</v>
      </c>
      <c r="B613" s="30" t="s">
        <v>544</v>
      </c>
      <c r="C613" s="30" t="s">
        <v>922</v>
      </c>
      <c r="D613" s="30" t="s">
        <v>684</v>
      </c>
      <c r="E613" s="30" t="s">
        <v>674</v>
      </c>
      <c r="F613" s="30" t="s">
        <v>716</v>
      </c>
      <c r="G613" s="30" t="s">
        <v>744</v>
      </c>
      <c r="H613" s="30" t="s">
        <v>702</v>
      </c>
      <c r="I613" s="30" t="s">
        <v>736</v>
      </c>
      <c r="J613" s="30" t="s">
        <v>737</v>
      </c>
      <c r="K613" s="30" t="s">
        <v>738</v>
      </c>
      <c r="L613" s="30" t="s">
        <v>808</v>
      </c>
      <c r="M613" s="30">
        <v>0.5</v>
      </c>
      <c r="N613" s="30" t="s">
        <v>260</v>
      </c>
      <c r="O613" s="30" t="s">
        <v>746</v>
      </c>
      <c r="P613" s="30" t="s">
        <v>683</v>
      </c>
      <c r="Q613" s="30" t="s">
        <v>665</v>
      </c>
      <c r="R613" s="30" t="s">
        <v>132</v>
      </c>
      <c r="S613" s="32" t="s">
        <v>673</v>
      </c>
    </row>
    <row r="614" spans="1:19" x14ac:dyDescent="0.3">
      <c r="A614" s="31" t="s">
        <v>1596</v>
      </c>
      <c r="B614" s="32" t="s">
        <v>760</v>
      </c>
      <c r="C614" s="32" t="s">
        <v>1597</v>
      </c>
      <c r="D614" s="32" t="s">
        <v>673</v>
      </c>
      <c r="E614" s="32" t="s">
        <v>674</v>
      </c>
      <c r="F614" s="32" t="s">
        <v>716</v>
      </c>
      <c r="G614" s="32" t="s">
        <v>744</v>
      </c>
      <c r="H614" s="32" t="s">
        <v>702</v>
      </c>
      <c r="I614" s="32" t="s">
        <v>688</v>
      </c>
      <c r="J614" s="32" t="s">
        <v>751</v>
      </c>
      <c r="K614" s="32" t="s">
        <v>690</v>
      </c>
      <c r="L614" s="32" t="s">
        <v>699</v>
      </c>
      <c r="M614" s="32">
        <v>0.3</v>
      </c>
      <c r="N614" s="32" t="s">
        <v>247</v>
      </c>
      <c r="O614" s="32" t="s">
        <v>1919</v>
      </c>
      <c r="P614" s="32" t="s">
        <v>683</v>
      </c>
      <c r="Q614" s="32" t="s">
        <v>767</v>
      </c>
      <c r="R614" s="32" t="s">
        <v>132</v>
      </c>
      <c r="S614" s="32" t="s">
        <v>673</v>
      </c>
    </row>
    <row r="615" spans="1:19" x14ac:dyDescent="0.3">
      <c r="A615" s="29" t="s">
        <v>1596</v>
      </c>
      <c r="B615" s="30" t="s">
        <v>760</v>
      </c>
      <c r="C615" s="30" t="s">
        <v>1597</v>
      </c>
      <c r="D615" s="30" t="s">
        <v>673</v>
      </c>
      <c r="E615" s="30" t="s">
        <v>674</v>
      </c>
      <c r="F615" s="30" t="s">
        <v>716</v>
      </c>
      <c r="G615" s="30" t="s">
        <v>744</v>
      </c>
      <c r="H615" s="30" t="s">
        <v>702</v>
      </c>
      <c r="I615" s="30" t="s">
        <v>688</v>
      </c>
      <c r="J615" s="30" t="s">
        <v>751</v>
      </c>
      <c r="K615" s="30" t="s">
        <v>690</v>
      </c>
      <c r="L615" s="30" t="s">
        <v>699</v>
      </c>
      <c r="M615" s="30">
        <v>1</v>
      </c>
      <c r="N615" s="30" t="s">
        <v>299</v>
      </c>
      <c r="O615" s="30" t="s">
        <v>746</v>
      </c>
      <c r="P615" s="30" t="s">
        <v>683</v>
      </c>
      <c r="Q615" s="30" t="s">
        <v>665</v>
      </c>
      <c r="R615" s="30" t="s">
        <v>132</v>
      </c>
      <c r="S615" s="32" t="s">
        <v>673</v>
      </c>
    </row>
    <row r="616" spans="1:19" x14ac:dyDescent="0.3">
      <c r="A616" s="31" t="s">
        <v>756</v>
      </c>
      <c r="B616" s="32" t="s">
        <v>753</v>
      </c>
      <c r="C616" s="32" t="s">
        <v>756</v>
      </c>
      <c r="D616" s="32" t="s">
        <v>755</v>
      </c>
      <c r="E616" s="32" t="s">
        <v>674</v>
      </c>
      <c r="F616" s="32" t="s">
        <v>716</v>
      </c>
      <c r="G616" s="32" t="s">
        <v>744</v>
      </c>
      <c r="H616" s="32" t="s">
        <v>702</v>
      </c>
      <c r="I616" s="32" t="s">
        <v>678</v>
      </c>
      <c r="J616" s="32" t="s">
        <v>679</v>
      </c>
      <c r="K616" s="32" t="s">
        <v>680</v>
      </c>
      <c r="L616" s="32" t="s">
        <v>681</v>
      </c>
      <c r="M616" s="32">
        <v>0.5</v>
      </c>
      <c r="N616" s="32" t="s">
        <v>88</v>
      </c>
      <c r="O616" s="32" t="s">
        <v>1915</v>
      </c>
      <c r="P616" s="32" t="s">
        <v>683</v>
      </c>
      <c r="Q616" s="32" t="s">
        <v>767</v>
      </c>
      <c r="R616" s="32" t="s">
        <v>753</v>
      </c>
      <c r="S616" s="30" t="s">
        <v>755</v>
      </c>
    </row>
    <row r="617" spans="1:19" x14ac:dyDescent="0.3">
      <c r="A617" s="29" t="s">
        <v>1348</v>
      </c>
      <c r="B617" s="30" t="s">
        <v>707</v>
      </c>
      <c r="C617" s="30" t="s">
        <v>708</v>
      </c>
      <c r="D617" s="30" t="s">
        <v>755</v>
      </c>
      <c r="E617" s="30" t="s">
        <v>674</v>
      </c>
      <c r="F617" s="30" t="s">
        <v>709</v>
      </c>
      <c r="G617" s="30" t="s">
        <v>709</v>
      </c>
      <c r="H617" s="30" t="s">
        <v>709</v>
      </c>
      <c r="I617" s="30" t="s">
        <v>709</v>
      </c>
      <c r="J617" s="30" t="s">
        <v>679</v>
      </c>
      <c r="K617" s="30" t="s">
        <v>680</v>
      </c>
      <c r="L617" s="30" t="s">
        <v>699</v>
      </c>
      <c r="M617" s="30">
        <v>1</v>
      </c>
      <c r="N617" s="30" t="s">
        <v>1601</v>
      </c>
      <c r="O617" s="30" t="s">
        <v>746</v>
      </c>
      <c r="P617" s="30" t="s">
        <v>683</v>
      </c>
      <c r="Q617" s="30" t="s">
        <v>665</v>
      </c>
      <c r="R617" s="30" t="s">
        <v>753</v>
      </c>
      <c r="S617" s="30" t="s">
        <v>755</v>
      </c>
    </row>
    <row r="618" spans="1:19" x14ac:dyDescent="0.3">
      <c r="A618" s="31" t="s">
        <v>694</v>
      </c>
      <c r="B618" s="32" t="s">
        <v>695</v>
      </c>
      <c r="C618" s="32" t="s">
        <v>696</v>
      </c>
      <c r="D618" s="32" t="s">
        <v>673</v>
      </c>
      <c r="E618" s="32" t="s">
        <v>674</v>
      </c>
      <c r="F618" s="32" t="s">
        <v>675</v>
      </c>
      <c r="G618" s="32" t="s">
        <v>676</v>
      </c>
      <c r="H618" s="32" t="s">
        <v>677</v>
      </c>
      <c r="I618" s="32" t="s">
        <v>697</v>
      </c>
      <c r="J618" s="32" t="s">
        <v>698</v>
      </c>
      <c r="K618" s="32" t="s">
        <v>690</v>
      </c>
      <c r="L618" s="32" t="s">
        <v>699</v>
      </c>
      <c r="M618" s="32">
        <v>0.5</v>
      </c>
      <c r="N618" s="32" t="s">
        <v>214</v>
      </c>
      <c r="O618" s="32" t="s">
        <v>746</v>
      </c>
      <c r="P618" s="32" t="s">
        <v>683</v>
      </c>
      <c r="Q618" s="32" t="s">
        <v>665</v>
      </c>
      <c r="R618" s="32" t="s">
        <v>269</v>
      </c>
      <c r="S618" s="32" t="s">
        <v>673</v>
      </c>
    </row>
    <row r="619" spans="1:19" x14ac:dyDescent="0.3">
      <c r="A619" s="29" t="s">
        <v>1243</v>
      </c>
      <c r="B619" s="30" t="s">
        <v>1239</v>
      </c>
      <c r="C619" s="30" t="s">
        <v>1244</v>
      </c>
      <c r="D619" s="30" t="s">
        <v>684</v>
      </c>
      <c r="E619" s="30" t="s">
        <v>674</v>
      </c>
      <c r="F619" s="30" t="s">
        <v>675</v>
      </c>
      <c r="G619" s="30" t="s">
        <v>676</v>
      </c>
      <c r="H619" s="30" t="s">
        <v>677</v>
      </c>
      <c r="I619" s="30" t="s">
        <v>688</v>
      </c>
      <c r="J619" s="30" t="s">
        <v>860</v>
      </c>
      <c r="K619" s="30" t="s">
        <v>861</v>
      </c>
      <c r="L619" s="30" t="s">
        <v>739</v>
      </c>
      <c r="M619" s="30">
        <v>0.3</v>
      </c>
      <c r="N619" s="30" t="s">
        <v>214</v>
      </c>
      <c r="O619" s="30" t="s">
        <v>746</v>
      </c>
      <c r="P619" s="30" t="s">
        <v>683</v>
      </c>
      <c r="Q619" s="30" t="s">
        <v>665</v>
      </c>
      <c r="R619" s="30" t="s">
        <v>269</v>
      </c>
      <c r="S619" s="32" t="s">
        <v>673</v>
      </c>
    </row>
    <row r="620" spans="1:19" x14ac:dyDescent="0.3">
      <c r="A620" s="31" t="s">
        <v>1238</v>
      </c>
      <c r="B620" s="32" t="s">
        <v>1239</v>
      </c>
      <c r="C620" s="32" t="s">
        <v>1240</v>
      </c>
      <c r="D620" s="32" t="s">
        <v>684</v>
      </c>
      <c r="E620" s="32" t="s">
        <v>674</v>
      </c>
      <c r="F620" s="32" t="s">
        <v>675</v>
      </c>
      <c r="G620" s="32" t="s">
        <v>676</v>
      </c>
      <c r="H620" s="32" t="s">
        <v>677</v>
      </c>
      <c r="I620" s="32" t="s">
        <v>688</v>
      </c>
      <c r="J620" s="32" t="s">
        <v>860</v>
      </c>
      <c r="K620" s="32" t="s">
        <v>861</v>
      </c>
      <c r="L620" s="32" t="s">
        <v>691</v>
      </c>
      <c r="M620" s="32">
        <v>0.2</v>
      </c>
      <c r="N620" s="32" t="s">
        <v>214</v>
      </c>
      <c r="O620" s="32" t="s">
        <v>746</v>
      </c>
      <c r="P620" s="32" t="s">
        <v>683</v>
      </c>
      <c r="Q620" s="32" t="s">
        <v>665</v>
      </c>
      <c r="R620" s="32" t="s">
        <v>269</v>
      </c>
      <c r="S620" s="32" t="s">
        <v>673</v>
      </c>
    </row>
    <row r="621" spans="1:19" x14ac:dyDescent="0.3">
      <c r="A621" s="29" t="s">
        <v>997</v>
      </c>
      <c r="B621" s="30" t="s">
        <v>998</v>
      </c>
      <c r="C621" s="30" t="s">
        <v>999</v>
      </c>
      <c r="D621" s="30" t="s">
        <v>673</v>
      </c>
      <c r="E621" s="30" t="s">
        <v>674</v>
      </c>
      <c r="F621" s="30" t="s">
        <v>716</v>
      </c>
      <c r="G621" s="30" t="s">
        <v>744</v>
      </c>
      <c r="H621" s="30" t="s">
        <v>677</v>
      </c>
      <c r="I621" s="30" t="s">
        <v>678</v>
      </c>
      <c r="J621" s="30" t="s">
        <v>751</v>
      </c>
      <c r="K621" s="30" t="s">
        <v>690</v>
      </c>
      <c r="L621" s="30" t="s">
        <v>681</v>
      </c>
      <c r="M621" s="30">
        <v>0.5</v>
      </c>
      <c r="N621" s="30" t="s">
        <v>461</v>
      </c>
      <c r="O621" s="30" t="s">
        <v>746</v>
      </c>
      <c r="P621" s="30" t="s">
        <v>683</v>
      </c>
      <c r="Q621" s="30" t="s">
        <v>665</v>
      </c>
      <c r="R621" s="30" t="s">
        <v>242</v>
      </c>
      <c r="S621" s="32" t="s">
        <v>673</v>
      </c>
    </row>
    <row r="622" spans="1:19" x14ac:dyDescent="0.3">
      <c r="A622" s="31" t="s">
        <v>1619</v>
      </c>
      <c r="B622" s="32" t="s">
        <v>760</v>
      </c>
      <c r="C622" s="32" t="s">
        <v>1620</v>
      </c>
      <c r="D622" s="32" t="s">
        <v>673</v>
      </c>
      <c r="E622" s="32" t="s">
        <v>674</v>
      </c>
      <c r="F622" s="32" t="s">
        <v>716</v>
      </c>
      <c r="G622" s="32" t="s">
        <v>744</v>
      </c>
      <c r="H622" s="32" t="s">
        <v>702</v>
      </c>
      <c r="I622" s="32" t="s">
        <v>678</v>
      </c>
      <c r="J622" s="32" t="s">
        <v>751</v>
      </c>
      <c r="K622" s="32" t="s">
        <v>690</v>
      </c>
      <c r="L622" s="32" t="s">
        <v>699</v>
      </c>
      <c r="M622" s="32">
        <v>0.2</v>
      </c>
      <c r="N622" s="32" t="s">
        <v>461</v>
      </c>
      <c r="O622" s="32" t="s">
        <v>746</v>
      </c>
      <c r="P622" s="32" t="s">
        <v>683</v>
      </c>
      <c r="Q622" s="32" t="s">
        <v>665</v>
      </c>
      <c r="R622" s="32" t="s">
        <v>242</v>
      </c>
      <c r="S622" s="32" t="s">
        <v>673</v>
      </c>
    </row>
    <row r="623" spans="1:19" x14ac:dyDescent="0.3">
      <c r="A623" s="29" t="s">
        <v>783</v>
      </c>
      <c r="B623" s="30" t="s">
        <v>784</v>
      </c>
      <c r="C623" s="30" t="s">
        <v>785</v>
      </c>
      <c r="D623" s="30" t="s">
        <v>673</v>
      </c>
      <c r="E623" s="30" t="s">
        <v>674</v>
      </c>
      <c r="F623" s="30" t="s">
        <v>675</v>
      </c>
      <c r="G623" s="30" t="s">
        <v>676</v>
      </c>
      <c r="H623" s="30" t="s">
        <v>702</v>
      </c>
      <c r="I623" s="30" t="s">
        <v>678</v>
      </c>
      <c r="J623" s="30" t="s">
        <v>751</v>
      </c>
      <c r="K623" s="30" t="s">
        <v>690</v>
      </c>
      <c r="L623" s="30" t="s">
        <v>681</v>
      </c>
      <c r="M623" s="30">
        <v>0.2</v>
      </c>
      <c r="N623" s="30" t="s">
        <v>461</v>
      </c>
      <c r="O623" s="30" t="s">
        <v>746</v>
      </c>
      <c r="P623" s="30" t="s">
        <v>683</v>
      </c>
      <c r="Q623" s="30" t="s">
        <v>665</v>
      </c>
      <c r="R623" s="30" t="s">
        <v>242</v>
      </c>
      <c r="S623" s="32" t="s">
        <v>673</v>
      </c>
    </row>
    <row r="624" spans="1:19" x14ac:dyDescent="0.3">
      <c r="A624" s="31" t="s">
        <v>1621</v>
      </c>
      <c r="B624" s="32" t="s">
        <v>749</v>
      </c>
      <c r="C624" s="32" t="s">
        <v>1622</v>
      </c>
      <c r="D624" s="32" t="s">
        <v>673</v>
      </c>
      <c r="E624" s="32" t="s">
        <v>674</v>
      </c>
      <c r="F624" s="32" t="s">
        <v>675</v>
      </c>
      <c r="G624" s="32" t="s">
        <v>744</v>
      </c>
      <c r="H624" s="32" t="s">
        <v>677</v>
      </c>
      <c r="I624" s="32" t="s">
        <v>688</v>
      </c>
      <c r="J624" s="32" t="s">
        <v>751</v>
      </c>
      <c r="K624" s="32" t="s">
        <v>690</v>
      </c>
      <c r="L624" s="32" t="s">
        <v>681</v>
      </c>
      <c r="M624" s="32">
        <v>0.9</v>
      </c>
      <c r="N624" s="32" t="s">
        <v>372</v>
      </c>
      <c r="O624" s="32" t="s">
        <v>1915</v>
      </c>
      <c r="P624" s="32" t="s">
        <v>683</v>
      </c>
      <c r="Q624" s="32" t="s">
        <v>767</v>
      </c>
      <c r="R624" s="32" t="s">
        <v>242</v>
      </c>
      <c r="S624" s="32" t="s">
        <v>673</v>
      </c>
    </row>
    <row r="625" spans="1:19" x14ac:dyDescent="0.3">
      <c r="A625" s="29" t="s">
        <v>1002</v>
      </c>
      <c r="B625" s="30" t="s">
        <v>998</v>
      </c>
      <c r="C625" s="30" t="s">
        <v>1003</v>
      </c>
      <c r="D625" s="30" t="s">
        <v>673</v>
      </c>
      <c r="E625" s="30" t="s">
        <v>674</v>
      </c>
      <c r="F625" s="30" t="s">
        <v>716</v>
      </c>
      <c r="G625" s="30" t="s">
        <v>744</v>
      </c>
      <c r="H625" s="30" t="s">
        <v>677</v>
      </c>
      <c r="I625" s="30" t="s">
        <v>678</v>
      </c>
      <c r="J625" s="30" t="s">
        <v>751</v>
      </c>
      <c r="K625" s="30" t="s">
        <v>690</v>
      </c>
      <c r="L625" s="30" t="s">
        <v>681</v>
      </c>
      <c r="M625" s="30">
        <v>0.1</v>
      </c>
      <c r="N625" s="30" t="s">
        <v>372</v>
      </c>
      <c r="O625" s="30" t="s">
        <v>1915</v>
      </c>
      <c r="P625" s="30" t="s">
        <v>683</v>
      </c>
      <c r="Q625" s="30" t="s">
        <v>767</v>
      </c>
      <c r="R625" s="30" t="s">
        <v>242</v>
      </c>
      <c r="S625" s="32" t="s">
        <v>673</v>
      </c>
    </row>
    <row r="626" spans="1:19" x14ac:dyDescent="0.3">
      <c r="A626" s="31" t="s">
        <v>814</v>
      </c>
      <c r="B626" s="32" t="s">
        <v>749</v>
      </c>
      <c r="C626" s="32" t="s">
        <v>815</v>
      </c>
      <c r="D626" s="32" t="s">
        <v>673</v>
      </c>
      <c r="E626" s="32" t="s">
        <v>674</v>
      </c>
      <c r="F626" s="32" t="s">
        <v>716</v>
      </c>
      <c r="G626" s="32" t="s">
        <v>744</v>
      </c>
      <c r="H626" s="32" t="s">
        <v>677</v>
      </c>
      <c r="I626" s="32" t="s">
        <v>678</v>
      </c>
      <c r="J626" s="32" t="s">
        <v>751</v>
      </c>
      <c r="K626" s="32" t="s">
        <v>690</v>
      </c>
      <c r="L626" s="32" t="s">
        <v>681</v>
      </c>
      <c r="M626" s="32">
        <v>1</v>
      </c>
      <c r="N626" s="32" t="s">
        <v>92</v>
      </c>
      <c r="O626" s="32" t="s">
        <v>746</v>
      </c>
      <c r="P626" s="32" t="s">
        <v>683</v>
      </c>
      <c r="Q626" s="32" t="s">
        <v>665</v>
      </c>
      <c r="R626" s="32" t="s">
        <v>242</v>
      </c>
      <c r="S626" s="32" t="s">
        <v>673</v>
      </c>
    </row>
    <row r="627" spans="1:19" x14ac:dyDescent="0.3">
      <c r="A627" s="29" t="s">
        <v>1000</v>
      </c>
      <c r="B627" s="30" t="s">
        <v>998</v>
      </c>
      <c r="C627" s="30" t="s">
        <v>1001</v>
      </c>
      <c r="D627" s="30" t="s">
        <v>673</v>
      </c>
      <c r="E627" s="30" t="s">
        <v>674</v>
      </c>
      <c r="F627" s="30" t="s">
        <v>716</v>
      </c>
      <c r="G627" s="30" t="s">
        <v>744</v>
      </c>
      <c r="H627" s="30" t="s">
        <v>677</v>
      </c>
      <c r="I627" s="30" t="s">
        <v>688</v>
      </c>
      <c r="J627" s="30" t="s">
        <v>751</v>
      </c>
      <c r="K627" s="30" t="s">
        <v>690</v>
      </c>
      <c r="L627" s="30" t="s">
        <v>681</v>
      </c>
      <c r="M627" s="30">
        <v>1</v>
      </c>
      <c r="N627" s="30" t="s">
        <v>137</v>
      </c>
      <c r="O627" s="30" t="s">
        <v>1915</v>
      </c>
      <c r="P627" s="30" t="s">
        <v>683</v>
      </c>
      <c r="Q627" s="30" t="s">
        <v>767</v>
      </c>
      <c r="R627" s="30" t="s">
        <v>242</v>
      </c>
      <c r="S627" s="32" t="s">
        <v>673</v>
      </c>
    </row>
    <row r="628" spans="1:19" x14ac:dyDescent="0.3">
      <c r="A628" s="31" t="s">
        <v>1625</v>
      </c>
      <c r="B628" s="32" t="s">
        <v>707</v>
      </c>
      <c r="C628" s="32" t="s">
        <v>773</v>
      </c>
      <c r="D628" s="32" t="s">
        <v>673</v>
      </c>
      <c r="E628" s="32" t="s">
        <v>674</v>
      </c>
      <c r="F628" s="32" t="s">
        <v>773</v>
      </c>
      <c r="G628" s="32" t="s">
        <v>773</v>
      </c>
      <c r="H628" s="32" t="s">
        <v>773</v>
      </c>
      <c r="I628" s="32" t="s">
        <v>773</v>
      </c>
      <c r="J628" s="32" t="s">
        <v>1422</v>
      </c>
      <c r="K628" s="32" t="s">
        <v>861</v>
      </c>
      <c r="L628" s="32" t="s">
        <v>699</v>
      </c>
      <c r="M628" s="32">
        <v>1</v>
      </c>
      <c r="N628" s="32" t="s">
        <v>1626</v>
      </c>
      <c r="O628" s="32" t="s">
        <v>1915</v>
      </c>
      <c r="P628" s="32" t="s">
        <v>683</v>
      </c>
      <c r="Q628" s="32" t="s">
        <v>767</v>
      </c>
      <c r="R628" s="32" t="s">
        <v>1541</v>
      </c>
      <c r="S628" s="32" t="s">
        <v>673</v>
      </c>
    </row>
    <row r="629" spans="1:19" x14ac:dyDescent="0.3">
      <c r="A629" s="29" t="s">
        <v>902</v>
      </c>
      <c r="B629" s="30" t="s">
        <v>707</v>
      </c>
      <c r="C629" s="30" t="s">
        <v>715</v>
      </c>
      <c r="D629" s="30" t="s">
        <v>673</v>
      </c>
      <c r="E629" s="30" t="s">
        <v>674</v>
      </c>
      <c r="F629" s="30" t="s">
        <v>716</v>
      </c>
      <c r="G629" s="30" t="s">
        <v>717</v>
      </c>
      <c r="H629" s="30" t="s">
        <v>717</v>
      </c>
      <c r="I629" s="30" t="s">
        <v>717</v>
      </c>
      <c r="J629" s="30" t="s">
        <v>751</v>
      </c>
      <c r="K629" s="30" t="s">
        <v>690</v>
      </c>
      <c r="L629" s="30" t="s">
        <v>699</v>
      </c>
      <c r="M629" s="30">
        <v>0.2</v>
      </c>
      <c r="N629" s="30" t="s">
        <v>242</v>
      </c>
      <c r="O629" s="30" t="s">
        <v>746</v>
      </c>
      <c r="P629" s="30" t="s">
        <v>683</v>
      </c>
      <c r="Q629" s="30" t="s">
        <v>665</v>
      </c>
      <c r="R629" s="30" t="s">
        <v>269</v>
      </c>
      <c r="S629" s="32" t="s">
        <v>673</v>
      </c>
    </row>
    <row r="630" spans="1:19" x14ac:dyDescent="0.3">
      <c r="A630" s="31" t="s">
        <v>1000</v>
      </c>
      <c r="B630" s="32" t="s">
        <v>998</v>
      </c>
      <c r="C630" s="32" t="s">
        <v>1001</v>
      </c>
      <c r="D630" s="32" t="s">
        <v>673</v>
      </c>
      <c r="E630" s="32" t="s">
        <v>674</v>
      </c>
      <c r="F630" s="32" t="s">
        <v>716</v>
      </c>
      <c r="G630" s="32" t="s">
        <v>744</v>
      </c>
      <c r="H630" s="32" t="s">
        <v>677</v>
      </c>
      <c r="I630" s="32" t="s">
        <v>688</v>
      </c>
      <c r="J630" s="32" t="s">
        <v>751</v>
      </c>
      <c r="K630" s="32" t="s">
        <v>690</v>
      </c>
      <c r="L630" s="32" t="s">
        <v>681</v>
      </c>
      <c r="M630" s="32">
        <v>0.4</v>
      </c>
      <c r="N630" s="32" t="s">
        <v>242</v>
      </c>
      <c r="O630" s="32" t="s">
        <v>746</v>
      </c>
      <c r="P630" s="32" t="s">
        <v>683</v>
      </c>
      <c r="Q630" s="32" t="s">
        <v>665</v>
      </c>
      <c r="R630" s="32" t="s">
        <v>269</v>
      </c>
      <c r="S630" s="32" t="s">
        <v>673</v>
      </c>
    </row>
    <row r="631" spans="1:19" x14ac:dyDescent="0.3">
      <c r="A631" s="29" t="s">
        <v>1621</v>
      </c>
      <c r="B631" s="30" t="s">
        <v>749</v>
      </c>
      <c r="C631" s="30" t="s">
        <v>1622</v>
      </c>
      <c r="D631" s="30" t="s">
        <v>673</v>
      </c>
      <c r="E631" s="30" t="s">
        <v>674</v>
      </c>
      <c r="F631" s="30" t="s">
        <v>675</v>
      </c>
      <c r="G631" s="30" t="s">
        <v>744</v>
      </c>
      <c r="H631" s="30" t="s">
        <v>677</v>
      </c>
      <c r="I631" s="30" t="s">
        <v>688</v>
      </c>
      <c r="J631" s="30" t="s">
        <v>751</v>
      </c>
      <c r="K631" s="30" t="s">
        <v>690</v>
      </c>
      <c r="L631" s="30" t="s">
        <v>681</v>
      </c>
      <c r="M631" s="30">
        <v>0.4</v>
      </c>
      <c r="N631" s="30" t="s">
        <v>242</v>
      </c>
      <c r="O631" s="30" t="s">
        <v>746</v>
      </c>
      <c r="P631" s="30" t="s">
        <v>683</v>
      </c>
      <c r="Q631" s="30" t="s">
        <v>665</v>
      </c>
      <c r="R631" s="30" t="s">
        <v>269</v>
      </c>
      <c r="S631" s="32" t="s">
        <v>673</v>
      </c>
    </row>
    <row r="632" spans="1:19" x14ac:dyDescent="0.3">
      <c r="A632" s="31" t="s">
        <v>762</v>
      </c>
      <c r="B632" s="32" t="s">
        <v>760</v>
      </c>
      <c r="C632" s="32" t="s">
        <v>763</v>
      </c>
      <c r="D632" s="32" t="s">
        <v>755</v>
      </c>
      <c r="E632" s="32" t="s">
        <v>674</v>
      </c>
      <c r="F632" s="32" t="s">
        <v>716</v>
      </c>
      <c r="G632" s="32" t="s">
        <v>744</v>
      </c>
      <c r="H632" s="32" t="s">
        <v>677</v>
      </c>
      <c r="I632" s="32" t="s">
        <v>678</v>
      </c>
      <c r="J632" s="32" t="s">
        <v>679</v>
      </c>
      <c r="K632" s="32" t="s">
        <v>680</v>
      </c>
      <c r="L632" s="32" t="s">
        <v>699</v>
      </c>
      <c r="M632" s="32">
        <v>0.5</v>
      </c>
      <c r="N632" s="32" t="s">
        <v>569</v>
      </c>
      <c r="O632" s="32" t="s">
        <v>1915</v>
      </c>
      <c r="P632" s="32" t="s">
        <v>683</v>
      </c>
      <c r="Q632" s="32" t="s">
        <v>767</v>
      </c>
      <c r="R632" s="32" t="s">
        <v>633</v>
      </c>
      <c r="S632" s="30" t="s">
        <v>755</v>
      </c>
    </row>
    <row r="633" spans="1:19" x14ac:dyDescent="0.3">
      <c r="A633" s="29" t="s">
        <v>1287</v>
      </c>
      <c r="B633" s="30" t="s">
        <v>633</v>
      </c>
      <c r="C633" s="30" t="s">
        <v>1288</v>
      </c>
      <c r="D633" s="30" t="s">
        <v>755</v>
      </c>
      <c r="E633" s="30" t="s">
        <v>674</v>
      </c>
      <c r="F633" s="30" t="s">
        <v>675</v>
      </c>
      <c r="G633" s="30" t="s">
        <v>676</v>
      </c>
      <c r="H633" s="30" t="s">
        <v>677</v>
      </c>
      <c r="I633" s="30" t="s">
        <v>678</v>
      </c>
      <c r="J633" s="30" t="s">
        <v>679</v>
      </c>
      <c r="K633" s="30" t="s">
        <v>680</v>
      </c>
      <c r="L633" s="30" t="s">
        <v>766</v>
      </c>
      <c r="M633" s="30">
        <v>0.3</v>
      </c>
      <c r="N633" s="30" t="s">
        <v>569</v>
      </c>
      <c r="O633" s="30" t="s">
        <v>1915</v>
      </c>
      <c r="P633" s="30" t="s">
        <v>683</v>
      </c>
      <c r="Q633" s="30" t="s">
        <v>767</v>
      </c>
      <c r="R633" s="30" t="s">
        <v>633</v>
      </c>
      <c r="S633" s="30" t="s">
        <v>755</v>
      </c>
    </row>
    <row r="634" spans="1:19" x14ac:dyDescent="0.3">
      <c r="A634" s="31" t="s">
        <v>694</v>
      </c>
      <c r="B634" s="32" t="s">
        <v>695</v>
      </c>
      <c r="C634" s="32" t="s">
        <v>696</v>
      </c>
      <c r="D634" s="32" t="s">
        <v>673</v>
      </c>
      <c r="E634" s="32" t="s">
        <v>674</v>
      </c>
      <c r="F634" s="32" t="s">
        <v>675</v>
      </c>
      <c r="G634" s="32" t="s">
        <v>676</v>
      </c>
      <c r="H634" s="32" t="s">
        <v>677</v>
      </c>
      <c r="I634" s="32" t="s">
        <v>697</v>
      </c>
      <c r="J634" s="32" t="s">
        <v>698</v>
      </c>
      <c r="K634" s="32" t="s">
        <v>690</v>
      </c>
      <c r="L634" s="32" t="s">
        <v>699</v>
      </c>
      <c r="M634" s="32">
        <v>1</v>
      </c>
      <c r="N634" s="32" t="s">
        <v>169</v>
      </c>
      <c r="O634" s="32" t="s">
        <v>746</v>
      </c>
      <c r="P634" s="32" t="s">
        <v>683</v>
      </c>
      <c r="Q634" s="32" t="s">
        <v>665</v>
      </c>
      <c r="R634" s="32" t="s">
        <v>269</v>
      </c>
      <c r="S634" s="32" t="s">
        <v>673</v>
      </c>
    </row>
    <row r="635" spans="1:19" x14ac:dyDescent="0.3">
      <c r="A635" s="29" t="s">
        <v>2303</v>
      </c>
      <c r="B635" s="30" t="s">
        <v>633</v>
      </c>
      <c r="C635" s="30" t="s">
        <v>2304</v>
      </c>
      <c r="D635" s="30" t="s">
        <v>755</v>
      </c>
      <c r="E635" s="30" t="s">
        <v>674</v>
      </c>
      <c r="F635" s="30" t="s">
        <v>675</v>
      </c>
      <c r="G635" s="30" t="s">
        <v>676</v>
      </c>
      <c r="H635" s="30" t="s">
        <v>677</v>
      </c>
      <c r="I635" s="30" t="s">
        <v>678</v>
      </c>
      <c r="J635" s="30" t="s">
        <v>679</v>
      </c>
      <c r="K635" s="30" t="s">
        <v>680</v>
      </c>
      <c r="L635" s="30" t="s">
        <v>691</v>
      </c>
      <c r="M635" s="30">
        <v>0.2</v>
      </c>
      <c r="N635" s="30" t="s">
        <v>569</v>
      </c>
      <c r="O635" s="30" t="s">
        <v>1915</v>
      </c>
      <c r="P635" s="30" t="s">
        <v>683</v>
      </c>
      <c r="Q635" s="30" t="s">
        <v>767</v>
      </c>
      <c r="R635" s="30" t="s">
        <v>633</v>
      </c>
      <c r="S635" s="30" t="s">
        <v>755</v>
      </c>
    </row>
    <row r="636" spans="1:19" x14ac:dyDescent="0.3">
      <c r="A636" s="31" t="s">
        <v>1297</v>
      </c>
      <c r="B636" s="32" t="s">
        <v>753</v>
      </c>
      <c r="C636" s="32" t="s">
        <v>1298</v>
      </c>
      <c r="D636" s="32" t="s">
        <v>755</v>
      </c>
      <c r="E636" s="32" t="s">
        <v>674</v>
      </c>
      <c r="F636" s="32" t="s">
        <v>675</v>
      </c>
      <c r="G636" s="32" t="s">
        <v>676</v>
      </c>
      <c r="H636" s="32" t="s">
        <v>702</v>
      </c>
      <c r="I636" s="32" t="s">
        <v>678</v>
      </c>
      <c r="J636" s="32" t="s">
        <v>679</v>
      </c>
      <c r="K636" s="32" t="s">
        <v>680</v>
      </c>
      <c r="L636" s="32" t="s">
        <v>691</v>
      </c>
      <c r="M636" s="32">
        <v>0.5</v>
      </c>
      <c r="N636" s="32" t="s">
        <v>1296</v>
      </c>
      <c r="O636" s="32" t="s">
        <v>746</v>
      </c>
      <c r="P636" s="32" t="s">
        <v>683</v>
      </c>
      <c r="Q636" s="32" t="s">
        <v>665</v>
      </c>
      <c r="R636" s="32" t="s">
        <v>633</v>
      </c>
      <c r="S636" s="30" t="s">
        <v>755</v>
      </c>
    </row>
    <row r="637" spans="1:19" x14ac:dyDescent="0.3">
      <c r="A637" s="29" t="s">
        <v>1294</v>
      </c>
      <c r="B637" s="30" t="s">
        <v>753</v>
      </c>
      <c r="C637" s="30" t="s">
        <v>1295</v>
      </c>
      <c r="D637" s="30" t="s">
        <v>755</v>
      </c>
      <c r="E637" s="30" t="s">
        <v>674</v>
      </c>
      <c r="F637" s="30" t="s">
        <v>675</v>
      </c>
      <c r="G637" s="30" t="s">
        <v>676</v>
      </c>
      <c r="H637" s="30" t="s">
        <v>702</v>
      </c>
      <c r="I637" s="30" t="s">
        <v>678</v>
      </c>
      <c r="J637" s="30" t="s">
        <v>679</v>
      </c>
      <c r="K637" s="30" t="s">
        <v>680</v>
      </c>
      <c r="L637" s="30" t="s">
        <v>691</v>
      </c>
      <c r="M637" s="30">
        <v>0.5</v>
      </c>
      <c r="N637" s="30" t="s">
        <v>1296</v>
      </c>
      <c r="O637" s="30" t="s">
        <v>746</v>
      </c>
      <c r="P637" s="30" t="s">
        <v>683</v>
      </c>
      <c r="Q637" s="30" t="s">
        <v>665</v>
      </c>
      <c r="R637" s="30" t="s">
        <v>633</v>
      </c>
      <c r="S637" s="30" t="s">
        <v>755</v>
      </c>
    </row>
    <row r="638" spans="1:19" x14ac:dyDescent="0.3">
      <c r="A638" s="31" t="s">
        <v>1311</v>
      </c>
      <c r="B638" s="32" t="s">
        <v>753</v>
      </c>
      <c r="C638" s="32" t="s">
        <v>1312</v>
      </c>
      <c r="D638" s="32" t="s">
        <v>755</v>
      </c>
      <c r="E638" s="32" t="s">
        <v>674</v>
      </c>
      <c r="F638" s="32" t="s">
        <v>716</v>
      </c>
      <c r="G638" s="32" t="s">
        <v>744</v>
      </c>
      <c r="H638" s="32" t="s">
        <v>677</v>
      </c>
      <c r="I638" s="32" t="s">
        <v>678</v>
      </c>
      <c r="J638" s="32" t="s">
        <v>679</v>
      </c>
      <c r="K638" s="32" t="s">
        <v>680</v>
      </c>
      <c r="L638" s="32" t="s">
        <v>681</v>
      </c>
      <c r="M638" s="32">
        <v>1</v>
      </c>
      <c r="N638" s="32" t="s">
        <v>1313</v>
      </c>
      <c r="O638" s="32" t="s">
        <v>746</v>
      </c>
      <c r="P638" s="32" t="s">
        <v>683</v>
      </c>
      <c r="Q638" s="32" t="s">
        <v>665</v>
      </c>
      <c r="R638" s="32" t="s">
        <v>633</v>
      </c>
      <c r="S638" s="30" t="s">
        <v>755</v>
      </c>
    </row>
    <row r="639" spans="1:19" x14ac:dyDescent="0.3">
      <c r="A639" s="29" t="s">
        <v>1503</v>
      </c>
      <c r="B639" s="30" t="s">
        <v>544</v>
      </c>
      <c r="C639" s="30" t="s">
        <v>1504</v>
      </c>
      <c r="D639" s="30" t="s">
        <v>684</v>
      </c>
      <c r="E639" s="30" t="s">
        <v>674</v>
      </c>
      <c r="F639" s="30" t="s">
        <v>716</v>
      </c>
      <c r="G639" s="30" t="s">
        <v>717</v>
      </c>
      <c r="H639" s="30" t="s">
        <v>717</v>
      </c>
      <c r="I639" s="30" t="s">
        <v>736</v>
      </c>
      <c r="J639" s="30" t="s">
        <v>737</v>
      </c>
      <c r="K639" s="30" t="s">
        <v>738</v>
      </c>
      <c r="L639" s="30" t="s">
        <v>699</v>
      </c>
      <c r="M639" s="30">
        <v>1</v>
      </c>
      <c r="N639" s="30" t="s">
        <v>1661</v>
      </c>
      <c r="O639" s="30" t="s">
        <v>746</v>
      </c>
      <c r="P639" s="30" t="s">
        <v>683</v>
      </c>
      <c r="Q639" s="30" t="s">
        <v>665</v>
      </c>
      <c r="R639" s="30" t="s">
        <v>244</v>
      </c>
      <c r="S639" s="30" t="s">
        <v>684</v>
      </c>
    </row>
    <row r="640" spans="1:19" x14ac:dyDescent="0.3">
      <c r="A640" s="31" t="s">
        <v>1292</v>
      </c>
      <c r="B640" s="32" t="s">
        <v>1232</v>
      </c>
      <c r="C640" s="32" t="s">
        <v>1293</v>
      </c>
      <c r="D640" s="32" t="s">
        <v>755</v>
      </c>
      <c r="E640" s="32" t="s">
        <v>674</v>
      </c>
      <c r="F640" s="32" t="s">
        <v>675</v>
      </c>
      <c r="G640" s="32" t="s">
        <v>676</v>
      </c>
      <c r="H640" s="32" t="s">
        <v>702</v>
      </c>
      <c r="I640" s="32" t="s">
        <v>697</v>
      </c>
      <c r="J640" s="32" t="s">
        <v>679</v>
      </c>
      <c r="K640" s="32" t="s">
        <v>680</v>
      </c>
      <c r="L640" s="32" t="s">
        <v>739</v>
      </c>
      <c r="M640" s="32">
        <v>0.2</v>
      </c>
      <c r="N640" s="32" t="s">
        <v>1289</v>
      </c>
      <c r="O640" s="32" t="s">
        <v>746</v>
      </c>
      <c r="P640" s="32" t="s">
        <v>683</v>
      </c>
      <c r="Q640" s="32" t="s">
        <v>665</v>
      </c>
      <c r="R640" s="32" t="s">
        <v>633</v>
      </c>
      <c r="S640" s="30" t="s">
        <v>755</v>
      </c>
    </row>
    <row r="641" spans="1:19" x14ac:dyDescent="0.3">
      <c r="A641" s="29" t="s">
        <v>757</v>
      </c>
      <c r="B641" s="30" t="s">
        <v>753</v>
      </c>
      <c r="C641" s="30" t="s">
        <v>758</v>
      </c>
      <c r="D641" s="30" t="s">
        <v>755</v>
      </c>
      <c r="E641" s="30" t="s">
        <v>674</v>
      </c>
      <c r="F641" s="30" t="s">
        <v>675</v>
      </c>
      <c r="G641" s="30" t="s">
        <v>676</v>
      </c>
      <c r="H641" s="30" t="s">
        <v>677</v>
      </c>
      <c r="I641" s="30" t="s">
        <v>678</v>
      </c>
      <c r="J641" s="30" t="s">
        <v>679</v>
      </c>
      <c r="K641" s="30" t="s">
        <v>680</v>
      </c>
      <c r="L641" s="30" t="s">
        <v>699</v>
      </c>
      <c r="M641" s="30">
        <v>0.3</v>
      </c>
      <c r="N641" s="30" t="s">
        <v>1289</v>
      </c>
      <c r="O641" s="30" t="s">
        <v>746</v>
      </c>
      <c r="P641" s="30" t="s">
        <v>683</v>
      </c>
      <c r="Q641" s="30" t="s">
        <v>665</v>
      </c>
      <c r="R641" s="30" t="s">
        <v>633</v>
      </c>
      <c r="S641" s="30" t="s">
        <v>755</v>
      </c>
    </row>
    <row r="642" spans="1:19" x14ac:dyDescent="0.3">
      <c r="A642" s="31" t="s">
        <v>1290</v>
      </c>
      <c r="B642" s="32" t="s">
        <v>1232</v>
      </c>
      <c r="C642" s="32" t="s">
        <v>1291</v>
      </c>
      <c r="D642" s="32" t="s">
        <v>755</v>
      </c>
      <c r="E642" s="32" t="s">
        <v>674</v>
      </c>
      <c r="F642" s="32" t="s">
        <v>935</v>
      </c>
      <c r="G642" s="32" t="s">
        <v>676</v>
      </c>
      <c r="H642" s="32" t="s">
        <v>702</v>
      </c>
      <c r="I642" s="32" t="s">
        <v>678</v>
      </c>
      <c r="J642" s="32" t="s">
        <v>679</v>
      </c>
      <c r="K642" s="32" t="s">
        <v>680</v>
      </c>
      <c r="L642" s="32" t="s">
        <v>739</v>
      </c>
      <c r="M642" s="32">
        <v>0.1</v>
      </c>
      <c r="N642" s="32" t="s">
        <v>1289</v>
      </c>
      <c r="O642" s="32" t="s">
        <v>746</v>
      </c>
      <c r="P642" s="32" t="s">
        <v>683</v>
      </c>
      <c r="Q642" s="32" t="s">
        <v>665</v>
      </c>
      <c r="R642" s="32" t="s">
        <v>633</v>
      </c>
      <c r="S642" s="30" t="s">
        <v>755</v>
      </c>
    </row>
    <row r="643" spans="1:19" x14ac:dyDescent="0.3">
      <c r="A643" s="29" t="s">
        <v>2305</v>
      </c>
      <c r="B643" s="30" t="s">
        <v>753</v>
      </c>
      <c r="C643" s="30" t="s">
        <v>2306</v>
      </c>
      <c r="D643" s="30" t="s">
        <v>755</v>
      </c>
      <c r="E643" s="30" t="s">
        <v>674</v>
      </c>
      <c r="F643" s="30" t="s">
        <v>675</v>
      </c>
      <c r="G643" s="30" t="s">
        <v>676</v>
      </c>
      <c r="H643" s="30" t="s">
        <v>702</v>
      </c>
      <c r="I643" s="30" t="s">
        <v>678</v>
      </c>
      <c r="J643" s="30" t="s">
        <v>679</v>
      </c>
      <c r="K643" s="30" t="s">
        <v>680</v>
      </c>
      <c r="L643" s="30" t="s">
        <v>691</v>
      </c>
      <c r="M643" s="30">
        <v>0.4</v>
      </c>
      <c r="N643" s="30" t="s">
        <v>1289</v>
      </c>
      <c r="O643" s="30" t="s">
        <v>746</v>
      </c>
      <c r="P643" s="30" t="s">
        <v>683</v>
      </c>
      <c r="Q643" s="30" t="s">
        <v>665</v>
      </c>
      <c r="R643" s="30" t="s">
        <v>633</v>
      </c>
      <c r="S643" s="30" t="s">
        <v>755</v>
      </c>
    </row>
    <row r="644" spans="1:19" x14ac:dyDescent="0.3">
      <c r="A644" s="31" t="s">
        <v>1299</v>
      </c>
      <c r="B644" s="32" t="s">
        <v>1232</v>
      </c>
      <c r="C644" s="32" t="s">
        <v>1300</v>
      </c>
      <c r="D644" s="32" t="s">
        <v>755</v>
      </c>
      <c r="E644" s="32" t="s">
        <v>674</v>
      </c>
      <c r="F644" s="32" t="s">
        <v>675</v>
      </c>
      <c r="G644" s="32" t="s">
        <v>676</v>
      </c>
      <c r="H644" s="32" t="s">
        <v>677</v>
      </c>
      <c r="I644" s="32" t="s">
        <v>697</v>
      </c>
      <c r="J644" s="32" t="s">
        <v>679</v>
      </c>
      <c r="K644" s="32" t="s">
        <v>680</v>
      </c>
      <c r="L644" s="32" t="s">
        <v>801</v>
      </c>
      <c r="M644" s="32">
        <v>0.25</v>
      </c>
      <c r="N644" s="32" t="s">
        <v>1301</v>
      </c>
      <c r="O644" s="32" t="s">
        <v>746</v>
      </c>
      <c r="P644" s="32" t="s">
        <v>683</v>
      </c>
      <c r="Q644" s="32" t="s">
        <v>665</v>
      </c>
      <c r="R644" s="32" t="s">
        <v>633</v>
      </c>
      <c r="S644" s="30" t="s">
        <v>755</v>
      </c>
    </row>
    <row r="645" spans="1:19" x14ac:dyDescent="0.3">
      <c r="A645" s="29" t="s">
        <v>1302</v>
      </c>
      <c r="B645" s="30" t="s">
        <v>1232</v>
      </c>
      <c r="C645" s="30" t="s">
        <v>1303</v>
      </c>
      <c r="D645" s="30" t="s">
        <v>755</v>
      </c>
      <c r="E645" s="30" t="s">
        <v>674</v>
      </c>
      <c r="F645" s="30" t="s">
        <v>675</v>
      </c>
      <c r="G645" s="30" t="s">
        <v>676</v>
      </c>
      <c r="H645" s="30" t="s">
        <v>702</v>
      </c>
      <c r="I645" s="30" t="s">
        <v>697</v>
      </c>
      <c r="J645" s="30" t="s">
        <v>679</v>
      </c>
      <c r="K645" s="30" t="s">
        <v>680</v>
      </c>
      <c r="L645" s="30" t="s">
        <v>681</v>
      </c>
      <c r="M645" s="30">
        <v>0.3</v>
      </c>
      <c r="N645" s="30" t="s">
        <v>1301</v>
      </c>
      <c r="O645" s="30" t="s">
        <v>746</v>
      </c>
      <c r="P645" s="30" t="s">
        <v>683</v>
      </c>
      <c r="Q645" s="30" t="s">
        <v>665</v>
      </c>
      <c r="R645" s="30" t="s">
        <v>633</v>
      </c>
      <c r="S645" s="30" t="s">
        <v>755</v>
      </c>
    </row>
    <row r="646" spans="1:19" x14ac:dyDescent="0.3">
      <c r="A646" s="31" t="s">
        <v>1304</v>
      </c>
      <c r="B646" s="32" t="s">
        <v>753</v>
      </c>
      <c r="C646" s="32" t="s">
        <v>1305</v>
      </c>
      <c r="D646" s="32" t="s">
        <v>755</v>
      </c>
      <c r="E646" s="32" t="s">
        <v>674</v>
      </c>
      <c r="F646" s="32" t="s">
        <v>675</v>
      </c>
      <c r="G646" s="32" t="s">
        <v>676</v>
      </c>
      <c r="H646" s="32" t="s">
        <v>702</v>
      </c>
      <c r="I646" s="32" t="s">
        <v>697</v>
      </c>
      <c r="J646" s="32" t="s">
        <v>679</v>
      </c>
      <c r="K646" s="32" t="s">
        <v>680</v>
      </c>
      <c r="L646" s="32" t="s">
        <v>766</v>
      </c>
      <c r="M646" s="32">
        <v>0.25</v>
      </c>
      <c r="N646" s="32" t="s">
        <v>1301</v>
      </c>
      <c r="O646" s="32" t="s">
        <v>746</v>
      </c>
      <c r="P646" s="32" t="s">
        <v>683</v>
      </c>
      <c r="Q646" s="32" t="s">
        <v>665</v>
      </c>
      <c r="R646" s="32" t="s">
        <v>633</v>
      </c>
      <c r="S646" s="30" t="s">
        <v>755</v>
      </c>
    </row>
    <row r="647" spans="1:19" x14ac:dyDescent="0.3">
      <c r="A647" s="29" t="s">
        <v>2307</v>
      </c>
      <c r="B647" s="30" t="s">
        <v>753</v>
      </c>
      <c r="C647" s="30" t="s">
        <v>2308</v>
      </c>
      <c r="D647" s="30" t="s">
        <v>755</v>
      </c>
      <c r="E647" s="30" t="s">
        <v>674</v>
      </c>
      <c r="F647" s="30" t="s">
        <v>675</v>
      </c>
      <c r="G647" s="30" t="s">
        <v>676</v>
      </c>
      <c r="H647" s="30" t="s">
        <v>677</v>
      </c>
      <c r="I647" s="30" t="s">
        <v>678</v>
      </c>
      <c r="J647" s="30" t="s">
        <v>679</v>
      </c>
      <c r="K647" s="30" t="s">
        <v>680</v>
      </c>
      <c r="L647" s="30" t="s">
        <v>739</v>
      </c>
      <c r="M647" s="30">
        <v>0.1</v>
      </c>
      <c r="N647" s="30" t="s">
        <v>1301</v>
      </c>
      <c r="O647" s="30" t="s">
        <v>746</v>
      </c>
      <c r="P647" s="30" t="s">
        <v>683</v>
      </c>
      <c r="Q647" s="30" t="s">
        <v>665</v>
      </c>
      <c r="R647" s="30" t="s">
        <v>633</v>
      </c>
      <c r="S647" s="30" t="s">
        <v>755</v>
      </c>
    </row>
    <row r="648" spans="1:19" x14ac:dyDescent="0.3">
      <c r="A648" s="31" t="s">
        <v>1306</v>
      </c>
      <c r="B648" s="32" t="s">
        <v>1232</v>
      </c>
      <c r="C648" s="32" t="s">
        <v>1307</v>
      </c>
      <c r="D648" s="32" t="s">
        <v>755</v>
      </c>
      <c r="E648" s="32" t="s">
        <v>674</v>
      </c>
      <c r="F648" s="32" t="s">
        <v>675</v>
      </c>
      <c r="G648" s="32" t="s">
        <v>676</v>
      </c>
      <c r="H648" s="32" t="s">
        <v>677</v>
      </c>
      <c r="I648" s="32" t="s">
        <v>697</v>
      </c>
      <c r="J648" s="32" t="s">
        <v>679</v>
      </c>
      <c r="K648" s="32" t="s">
        <v>680</v>
      </c>
      <c r="L648" s="32" t="s">
        <v>739</v>
      </c>
      <c r="M648" s="32">
        <v>0.1</v>
      </c>
      <c r="N648" s="32" t="s">
        <v>1301</v>
      </c>
      <c r="O648" s="32" t="s">
        <v>746</v>
      </c>
      <c r="P648" s="32" t="s">
        <v>683</v>
      </c>
      <c r="Q648" s="32" t="s">
        <v>665</v>
      </c>
      <c r="R648" s="32" t="s">
        <v>633</v>
      </c>
      <c r="S648" s="30" t="s">
        <v>755</v>
      </c>
    </row>
    <row r="649" spans="1:19" x14ac:dyDescent="0.3">
      <c r="A649" s="29" t="s">
        <v>1261</v>
      </c>
      <c r="B649" s="30" t="s">
        <v>1260</v>
      </c>
      <c r="C649" s="30" t="s">
        <v>1262</v>
      </c>
      <c r="D649" s="30" t="s">
        <v>755</v>
      </c>
      <c r="E649" s="30" t="s">
        <v>674</v>
      </c>
      <c r="F649" s="30" t="s">
        <v>935</v>
      </c>
      <c r="G649" s="30" t="s">
        <v>676</v>
      </c>
      <c r="H649" s="30" t="s">
        <v>702</v>
      </c>
      <c r="I649" s="30" t="s">
        <v>678</v>
      </c>
      <c r="J649" s="30" t="s">
        <v>679</v>
      </c>
      <c r="K649" s="30" t="s">
        <v>680</v>
      </c>
      <c r="L649" s="30" t="s">
        <v>691</v>
      </c>
      <c r="M649" s="30">
        <v>0.2</v>
      </c>
      <c r="N649" s="30" t="s">
        <v>452</v>
      </c>
      <c r="O649" s="30" t="s">
        <v>1915</v>
      </c>
      <c r="P649" s="30" t="s">
        <v>683</v>
      </c>
      <c r="Q649" s="30" t="s">
        <v>767</v>
      </c>
      <c r="R649" s="30" t="s">
        <v>633</v>
      </c>
      <c r="S649" s="30" t="s">
        <v>755</v>
      </c>
    </row>
    <row r="650" spans="1:19" x14ac:dyDescent="0.3">
      <c r="A650" s="31" t="s">
        <v>1263</v>
      </c>
      <c r="B650" s="32" t="s">
        <v>753</v>
      </c>
      <c r="C650" s="32" t="s">
        <v>1264</v>
      </c>
      <c r="D650" s="32" t="s">
        <v>755</v>
      </c>
      <c r="E650" s="32" t="s">
        <v>674</v>
      </c>
      <c r="F650" s="32" t="s">
        <v>935</v>
      </c>
      <c r="G650" s="32" t="s">
        <v>676</v>
      </c>
      <c r="H650" s="32" t="s">
        <v>702</v>
      </c>
      <c r="I650" s="32" t="s">
        <v>678</v>
      </c>
      <c r="J650" s="32" t="s">
        <v>679</v>
      </c>
      <c r="K650" s="32" t="s">
        <v>680</v>
      </c>
      <c r="L650" s="32" t="s">
        <v>739</v>
      </c>
      <c r="M650" s="32">
        <v>0.2</v>
      </c>
      <c r="N650" s="32" t="s">
        <v>452</v>
      </c>
      <c r="O650" s="32" t="s">
        <v>1915</v>
      </c>
      <c r="P650" s="32" t="s">
        <v>683</v>
      </c>
      <c r="Q650" s="32" t="s">
        <v>767</v>
      </c>
      <c r="R650" s="32" t="s">
        <v>633</v>
      </c>
      <c r="S650" s="30" t="s">
        <v>755</v>
      </c>
    </row>
    <row r="651" spans="1:19" x14ac:dyDescent="0.3">
      <c r="A651" s="29" t="s">
        <v>1265</v>
      </c>
      <c r="B651" s="30" t="s">
        <v>633</v>
      </c>
      <c r="C651" s="30" t="s">
        <v>1266</v>
      </c>
      <c r="D651" s="30" t="s">
        <v>755</v>
      </c>
      <c r="E651" s="30" t="s">
        <v>674</v>
      </c>
      <c r="F651" s="30" t="s">
        <v>675</v>
      </c>
      <c r="G651" s="30" t="s">
        <v>676</v>
      </c>
      <c r="H651" s="30" t="s">
        <v>677</v>
      </c>
      <c r="I651" s="30" t="s">
        <v>678</v>
      </c>
      <c r="J651" s="30" t="s">
        <v>679</v>
      </c>
      <c r="K651" s="30" t="s">
        <v>680</v>
      </c>
      <c r="L651" s="30" t="s">
        <v>766</v>
      </c>
      <c r="M651" s="30">
        <v>0.2</v>
      </c>
      <c r="N651" s="30" t="s">
        <v>452</v>
      </c>
      <c r="O651" s="30" t="s">
        <v>1915</v>
      </c>
      <c r="P651" s="30" t="s">
        <v>683</v>
      </c>
      <c r="Q651" s="30" t="s">
        <v>767</v>
      </c>
      <c r="R651" s="30" t="s">
        <v>633</v>
      </c>
      <c r="S651" s="30" t="s">
        <v>755</v>
      </c>
    </row>
    <row r="652" spans="1:19" x14ac:dyDescent="0.3">
      <c r="A652" s="31" t="s">
        <v>1269</v>
      </c>
      <c r="B652" s="32" t="s">
        <v>633</v>
      </c>
      <c r="C652" s="32" t="s">
        <v>1270</v>
      </c>
      <c r="D652" s="32" t="s">
        <v>755</v>
      </c>
      <c r="E652" s="32" t="s">
        <v>674</v>
      </c>
      <c r="F652" s="32" t="s">
        <v>675</v>
      </c>
      <c r="G652" s="32" t="s">
        <v>676</v>
      </c>
      <c r="H652" s="32" t="s">
        <v>677</v>
      </c>
      <c r="I652" s="32" t="s">
        <v>678</v>
      </c>
      <c r="J652" s="32" t="s">
        <v>679</v>
      </c>
      <c r="K652" s="32" t="s">
        <v>680</v>
      </c>
      <c r="L652" s="32" t="s">
        <v>766</v>
      </c>
      <c r="M652" s="32">
        <v>0.2</v>
      </c>
      <c r="N652" s="32" t="s">
        <v>452</v>
      </c>
      <c r="O652" s="32" t="s">
        <v>1915</v>
      </c>
      <c r="P652" s="32" t="s">
        <v>683</v>
      </c>
      <c r="Q652" s="32" t="s">
        <v>767</v>
      </c>
      <c r="R652" s="32" t="s">
        <v>633</v>
      </c>
      <c r="S652" s="30" t="s">
        <v>755</v>
      </c>
    </row>
    <row r="653" spans="1:19" x14ac:dyDescent="0.3">
      <c r="A653" s="29" t="s">
        <v>1267</v>
      </c>
      <c r="B653" s="30" t="s">
        <v>633</v>
      </c>
      <c r="C653" s="30" t="s">
        <v>1268</v>
      </c>
      <c r="D653" s="30" t="s">
        <v>755</v>
      </c>
      <c r="E653" s="30" t="s">
        <v>674</v>
      </c>
      <c r="F653" s="30" t="s">
        <v>675</v>
      </c>
      <c r="G653" s="30" t="s">
        <v>676</v>
      </c>
      <c r="H653" s="30" t="s">
        <v>677</v>
      </c>
      <c r="I653" s="30" t="s">
        <v>678</v>
      </c>
      <c r="J653" s="30" t="s">
        <v>679</v>
      </c>
      <c r="K653" s="30" t="s">
        <v>680</v>
      </c>
      <c r="L653" s="30" t="s">
        <v>766</v>
      </c>
      <c r="M653" s="30">
        <v>0.2</v>
      </c>
      <c r="N653" s="30" t="s">
        <v>452</v>
      </c>
      <c r="O653" s="30" t="s">
        <v>1915</v>
      </c>
      <c r="P653" s="30" t="s">
        <v>683</v>
      </c>
      <c r="Q653" s="30" t="s">
        <v>767</v>
      </c>
      <c r="R653" s="30" t="s">
        <v>633</v>
      </c>
      <c r="S653" s="30" t="s">
        <v>755</v>
      </c>
    </row>
    <row r="654" spans="1:19" x14ac:dyDescent="0.3">
      <c r="A654" s="31" t="s">
        <v>1271</v>
      </c>
      <c r="B654" s="32" t="s">
        <v>633</v>
      </c>
      <c r="C654" s="32" t="s">
        <v>1272</v>
      </c>
      <c r="D654" s="32" t="s">
        <v>755</v>
      </c>
      <c r="E654" s="32" t="s">
        <v>674</v>
      </c>
      <c r="F654" s="32" t="s">
        <v>675</v>
      </c>
      <c r="G654" s="32" t="s">
        <v>676</v>
      </c>
      <c r="H654" s="32" t="s">
        <v>677</v>
      </c>
      <c r="I654" s="32" t="s">
        <v>678</v>
      </c>
      <c r="J654" s="32" t="s">
        <v>679</v>
      </c>
      <c r="K654" s="32" t="s">
        <v>680</v>
      </c>
      <c r="L654" s="32" t="s">
        <v>739</v>
      </c>
      <c r="M654" s="32">
        <v>0.25</v>
      </c>
      <c r="N654" s="32" t="s">
        <v>464</v>
      </c>
      <c r="O654" s="32" t="s">
        <v>1919</v>
      </c>
      <c r="P654" s="32" t="s">
        <v>683</v>
      </c>
      <c r="Q654" s="32" t="s">
        <v>767</v>
      </c>
      <c r="R654" s="32" t="s">
        <v>633</v>
      </c>
      <c r="S654" s="30" t="s">
        <v>755</v>
      </c>
    </row>
    <row r="655" spans="1:19" x14ac:dyDescent="0.3">
      <c r="A655" s="29" t="s">
        <v>1273</v>
      </c>
      <c r="B655" s="30" t="s">
        <v>633</v>
      </c>
      <c r="C655" s="30" t="s">
        <v>1274</v>
      </c>
      <c r="D655" s="30" t="s">
        <v>755</v>
      </c>
      <c r="E655" s="30" t="s">
        <v>674</v>
      </c>
      <c r="F655" s="30" t="s">
        <v>675</v>
      </c>
      <c r="G655" s="30" t="s">
        <v>676</v>
      </c>
      <c r="H655" s="30" t="s">
        <v>677</v>
      </c>
      <c r="I655" s="30" t="s">
        <v>678</v>
      </c>
      <c r="J655" s="30" t="s">
        <v>679</v>
      </c>
      <c r="K655" s="30" t="s">
        <v>680</v>
      </c>
      <c r="L655" s="30" t="s">
        <v>681</v>
      </c>
      <c r="M655" s="30">
        <v>0.25</v>
      </c>
      <c r="N655" s="30" t="s">
        <v>464</v>
      </c>
      <c r="O655" s="30" t="s">
        <v>1919</v>
      </c>
      <c r="P655" s="30" t="s">
        <v>683</v>
      </c>
      <c r="Q655" s="30" t="s">
        <v>767</v>
      </c>
      <c r="R655" s="30" t="s">
        <v>633</v>
      </c>
      <c r="S655" s="30" t="s">
        <v>755</v>
      </c>
    </row>
    <row r="656" spans="1:19" x14ac:dyDescent="0.3">
      <c r="A656" s="31" t="s">
        <v>1275</v>
      </c>
      <c r="B656" s="32" t="s">
        <v>633</v>
      </c>
      <c r="C656" s="32" t="s">
        <v>1276</v>
      </c>
      <c r="D656" s="32" t="s">
        <v>755</v>
      </c>
      <c r="E656" s="32" t="s">
        <v>674</v>
      </c>
      <c r="F656" s="32" t="s">
        <v>675</v>
      </c>
      <c r="G656" s="32" t="s">
        <v>676</v>
      </c>
      <c r="H656" s="32" t="s">
        <v>677</v>
      </c>
      <c r="I656" s="32" t="s">
        <v>678</v>
      </c>
      <c r="J656" s="32" t="s">
        <v>679</v>
      </c>
      <c r="K656" s="32" t="s">
        <v>680</v>
      </c>
      <c r="L656" s="32" t="s">
        <v>739</v>
      </c>
      <c r="M656" s="32">
        <v>0.25</v>
      </c>
      <c r="N656" s="32" t="s">
        <v>464</v>
      </c>
      <c r="O656" s="32" t="s">
        <v>1919</v>
      </c>
      <c r="P656" s="32" t="s">
        <v>683</v>
      </c>
      <c r="Q656" s="32" t="s">
        <v>767</v>
      </c>
      <c r="R656" s="32" t="s">
        <v>633</v>
      </c>
      <c r="S656" s="30" t="s">
        <v>755</v>
      </c>
    </row>
    <row r="657" spans="1:19" x14ac:dyDescent="0.3">
      <c r="A657" s="29" t="s">
        <v>1277</v>
      </c>
      <c r="B657" s="30" t="s">
        <v>633</v>
      </c>
      <c r="C657" s="30" t="s">
        <v>1278</v>
      </c>
      <c r="D657" s="30" t="s">
        <v>755</v>
      </c>
      <c r="E657" s="30" t="s">
        <v>674</v>
      </c>
      <c r="F657" s="30" t="s">
        <v>675</v>
      </c>
      <c r="G657" s="30" t="s">
        <v>676</v>
      </c>
      <c r="H657" s="30" t="s">
        <v>677</v>
      </c>
      <c r="I657" s="30" t="s">
        <v>678</v>
      </c>
      <c r="J657" s="30" t="s">
        <v>679</v>
      </c>
      <c r="K657" s="30" t="s">
        <v>680</v>
      </c>
      <c r="L657" s="30" t="s">
        <v>766</v>
      </c>
      <c r="M657" s="30">
        <v>0.25</v>
      </c>
      <c r="N657" s="30" t="s">
        <v>464</v>
      </c>
      <c r="O657" s="30" t="s">
        <v>1919</v>
      </c>
      <c r="P657" s="30" t="s">
        <v>683</v>
      </c>
      <c r="Q657" s="30" t="s">
        <v>767</v>
      </c>
      <c r="R657" s="30" t="s">
        <v>633</v>
      </c>
      <c r="S657" s="30" t="s">
        <v>755</v>
      </c>
    </row>
    <row r="658" spans="1:19" x14ac:dyDescent="0.3">
      <c r="A658" s="31" t="s">
        <v>1229</v>
      </c>
      <c r="B658" s="32" t="s">
        <v>753</v>
      </c>
      <c r="C658" s="32" t="s">
        <v>1230</v>
      </c>
      <c r="D658" s="32" t="s">
        <v>755</v>
      </c>
      <c r="E658" s="32" t="s">
        <v>674</v>
      </c>
      <c r="F658" s="32" t="s">
        <v>935</v>
      </c>
      <c r="G658" s="32" t="s">
        <v>676</v>
      </c>
      <c r="H658" s="32" t="s">
        <v>935</v>
      </c>
      <c r="I658" s="32" t="s">
        <v>678</v>
      </c>
      <c r="J658" s="32" t="s">
        <v>679</v>
      </c>
      <c r="K658" s="32" t="s">
        <v>680</v>
      </c>
      <c r="L658" s="32" t="s">
        <v>681</v>
      </c>
      <c r="M658" s="32">
        <v>0.25</v>
      </c>
      <c r="N658" s="32" t="s">
        <v>64</v>
      </c>
      <c r="O658" s="32" t="s">
        <v>2162</v>
      </c>
      <c r="P658" s="32" t="s">
        <v>683</v>
      </c>
      <c r="Q658" s="32" t="s">
        <v>767</v>
      </c>
      <c r="R658" s="32" t="s">
        <v>633</v>
      </c>
      <c r="S658" s="30" t="s">
        <v>755</v>
      </c>
    </row>
    <row r="659" spans="1:19" x14ac:dyDescent="0.3">
      <c r="A659" s="29" t="s">
        <v>1231</v>
      </c>
      <c r="B659" s="30" t="s">
        <v>1232</v>
      </c>
      <c r="C659" s="30" t="s">
        <v>1233</v>
      </c>
      <c r="D659" s="30" t="s">
        <v>755</v>
      </c>
      <c r="E659" s="30" t="s">
        <v>674</v>
      </c>
      <c r="F659" s="30" t="s">
        <v>935</v>
      </c>
      <c r="G659" s="30" t="s">
        <v>676</v>
      </c>
      <c r="H659" s="30" t="s">
        <v>702</v>
      </c>
      <c r="I659" s="30" t="s">
        <v>678</v>
      </c>
      <c r="J659" s="30" t="s">
        <v>679</v>
      </c>
      <c r="K659" s="30" t="s">
        <v>680</v>
      </c>
      <c r="L659" s="30" t="s">
        <v>681</v>
      </c>
      <c r="M659" s="30">
        <v>0.25</v>
      </c>
      <c r="N659" s="30" t="s">
        <v>64</v>
      </c>
      <c r="O659" s="30" t="s">
        <v>2162</v>
      </c>
      <c r="P659" s="30" t="s">
        <v>683</v>
      </c>
      <c r="Q659" s="30" t="s">
        <v>767</v>
      </c>
      <c r="R659" s="30" t="s">
        <v>633</v>
      </c>
      <c r="S659" s="30" t="s">
        <v>755</v>
      </c>
    </row>
    <row r="660" spans="1:19" x14ac:dyDescent="0.3">
      <c r="A660" s="31" t="s">
        <v>1234</v>
      </c>
      <c r="B660" s="32" t="s">
        <v>1232</v>
      </c>
      <c r="C660" s="32" t="s">
        <v>1235</v>
      </c>
      <c r="D660" s="32" t="s">
        <v>755</v>
      </c>
      <c r="E660" s="32" t="s">
        <v>674</v>
      </c>
      <c r="F660" s="32" t="s">
        <v>935</v>
      </c>
      <c r="G660" s="32" t="s">
        <v>676</v>
      </c>
      <c r="H660" s="32" t="s">
        <v>935</v>
      </c>
      <c r="I660" s="32" t="s">
        <v>678</v>
      </c>
      <c r="J660" s="32" t="s">
        <v>679</v>
      </c>
      <c r="K660" s="32" t="s">
        <v>680</v>
      </c>
      <c r="L660" s="32" t="s">
        <v>699</v>
      </c>
      <c r="M660" s="32">
        <v>0.25</v>
      </c>
      <c r="N660" s="32" t="s">
        <v>64</v>
      </c>
      <c r="O660" s="32" t="s">
        <v>2162</v>
      </c>
      <c r="P660" s="32" t="s">
        <v>683</v>
      </c>
      <c r="Q660" s="32" t="s">
        <v>767</v>
      </c>
      <c r="R660" s="32" t="s">
        <v>633</v>
      </c>
      <c r="S660" s="30" t="s">
        <v>755</v>
      </c>
    </row>
    <row r="661" spans="1:19" x14ac:dyDescent="0.3">
      <c r="A661" s="29" t="s">
        <v>1236</v>
      </c>
      <c r="B661" s="30" t="s">
        <v>1232</v>
      </c>
      <c r="C661" s="30" t="s">
        <v>1237</v>
      </c>
      <c r="D661" s="30" t="s">
        <v>755</v>
      </c>
      <c r="E661" s="30" t="s">
        <v>674</v>
      </c>
      <c r="F661" s="30" t="s">
        <v>935</v>
      </c>
      <c r="G661" s="30" t="s">
        <v>676</v>
      </c>
      <c r="H661" s="30" t="s">
        <v>702</v>
      </c>
      <c r="I661" s="30" t="s">
        <v>678</v>
      </c>
      <c r="J661" s="30" t="s">
        <v>679</v>
      </c>
      <c r="K661" s="30" t="s">
        <v>680</v>
      </c>
      <c r="L661" s="30" t="s">
        <v>691</v>
      </c>
      <c r="M661" s="30">
        <v>0.25</v>
      </c>
      <c r="N661" s="30" t="s">
        <v>64</v>
      </c>
      <c r="O661" s="30" t="s">
        <v>2162</v>
      </c>
      <c r="P661" s="30" t="s">
        <v>683</v>
      </c>
      <c r="Q661" s="30" t="s">
        <v>767</v>
      </c>
      <c r="R661" s="30" t="s">
        <v>633</v>
      </c>
      <c r="S661" s="30" t="s">
        <v>755</v>
      </c>
    </row>
    <row r="662" spans="1:19" x14ac:dyDescent="0.3">
      <c r="A662" s="31" t="s">
        <v>1279</v>
      </c>
      <c r="B662" s="32" t="s">
        <v>1232</v>
      </c>
      <c r="C662" s="32" t="s">
        <v>1280</v>
      </c>
      <c r="D662" s="32" t="s">
        <v>755</v>
      </c>
      <c r="E662" s="32" t="s">
        <v>674</v>
      </c>
      <c r="F662" s="32" t="s">
        <v>935</v>
      </c>
      <c r="G662" s="32" t="s">
        <v>676</v>
      </c>
      <c r="H662" s="32" t="s">
        <v>702</v>
      </c>
      <c r="I662" s="32" t="s">
        <v>678</v>
      </c>
      <c r="J662" s="32" t="s">
        <v>679</v>
      </c>
      <c r="K662" s="32" t="s">
        <v>680</v>
      </c>
      <c r="L662" s="32" t="s">
        <v>801</v>
      </c>
      <c r="M662" s="32">
        <v>0.2</v>
      </c>
      <c r="N662" s="32" t="s">
        <v>633</v>
      </c>
      <c r="O662" s="32" t="s">
        <v>746</v>
      </c>
      <c r="P662" s="32" t="s">
        <v>683</v>
      </c>
      <c r="Q662" s="32" t="s">
        <v>665</v>
      </c>
      <c r="R662" s="32" t="s">
        <v>1211</v>
      </c>
      <c r="S662" s="30" t="s">
        <v>719</v>
      </c>
    </row>
    <row r="663" spans="1:19" x14ac:dyDescent="0.3">
      <c r="A663" s="29" t="s">
        <v>1281</v>
      </c>
      <c r="B663" s="30" t="s">
        <v>633</v>
      </c>
      <c r="C663" s="30" t="s">
        <v>1282</v>
      </c>
      <c r="D663" s="30" t="s">
        <v>755</v>
      </c>
      <c r="E663" s="30" t="s">
        <v>674</v>
      </c>
      <c r="F663" s="30" t="s">
        <v>675</v>
      </c>
      <c r="G663" s="30" t="s">
        <v>676</v>
      </c>
      <c r="H663" s="30" t="s">
        <v>677</v>
      </c>
      <c r="I663" s="30" t="s">
        <v>678</v>
      </c>
      <c r="J663" s="30" t="s">
        <v>679</v>
      </c>
      <c r="K663" s="30" t="s">
        <v>680</v>
      </c>
      <c r="L663" s="30" t="s">
        <v>801</v>
      </c>
      <c r="M663" s="30">
        <v>0.2</v>
      </c>
      <c r="N663" s="30" t="s">
        <v>633</v>
      </c>
      <c r="O663" s="30" t="s">
        <v>746</v>
      </c>
      <c r="P663" s="30" t="s">
        <v>683</v>
      </c>
      <c r="Q663" s="30" t="s">
        <v>665</v>
      </c>
      <c r="R663" s="30" t="s">
        <v>1211</v>
      </c>
      <c r="S663" s="30" t="s">
        <v>719</v>
      </c>
    </row>
    <row r="664" spans="1:19" x14ac:dyDescent="0.3">
      <c r="A664" s="31" t="s">
        <v>1283</v>
      </c>
      <c r="B664" s="32" t="s">
        <v>633</v>
      </c>
      <c r="C664" s="32" t="s">
        <v>1284</v>
      </c>
      <c r="D664" s="32" t="s">
        <v>755</v>
      </c>
      <c r="E664" s="32" t="s">
        <v>674</v>
      </c>
      <c r="F664" s="32" t="s">
        <v>675</v>
      </c>
      <c r="G664" s="32" t="s">
        <v>676</v>
      </c>
      <c r="H664" s="32" t="s">
        <v>677</v>
      </c>
      <c r="I664" s="32" t="s">
        <v>678</v>
      </c>
      <c r="J664" s="32" t="s">
        <v>679</v>
      </c>
      <c r="K664" s="32" t="s">
        <v>680</v>
      </c>
      <c r="L664" s="32" t="s">
        <v>801</v>
      </c>
      <c r="M664" s="32">
        <v>0.2</v>
      </c>
      <c r="N664" s="32" t="s">
        <v>633</v>
      </c>
      <c r="O664" s="32" t="s">
        <v>746</v>
      </c>
      <c r="P664" s="32" t="s">
        <v>683</v>
      </c>
      <c r="Q664" s="32" t="s">
        <v>665</v>
      </c>
      <c r="R664" s="32" t="s">
        <v>1211</v>
      </c>
      <c r="S664" s="30" t="s">
        <v>719</v>
      </c>
    </row>
    <row r="665" spans="1:19" x14ac:dyDescent="0.3">
      <c r="A665" s="29" t="s">
        <v>1285</v>
      </c>
      <c r="B665" s="30" t="s">
        <v>633</v>
      </c>
      <c r="C665" s="30" t="s">
        <v>1286</v>
      </c>
      <c r="D665" s="30" t="s">
        <v>755</v>
      </c>
      <c r="E665" s="30" t="s">
        <v>674</v>
      </c>
      <c r="F665" s="30" t="s">
        <v>675</v>
      </c>
      <c r="G665" s="30" t="s">
        <v>676</v>
      </c>
      <c r="H665" s="30" t="s">
        <v>677</v>
      </c>
      <c r="I665" s="30" t="s">
        <v>678</v>
      </c>
      <c r="J665" s="30" t="s">
        <v>679</v>
      </c>
      <c r="K665" s="30" t="s">
        <v>680</v>
      </c>
      <c r="L665" s="30" t="s">
        <v>801</v>
      </c>
      <c r="M665" s="30">
        <v>0.1</v>
      </c>
      <c r="N665" s="30" t="s">
        <v>633</v>
      </c>
      <c r="O665" s="30" t="s">
        <v>746</v>
      </c>
      <c r="P665" s="30" t="s">
        <v>683</v>
      </c>
      <c r="Q665" s="30" t="s">
        <v>665</v>
      </c>
      <c r="R665" s="30" t="s">
        <v>1211</v>
      </c>
      <c r="S665" s="30" t="s">
        <v>719</v>
      </c>
    </row>
    <row r="666" spans="1:19" x14ac:dyDescent="0.3">
      <c r="A666" s="31" t="s">
        <v>2309</v>
      </c>
      <c r="B666" s="32" t="s">
        <v>633</v>
      </c>
      <c r="C666" s="32" t="s">
        <v>2310</v>
      </c>
      <c r="D666" s="32" t="s">
        <v>755</v>
      </c>
      <c r="E666" s="32" t="s">
        <v>674</v>
      </c>
      <c r="F666" s="32" t="s">
        <v>675</v>
      </c>
      <c r="G666" s="32" t="s">
        <v>676</v>
      </c>
      <c r="H666" s="32" t="s">
        <v>677</v>
      </c>
      <c r="I666" s="32" t="s">
        <v>678</v>
      </c>
      <c r="J666" s="32" t="s">
        <v>679</v>
      </c>
      <c r="K666" s="32" t="s">
        <v>680</v>
      </c>
      <c r="L666" s="32" t="s">
        <v>739</v>
      </c>
      <c r="M666" s="32">
        <v>0.1</v>
      </c>
      <c r="N666" s="32" t="s">
        <v>633</v>
      </c>
      <c r="O666" s="32" t="s">
        <v>746</v>
      </c>
      <c r="P666" s="32" t="s">
        <v>683</v>
      </c>
      <c r="Q666" s="32" t="s">
        <v>665</v>
      </c>
      <c r="R666" s="32" t="s">
        <v>1211</v>
      </c>
      <c r="S666" s="30" t="s">
        <v>719</v>
      </c>
    </row>
    <row r="667" spans="1:19" x14ac:dyDescent="0.3">
      <c r="A667" s="29" t="s">
        <v>1231</v>
      </c>
      <c r="B667" s="30" t="s">
        <v>1232</v>
      </c>
      <c r="C667" s="30" t="s">
        <v>1233</v>
      </c>
      <c r="D667" s="30" t="s">
        <v>755</v>
      </c>
      <c r="E667" s="30" t="s">
        <v>674</v>
      </c>
      <c r="F667" s="30" t="s">
        <v>935</v>
      </c>
      <c r="G667" s="30" t="s">
        <v>676</v>
      </c>
      <c r="H667" s="30" t="s">
        <v>702</v>
      </c>
      <c r="I667" s="30" t="s">
        <v>678</v>
      </c>
      <c r="J667" s="30" t="s">
        <v>679</v>
      </c>
      <c r="K667" s="30" t="s">
        <v>680</v>
      </c>
      <c r="L667" s="30" t="s">
        <v>681</v>
      </c>
      <c r="M667" s="30">
        <v>0.2</v>
      </c>
      <c r="N667" s="30" t="s">
        <v>633</v>
      </c>
      <c r="O667" s="30" t="s">
        <v>746</v>
      </c>
      <c r="P667" s="30" t="s">
        <v>683</v>
      </c>
      <c r="Q667" s="30" t="s">
        <v>665</v>
      </c>
      <c r="R667" s="30" t="s">
        <v>1211</v>
      </c>
      <c r="S667" s="30" t="s">
        <v>719</v>
      </c>
    </row>
    <row r="668" spans="1:19" x14ac:dyDescent="0.3">
      <c r="A668" s="31" t="s">
        <v>1432</v>
      </c>
      <c r="B668" s="32" t="s">
        <v>749</v>
      </c>
      <c r="C668" s="32" t="s">
        <v>1433</v>
      </c>
      <c r="D668" s="32" t="s">
        <v>673</v>
      </c>
      <c r="E668" s="32" t="s">
        <v>674</v>
      </c>
      <c r="F668" s="32" t="s">
        <v>716</v>
      </c>
      <c r="G668" s="32" t="s">
        <v>744</v>
      </c>
      <c r="H668" s="32" t="s">
        <v>677</v>
      </c>
      <c r="I668" s="32" t="s">
        <v>688</v>
      </c>
      <c r="J668" s="32" t="s">
        <v>751</v>
      </c>
      <c r="K668" s="32" t="s">
        <v>690</v>
      </c>
      <c r="L668" s="32" t="s">
        <v>681</v>
      </c>
      <c r="M668" s="32">
        <v>1</v>
      </c>
      <c r="N668" s="32" t="s">
        <v>1820</v>
      </c>
      <c r="O668" s="32" t="s">
        <v>1915</v>
      </c>
      <c r="P668" s="32" t="s">
        <v>683</v>
      </c>
      <c r="Q668" s="32" t="s">
        <v>767</v>
      </c>
      <c r="R668" s="32" t="s">
        <v>550</v>
      </c>
      <c r="S668" s="32" t="s">
        <v>673</v>
      </c>
    </row>
    <row r="669" spans="1:19" x14ac:dyDescent="0.3">
      <c r="A669" s="29" t="s">
        <v>879</v>
      </c>
      <c r="B669" s="30" t="s">
        <v>142</v>
      </c>
      <c r="C669" s="30" t="s">
        <v>880</v>
      </c>
      <c r="D669" s="30" t="s">
        <v>673</v>
      </c>
      <c r="E669" s="30" t="s">
        <v>674</v>
      </c>
      <c r="F669" s="30" t="s">
        <v>716</v>
      </c>
      <c r="G669" s="30" t="s">
        <v>744</v>
      </c>
      <c r="H669" s="30" t="s">
        <v>677</v>
      </c>
      <c r="I669" s="30" t="s">
        <v>678</v>
      </c>
      <c r="J669" s="30" t="s">
        <v>698</v>
      </c>
      <c r="K669" s="30" t="s">
        <v>690</v>
      </c>
      <c r="L669" s="30" t="s">
        <v>699</v>
      </c>
      <c r="M669" s="30">
        <v>1</v>
      </c>
      <c r="N669" s="30" t="s">
        <v>106</v>
      </c>
      <c r="O669" s="30" t="s">
        <v>1919</v>
      </c>
      <c r="P669" s="30" t="s">
        <v>683</v>
      </c>
      <c r="Q669" s="30" t="s">
        <v>767</v>
      </c>
      <c r="R669" s="30" t="s">
        <v>396</v>
      </c>
      <c r="S669" s="32" t="s">
        <v>673</v>
      </c>
    </row>
    <row r="670" spans="1:19" x14ac:dyDescent="0.3">
      <c r="A670" s="31" t="s">
        <v>1343</v>
      </c>
      <c r="B670" s="32" t="s">
        <v>1344</v>
      </c>
      <c r="C670" s="32" t="s">
        <v>1345</v>
      </c>
      <c r="D670" s="32" t="s">
        <v>673</v>
      </c>
      <c r="E670" s="32" t="s">
        <v>674</v>
      </c>
      <c r="F670" s="32" t="s">
        <v>675</v>
      </c>
      <c r="G670" s="32" t="s">
        <v>676</v>
      </c>
      <c r="H670" s="32" t="s">
        <v>677</v>
      </c>
      <c r="I670" s="32" t="s">
        <v>678</v>
      </c>
      <c r="J670" s="32" t="s">
        <v>698</v>
      </c>
      <c r="K670" s="32" t="s">
        <v>690</v>
      </c>
      <c r="L670" s="32" t="s">
        <v>681</v>
      </c>
      <c r="M670" s="32">
        <v>0.5</v>
      </c>
      <c r="N670" s="32" t="s">
        <v>592</v>
      </c>
      <c r="O670" s="32" t="s">
        <v>746</v>
      </c>
      <c r="P670" s="32" t="s">
        <v>683</v>
      </c>
      <c r="Q670" s="32" t="s">
        <v>767</v>
      </c>
      <c r="R670" s="32" t="s">
        <v>396</v>
      </c>
      <c r="S670" s="32" t="s">
        <v>673</v>
      </c>
    </row>
    <row r="671" spans="1:19" x14ac:dyDescent="0.3">
      <c r="A671" s="29" t="s">
        <v>1342</v>
      </c>
      <c r="B671" s="30" t="s">
        <v>228</v>
      </c>
      <c r="C671" s="30" t="s">
        <v>1342</v>
      </c>
      <c r="D671" s="30" t="s">
        <v>673</v>
      </c>
      <c r="E671" s="30" t="s">
        <v>674</v>
      </c>
      <c r="F671" s="30" t="s">
        <v>716</v>
      </c>
      <c r="G671" s="30" t="s">
        <v>731</v>
      </c>
      <c r="H671" s="30" t="s">
        <v>702</v>
      </c>
      <c r="I671" s="30" t="s">
        <v>688</v>
      </c>
      <c r="J671" s="30" t="s">
        <v>698</v>
      </c>
      <c r="K671" s="30" t="s">
        <v>690</v>
      </c>
      <c r="L671" s="30" t="s">
        <v>691</v>
      </c>
      <c r="M671" s="30">
        <v>0.5</v>
      </c>
      <c r="N671" s="30" t="s">
        <v>592</v>
      </c>
      <c r="O671" s="32" t="s">
        <v>746</v>
      </c>
      <c r="P671" s="30" t="s">
        <v>683</v>
      </c>
      <c r="Q671" s="32" t="s">
        <v>767</v>
      </c>
      <c r="R671" s="32" t="s">
        <v>396</v>
      </c>
      <c r="S671" s="32" t="s">
        <v>673</v>
      </c>
    </row>
    <row r="672" spans="1:19" x14ac:dyDescent="0.3">
      <c r="A672" s="31" t="s">
        <v>1342</v>
      </c>
      <c r="B672" s="32" t="s">
        <v>228</v>
      </c>
      <c r="C672" s="32" t="s">
        <v>1342</v>
      </c>
      <c r="D672" s="32" t="s">
        <v>673</v>
      </c>
      <c r="E672" s="32" t="s">
        <v>674</v>
      </c>
      <c r="F672" s="32" t="s">
        <v>716</v>
      </c>
      <c r="G672" s="32" t="s">
        <v>731</v>
      </c>
      <c r="H672" s="32" t="s">
        <v>702</v>
      </c>
      <c r="I672" s="32" t="s">
        <v>688</v>
      </c>
      <c r="J672" s="32" t="s">
        <v>698</v>
      </c>
      <c r="K672" s="32" t="s">
        <v>690</v>
      </c>
      <c r="L672" s="32" t="s">
        <v>691</v>
      </c>
      <c r="M672" s="32">
        <v>0.7</v>
      </c>
      <c r="N672" s="32" t="s">
        <v>576</v>
      </c>
      <c r="O672" s="32" t="s">
        <v>746</v>
      </c>
      <c r="P672" s="32" t="s">
        <v>683</v>
      </c>
      <c r="Q672" s="32" t="s">
        <v>665</v>
      </c>
      <c r="R672" s="32" t="s">
        <v>396</v>
      </c>
      <c r="S672" s="32" t="s">
        <v>673</v>
      </c>
    </row>
    <row r="673" spans="1:19" x14ac:dyDescent="0.3">
      <c r="A673" s="29" t="s">
        <v>1343</v>
      </c>
      <c r="B673" s="30" t="s">
        <v>1344</v>
      </c>
      <c r="C673" s="30" t="s">
        <v>1345</v>
      </c>
      <c r="D673" s="30" t="s">
        <v>673</v>
      </c>
      <c r="E673" s="30" t="s">
        <v>674</v>
      </c>
      <c r="F673" s="30" t="s">
        <v>675</v>
      </c>
      <c r="G673" s="30" t="s">
        <v>676</v>
      </c>
      <c r="H673" s="30" t="s">
        <v>677</v>
      </c>
      <c r="I673" s="30" t="s">
        <v>678</v>
      </c>
      <c r="J673" s="30" t="s">
        <v>698</v>
      </c>
      <c r="K673" s="30" t="s">
        <v>690</v>
      </c>
      <c r="L673" s="30" t="s">
        <v>681</v>
      </c>
      <c r="M673" s="30">
        <v>0.3</v>
      </c>
      <c r="N673" s="30" t="s">
        <v>576</v>
      </c>
      <c r="O673" s="30" t="s">
        <v>746</v>
      </c>
      <c r="P673" s="30" t="s">
        <v>683</v>
      </c>
      <c r="Q673" s="30" t="s">
        <v>665</v>
      </c>
      <c r="R673" s="30" t="s">
        <v>396</v>
      </c>
      <c r="S673" s="32" t="s">
        <v>673</v>
      </c>
    </row>
    <row r="674" spans="1:19" x14ac:dyDescent="0.3">
      <c r="A674" s="31" t="s">
        <v>1343</v>
      </c>
      <c r="B674" s="32" t="s">
        <v>1344</v>
      </c>
      <c r="C674" s="32" t="s">
        <v>1345</v>
      </c>
      <c r="D674" s="32" t="s">
        <v>673</v>
      </c>
      <c r="E674" s="32" t="s">
        <v>674</v>
      </c>
      <c r="F674" s="32" t="s">
        <v>675</v>
      </c>
      <c r="G674" s="32" t="s">
        <v>676</v>
      </c>
      <c r="H674" s="32" t="s">
        <v>677</v>
      </c>
      <c r="I674" s="32" t="s">
        <v>678</v>
      </c>
      <c r="J674" s="32" t="s">
        <v>698</v>
      </c>
      <c r="K674" s="32" t="s">
        <v>690</v>
      </c>
      <c r="L674" s="32" t="s">
        <v>681</v>
      </c>
      <c r="M674" s="32">
        <v>0.5</v>
      </c>
      <c r="N674" s="32" t="s">
        <v>295</v>
      </c>
      <c r="O674" s="32" t="s">
        <v>746</v>
      </c>
      <c r="P674" s="32" t="s">
        <v>683</v>
      </c>
      <c r="Q674" s="32" t="s">
        <v>665</v>
      </c>
      <c r="R674" s="32" t="s">
        <v>396</v>
      </c>
      <c r="S674" s="32" t="s">
        <v>673</v>
      </c>
    </row>
    <row r="675" spans="1:19" x14ac:dyDescent="0.3">
      <c r="A675" s="29" t="s">
        <v>879</v>
      </c>
      <c r="B675" s="30" t="s">
        <v>142</v>
      </c>
      <c r="C675" s="30" t="s">
        <v>880</v>
      </c>
      <c r="D675" s="30" t="s">
        <v>673</v>
      </c>
      <c r="E675" s="30" t="s">
        <v>674</v>
      </c>
      <c r="F675" s="30" t="s">
        <v>716</v>
      </c>
      <c r="G675" s="30" t="s">
        <v>744</v>
      </c>
      <c r="H675" s="30" t="s">
        <v>677</v>
      </c>
      <c r="I675" s="30" t="s">
        <v>678</v>
      </c>
      <c r="J675" s="30" t="s">
        <v>698</v>
      </c>
      <c r="K675" s="30" t="s">
        <v>690</v>
      </c>
      <c r="L675" s="30" t="s">
        <v>699</v>
      </c>
      <c r="M675" s="30">
        <v>0.5</v>
      </c>
      <c r="N675" s="30" t="s">
        <v>295</v>
      </c>
      <c r="O675" s="30" t="s">
        <v>746</v>
      </c>
      <c r="P675" s="30" t="s">
        <v>683</v>
      </c>
      <c r="Q675" s="30" t="s">
        <v>665</v>
      </c>
      <c r="R675" s="30" t="s">
        <v>396</v>
      </c>
      <c r="S675" s="32" t="s">
        <v>673</v>
      </c>
    </row>
    <row r="676" spans="1:19" x14ac:dyDescent="0.3">
      <c r="A676" s="31" t="s">
        <v>1343</v>
      </c>
      <c r="B676" s="32" t="s">
        <v>1344</v>
      </c>
      <c r="C676" s="32" t="s">
        <v>1345</v>
      </c>
      <c r="D676" s="32" t="s">
        <v>673</v>
      </c>
      <c r="E676" s="32" t="s">
        <v>674</v>
      </c>
      <c r="F676" s="32" t="s">
        <v>675</v>
      </c>
      <c r="G676" s="32" t="s">
        <v>676</v>
      </c>
      <c r="H676" s="32" t="s">
        <v>677</v>
      </c>
      <c r="I676" s="32" t="s">
        <v>678</v>
      </c>
      <c r="J676" s="32" t="s">
        <v>698</v>
      </c>
      <c r="K676" s="32" t="s">
        <v>690</v>
      </c>
      <c r="L676" s="32" t="s">
        <v>681</v>
      </c>
      <c r="M676" s="32">
        <v>0.6</v>
      </c>
      <c r="N676" s="32" t="s">
        <v>218</v>
      </c>
      <c r="O676" s="32" t="s">
        <v>746</v>
      </c>
      <c r="P676" s="32" t="s">
        <v>683</v>
      </c>
      <c r="Q676" s="32" t="s">
        <v>665</v>
      </c>
      <c r="R676" s="32" t="s">
        <v>396</v>
      </c>
      <c r="S676" s="32" t="s">
        <v>673</v>
      </c>
    </row>
    <row r="677" spans="1:19" x14ac:dyDescent="0.3">
      <c r="A677" s="29" t="s">
        <v>1343</v>
      </c>
      <c r="B677" s="30" t="s">
        <v>1344</v>
      </c>
      <c r="C677" s="30" t="s">
        <v>1345</v>
      </c>
      <c r="D677" s="30" t="s">
        <v>673</v>
      </c>
      <c r="E677" s="30" t="s">
        <v>674</v>
      </c>
      <c r="F677" s="30" t="s">
        <v>675</v>
      </c>
      <c r="G677" s="30" t="s">
        <v>676</v>
      </c>
      <c r="H677" s="30" t="s">
        <v>677</v>
      </c>
      <c r="I677" s="30" t="s">
        <v>678</v>
      </c>
      <c r="J677" s="30" t="s">
        <v>698</v>
      </c>
      <c r="K677" s="30" t="s">
        <v>690</v>
      </c>
      <c r="L677" s="30" t="s">
        <v>681</v>
      </c>
      <c r="M677" s="30">
        <v>0.3</v>
      </c>
      <c r="N677" s="30" t="s">
        <v>218</v>
      </c>
      <c r="O677" s="30" t="s">
        <v>746</v>
      </c>
      <c r="P677" s="30" t="s">
        <v>683</v>
      </c>
      <c r="Q677" s="30" t="s">
        <v>665</v>
      </c>
      <c r="R677" s="30" t="s">
        <v>396</v>
      </c>
      <c r="S677" s="32" t="s">
        <v>673</v>
      </c>
    </row>
    <row r="678" spans="1:19" x14ac:dyDescent="0.3">
      <c r="A678" s="31" t="s">
        <v>879</v>
      </c>
      <c r="B678" s="32" t="s">
        <v>142</v>
      </c>
      <c r="C678" s="32" t="s">
        <v>880</v>
      </c>
      <c r="D678" s="32" t="s">
        <v>673</v>
      </c>
      <c r="E678" s="32" t="s">
        <v>674</v>
      </c>
      <c r="F678" s="32" t="s">
        <v>716</v>
      </c>
      <c r="G678" s="32" t="s">
        <v>744</v>
      </c>
      <c r="H678" s="32" t="s">
        <v>677</v>
      </c>
      <c r="I678" s="32" t="s">
        <v>678</v>
      </c>
      <c r="J678" s="32" t="s">
        <v>698</v>
      </c>
      <c r="K678" s="32" t="s">
        <v>690</v>
      </c>
      <c r="L678" s="32" t="s">
        <v>699</v>
      </c>
      <c r="M678" s="32">
        <v>0.1</v>
      </c>
      <c r="N678" s="32" t="s">
        <v>218</v>
      </c>
      <c r="O678" s="32" t="s">
        <v>746</v>
      </c>
      <c r="P678" s="32" t="s">
        <v>683</v>
      </c>
      <c r="Q678" s="32" t="s">
        <v>665</v>
      </c>
      <c r="R678" s="32" t="s">
        <v>396</v>
      </c>
      <c r="S678" s="32" t="s">
        <v>673</v>
      </c>
    </row>
    <row r="679" spans="1:19" x14ac:dyDescent="0.3">
      <c r="A679" s="29" t="s">
        <v>879</v>
      </c>
      <c r="B679" s="30" t="s">
        <v>142</v>
      </c>
      <c r="C679" s="30" t="s">
        <v>880</v>
      </c>
      <c r="D679" s="30" t="s">
        <v>673</v>
      </c>
      <c r="E679" s="30" t="s">
        <v>674</v>
      </c>
      <c r="F679" s="30" t="s">
        <v>716</v>
      </c>
      <c r="G679" s="30" t="s">
        <v>744</v>
      </c>
      <c r="H679" s="30" t="s">
        <v>677</v>
      </c>
      <c r="I679" s="30" t="s">
        <v>678</v>
      </c>
      <c r="J679" s="30" t="s">
        <v>698</v>
      </c>
      <c r="K679" s="30" t="s">
        <v>690</v>
      </c>
      <c r="L679" s="30" t="s">
        <v>699</v>
      </c>
      <c r="M679" s="30">
        <v>1</v>
      </c>
      <c r="N679" s="30" t="s">
        <v>117</v>
      </c>
      <c r="O679" s="30" t="s">
        <v>746</v>
      </c>
      <c r="P679" s="30" t="s">
        <v>683</v>
      </c>
      <c r="Q679" s="30" t="s">
        <v>665</v>
      </c>
      <c r="R679" s="30" t="s">
        <v>396</v>
      </c>
      <c r="S679" s="32" t="s">
        <v>673</v>
      </c>
    </row>
    <row r="680" spans="1:19" x14ac:dyDescent="0.3">
      <c r="A680" s="31" t="s">
        <v>1320</v>
      </c>
      <c r="B680" s="32" t="s">
        <v>1253</v>
      </c>
      <c r="C680" s="32" t="s">
        <v>1321</v>
      </c>
      <c r="D680" s="32" t="s">
        <v>673</v>
      </c>
      <c r="E680" s="32" t="s">
        <v>674</v>
      </c>
      <c r="F680" s="32" t="s">
        <v>716</v>
      </c>
      <c r="G680" s="32" t="s">
        <v>744</v>
      </c>
      <c r="H680" s="32" t="s">
        <v>677</v>
      </c>
      <c r="I680" s="32" t="s">
        <v>688</v>
      </c>
      <c r="J680" s="32" t="s">
        <v>906</v>
      </c>
      <c r="K680" s="32" t="s">
        <v>690</v>
      </c>
      <c r="L680" s="32" t="s">
        <v>681</v>
      </c>
      <c r="M680" s="32">
        <v>0.2</v>
      </c>
      <c r="N680" s="32" t="s">
        <v>511</v>
      </c>
      <c r="O680" s="32" t="s">
        <v>746</v>
      </c>
      <c r="P680" s="32" t="s">
        <v>683</v>
      </c>
      <c r="Q680" s="32" t="s">
        <v>665</v>
      </c>
      <c r="R680" s="32" t="s">
        <v>549</v>
      </c>
      <c r="S680" s="32" t="s">
        <v>673</v>
      </c>
    </row>
    <row r="681" spans="1:19" x14ac:dyDescent="0.3">
      <c r="A681" s="29" t="s">
        <v>1326</v>
      </c>
      <c r="B681" s="30" t="s">
        <v>1253</v>
      </c>
      <c r="C681" s="30" t="s">
        <v>1327</v>
      </c>
      <c r="D681" s="30" t="s">
        <v>673</v>
      </c>
      <c r="E681" s="30" t="s">
        <v>674</v>
      </c>
      <c r="F681" s="30" t="s">
        <v>716</v>
      </c>
      <c r="G681" s="30" t="s">
        <v>744</v>
      </c>
      <c r="H681" s="30" t="s">
        <v>677</v>
      </c>
      <c r="I681" s="30" t="s">
        <v>688</v>
      </c>
      <c r="J681" s="30" t="s">
        <v>906</v>
      </c>
      <c r="K681" s="30" t="s">
        <v>690</v>
      </c>
      <c r="L681" s="30" t="s">
        <v>681</v>
      </c>
      <c r="M681" s="30">
        <v>0.3</v>
      </c>
      <c r="N681" s="30" t="s">
        <v>511</v>
      </c>
      <c r="O681" s="30" t="s">
        <v>746</v>
      </c>
      <c r="P681" s="30" t="s">
        <v>683</v>
      </c>
      <c r="Q681" s="30" t="s">
        <v>665</v>
      </c>
      <c r="R681" s="30" t="s">
        <v>549</v>
      </c>
      <c r="S681" s="32" t="s">
        <v>673</v>
      </c>
    </row>
    <row r="682" spans="1:19" x14ac:dyDescent="0.3">
      <c r="A682" s="31" t="s">
        <v>1328</v>
      </c>
      <c r="B682" s="32" t="s">
        <v>1253</v>
      </c>
      <c r="C682" s="32" t="s">
        <v>1329</v>
      </c>
      <c r="D682" s="32" t="s">
        <v>673</v>
      </c>
      <c r="E682" s="32" t="s">
        <v>674</v>
      </c>
      <c r="F682" s="32" t="s">
        <v>716</v>
      </c>
      <c r="G682" s="32" t="s">
        <v>744</v>
      </c>
      <c r="H682" s="32" t="s">
        <v>677</v>
      </c>
      <c r="I682" s="32" t="s">
        <v>688</v>
      </c>
      <c r="J682" s="32" t="s">
        <v>906</v>
      </c>
      <c r="K682" s="32" t="s">
        <v>690</v>
      </c>
      <c r="L682" s="32" t="s">
        <v>681</v>
      </c>
      <c r="M682" s="32">
        <v>0.4</v>
      </c>
      <c r="N682" s="32" t="s">
        <v>163</v>
      </c>
      <c r="O682" s="32" t="s">
        <v>746</v>
      </c>
      <c r="P682" s="32" t="s">
        <v>683</v>
      </c>
      <c r="Q682" s="32" t="s">
        <v>665</v>
      </c>
      <c r="R682" s="32" t="s">
        <v>549</v>
      </c>
      <c r="S682" s="32" t="s">
        <v>673</v>
      </c>
    </row>
    <row r="683" spans="1:19" x14ac:dyDescent="0.3">
      <c r="A683" s="29" t="s">
        <v>1328</v>
      </c>
      <c r="B683" s="30" t="s">
        <v>1253</v>
      </c>
      <c r="C683" s="30" t="s">
        <v>1329</v>
      </c>
      <c r="D683" s="30" t="s">
        <v>673</v>
      </c>
      <c r="E683" s="30" t="s">
        <v>674</v>
      </c>
      <c r="F683" s="30" t="s">
        <v>716</v>
      </c>
      <c r="G683" s="30" t="s">
        <v>744</v>
      </c>
      <c r="H683" s="30" t="s">
        <v>677</v>
      </c>
      <c r="I683" s="30" t="s">
        <v>688</v>
      </c>
      <c r="J683" s="30" t="s">
        <v>906</v>
      </c>
      <c r="K683" s="30" t="s">
        <v>690</v>
      </c>
      <c r="L683" s="30" t="s">
        <v>681</v>
      </c>
      <c r="M683" s="30">
        <v>0.5</v>
      </c>
      <c r="N683" s="30" t="s">
        <v>388</v>
      </c>
      <c r="O683" s="30" t="s">
        <v>746</v>
      </c>
      <c r="P683" s="30" t="s">
        <v>683</v>
      </c>
      <c r="Q683" s="30" t="s">
        <v>665</v>
      </c>
      <c r="R683" s="30" t="s">
        <v>549</v>
      </c>
      <c r="S683" s="32" t="s">
        <v>673</v>
      </c>
    </row>
    <row r="684" spans="1:19" x14ac:dyDescent="0.3">
      <c r="A684" s="31" t="s">
        <v>1328</v>
      </c>
      <c r="B684" s="32" t="s">
        <v>1253</v>
      </c>
      <c r="C684" s="32" t="s">
        <v>1329</v>
      </c>
      <c r="D684" s="32" t="s">
        <v>673</v>
      </c>
      <c r="E684" s="32" t="s">
        <v>674</v>
      </c>
      <c r="F684" s="32" t="s">
        <v>716</v>
      </c>
      <c r="G684" s="32" t="s">
        <v>744</v>
      </c>
      <c r="H684" s="32" t="s">
        <v>677</v>
      </c>
      <c r="I684" s="32" t="s">
        <v>688</v>
      </c>
      <c r="J684" s="32" t="s">
        <v>906</v>
      </c>
      <c r="K684" s="32" t="s">
        <v>690</v>
      </c>
      <c r="L684" s="32" t="s">
        <v>681</v>
      </c>
      <c r="M684" s="32">
        <v>0.4</v>
      </c>
      <c r="N684" s="32" t="s">
        <v>511</v>
      </c>
      <c r="O684" s="32" t="s">
        <v>746</v>
      </c>
      <c r="P684" s="32" t="s">
        <v>683</v>
      </c>
      <c r="Q684" s="32" t="s">
        <v>665</v>
      </c>
      <c r="R684" s="32" t="s">
        <v>549</v>
      </c>
      <c r="S684" s="32" t="s">
        <v>673</v>
      </c>
    </row>
    <row r="685" spans="1:19" x14ac:dyDescent="0.3">
      <c r="A685" s="29" t="s">
        <v>1347</v>
      </c>
      <c r="B685" s="30" t="s">
        <v>707</v>
      </c>
      <c r="C685" s="30" t="s">
        <v>910</v>
      </c>
      <c r="D685" s="30" t="s">
        <v>673</v>
      </c>
      <c r="E685" s="30" t="s">
        <v>674</v>
      </c>
      <c r="F685" s="30" t="s">
        <v>12</v>
      </c>
      <c r="G685" s="30" t="s">
        <v>12</v>
      </c>
      <c r="H685" s="30" t="s">
        <v>12</v>
      </c>
      <c r="I685" s="30" t="s">
        <v>12</v>
      </c>
      <c r="J685" s="30" t="s">
        <v>710</v>
      </c>
      <c r="K685" s="30" t="s">
        <v>690</v>
      </c>
      <c r="L685" s="30" t="s">
        <v>699</v>
      </c>
      <c r="M685" s="30">
        <v>1</v>
      </c>
      <c r="N685" s="30" t="s">
        <v>98</v>
      </c>
      <c r="O685" s="30" t="s">
        <v>746</v>
      </c>
      <c r="P685" s="30" t="s">
        <v>683</v>
      </c>
      <c r="Q685" s="30" t="s">
        <v>665</v>
      </c>
      <c r="R685" s="30" t="s">
        <v>549</v>
      </c>
      <c r="S685" s="32" t="s">
        <v>673</v>
      </c>
    </row>
    <row r="686" spans="1:19" x14ac:dyDescent="0.3">
      <c r="A686" s="31" t="s">
        <v>1328</v>
      </c>
      <c r="B686" s="32" t="s">
        <v>1253</v>
      </c>
      <c r="C686" s="32" t="s">
        <v>1329</v>
      </c>
      <c r="D686" s="32" t="s">
        <v>673</v>
      </c>
      <c r="E686" s="32" t="s">
        <v>674</v>
      </c>
      <c r="F686" s="32" t="s">
        <v>716</v>
      </c>
      <c r="G686" s="32" t="s">
        <v>744</v>
      </c>
      <c r="H686" s="32" t="s">
        <v>677</v>
      </c>
      <c r="I686" s="32" t="s">
        <v>688</v>
      </c>
      <c r="J686" s="32" t="s">
        <v>906</v>
      </c>
      <c r="K686" s="32" t="s">
        <v>690</v>
      </c>
      <c r="L686" s="32" t="s">
        <v>681</v>
      </c>
      <c r="M686" s="32">
        <v>1</v>
      </c>
      <c r="N686" s="32" t="s">
        <v>161</v>
      </c>
      <c r="O686" s="32" t="s">
        <v>746</v>
      </c>
      <c r="P686" s="32" t="s">
        <v>683</v>
      </c>
      <c r="Q686" s="32" t="s">
        <v>665</v>
      </c>
      <c r="R686" s="32" t="s">
        <v>549</v>
      </c>
      <c r="S686" s="32" t="s">
        <v>673</v>
      </c>
    </row>
    <row r="687" spans="1:19" x14ac:dyDescent="0.3">
      <c r="A687" s="29" t="s">
        <v>1332</v>
      </c>
      <c r="B687" s="30" t="s">
        <v>1253</v>
      </c>
      <c r="C687" s="30" t="s">
        <v>1333</v>
      </c>
      <c r="D687" s="30" t="s">
        <v>673</v>
      </c>
      <c r="E687" s="30" t="s">
        <v>674</v>
      </c>
      <c r="F687" s="30" t="s">
        <v>716</v>
      </c>
      <c r="G687" s="30" t="s">
        <v>744</v>
      </c>
      <c r="H687" s="30" t="s">
        <v>677</v>
      </c>
      <c r="I687" s="30" t="s">
        <v>688</v>
      </c>
      <c r="J687" s="30" t="s">
        <v>906</v>
      </c>
      <c r="K687" s="30" t="s">
        <v>690</v>
      </c>
      <c r="L687" s="30" t="s">
        <v>681</v>
      </c>
      <c r="M687" s="30">
        <v>0.1</v>
      </c>
      <c r="N687" s="30" t="s">
        <v>511</v>
      </c>
      <c r="O687" s="30" t="s">
        <v>746</v>
      </c>
      <c r="P687" s="30" t="s">
        <v>683</v>
      </c>
      <c r="Q687" s="30" t="s">
        <v>665</v>
      </c>
      <c r="R687" s="30" t="s">
        <v>549</v>
      </c>
      <c r="S687" s="32" t="s">
        <v>673</v>
      </c>
    </row>
    <row r="688" spans="1:19" x14ac:dyDescent="0.3">
      <c r="A688" s="31" t="s">
        <v>1326</v>
      </c>
      <c r="B688" s="32" t="s">
        <v>1253</v>
      </c>
      <c r="C688" s="32" t="s">
        <v>1327</v>
      </c>
      <c r="D688" s="32" t="s">
        <v>673</v>
      </c>
      <c r="E688" s="32" t="s">
        <v>674</v>
      </c>
      <c r="F688" s="32" t="s">
        <v>716</v>
      </c>
      <c r="G688" s="32" t="s">
        <v>744</v>
      </c>
      <c r="H688" s="32" t="s">
        <v>677</v>
      </c>
      <c r="I688" s="32" t="s">
        <v>688</v>
      </c>
      <c r="J688" s="32" t="s">
        <v>906</v>
      </c>
      <c r="K688" s="32" t="s">
        <v>690</v>
      </c>
      <c r="L688" s="32" t="s">
        <v>681</v>
      </c>
      <c r="M688" s="32">
        <v>0.2</v>
      </c>
      <c r="N688" s="32" t="s">
        <v>388</v>
      </c>
      <c r="O688" s="32" t="s">
        <v>746</v>
      </c>
      <c r="P688" s="32" t="s">
        <v>683</v>
      </c>
      <c r="Q688" s="32" t="s">
        <v>665</v>
      </c>
      <c r="R688" s="32" t="s">
        <v>549</v>
      </c>
      <c r="S688" s="32" t="s">
        <v>673</v>
      </c>
    </row>
    <row r="689" spans="1:19" x14ac:dyDescent="0.3">
      <c r="A689" s="29" t="s">
        <v>1328</v>
      </c>
      <c r="B689" s="30" t="s">
        <v>1253</v>
      </c>
      <c r="C689" s="30" t="s">
        <v>1329</v>
      </c>
      <c r="D689" s="30" t="s">
        <v>673</v>
      </c>
      <c r="E689" s="30" t="s">
        <v>674</v>
      </c>
      <c r="F689" s="30" t="s">
        <v>716</v>
      </c>
      <c r="G689" s="30" t="s">
        <v>744</v>
      </c>
      <c r="H689" s="30" t="s">
        <v>677</v>
      </c>
      <c r="I689" s="30" t="s">
        <v>688</v>
      </c>
      <c r="J689" s="30" t="s">
        <v>906</v>
      </c>
      <c r="K689" s="30" t="s">
        <v>690</v>
      </c>
      <c r="L689" s="30" t="s">
        <v>681</v>
      </c>
      <c r="M689" s="30">
        <v>0.3</v>
      </c>
      <c r="N689" s="30" t="s">
        <v>32</v>
      </c>
      <c r="O689" s="30" t="s">
        <v>746</v>
      </c>
      <c r="P689" s="30" t="s">
        <v>683</v>
      </c>
      <c r="Q689" s="30" t="s">
        <v>665</v>
      </c>
      <c r="R689" s="30" t="s">
        <v>549</v>
      </c>
      <c r="S689" s="32" t="s">
        <v>673</v>
      </c>
    </row>
    <row r="690" spans="1:19" x14ac:dyDescent="0.3">
      <c r="A690" s="31" t="s">
        <v>1330</v>
      </c>
      <c r="B690" s="32" t="s">
        <v>1253</v>
      </c>
      <c r="C690" s="32" t="s">
        <v>1331</v>
      </c>
      <c r="D690" s="32" t="s">
        <v>673</v>
      </c>
      <c r="E690" s="32" t="s">
        <v>674</v>
      </c>
      <c r="F690" s="32" t="s">
        <v>716</v>
      </c>
      <c r="G690" s="32" t="s">
        <v>744</v>
      </c>
      <c r="H690" s="32" t="s">
        <v>677</v>
      </c>
      <c r="I690" s="32" t="s">
        <v>688</v>
      </c>
      <c r="J690" s="32" t="s">
        <v>906</v>
      </c>
      <c r="K690" s="32" t="s">
        <v>690</v>
      </c>
      <c r="L690" s="32" t="s">
        <v>681</v>
      </c>
      <c r="M690" s="32">
        <v>0.3</v>
      </c>
      <c r="N690" s="32" t="s">
        <v>388</v>
      </c>
      <c r="O690" s="32" t="s">
        <v>746</v>
      </c>
      <c r="P690" s="32" t="s">
        <v>683</v>
      </c>
      <c r="Q690" s="32" t="s">
        <v>665</v>
      </c>
      <c r="R690" s="32" t="s">
        <v>549</v>
      </c>
      <c r="S690" s="32" t="s">
        <v>673</v>
      </c>
    </row>
    <row r="691" spans="1:19" x14ac:dyDescent="0.3">
      <c r="A691" s="29" t="s">
        <v>1320</v>
      </c>
      <c r="B691" s="30" t="s">
        <v>1253</v>
      </c>
      <c r="C691" s="30" t="s">
        <v>1321</v>
      </c>
      <c r="D691" s="30" t="s">
        <v>673</v>
      </c>
      <c r="E691" s="30" t="s">
        <v>674</v>
      </c>
      <c r="F691" s="30" t="s">
        <v>716</v>
      </c>
      <c r="G691" s="30" t="s">
        <v>744</v>
      </c>
      <c r="H691" s="30" t="s">
        <v>677</v>
      </c>
      <c r="I691" s="30" t="s">
        <v>688</v>
      </c>
      <c r="J691" s="30" t="s">
        <v>906</v>
      </c>
      <c r="K691" s="30" t="s">
        <v>690</v>
      </c>
      <c r="L691" s="30" t="s">
        <v>681</v>
      </c>
      <c r="M691" s="30">
        <v>0.2</v>
      </c>
      <c r="N691" s="30" t="s">
        <v>163</v>
      </c>
      <c r="O691" s="30" t="s">
        <v>746</v>
      </c>
      <c r="P691" s="30" t="s">
        <v>683</v>
      </c>
      <c r="Q691" s="30" t="s">
        <v>665</v>
      </c>
      <c r="R691" s="30" t="s">
        <v>549</v>
      </c>
      <c r="S691" s="32" t="s">
        <v>673</v>
      </c>
    </row>
    <row r="692" spans="1:19" x14ac:dyDescent="0.3">
      <c r="A692" s="31" t="s">
        <v>1326</v>
      </c>
      <c r="B692" s="32" t="s">
        <v>1253</v>
      </c>
      <c r="C692" s="32" t="s">
        <v>1327</v>
      </c>
      <c r="D692" s="32" t="s">
        <v>673</v>
      </c>
      <c r="E692" s="32" t="s">
        <v>674</v>
      </c>
      <c r="F692" s="32" t="s">
        <v>716</v>
      </c>
      <c r="G692" s="32" t="s">
        <v>744</v>
      </c>
      <c r="H692" s="32" t="s">
        <v>677</v>
      </c>
      <c r="I692" s="32" t="s">
        <v>688</v>
      </c>
      <c r="J692" s="32" t="s">
        <v>906</v>
      </c>
      <c r="K692" s="32" t="s">
        <v>690</v>
      </c>
      <c r="L692" s="32" t="s">
        <v>681</v>
      </c>
      <c r="M692" s="32">
        <v>0.4</v>
      </c>
      <c r="N692" s="32" t="s">
        <v>163</v>
      </c>
      <c r="O692" s="32" t="s">
        <v>746</v>
      </c>
      <c r="P692" s="32" t="s">
        <v>683</v>
      </c>
      <c r="Q692" s="32" t="s">
        <v>665</v>
      </c>
      <c r="R692" s="32" t="s">
        <v>549</v>
      </c>
      <c r="S692" s="32" t="s">
        <v>673</v>
      </c>
    </row>
    <row r="693" spans="1:19" x14ac:dyDescent="0.3">
      <c r="A693" s="29" t="s">
        <v>1328</v>
      </c>
      <c r="B693" s="30" t="s">
        <v>1253</v>
      </c>
      <c r="C693" s="30" t="s">
        <v>1329</v>
      </c>
      <c r="D693" s="30" t="s">
        <v>673</v>
      </c>
      <c r="E693" s="30" t="s">
        <v>674</v>
      </c>
      <c r="F693" s="30" t="s">
        <v>716</v>
      </c>
      <c r="G693" s="30" t="s">
        <v>744</v>
      </c>
      <c r="H693" s="30" t="s">
        <v>677</v>
      </c>
      <c r="I693" s="30" t="s">
        <v>688</v>
      </c>
      <c r="J693" s="30" t="s">
        <v>906</v>
      </c>
      <c r="K693" s="30" t="s">
        <v>690</v>
      </c>
      <c r="L693" s="30" t="s">
        <v>681</v>
      </c>
      <c r="M693" s="30">
        <v>0.4</v>
      </c>
      <c r="N693" s="30" t="s">
        <v>320</v>
      </c>
      <c r="O693" s="30" t="s">
        <v>746</v>
      </c>
      <c r="P693" s="30" t="s">
        <v>683</v>
      </c>
      <c r="Q693" s="30" t="s">
        <v>665</v>
      </c>
      <c r="R693" s="30" t="s">
        <v>549</v>
      </c>
      <c r="S693" s="32" t="s">
        <v>673</v>
      </c>
    </row>
    <row r="694" spans="1:19" x14ac:dyDescent="0.3">
      <c r="A694" s="31" t="s">
        <v>1326</v>
      </c>
      <c r="B694" s="32" t="s">
        <v>1253</v>
      </c>
      <c r="C694" s="32" t="s">
        <v>1327</v>
      </c>
      <c r="D694" s="32" t="s">
        <v>673</v>
      </c>
      <c r="E694" s="32" t="s">
        <v>674</v>
      </c>
      <c r="F694" s="32" t="s">
        <v>716</v>
      </c>
      <c r="G694" s="32" t="s">
        <v>744</v>
      </c>
      <c r="H694" s="32" t="s">
        <v>677</v>
      </c>
      <c r="I694" s="32" t="s">
        <v>688</v>
      </c>
      <c r="J694" s="32" t="s">
        <v>906</v>
      </c>
      <c r="K694" s="32" t="s">
        <v>690</v>
      </c>
      <c r="L694" s="32" t="s">
        <v>681</v>
      </c>
      <c r="M694" s="32">
        <v>0.7</v>
      </c>
      <c r="N694" s="32" t="s">
        <v>32</v>
      </c>
      <c r="O694" s="32" t="s">
        <v>746</v>
      </c>
      <c r="P694" s="32" t="s">
        <v>683</v>
      </c>
      <c r="Q694" s="32" t="s">
        <v>665</v>
      </c>
      <c r="R694" s="32" t="s">
        <v>549</v>
      </c>
      <c r="S694" s="32" t="s">
        <v>673</v>
      </c>
    </row>
    <row r="695" spans="1:19" x14ac:dyDescent="0.3">
      <c r="A695" s="29" t="s">
        <v>1326</v>
      </c>
      <c r="B695" s="30" t="s">
        <v>1253</v>
      </c>
      <c r="C695" s="30" t="s">
        <v>1327</v>
      </c>
      <c r="D695" s="30" t="s">
        <v>673</v>
      </c>
      <c r="E695" s="30" t="s">
        <v>674</v>
      </c>
      <c r="F695" s="30" t="s">
        <v>716</v>
      </c>
      <c r="G695" s="30" t="s">
        <v>744</v>
      </c>
      <c r="H695" s="30" t="s">
        <v>677</v>
      </c>
      <c r="I695" s="30" t="s">
        <v>688</v>
      </c>
      <c r="J695" s="30" t="s">
        <v>906</v>
      </c>
      <c r="K695" s="30" t="s">
        <v>690</v>
      </c>
      <c r="L695" s="30" t="s">
        <v>681</v>
      </c>
      <c r="M695" s="30">
        <v>0.4</v>
      </c>
      <c r="N695" s="30" t="s">
        <v>320</v>
      </c>
      <c r="O695" s="30" t="s">
        <v>746</v>
      </c>
      <c r="P695" s="30" t="s">
        <v>683</v>
      </c>
      <c r="Q695" s="30" t="s">
        <v>665</v>
      </c>
      <c r="R695" s="30" t="s">
        <v>549</v>
      </c>
      <c r="S695" s="32" t="s">
        <v>673</v>
      </c>
    </row>
    <row r="696" spans="1:19" x14ac:dyDescent="0.3">
      <c r="A696" s="31" t="s">
        <v>1320</v>
      </c>
      <c r="B696" s="32" t="s">
        <v>1253</v>
      </c>
      <c r="C696" s="32" t="s">
        <v>1321</v>
      </c>
      <c r="D696" s="32" t="s">
        <v>673</v>
      </c>
      <c r="E696" s="32" t="s">
        <v>674</v>
      </c>
      <c r="F696" s="32" t="s">
        <v>716</v>
      </c>
      <c r="G696" s="32" t="s">
        <v>744</v>
      </c>
      <c r="H696" s="32" t="s">
        <v>677</v>
      </c>
      <c r="I696" s="32" t="s">
        <v>688</v>
      </c>
      <c r="J696" s="32" t="s">
        <v>906</v>
      </c>
      <c r="K696" s="32" t="s">
        <v>690</v>
      </c>
      <c r="L696" s="32" t="s">
        <v>681</v>
      </c>
      <c r="M696" s="32">
        <v>0.2</v>
      </c>
      <c r="N696" s="32" t="s">
        <v>320</v>
      </c>
      <c r="O696" s="32" t="s">
        <v>746</v>
      </c>
      <c r="P696" s="32" t="s">
        <v>683</v>
      </c>
      <c r="Q696" s="32" t="s">
        <v>665</v>
      </c>
      <c r="R696" s="32" t="s">
        <v>549</v>
      </c>
      <c r="S696" s="32" t="s">
        <v>673</v>
      </c>
    </row>
    <row r="697" spans="1:19" x14ac:dyDescent="0.3">
      <c r="A697" s="29" t="s">
        <v>1324</v>
      </c>
      <c r="B697" s="30" t="s">
        <v>1253</v>
      </c>
      <c r="C697" s="30" t="s">
        <v>1325</v>
      </c>
      <c r="D697" s="30" t="s">
        <v>673</v>
      </c>
      <c r="E697" s="30" t="s">
        <v>674</v>
      </c>
      <c r="F697" s="30" t="s">
        <v>716</v>
      </c>
      <c r="G697" s="30" t="s">
        <v>744</v>
      </c>
      <c r="H697" s="30" t="s">
        <v>677</v>
      </c>
      <c r="I697" s="30" t="s">
        <v>688</v>
      </c>
      <c r="J697" s="30" t="s">
        <v>713</v>
      </c>
      <c r="K697" s="30" t="s">
        <v>690</v>
      </c>
      <c r="L697" s="30" t="s">
        <v>681</v>
      </c>
      <c r="M697" s="30">
        <v>0.1</v>
      </c>
      <c r="N697" s="30" t="s">
        <v>49</v>
      </c>
      <c r="O697" s="30" t="s">
        <v>746</v>
      </c>
      <c r="P697" s="30" t="s">
        <v>683</v>
      </c>
      <c r="Q697" s="30" t="s">
        <v>665</v>
      </c>
      <c r="R697" s="30" t="s">
        <v>549</v>
      </c>
      <c r="S697" s="32" t="s">
        <v>673</v>
      </c>
    </row>
    <row r="698" spans="1:19" x14ac:dyDescent="0.3">
      <c r="A698" s="31" t="s">
        <v>1317</v>
      </c>
      <c r="B698" s="32" t="s">
        <v>1049</v>
      </c>
      <c r="C698" s="32" t="s">
        <v>1318</v>
      </c>
      <c r="D698" s="32" t="s">
        <v>673</v>
      </c>
      <c r="E698" s="32" t="s">
        <v>674</v>
      </c>
      <c r="F698" s="32" t="s">
        <v>716</v>
      </c>
      <c r="G698" s="32" t="s">
        <v>744</v>
      </c>
      <c r="H698" s="32" t="s">
        <v>677</v>
      </c>
      <c r="I698" s="32" t="s">
        <v>688</v>
      </c>
      <c r="J698" s="32" t="s">
        <v>710</v>
      </c>
      <c r="K698" s="32" t="s">
        <v>690</v>
      </c>
      <c r="L698" s="32" t="s">
        <v>681</v>
      </c>
      <c r="M698" s="32">
        <v>1</v>
      </c>
      <c r="N698" s="32" t="s">
        <v>507</v>
      </c>
      <c r="O698" s="32" t="s">
        <v>746</v>
      </c>
      <c r="P698" s="32" t="s">
        <v>683</v>
      </c>
      <c r="Q698" s="32" t="s">
        <v>665</v>
      </c>
      <c r="R698" s="32" t="s">
        <v>549</v>
      </c>
      <c r="S698" s="32" t="s">
        <v>673</v>
      </c>
    </row>
    <row r="699" spans="1:19" x14ac:dyDescent="0.3">
      <c r="A699" s="29" t="s">
        <v>714</v>
      </c>
      <c r="B699" s="30" t="s">
        <v>707</v>
      </c>
      <c r="C699" s="30" t="s">
        <v>715</v>
      </c>
      <c r="D699" s="30" t="s">
        <v>673</v>
      </c>
      <c r="E699" s="30" t="s">
        <v>674</v>
      </c>
      <c r="F699" s="30" t="s">
        <v>716</v>
      </c>
      <c r="G699" s="30" t="s">
        <v>717</v>
      </c>
      <c r="H699" s="30" t="s">
        <v>717</v>
      </c>
      <c r="I699" s="30" t="s">
        <v>717</v>
      </c>
      <c r="J699" s="30" t="s">
        <v>710</v>
      </c>
      <c r="K699" s="30" t="s">
        <v>690</v>
      </c>
      <c r="L699" s="30" t="s">
        <v>699</v>
      </c>
      <c r="M699" s="30">
        <v>0.1</v>
      </c>
      <c r="N699" s="30" t="s">
        <v>252</v>
      </c>
      <c r="O699" s="30" t="s">
        <v>746</v>
      </c>
      <c r="P699" s="30" t="s">
        <v>683</v>
      </c>
      <c r="Q699" s="30" t="s">
        <v>665</v>
      </c>
      <c r="R699" s="30" t="s">
        <v>549</v>
      </c>
      <c r="S699" s="32" t="s">
        <v>673</v>
      </c>
    </row>
    <row r="700" spans="1:19" x14ac:dyDescent="0.3">
      <c r="A700" s="31" t="s">
        <v>1252</v>
      </c>
      <c r="B700" s="32" t="s">
        <v>1253</v>
      </c>
      <c r="C700" s="32" t="s">
        <v>1254</v>
      </c>
      <c r="D700" s="32" t="s">
        <v>673</v>
      </c>
      <c r="E700" s="32" t="s">
        <v>674</v>
      </c>
      <c r="F700" s="32" t="s">
        <v>716</v>
      </c>
      <c r="G700" s="32" t="s">
        <v>744</v>
      </c>
      <c r="H700" s="32" t="s">
        <v>935</v>
      </c>
      <c r="I700" s="32" t="s">
        <v>688</v>
      </c>
      <c r="J700" s="32" t="s">
        <v>710</v>
      </c>
      <c r="K700" s="32" t="s">
        <v>690</v>
      </c>
      <c r="L700" s="32" t="s">
        <v>681</v>
      </c>
      <c r="M700" s="32">
        <v>0.4</v>
      </c>
      <c r="N700" s="32" t="s">
        <v>49</v>
      </c>
      <c r="O700" s="32" t="s">
        <v>746</v>
      </c>
      <c r="P700" s="32" t="s">
        <v>683</v>
      </c>
      <c r="Q700" s="32" t="s">
        <v>665</v>
      </c>
      <c r="R700" s="32" t="s">
        <v>549</v>
      </c>
      <c r="S700" s="32" t="s">
        <v>673</v>
      </c>
    </row>
    <row r="701" spans="1:19" x14ac:dyDescent="0.3">
      <c r="A701" s="29" t="s">
        <v>1252</v>
      </c>
      <c r="B701" s="30" t="s">
        <v>1253</v>
      </c>
      <c r="C701" s="30" t="s">
        <v>1254</v>
      </c>
      <c r="D701" s="30" t="s">
        <v>673</v>
      </c>
      <c r="E701" s="30" t="s">
        <v>674</v>
      </c>
      <c r="F701" s="30" t="s">
        <v>716</v>
      </c>
      <c r="G701" s="30" t="s">
        <v>744</v>
      </c>
      <c r="H701" s="30" t="s">
        <v>935</v>
      </c>
      <c r="I701" s="30" t="s">
        <v>688</v>
      </c>
      <c r="J701" s="30" t="s">
        <v>710</v>
      </c>
      <c r="K701" s="30" t="s">
        <v>690</v>
      </c>
      <c r="L701" s="30" t="s">
        <v>681</v>
      </c>
      <c r="M701" s="30">
        <v>0.4</v>
      </c>
      <c r="N701" s="30" t="s">
        <v>49</v>
      </c>
      <c r="O701" s="30" t="s">
        <v>746</v>
      </c>
      <c r="P701" s="30" t="s">
        <v>683</v>
      </c>
      <c r="Q701" s="30" t="s">
        <v>665</v>
      </c>
      <c r="R701" s="30" t="s">
        <v>549</v>
      </c>
      <c r="S701" s="32" t="s">
        <v>673</v>
      </c>
    </row>
    <row r="702" spans="1:19" x14ac:dyDescent="0.3">
      <c r="A702" s="31" t="s">
        <v>1319</v>
      </c>
      <c r="B702" s="32" t="s">
        <v>707</v>
      </c>
      <c r="C702" s="32" t="s">
        <v>773</v>
      </c>
      <c r="D702" s="32" t="s">
        <v>673</v>
      </c>
      <c r="E702" s="32" t="s">
        <v>674</v>
      </c>
      <c r="F702" s="32" t="s">
        <v>773</v>
      </c>
      <c r="G702" s="32" t="s">
        <v>773</v>
      </c>
      <c r="H702" s="32" t="s">
        <v>773</v>
      </c>
      <c r="I702" s="32" t="s">
        <v>773</v>
      </c>
      <c r="J702" s="32" t="s">
        <v>710</v>
      </c>
      <c r="K702" s="32" t="s">
        <v>690</v>
      </c>
      <c r="L702" s="32" t="s">
        <v>699</v>
      </c>
      <c r="M702" s="32">
        <v>0.1</v>
      </c>
      <c r="N702" s="32" t="s">
        <v>252</v>
      </c>
      <c r="O702" s="32" t="s">
        <v>746</v>
      </c>
      <c r="P702" s="32" t="s">
        <v>683</v>
      </c>
      <c r="Q702" s="32" t="s">
        <v>665</v>
      </c>
      <c r="R702" s="32" t="s">
        <v>549</v>
      </c>
      <c r="S702" s="32" t="s">
        <v>673</v>
      </c>
    </row>
    <row r="703" spans="1:19" x14ac:dyDescent="0.3">
      <c r="A703" s="29" t="s">
        <v>1190</v>
      </c>
      <c r="B703" s="30" t="s">
        <v>154</v>
      </c>
      <c r="C703" s="30" t="s">
        <v>1023</v>
      </c>
      <c r="D703" s="30" t="s">
        <v>673</v>
      </c>
      <c r="E703" s="30" t="s">
        <v>674</v>
      </c>
      <c r="F703" s="30" t="s">
        <v>716</v>
      </c>
      <c r="G703" s="30" t="s">
        <v>744</v>
      </c>
      <c r="H703" s="30" t="s">
        <v>935</v>
      </c>
      <c r="I703" s="30" t="s">
        <v>688</v>
      </c>
      <c r="J703" s="30" t="s">
        <v>710</v>
      </c>
      <c r="K703" s="30" t="s">
        <v>690</v>
      </c>
      <c r="L703" s="30" t="s">
        <v>681</v>
      </c>
      <c r="M703" s="30">
        <v>0.6</v>
      </c>
      <c r="N703" s="30" t="s">
        <v>252</v>
      </c>
      <c r="O703" s="30" t="s">
        <v>746</v>
      </c>
      <c r="P703" s="30" t="s">
        <v>683</v>
      </c>
      <c r="Q703" s="30" t="s">
        <v>665</v>
      </c>
      <c r="R703" s="30" t="s">
        <v>549</v>
      </c>
      <c r="S703" s="32" t="s">
        <v>673</v>
      </c>
    </row>
    <row r="704" spans="1:19" x14ac:dyDescent="0.3">
      <c r="A704" s="31" t="s">
        <v>1322</v>
      </c>
      <c r="B704" s="32" t="s">
        <v>1049</v>
      </c>
      <c r="C704" s="32" t="s">
        <v>1323</v>
      </c>
      <c r="D704" s="32" t="s">
        <v>673</v>
      </c>
      <c r="E704" s="32" t="s">
        <v>674</v>
      </c>
      <c r="F704" s="32" t="s">
        <v>935</v>
      </c>
      <c r="G704" s="32" t="s">
        <v>744</v>
      </c>
      <c r="H704" s="32" t="s">
        <v>677</v>
      </c>
      <c r="I704" s="32" t="s">
        <v>688</v>
      </c>
      <c r="J704" s="32" t="s">
        <v>710</v>
      </c>
      <c r="K704" s="32" t="s">
        <v>690</v>
      </c>
      <c r="L704" s="32" t="s">
        <v>681</v>
      </c>
      <c r="M704" s="32">
        <v>0.2</v>
      </c>
      <c r="N704" s="32" t="s">
        <v>252</v>
      </c>
      <c r="O704" s="32" t="s">
        <v>746</v>
      </c>
      <c r="P704" s="32" t="s">
        <v>683</v>
      </c>
      <c r="Q704" s="32" t="s">
        <v>665</v>
      </c>
      <c r="R704" s="32" t="s">
        <v>549</v>
      </c>
      <c r="S704" s="32" t="s">
        <v>673</v>
      </c>
    </row>
    <row r="705" spans="1:19" x14ac:dyDescent="0.3">
      <c r="A705" s="29" t="s">
        <v>714</v>
      </c>
      <c r="B705" s="30" t="s">
        <v>707</v>
      </c>
      <c r="C705" s="30" t="s">
        <v>715</v>
      </c>
      <c r="D705" s="30" t="s">
        <v>673</v>
      </c>
      <c r="E705" s="30" t="s">
        <v>674</v>
      </c>
      <c r="F705" s="30" t="s">
        <v>716</v>
      </c>
      <c r="G705" s="30" t="s">
        <v>717</v>
      </c>
      <c r="H705" s="30" t="s">
        <v>717</v>
      </c>
      <c r="I705" s="30" t="s">
        <v>717</v>
      </c>
      <c r="J705" s="30" t="s">
        <v>710</v>
      </c>
      <c r="K705" s="30" t="s">
        <v>690</v>
      </c>
      <c r="L705" s="30" t="s">
        <v>699</v>
      </c>
      <c r="M705" s="30">
        <v>0.1</v>
      </c>
      <c r="N705" s="30" t="s">
        <v>49</v>
      </c>
      <c r="O705" s="30" t="s">
        <v>746</v>
      </c>
      <c r="P705" s="30" t="s">
        <v>683</v>
      </c>
      <c r="Q705" s="30" t="s">
        <v>665</v>
      </c>
      <c r="R705" s="30" t="s">
        <v>549</v>
      </c>
      <c r="S705" s="32" t="s">
        <v>673</v>
      </c>
    </row>
    <row r="706" spans="1:19" x14ac:dyDescent="0.3">
      <c r="A706" s="31" t="s">
        <v>1319</v>
      </c>
      <c r="B706" s="32" t="s">
        <v>707</v>
      </c>
      <c r="C706" s="32" t="s">
        <v>773</v>
      </c>
      <c r="D706" s="32" t="s">
        <v>673</v>
      </c>
      <c r="E706" s="32" t="s">
        <v>674</v>
      </c>
      <c r="F706" s="32" t="s">
        <v>773</v>
      </c>
      <c r="G706" s="32" t="s">
        <v>773</v>
      </c>
      <c r="H706" s="32" t="s">
        <v>773</v>
      </c>
      <c r="I706" s="32" t="s">
        <v>773</v>
      </c>
      <c r="J706" s="32" t="s">
        <v>710</v>
      </c>
      <c r="K706" s="32" t="s">
        <v>690</v>
      </c>
      <c r="L706" s="32" t="s">
        <v>699</v>
      </c>
      <c r="M706" s="32">
        <v>0.1</v>
      </c>
      <c r="N706" s="32" t="s">
        <v>188</v>
      </c>
      <c r="O706" s="32" t="s">
        <v>746</v>
      </c>
      <c r="P706" s="32" t="s">
        <v>683</v>
      </c>
      <c r="Q706" s="32" t="s">
        <v>665</v>
      </c>
      <c r="R706" s="32" t="s">
        <v>549</v>
      </c>
      <c r="S706" s="32" t="s">
        <v>673</v>
      </c>
    </row>
    <row r="707" spans="1:19" x14ac:dyDescent="0.3">
      <c r="A707" s="29" t="s">
        <v>1190</v>
      </c>
      <c r="B707" s="30" t="s">
        <v>154</v>
      </c>
      <c r="C707" s="30" t="s">
        <v>1023</v>
      </c>
      <c r="D707" s="30" t="s">
        <v>673</v>
      </c>
      <c r="E707" s="30" t="s">
        <v>674</v>
      </c>
      <c r="F707" s="30" t="s">
        <v>716</v>
      </c>
      <c r="G707" s="30" t="s">
        <v>744</v>
      </c>
      <c r="H707" s="30" t="s">
        <v>935</v>
      </c>
      <c r="I707" s="30" t="s">
        <v>688</v>
      </c>
      <c r="J707" s="30" t="s">
        <v>710</v>
      </c>
      <c r="K707" s="30" t="s">
        <v>690</v>
      </c>
      <c r="L707" s="30" t="s">
        <v>681</v>
      </c>
      <c r="M707" s="30">
        <v>0.7</v>
      </c>
      <c r="N707" s="30" t="s">
        <v>188</v>
      </c>
      <c r="O707" s="30" t="s">
        <v>746</v>
      </c>
      <c r="P707" s="30" t="s">
        <v>683</v>
      </c>
      <c r="Q707" s="30" t="s">
        <v>665</v>
      </c>
      <c r="R707" s="30" t="s">
        <v>549</v>
      </c>
      <c r="S707" s="32" t="s">
        <v>673</v>
      </c>
    </row>
    <row r="708" spans="1:19" x14ac:dyDescent="0.3">
      <c r="A708" s="31" t="s">
        <v>714</v>
      </c>
      <c r="B708" s="32" t="s">
        <v>707</v>
      </c>
      <c r="C708" s="32" t="s">
        <v>715</v>
      </c>
      <c r="D708" s="32" t="s">
        <v>673</v>
      </c>
      <c r="E708" s="32" t="s">
        <v>674</v>
      </c>
      <c r="F708" s="32" t="s">
        <v>716</v>
      </c>
      <c r="G708" s="32" t="s">
        <v>717</v>
      </c>
      <c r="H708" s="32" t="s">
        <v>717</v>
      </c>
      <c r="I708" s="32" t="s">
        <v>717</v>
      </c>
      <c r="J708" s="32" t="s">
        <v>710</v>
      </c>
      <c r="K708" s="32" t="s">
        <v>690</v>
      </c>
      <c r="L708" s="32" t="s">
        <v>699</v>
      </c>
      <c r="M708" s="32">
        <v>0.1</v>
      </c>
      <c r="N708" s="32" t="s">
        <v>188</v>
      </c>
      <c r="O708" s="32" t="s">
        <v>746</v>
      </c>
      <c r="P708" s="32" t="s">
        <v>683</v>
      </c>
      <c r="Q708" s="32" t="s">
        <v>665</v>
      </c>
      <c r="R708" s="32" t="s">
        <v>549</v>
      </c>
      <c r="S708" s="32" t="s">
        <v>673</v>
      </c>
    </row>
    <row r="709" spans="1:19" x14ac:dyDescent="0.3">
      <c r="A709" s="29" t="s">
        <v>1317</v>
      </c>
      <c r="B709" s="30" t="s">
        <v>1049</v>
      </c>
      <c r="C709" s="30" t="s">
        <v>1318</v>
      </c>
      <c r="D709" s="30" t="s">
        <v>673</v>
      </c>
      <c r="E709" s="30" t="s">
        <v>674</v>
      </c>
      <c r="F709" s="30" t="s">
        <v>716</v>
      </c>
      <c r="G709" s="30" t="s">
        <v>744</v>
      </c>
      <c r="H709" s="30" t="s">
        <v>677</v>
      </c>
      <c r="I709" s="30" t="s">
        <v>688</v>
      </c>
      <c r="J709" s="30" t="s">
        <v>710</v>
      </c>
      <c r="K709" s="30" t="s">
        <v>690</v>
      </c>
      <c r="L709" s="30" t="s">
        <v>681</v>
      </c>
      <c r="M709" s="30">
        <v>1</v>
      </c>
      <c r="N709" s="30" t="s">
        <v>192</v>
      </c>
      <c r="O709" s="30" t="s">
        <v>2183</v>
      </c>
      <c r="P709" s="30" t="s">
        <v>683</v>
      </c>
      <c r="Q709" s="30" t="s">
        <v>767</v>
      </c>
      <c r="R709" s="30" t="s">
        <v>549</v>
      </c>
      <c r="S709" s="32" t="s">
        <v>673</v>
      </c>
    </row>
    <row r="710" spans="1:19" x14ac:dyDescent="0.3">
      <c r="A710" s="31" t="s">
        <v>1317</v>
      </c>
      <c r="B710" s="32" t="s">
        <v>1049</v>
      </c>
      <c r="C710" s="32" t="s">
        <v>1318</v>
      </c>
      <c r="D710" s="32" t="s">
        <v>673</v>
      </c>
      <c r="E710" s="32" t="s">
        <v>674</v>
      </c>
      <c r="F710" s="32" t="s">
        <v>716</v>
      </c>
      <c r="G710" s="32" t="s">
        <v>744</v>
      </c>
      <c r="H710" s="32" t="s">
        <v>677</v>
      </c>
      <c r="I710" s="32" t="s">
        <v>688</v>
      </c>
      <c r="J710" s="32" t="s">
        <v>710</v>
      </c>
      <c r="K710" s="32" t="s">
        <v>690</v>
      </c>
      <c r="L710" s="32" t="s">
        <v>681</v>
      </c>
      <c r="M710" s="32">
        <v>1</v>
      </c>
      <c r="N710" s="32" t="s">
        <v>632</v>
      </c>
      <c r="O710" s="32" t="s">
        <v>746</v>
      </c>
      <c r="P710" s="32" t="s">
        <v>683</v>
      </c>
      <c r="Q710" s="32" t="s">
        <v>665</v>
      </c>
      <c r="R710" s="32" t="s">
        <v>549</v>
      </c>
      <c r="S710" s="32" t="s">
        <v>673</v>
      </c>
    </row>
    <row r="711" spans="1:19" x14ac:dyDescent="0.3">
      <c r="A711" s="29" t="s">
        <v>1322</v>
      </c>
      <c r="B711" s="30" t="s">
        <v>1049</v>
      </c>
      <c r="C711" s="30" t="s">
        <v>1323</v>
      </c>
      <c r="D711" s="30" t="s">
        <v>673</v>
      </c>
      <c r="E711" s="30" t="s">
        <v>674</v>
      </c>
      <c r="F711" s="30" t="s">
        <v>935</v>
      </c>
      <c r="G711" s="30" t="s">
        <v>744</v>
      </c>
      <c r="H711" s="30" t="s">
        <v>677</v>
      </c>
      <c r="I711" s="30" t="s">
        <v>688</v>
      </c>
      <c r="J711" s="30" t="s">
        <v>710</v>
      </c>
      <c r="K711" s="30" t="s">
        <v>690</v>
      </c>
      <c r="L711" s="30" t="s">
        <v>681</v>
      </c>
      <c r="M711" s="30">
        <v>0.1</v>
      </c>
      <c r="N711" s="30" t="s">
        <v>188</v>
      </c>
      <c r="O711" s="30" t="s">
        <v>746</v>
      </c>
      <c r="P711" s="30" t="s">
        <v>683</v>
      </c>
      <c r="Q711" s="30" t="s">
        <v>665</v>
      </c>
      <c r="R711" s="30" t="s">
        <v>549</v>
      </c>
      <c r="S711" s="32" t="s">
        <v>673</v>
      </c>
    </row>
    <row r="712" spans="1:19" x14ac:dyDescent="0.3">
      <c r="A712" s="31" t="s">
        <v>714</v>
      </c>
      <c r="B712" s="32" t="s">
        <v>707</v>
      </c>
      <c r="C712" s="32" t="s">
        <v>715</v>
      </c>
      <c r="D712" s="32" t="s">
        <v>673</v>
      </c>
      <c r="E712" s="32" t="s">
        <v>674</v>
      </c>
      <c r="F712" s="32" t="s">
        <v>716</v>
      </c>
      <c r="G712" s="32" t="s">
        <v>717</v>
      </c>
      <c r="H712" s="32" t="s">
        <v>717</v>
      </c>
      <c r="I712" s="32" t="s">
        <v>717</v>
      </c>
      <c r="J712" s="32" t="s">
        <v>710</v>
      </c>
      <c r="K712" s="32" t="s">
        <v>690</v>
      </c>
      <c r="L712" s="32" t="s">
        <v>699</v>
      </c>
      <c r="M712" s="32">
        <v>0.1</v>
      </c>
      <c r="N712" s="32" t="s">
        <v>549</v>
      </c>
      <c r="O712" s="32" t="s">
        <v>746</v>
      </c>
      <c r="P712" s="32" t="s">
        <v>683</v>
      </c>
      <c r="Q712" s="32" t="s">
        <v>665</v>
      </c>
      <c r="R712" s="32" t="s">
        <v>269</v>
      </c>
      <c r="S712" s="32" t="s">
        <v>673</v>
      </c>
    </row>
    <row r="713" spans="1:19" x14ac:dyDescent="0.3">
      <c r="A713" s="29" t="s">
        <v>1322</v>
      </c>
      <c r="B713" s="30" t="s">
        <v>1049</v>
      </c>
      <c r="C713" s="30" t="s">
        <v>1323</v>
      </c>
      <c r="D713" s="30" t="s">
        <v>673</v>
      </c>
      <c r="E713" s="30" t="s">
        <v>674</v>
      </c>
      <c r="F713" s="30" t="s">
        <v>935</v>
      </c>
      <c r="G713" s="30" t="s">
        <v>744</v>
      </c>
      <c r="H713" s="30" t="s">
        <v>677</v>
      </c>
      <c r="I713" s="30" t="s">
        <v>688</v>
      </c>
      <c r="J713" s="30" t="s">
        <v>710</v>
      </c>
      <c r="K713" s="30" t="s">
        <v>690</v>
      </c>
      <c r="L713" s="30" t="s">
        <v>681</v>
      </c>
      <c r="M713" s="30">
        <v>0.1</v>
      </c>
      <c r="N713" s="30" t="s">
        <v>549</v>
      </c>
      <c r="O713" s="30" t="s">
        <v>746</v>
      </c>
      <c r="P713" s="30" t="s">
        <v>683</v>
      </c>
      <c r="Q713" s="30" t="s">
        <v>665</v>
      </c>
      <c r="R713" s="30" t="s">
        <v>269</v>
      </c>
      <c r="S713" s="32" t="s">
        <v>673</v>
      </c>
    </row>
    <row r="714" spans="1:19" x14ac:dyDescent="0.3">
      <c r="A714" s="31" t="s">
        <v>1319</v>
      </c>
      <c r="B714" s="32" t="s">
        <v>707</v>
      </c>
      <c r="C714" s="32" t="s">
        <v>773</v>
      </c>
      <c r="D714" s="32" t="s">
        <v>673</v>
      </c>
      <c r="E714" s="32" t="s">
        <v>674</v>
      </c>
      <c r="F714" s="32" t="s">
        <v>773</v>
      </c>
      <c r="G714" s="32" t="s">
        <v>773</v>
      </c>
      <c r="H714" s="32" t="s">
        <v>773</v>
      </c>
      <c r="I714" s="32" t="s">
        <v>773</v>
      </c>
      <c r="J714" s="32" t="s">
        <v>710</v>
      </c>
      <c r="K714" s="32" t="s">
        <v>690</v>
      </c>
      <c r="L714" s="32" t="s">
        <v>699</v>
      </c>
      <c r="M714" s="32">
        <v>0.1</v>
      </c>
      <c r="N714" s="32" t="s">
        <v>549</v>
      </c>
      <c r="O714" s="32" t="s">
        <v>746</v>
      </c>
      <c r="P714" s="32" t="s">
        <v>683</v>
      </c>
      <c r="Q714" s="32" t="s">
        <v>665</v>
      </c>
      <c r="R714" s="32" t="s">
        <v>269</v>
      </c>
      <c r="S714" s="32" t="s">
        <v>673</v>
      </c>
    </row>
    <row r="715" spans="1:19" x14ac:dyDescent="0.3">
      <c r="A715" s="29" t="s">
        <v>2311</v>
      </c>
      <c r="B715" s="30" t="s">
        <v>154</v>
      </c>
      <c r="C715" s="30" t="s">
        <v>2312</v>
      </c>
      <c r="D715" s="30" t="s">
        <v>673</v>
      </c>
      <c r="E715" s="30" t="s">
        <v>674</v>
      </c>
      <c r="F715" s="30" t="s">
        <v>716</v>
      </c>
      <c r="G715" s="30" t="s">
        <v>744</v>
      </c>
      <c r="H715" s="30" t="s">
        <v>702</v>
      </c>
      <c r="I715" s="30" t="s">
        <v>688</v>
      </c>
      <c r="J715" s="30" t="s">
        <v>710</v>
      </c>
      <c r="K715" s="30" t="s">
        <v>690</v>
      </c>
      <c r="L715" s="30" t="s">
        <v>739</v>
      </c>
      <c r="M715" s="30">
        <v>0.3</v>
      </c>
      <c r="N715" s="30" t="s">
        <v>549</v>
      </c>
      <c r="O715" s="30" t="s">
        <v>746</v>
      </c>
      <c r="P715" s="30" t="s">
        <v>683</v>
      </c>
      <c r="Q715" s="30" t="s">
        <v>665</v>
      </c>
      <c r="R715" s="30" t="s">
        <v>269</v>
      </c>
      <c r="S715" s="32" t="s">
        <v>673</v>
      </c>
    </row>
    <row r="716" spans="1:19" x14ac:dyDescent="0.3">
      <c r="A716" s="31" t="s">
        <v>1326</v>
      </c>
      <c r="B716" s="32" t="s">
        <v>1253</v>
      </c>
      <c r="C716" s="32" t="s">
        <v>1327</v>
      </c>
      <c r="D716" s="32" t="s">
        <v>673</v>
      </c>
      <c r="E716" s="32" t="s">
        <v>674</v>
      </c>
      <c r="F716" s="32" t="s">
        <v>716</v>
      </c>
      <c r="G716" s="32" t="s">
        <v>744</v>
      </c>
      <c r="H716" s="32" t="s">
        <v>677</v>
      </c>
      <c r="I716" s="32" t="s">
        <v>688</v>
      </c>
      <c r="J716" s="32" t="s">
        <v>906</v>
      </c>
      <c r="K716" s="32" t="s">
        <v>690</v>
      </c>
      <c r="L716" s="32" t="s">
        <v>681</v>
      </c>
      <c r="M716" s="32">
        <v>0.3</v>
      </c>
      <c r="N716" s="32" t="s">
        <v>549</v>
      </c>
      <c r="O716" s="32" t="s">
        <v>746</v>
      </c>
      <c r="P716" s="32" t="s">
        <v>683</v>
      </c>
      <c r="Q716" s="32" t="s">
        <v>665</v>
      </c>
      <c r="R716" s="32" t="s">
        <v>269</v>
      </c>
      <c r="S716" s="32" t="s">
        <v>673</v>
      </c>
    </row>
    <row r="717" spans="1:19" x14ac:dyDescent="0.3">
      <c r="A717" s="29" t="s">
        <v>1379</v>
      </c>
      <c r="B717" s="30" t="s">
        <v>1258</v>
      </c>
      <c r="C717" s="30" t="s">
        <v>1380</v>
      </c>
      <c r="D717" s="30" t="s">
        <v>755</v>
      </c>
      <c r="E717" s="30" t="s">
        <v>674</v>
      </c>
      <c r="F717" s="30" t="s">
        <v>716</v>
      </c>
      <c r="G717" s="30" t="s">
        <v>724</v>
      </c>
      <c r="H717" s="30" t="s">
        <v>677</v>
      </c>
      <c r="I717" s="30" t="s">
        <v>688</v>
      </c>
      <c r="J717" s="30" t="s">
        <v>950</v>
      </c>
      <c r="K717" s="30" t="s">
        <v>680</v>
      </c>
      <c r="L717" s="30" t="s">
        <v>699</v>
      </c>
      <c r="M717" s="30">
        <v>1</v>
      </c>
      <c r="N717" s="30" t="s">
        <v>1663</v>
      </c>
      <c r="O717" s="30" t="s">
        <v>1915</v>
      </c>
      <c r="P717" s="30" t="s">
        <v>683</v>
      </c>
      <c r="Q717" s="30" t="s">
        <v>767</v>
      </c>
      <c r="R717" s="30" t="s">
        <v>309</v>
      </c>
      <c r="S717" s="30" t="s">
        <v>755</v>
      </c>
    </row>
    <row r="718" spans="1:19" x14ac:dyDescent="0.3">
      <c r="A718" s="31" t="s">
        <v>712</v>
      </c>
      <c r="B718" s="32" t="s">
        <v>707</v>
      </c>
      <c r="C718" s="32" t="s">
        <v>708</v>
      </c>
      <c r="D718" s="32" t="s">
        <v>673</v>
      </c>
      <c r="E718" s="32" t="s">
        <v>674</v>
      </c>
      <c r="F718" s="32" t="s">
        <v>709</v>
      </c>
      <c r="G718" s="32" t="s">
        <v>709</v>
      </c>
      <c r="H718" s="32" t="s">
        <v>709</v>
      </c>
      <c r="I718" s="32" t="s">
        <v>709</v>
      </c>
      <c r="J718" s="32" t="s">
        <v>713</v>
      </c>
      <c r="K718" s="32" t="s">
        <v>690</v>
      </c>
      <c r="L718" s="32" t="s">
        <v>699</v>
      </c>
      <c r="M718" s="32">
        <v>0.3</v>
      </c>
      <c r="N718" s="32" t="s">
        <v>150</v>
      </c>
      <c r="O718" s="32" t="s">
        <v>711</v>
      </c>
      <c r="P718" s="32" t="s">
        <v>683</v>
      </c>
      <c r="Q718" s="32" t="s">
        <v>665</v>
      </c>
      <c r="R718" s="32" t="s">
        <v>366</v>
      </c>
      <c r="S718" s="30" t="s">
        <v>719</v>
      </c>
    </row>
    <row r="719" spans="1:19" x14ac:dyDescent="0.3">
      <c r="A719" s="29" t="s">
        <v>1007</v>
      </c>
      <c r="B719" s="30" t="s">
        <v>707</v>
      </c>
      <c r="C719" s="30" t="s">
        <v>708</v>
      </c>
      <c r="D719" s="30" t="s">
        <v>673</v>
      </c>
      <c r="E719" s="30" t="s">
        <v>674</v>
      </c>
      <c r="F719" s="30" t="s">
        <v>709</v>
      </c>
      <c r="G719" s="30" t="s">
        <v>709</v>
      </c>
      <c r="H719" s="30" t="s">
        <v>709</v>
      </c>
      <c r="I719" s="30" t="s">
        <v>709</v>
      </c>
      <c r="J719" s="30" t="s">
        <v>698</v>
      </c>
      <c r="K719" s="30" t="s">
        <v>690</v>
      </c>
      <c r="L719" s="30" t="s">
        <v>699</v>
      </c>
      <c r="M719" s="30">
        <v>0.2</v>
      </c>
      <c r="N719" s="30" t="s">
        <v>150</v>
      </c>
      <c r="O719" s="30" t="s">
        <v>711</v>
      </c>
      <c r="P719" s="30" t="s">
        <v>683</v>
      </c>
      <c r="Q719" s="30" t="s">
        <v>665</v>
      </c>
      <c r="R719" s="30" t="s">
        <v>366</v>
      </c>
      <c r="S719" s="30" t="s">
        <v>719</v>
      </c>
    </row>
    <row r="720" spans="1:19" x14ac:dyDescent="0.3">
      <c r="A720" s="31" t="s">
        <v>706</v>
      </c>
      <c r="B720" s="32" t="s">
        <v>707</v>
      </c>
      <c r="C720" s="32" t="s">
        <v>708</v>
      </c>
      <c r="D720" s="32" t="s">
        <v>673</v>
      </c>
      <c r="E720" s="32" t="s">
        <v>674</v>
      </c>
      <c r="F720" s="32" t="s">
        <v>709</v>
      </c>
      <c r="G720" s="32" t="s">
        <v>709</v>
      </c>
      <c r="H720" s="32" t="s">
        <v>709</v>
      </c>
      <c r="I720" s="32" t="s">
        <v>709</v>
      </c>
      <c r="J720" s="32" t="s">
        <v>710</v>
      </c>
      <c r="K720" s="32" t="s">
        <v>690</v>
      </c>
      <c r="L720" s="32" t="s">
        <v>699</v>
      </c>
      <c r="M720" s="32">
        <v>0.3</v>
      </c>
      <c r="N720" s="32" t="s">
        <v>150</v>
      </c>
      <c r="O720" s="32" t="s">
        <v>711</v>
      </c>
      <c r="P720" s="32" t="s">
        <v>683</v>
      </c>
      <c r="Q720" s="32" t="s">
        <v>665</v>
      </c>
      <c r="R720" s="32" t="s">
        <v>366</v>
      </c>
      <c r="S720" s="30" t="s">
        <v>719</v>
      </c>
    </row>
    <row r="721" spans="1:19" x14ac:dyDescent="0.3">
      <c r="A721" s="29" t="s">
        <v>1348</v>
      </c>
      <c r="B721" s="30" t="s">
        <v>707</v>
      </c>
      <c r="C721" s="30" t="s">
        <v>708</v>
      </c>
      <c r="D721" s="30" t="s">
        <v>755</v>
      </c>
      <c r="E721" s="30" t="s">
        <v>674</v>
      </c>
      <c r="F721" s="30" t="s">
        <v>709</v>
      </c>
      <c r="G721" s="30" t="s">
        <v>709</v>
      </c>
      <c r="H721" s="30" t="s">
        <v>709</v>
      </c>
      <c r="I721" s="30" t="s">
        <v>709</v>
      </c>
      <c r="J721" s="30" t="s">
        <v>679</v>
      </c>
      <c r="K721" s="30" t="s">
        <v>680</v>
      </c>
      <c r="L721" s="30" t="s">
        <v>699</v>
      </c>
      <c r="M721" s="30">
        <v>0.2</v>
      </c>
      <c r="N721" s="30" t="s">
        <v>150</v>
      </c>
      <c r="O721" s="30" t="s">
        <v>711</v>
      </c>
      <c r="P721" s="30" t="s">
        <v>683</v>
      </c>
      <c r="Q721" s="30" t="s">
        <v>665</v>
      </c>
      <c r="R721" s="30" t="s">
        <v>366</v>
      </c>
      <c r="S721" s="30" t="s">
        <v>719</v>
      </c>
    </row>
    <row r="722" spans="1:19" x14ac:dyDescent="0.3">
      <c r="A722" s="31" t="s">
        <v>1362</v>
      </c>
      <c r="B722" s="32" t="s">
        <v>1363</v>
      </c>
      <c r="C722" s="32" t="s">
        <v>1364</v>
      </c>
      <c r="D722" s="32" t="s">
        <v>673</v>
      </c>
      <c r="E722" s="32" t="s">
        <v>674</v>
      </c>
      <c r="F722" s="32" t="s">
        <v>675</v>
      </c>
      <c r="G722" s="32" t="s">
        <v>724</v>
      </c>
      <c r="H722" s="32" t="s">
        <v>677</v>
      </c>
      <c r="I722" s="32" t="s">
        <v>678</v>
      </c>
      <c r="J722" s="32" t="s">
        <v>713</v>
      </c>
      <c r="K722" s="32" t="s">
        <v>690</v>
      </c>
      <c r="L722" s="32" t="s">
        <v>691</v>
      </c>
      <c r="M722" s="32">
        <v>0.1</v>
      </c>
      <c r="N722" s="32" t="s">
        <v>526</v>
      </c>
      <c r="O722" s="32" t="s">
        <v>711</v>
      </c>
      <c r="P722" s="32" t="s">
        <v>683</v>
      </c>
      <c r="Q722" s="32" t="s">
        <v>665</v>
      </c>
      <c r="R722" s="32" t="s">
        <v>366</v>
      </c>
      <c r="S722" s="30" t="s">
        <v>719</v>
      </c>
    </row>
    <row r="723" spans="1:19" x14ac:dyDescent="0.3">
      <c r="A723" s="29" t="s">
        <v>1367</v>
      </c>
      <c r="B723" s="30" t="s">
        <v>359</v>
      </c>
      <c r="C723" s="30" t="s">
        <v>1368</v>
      </c>
      <c r="D723" s="30" t="s">
        <v>673</v>
      </c>
      <c r="E723" s="30" t="s">
        <v>674</v>
      </c>
      <c r="F723" s="30" t="s">
        <v>675</v>
      </c>
      <c r="G723" s="30" t="s">
        <v>676</v>
      </c>
      <c r="H723" s="30" t="s">
        <v>677</v>
      </c>
      <c r="I723" s="30" t="s">
        <v>678</v>
      </c>
      <c r="J723" s="30" t="s">
        <v>713</v>
      </c>
      <c r="K723" s="30" t="s">
        <v>690</v>
      </c>
      <c r="L723" s="30" t="s">
        <v>681</v>
      </c>
      <c r="M723" s="30">
        <v>0.1</v>
      </c>
      <c r="N723" s="30" t="s">
        <v>526</v>
      </c>
      <c r="O723" s="30" t="s">
        <v>711</v>
      </c>
      <c r="P723" s="30" t="s">
        <v>683</v>
      </c>
      <c r="Q723" s="30" t="s">
        <v>665</v>
      </c>
      <c r="R723" s="30" t="s">
        <v>366</v>
      </c>
      <c r="S723" s="30" t="s">
        <v>719</v>
      </c>
    </row>
    <row r="724" spans="1:19" x14ac:dyDescent="0.3">
      <c r="A724" s="31" t="s">
        <v>1372</v>
      </c>
      <c r="B724" s="32" t="s">
        <v>527</v>
      </c>
      <c r="C724" s="32" t="s">
        <v>1373</v>
      </c>
      <c r="D724" s="32" t="s">
        <v>673</v>
      </c>
      <c r="E724" s="32" t="s">
        <v>674</v>
      </c>
      <c r="F724" s="32" t="s">
        <v>675</v>
      </c>
      <c r="G724" s="32" t="s">
        <v>724</v>
      </c>
      <c r="H724" s="32" t="s">
        <v>677</v>
      </c>
      <c r="I724" s="32" t="s">
        <v>688</v>
      </c>
      <c r="J724" s="32" t="s">
        <v>713</v>
      </c>
      <c r="K724" s="32" t="s">
        <v>690</v>
      </c>
      <c r="L724" s="32" t="s">
        <v>681</v>
      </c>
      <c r="M724" s="32">
        <v>0.6</v>
      </c>
      <c r="N724" s="32" t="s">
        <v>526</v>
      </c>
      <c r="O724" s="32" t="s">
        <v>711</v>
      </c>
      <c r="P724" s="32" t="s">
        <v>683</v>
      </c>
      <c r="Q724" s="32" t="s">
        <v>665</v>
      </c>
      <c r="R724" s="32" t="s">
        <v>366</v>
      </c>
      <c r="S724" s="30" t="s">
        <v>719</v>
      </c>
    </row>
    <row r="725" spans="1:19" x14ac:dyDescent="0.3">
      <c r="A725" s="29" t="s">
        <v>1369</v>
      </c>
      <c r="B725" s="30" t="s">
        <v>1370</v>
      </c>
      <c r="C725" s="30" t="s">
        <v>1371</v>
      </c>
      <c r="D725" s="30" t="s">
        <v>673</v>
      </c>
      <c r="E725" s="30" t="s">
        <v>674</v>
      </c>
      <c r="F725" s="30" t="s">
        <v>675</v>
      </c>
      <c r="G725" s="30" t="s">
        <v>676</v>
      </c>
      <c r="H725" s="30" t="s">
        <v>677</v>
      </c>
      <c r="I725" s="30" t="s">
        <v>678</v>
      </c>
      <c r="J725" s="30" t="s">
        <v>713</v>
      </c>
      <c r="K725" s="30" t="s">
        <v>690</v>
      </c>
      <c r="L725" s="30" t="s">
        <v>681</v>
      </c>
      <c r="M725" s="30">
        <v>0.1</v>
      </c>
      <c r="N725" s="30" t="s">
        <v>526</v>
      </c>
      <c r="O725" s="30" t="s">
        <v>711</v>
      </c>
      <c r="P725" s="30" t="s">
        <v>683</v>
      </c>
      <c r="Q725" s="30" t="s">
        <v>665</v>
      </c>
      <c r="R725" s="30" t="s">
        <v>366</v>
      </c>
      <c r="S725" s="30" t="s">
        <v>719</v>
      </c>
    </row>
    <row r="726" spans="1:19" x14ac:dyDescent="0.3">
      <c r="A726" s="31" t="s">
        <v>712</v>
      </c>
      <c r="B726" s="32" t="s">
        <v>707</v>
      </c>
      <c r="C726" s="32" t="s">
        <v>708</v>
      </c>
      <c r="D726" s="32" t="s">
        <v>673</v>
      </c>
      <c r="E726" s="32" t="s">
        <v>674</v>
      </c>
      <c r="F726" s="32" t="s">
        <v>709</v>
      </c>
      <c r="G726" s="32" t="s">
        <v>709</v>
      </c>
      <c r="H726" s="32" t="s">
        <v>709</v>
      </c>
      <c r="I726" s="32" t="s">
        <v>709</v>
      </c>
      <c r="J726" s="32" t="s">
        <v>713</v>
      </c>
      <c r="K726" s="32" t="s">
        <v>690</v>
      </c>
      <c r="L726" s="32" t="s">
        <v>699</v>
      </c>
      <c r="M726" s="32">
        <v>0.1</v>
      </c>
      <c r="N726" s="32" t="s">
        <v>526</v>
      </c>
      <c r="O726" s="32" t="s">
        <v>711</v>
      </c>
      <c r="P726" s="32" t="s">
        <v>683</v>
      </c>
      <c r="Q726" s="32" t="s">
        <v>665</v>
      </c>
      <c r="R726" s="32" t="s">
        <v>366</v>
      </c>
      <c r="S726" s="30" t="s">
        <v>719</v>
      </c>
    </row>
    <row r="727" spans="1:19" x14ac:dyDescent="0.3">
      <c r="A727" s="29" t="s">
        <v>1426</v>
      </c>
      <c r="B727" s="30" t="s">
        <v>234</v>
      </c>
      <c r="C727" s="30" t="s">
        <v>1427</v>
      </c>
      <c r="D727" s="30" t="s">
        <v>673</v>
      </c>
      <c r="E727" s="30" t="s">
        <v>674</v>
      </c>
      <c r="F727" s="30" t="s">
        <v>935</v>
      </c>
      <c r="G727" s="30" t="s">
        <v>676</v>
      </c>
      <c r="H727" s="30" t="s">
        <v>935</v>
      </c>
      <c r="I727" s="30" t="s">
        <v>678</v>
      </c>
      <c r="J727" s="30" t="s">
        <v>713</v>
      </c>
      <c r="K727" s="30" t="s">
        <v>690</v>
      </c>
      <c r="L727" s="30" t="s">
        <v>681</v>
      </c>
      <c r="M727" s="30">
        <v>0.4</v>
      </c>
      <c r="N727" s="30" t="s">
        <v>234</v>
      </c>
      <c r="O727" s="30" t="s">
        <v>711</v>
      </c>
      <c r="P727" s="30" t="s">
        <v>683</v>
      </c>
      <c r="Q727" s="30" t="s">
        <v>665</v>
      </c>
      <c r="R727" s="30" t="s">
        <v>366</v>
      </c>
      <c r="S727" s="30" t="s">
        <v>719</v>
      </c>
    </row>
    <row r="728" spans="1:19" x14ac:dyDescent="0.3">
      <c r="A728" s="31" t="s">
        <v>712</v>
      </c>
      <c r="B728" s="32" t="s">
        <v>707</v>
      </c>
      <c r="C728" s="32" t="s">
        <v>708</v>
      </c>
      <c r="D728" s="32" t="s">
        <v>673</v>
      </c>
      <c r="E728" s="32" t="s">
        <v>674</v>
      </c>
      <c r="F728" s="32" t="s">
        <v>709</v>
      </c>
      <c r="G728" s="32" t="s">
        <v>709</v>
      </c>
      <c r="H728" s="32" t="s">
        <v>709</v>
      </c>
      <c r="I728" s="32" t="s">
        <v>709</v>
      </c>
      <c r="J728" s="32" t="s">
        <v>713</v>
      </c>
      <c r="K728" s="32" t="s">
        <v>690</v>
      </c>
      <c r="L728" s="32" t="s">
        <v>699</v>
      </c>
      <c r="M728" s="32">
        <v>0.1</v>
      </c>
      <c r="N728" s="32" t="s">
        <v>234</v>
      </c>
      <c r="O728" s="32" t="s">
        <v>711</v>
      </c>
      <c r="P728" s="32" t="s">
        <v>683</v>
      </c>
      <c r="Q728" s="32" t="s">
        <v>665</v>
      </c>
      <c r="R728" s="32" t="s">
        <v>366</v>
      </c>
      <c r="S728" s="30" t="s">
        <v>719</v>
      </c>
    </row>
    <row r="729" spans="1:19" x14ac:dyDescent="0.3">
      <c r="A729" s="29" t="s">
        <v>1428</v>
      </c>
      <c r="B729" s="30" t="s">
        <v>234</v>
      </c>
      <c r="C729" s="30" t="s">
        <v>1429</v>
      </c>
      <c r="D729" s="30" t="s">
        <v>673</v>
      </c>
      <c r="E729" s="30" t="s">
        <v>674</v>
      </c>
      <c r="F729" s="30" t="s">
        <v>716</v>
      </c>
      <c r="G729" s="30" t="s">
        <v>731</v>
      </c>
      <c r="H729" s="30" t="s">
        <v>935</v>
      </c>
      <c r="I729" s="30" t="s">
        <v>678</v>
      </c>
      <c r="J729" s="30" t="s">
        <v>713</v>
      </c>
      <c r="K729" s="30" t="s">
        <v>690</v>
      </c>
      <c r="L729" s="30" t="s">
        <v>681</v>
      </c>
      <c r="M729" s="30">
        <v>0.5</v>
      </c>
      <c r="N729" s="30" t="s">
        <v>234</v>
      </c>
      <c r="O729" s="30" t="s">
        <v>711</v>
      </c>
      <c r="P729" s="30" t="s">
        <v>683</v>
      </c>
      <c r="Q729" s="30" t="s">
        <v>665</v>
      </c>
      <c r="R729" s="30" t="s">
        <v>366</v>
      </c>
      <c r="S729" s="30" t="s">
        <v>719</v>
      </c>
    </row>
    <row r="730" spans="1:19" x14ac:dyDescent="0.3">
      <c r="A730" s="31" t="s">
        <v>1349</v>
      </c>
      <c r="B730" s="32" t="s">
        <v>1350</v>
      </c>
      <c r="C730" s="32" t="s">
        <v>1351</v>
      </c>
      <c r="D730" s="32" t="s">
        <v>673</v>
      </c>
      <c r="E730" s="32" t="s">
        <v>674</v>
      </c>
      <c r="F730" s="32" t="s">
        <v>675</v>
      </c>
      <c r="G730" s="32" t="s">
        <v>676</v>
      </c>
      <c r="H730" s="32" t="s">
        <v>935</v>
      </c>
      <c r="I730" s="32" t="s">
        <v>678</v>
      </c>
      <c r="J730" s="32" t="s">
        <v>713</v>
      </c>
      <c r="K730" s="32" t="s">
        <v>690</v>
      </c>
      <c r="L730" s="32" t="s">
        <v>681</v>
      </c>
      <c r="M730" s="32">
        <v>0.2</v>
      </c>
      <c r="N730" s="32" t="s">
        <v>216</v>
      </c>
      <c r="O730" s="32" t="s">
        <v>711</v>
      </c>
      <c r="P730" s="32" t="s">
        <v>683</v>
      </c>
      <c r="Q730" s="32" t="s">
        <v>665</v>
      </c>
      <c r="R730" s="32" t="s">
        <v>366</v>
      </c>
      <c r="S730" s="30" t="s">
        <v>719</v>
      </c>
    </row>
    <row r="731" spans="1:19" x14ac:dyDescent="0.3">
      <c r="A731" s="29" t="s">
        <v>1352</v>
      </c>
      <c r="B731" s="30" t="s">
        <v>1353</v>
      </c>
      <c r="C731" s="30" t="s">
        <v>1354</v>
      </c>
      <c r="D731" s="30" t="s">
        <v>673</v>
      </c>
      <c r="E731" s="30" t="s">
        <v>674</v>
      </c>
      <c r="F731" s="30" t="s">
        <v>716</v>
      </c>
      <c r="G731" s="30" t="s">
        <v>731</v>
      </c>
      <c r="H731" s="30" t="s">
        <v>935</v>
      </c>
      <c r="I731" s="30" t="s">
        <v>678</v>
      </c>
      <c r="J731" s="30" t="s">
        <v>713</v>
      </c>
      <c r="K731" s="30" t="s">
        <v>690</v>
      </c>
      <c r="L731" s="30" t="s">
        <v>681</v>
      </c>
      <c r="M731" s="30">
        <v>0.7</v>
      </c>
      <c r="N731" s="30" t="s">
        <v>216</v>
      </c>
      <c r="O731" s="30" t="s">
        <v>711</v>
      </c>
      <c r="P731" s="30" t="s">
        <v>683</v>
      </c>
      <c r="Q731" s="30" t="s">
        <v>665</v>
      </c>
      <c r="R731" s="30" t="s">
        <v>366</v>
      </c>
      <c r="S731" s="30" t="s">
        <v>719</v>
      </c>
    </row>
    <row r="732" spans="1:19" x14ac:dyDescent="0.3">
      <c r="A732" s="31" t="s">
        <v>1355</v>
      </c>
      <c r="B732" s="32" t="s">
        <v>1353</v>
      </c>
      <c r="C732" s="32" t="s">
        <v>1356</v>
      </c>
      <c r="D732" s="32" t="s">
        <v>673</v>
      </c>
      <c r="E732" s="32" t="s">
        <v>674</v>
      </c>
      <c r="F732" s="32" t="s">
        <v>716</v>
      </c>
      <c r="G732" s="32" t="s">
        <v>731</v>
      </c>
      <c r="H732" s="32" t="s">
        <v>935</v>
      </c>
      <c r="I732" s="32" t="s">
        <v>678</v>
      </c>
      <c r="J732" s="32" t="s">
        <v>713</v>
      </c>
      <c r="K732" s="32" t="s">
        <v>690</v>
      </c>
      <c r="L732" s="32" t="s">
        <v>681</v>
      </c>
      <c r="M732" s="32">
        <v>0.1</v>
      </c>
      <c r="N732" s="32" t="s">
        <v>216</v>
      </c>
      <c r="O732" s="32" t="s">
        <v>711</v>
      </c>
      <c r="P732" s="32" t="s">
        <v>683</v>
      </c>
      <c r="Q732" s="32" t="s">
        <v>665</v>
      </c>
      <c r="R732" s="32" t="s">
        <v>366</v>
      </c>
      <c r="S732" s="30" t="s">
        <v>719</v>
      </c>
    </row>
    <row r="733" spans="1:19" x14ac:dyDescent="0.3">
      <c r="A733" s="29" t="s">
        <v>1360</v>
      </c>
      <c r="B733" s="30" t="s">
        <v>334</v>
      </c>
      <c r="C733" s="30" t="s">
        <v>1361</v>
      </c>
      <c r="D733" s="30" t="s">
        <v>673</v>
      </c>
      <c r="E733" s="30" t="s">
        <v>674</v>
      </c>
      <c r="F733" s="30" t="s">
        <v>935</v>
      </c>
      <c r="G733" s="30" t="s">
        <v>676</v>
      </c>
      <c r="H733" s="30" t="s">
        <v>935</v>
      </c>
      <c r="I733" s="30" t="s">
        <v>678</v>
      </c>
      <c r="J733" s="30" t="s">
        <v>713</v>
      </c>
      <c r="K733" s="30" t="s">
        <v>690</v>
      </c>
      <c r="L733" s="30" t="s">
        <v>681</v>
      </c>
      <c r="M733" s="30">
        <v>0.3</v>
      </c>
      <c r="N733" s="30" t="s">
        <v>334</v>
      </c>
      <c r="O733" s="30" t="s">
        <v>711</v>
      </c>
      <c r="P733" s="30" t="s">
        <v>683</v>
      </c>
      <c r="Q733" s="30" t="s">
        <v>665</v>
      </c>
      <c r="R733" s="30" t="s">
        <v>366</v>
      </c>
      <c r="S733" s="30" t="s">
        <v>719</v>
      </c>
    </row>
    <row r="734" spans="1:19" x14ac:dyDescent="0.3">
      <c r="A734" s="31" t="s">
        <v>1357</v>
      </c>
      <c r="B734" s="32" t="s">
        <v>1358</v>
      </c>
      <c r="C734" s="32" t="s">
        <v>1359</v>
      </c>
      <c r="D734" s="32" t="s">
        <v>673</v>
      </c>
      <c r="E734" s="32" t="s">
        <v>674</v>
      </c>
      <c r="F734" s="32" t="s">
        <v>716</v>
      </c>
      <c r="G734" s="32" t="s">
        <v>676</v>
      </c>
      <c r="H734" s="32" t="s">
        <v>938</v>
      </c>
      <c r="I734" s="32" t="s">
        <v>678</v>
      </c>
      <c r="J734" s="32" t="s">
        <v>713</v>
      </c>
      <c r="K734" s="32" t="s">
        <v>690</v>
      </c>
      <c r="L734" s="32" t="s">
        <v>681</v>
      </c>
      <c r="M734" s="32">
        <v>0.2</v>
      </c>
      <c r="N734" s="32" t="s">
        <v>334</v>
      </c>
      <c r="O734" s="32" t="s">
        <v>711</v>
      </c>
      <c r="P734" s="32" t="s">
        <v>683</v>
      </c>
      <c r="Q734" s="32" t="s">
        <v>665</v>
      </c>
      <c r="R734" s="32" t="s">
        <v>366</v>
      </c>
      <c r="S734" s="30" t="s">
        <v>719</v>
      </c>
    </row>
    <row r="735" spans="1:19" x14ac:dyDescent="0.3">
      <c r="A735" s="29" t="s">
        <v>1362</v>
      </c>
      <c r="B735" s="30" t="s">
        <v>1363</v>
      </c>
      <c r="C735" s="30" t="s">
        <v>1364</v>
      </c>
      <c r="D735" s="30" t="s">
        <v>673</v>
      </c>
      <c r="E735" s="30" t="s">
        <v>674</v>
      </c>
      <c r="F735" s="30" t="s">
        <v>675</v>
      </c>
      <c r="G735" s="30" t="s">
        <v>724</v>
      </c>
      <c r="H735" s="30" t="s">
        <v>677</v>
      </c>
      <c r="I735" s="30" t="s">
        <v>678</v>
      </c>
      <c r="J735" s="30" t="s">
        <v>713</v>
      </c>
      <c r="K735" s="30" t="s">
        <v>690</v>
      </c>
      <c r="L735" s="30" t="s">
        <v>691</v>
      </c>
      <c r="M735" s="30">
        <v>0.1</v>
      </c>
      <c r="N735" s="30" t="s">
        <v>334</v>
      </c>
      <c r="O735" s="30" t="s">
        <v>711</v>
      </c>
      <c r="P735" s="30" t="s">
        <v>683</v>
      </c>
      <c r="Q735" s="30" t="s">
        <v>665</v>
      </c>
      <c r="R735" s="30" t="s">
        <v>366</v>
      </c>
      <c r="S735" s="30" t="s">
        <v>719</v>
      </c>
    </row>
    <row r="736" spans="1:19" x14ac:dyDescent="0.3">
      <c r="A736" s="31" t="s">
        <v>1365</v>
      </c>
      <c r="B736" s="32" t="s">
        <v>1350</v>
      </c>
      <c r="C736" s="32" t="s">
        <v>1366</v>
      </c>
      <c r="D736" s="32" t="s">
        <v>673</v>
      </c>
      <c r="E736" s="32" t="s">
        <v>674</v>
      </c>
      <c r="F736" s="32" t="s">
        <v>716</v>
      </c>
      <c r="G736" s="32" t="s">
        <v>676</v>
      </c>
      <c r="H736" s="32" t="s">
        <v>938</v>
      </c>
      <c r="I736" s="32" t="s">
        <v>678</v>
      </c>
      <c r="J736" s="32" t="s">
        <v>713</v>
      </c>
      <c r="K736" s="32" t="s">
        <v>690</v>
      </c>
      <c r="L736" s="32" t="s">
        <v>681</v>
      </c>
      <c r="M736" s="32">
        <v>0.2</v>
      </c>
      <c r="N736" s="32" t="s">
        <v>334</v>
      </c>
      <c r="O736" s="32" t="s">
        <v>711</v>
      </c>
      <c r="P736" s="32" t="s">
        <v>683</v>
      </c>
      <c r="Q736" s="32" t="s">
        <v>665</v>
      </c>
      <c r="R736" s="32" t="s">
        <v>366</v>
      </c>
      <c r="S736" s="30" t="s">
        <v>719</v>
      </c>
    </row>
    <row r="737" spans="1:19" x14ac:dyDescent="0.3">
      <c r="A737" s="29" t="s">
        <v>2313</v>
      </c>
      <c r="B737" s="30" t="s">
        <v>1350</v>
      </c>
      <c r="C737" s="30" t="s">
        <v>2314</v>
      </c>
      <c r="D737" s="30" t="s">
        <v>673</v>
      </c>
      <c r="E737" s="30" t="s">
        <v>674</v>
      </c>
      <c r="F737" s="30" t="s">
        <v>716</v>
      </c>
      <c r="G737" s="30" t="s">
        <v>731</v>
      </c>
      <c r="H737" s="30" t="s">
        <v>935</v>
      </c>
      <c r="I737" s="30" t="s">
        <v>678</v>
      </c>
      <c r="J737" s="30" t="s">
        <v>713</v>
      </c>
      <c r="K737" s="30" t="s">
        <v>690</v>
      </c>
      <c r="L737" s="30" t="s">
        <v>681</v>
      </c>
      <c r="M737" s="30">
        <v>0.1</v>
      </c>
      <c r="N737" s="30" t="s">
        <v>334</v>
      </c>
      <c r="O737" s="30" t="s">
        <v>711</v>
      </c>
      <c r="P737" s="30" t="s">
        <v>683</v>
      </c>
      <c r="Q737" s="30" t="s">
        <v>665</v>
      </c>
      <c r="R737" s="30" t="s">
        <v>366</v>
      </c>
      <c r="S737" s="30" t="s">
        <v>719</v>
      </c>
    </row>
    <row r="738" spans="1:19" x14ac:dyDescent="0.3">
      <c r="A738" s="31" t="s">
        <v>1372</v>
      </c>
      <c r="B738" s="32" t="s">
        <v>527</v>
      </c>
      <c r="C738" s="32" t="s">
        <v>1373</v>
      </c>
      <c r="D738" s="32" t="s">
        <v>673</v>
      </c>
      <c r="E738" s="32" t="s">
        <v>674</v>
      </c>
      <c r="F738" s="32" t="s">
        <v>675</v>
      </c>
      <c r="G738" s="32" t="s">
        <v>724</v>
      </c>
      <c r="H738" s="32" t="s">
        <v>677</v>
      </c>
      <c r="I738" s="32" t="s">
        <v>688</v>
      </c>
      <c r="J738" s="32" t="s">
        <v>713</v>
      </c>
      <c r="K738" s="32" t="s">
        <v>690</v>
      </c>
      <c r="L738" s="32" t="s">
        <v>681</v>
      </c>
      <c r="M738" s="32">
        <v>1</v>
      </c>
      <c r="N738" s="32" t="s">
        <v>221</v>
      </c>
      <c r="O738" s="32" t="s">
        <v>711</v>
      </c>
      <c r="P738" s="32" t="s">
        <v>683</v>
      </c>
      <c r="Q738" s="32" t="s">
        <v>665</v>
      </c>
      <c r="R738" s="32" t="s">
        <v>366</v>
      </c>
      <c r="S738" s="30" t="s">
        <v>719</v>
      </c>
    </row>
    <row r="739" spans="1:19" x14ac:dyDescent="0.3">
      <c r="A739" s="29" t="s">
        <v>1374</v>
      </c>
      <c r="B739" s="30" t="s">
        <v>1375</v>
      </c>
      <c r="C739" s="30" t="s">
        <v>1376</v>
      </c>
      <c r="D739" s="30" t="s">
        <v>673</v>
      </c>
      <c r="E739" s="30" t="s">
        <v>674</v>
      </c>
      <c r="F739" s="30" t="s">
        <v>675</v>
      </c>
      <c r="G739" s="30" t="s">
        <v>724</v>
      </c>
      <c r="H739" s="30" t="s">
        <v>702</v>
      </c>
      <c r="I739" s="30" t="s">
        <v>688</v>
      </c>
      <c r="J739" s="30" t="s">
        <v>689</v>
      </c>
      <c r="K739" s="30" t="s">
        <v>690</v>
      </c>
      <c r="L739" s="30" t="s">
        <v>681</v>
      </c>
      <c r="M739" s="30">
        <v>0.8</v>
      </c>
      <c r="N739" s="30" t="s">
        <v>312</v>
      </c>
      <c r="O739" s="30" t="s">
        <v>711</v>
      </c>
      <c r="P739" s="30" t="s">
        <v>683</v>
      </c>
      <c r="Q739" s="30" t="s">
        <v>665</v>
      </c>
      <c r="R739" s="30" t="s">
        <v>366</v>
      </c>
      <c r="S739" s="30" t="s">
        <v>719</v>
      </c>
    </row>
    <row r="740" spans="1:19" x14ac:dyDescent="0.3">
      <c r="A740" s="31" t="s">
        <v>1372</v>
      </c>
      <c r="B740" s="32" t="s">
        <v>527</v>
      </c>
      <c r="C740" s="32" t="s">
        <v>1373</v>
      </c>
      <c r="D740" s="32" t="s">
        <v>673</v>
      </c>
      <c r="E740" s="32" t="s">
        <v>674</v>
      </c>
      <c r="F740" s="32" t="s">
        <v>675</v>
      </c>
      <c r="G740" s="32" t="s">
        <v>724</v>
      </c>
      <c r="H740" s="32" t="s">
        <v>677</v>
      </c>
      <c r="I740" s="32" t="s">
        <v>688</v>
      </c>
      <c r="J740" s="32" t="s">
        <v>713</v>
      </c>
      <c r="K740" s="32" t="s">
        <v>690</v>
      </c>
      <c r="L740" s="32" t="s">
        <v>681</v>
      </c>
      <c r="M740" s="32">
        <v>1</v>
      </c>
      <c r="N740" s="32" t="s">
        <v>527</v>
      </c>
      <c r="O740" s="32" t="s">
        <v>711</v>
      </c>
      <c r="P740" s="32" t="s">
        <v>683</v>
      </c>
      <c r="Q740" s="32" t="s">
        <v>665</v>
      </c>
      <c r="R740" s="32" t="s">
        <v>366</v>
      </c>
      <c r="S740" s="30" t="s">
        <v>719</v>
      </c>
    </row>
    <row r="741" spans="1:19" x14ac:dyDescent="0.3">
      <c r="A741" s="29" t="s">
        <v>1029</v>
      </c>
      <c r="B741" s="30" t="s">
        <v>470</v>
      </c>
      <c r="C741" s="30" t="s">
        <v>1030</v>
      </c>
      <c r="D741" s="30" t="s">
        <v>684</v>
      </c>
      <c r="E741" s="30" t="s">
        <v>674</v>
      </c>
      <c r="F741" s="30" t="s">
        <v>716</v>
      </c>
      <c r="G741" s="30" t="s">
        <v>744</v>
      </c>
      <c r="H741" s="30" t="s">
        <v>702</v>
      </c>
      <c r="I741" s="30" t="s">
        <v>736</v>
      </c>
      <c r="J741" s="30" t="s">
        <v>745</v>
      </c>
      <c r="K741" s="30" t="s">
        <v>738</v>
      </c>
      <c r="L741" s="30" t="s">
        <v>699</v>
      </c>
      <c r="M741" s="30">
        <v>1</v>
      </c>
      <c r="N741" s="30" t="s">
        <v>602</v>
      </c>
      <c r="O741" s="30" t="s">
        <v>746</v>
      </c>
      <c r="P741" s="30" t="s">
        <v>683</v>
      </c>
      <c r="Q741" s="30" t="s">
        <v>665</v>
      </c>
      <c r="R741" s="30" t="s">
        <v>333</v>
      </c>
      <c r="S741" s="30" t="s">
        <v>684</v>
      </c>
    </row>
    <row r="742" spans="1:19" x14ac:dyDescent="0.3">
      <c r="A742" s="31" t="s">
        <v>1404</v>
      </c>
      <c r="B742" s="32" t="s">
        <v>1403</v>
      </c>
      <c r="C742" s="32" t="s">
        <v>1405</v>
      </c>
      <c r="D742" s="32" t="s">
        <v>684</v>
      </c>
      <c r="E742" s="32" t="s">
        <v>674</v>
      </c>
      <c r="F742" s="32" t="s">
        <v>716</v>
      </c>
      <c r="G742" s="32" t="s">
        <v>744</v>
      </c>
      <c r="H742" s="32" t="s">
        <v>702</v>
      </c>
      <c r="I742" s="32" t="s">
        <v>736</v>
      </c>
      <c r="J742" s="32" t="s">
        <v>745</v>
      </c>
      <c r="K742" s="32" t="s">
        <v>738</v>
      </c>
      <c r="L742" s="32" t="s">
        <v>739</v>
      </c>
      <c r="M742" s="32">
        <v>1</v>
      </c>
      <c r="N742" s="32" t="s">
        <v>636</v>
      </c>
      <c r="O742" s="32" t="s">
        <v>746</v>
      </c>
      <c r="P742" s="32" t="s">
        <v>683</v>
      </c>
      <c r="Q742" s="32" t="s">
        <v>665</v>
      </c>
      <c r="R742" s="32" t="s">
        <v>333</v>
      </c>
      <c r="S742" s="30" t="s">
        <v>684</v>
      </c>
    </row>
    <row r="743" spans="1:19" x14ac:dyDescent="0.3">
      <c r="A743" s="29" t="s">
        <v>1547</v>
      </c>
      <c r="B743" s="30" t="s">
        <v>470</v>
      </c>
      <c r="C743" s="30" t="s">
        <v>1548</v>
      </c>
      <c r="D743" s="30" t="s">
        <v>684</v>
      </c>
      <c r="E743" s="30" t="s">
        <v>674</v>
      </c>
      <c r="F743" s="30" t="s">
        <v>716</v>
      </c>
      <c r="G743" s="30" t="s">
        <v>744</v>
      </c>
      <c r="H743" s="30" t="s">
        <v>677</v>
      </c>
      <c r="I743" s="30" t="s">
        <v>678</v>
      </c>
      <c r="J743" s="30" t="s">
        <v>745</v>
      </c>
      <c r="K743" s="30" t="s">
        <v>738</v>
      </c>
      <c r="L743" s="30" t="s">
        <v>739</v>
      </c>
      <c r="M743" s="30">
        <v>1</v>
      </c>
      <c r="N743" s="30" t="s">
        <v>289</v>
      </c>
      <c r="O743" s="30" t="s">
        <v>746</v>
      </c>
      <c r="P743" s="30" t="s">
        <v>683</v>
      </c>
      <c r="Q743" s="30" t="s">
        <v>665</v>
      </c>
      <c r="R743" s="30" t="s">
        <v>333</v>
      </c>
      <c r="S743" s="30" t="s">
        <v>684</v>
      </c>
    </row>
    <row r="744" spans="1:19" x14ac:dyDescent="0.3">
      <c r="A744" s="31" t="s">
        <v>1404</v>
      </c>
      <c r="B744" s="32" t="s">
        <v>1403</v>
      </c>
      <c r="C744" s="32" t="s">
        <v>1405</v>
      </c>
      <c r="D744" s="32" t="s">
        <v>684</v>
      </c>
      <c r="E744" s="32" t="s">
        <v>674</v>
      </c>
      <c r="F744" s="32" t="s">
        <v>716</v>
      </c>
      <c r="G744" s="32" t="s">
        <v>744</v>
      </c>
      <c r="H744" s="32" t="s">
        <v>702</v>
      </c>
      <c r="I744" s="32" t="s">
        <v>736</v>
      </c>
      <c r="J744" s="32" t="s">
        <v>745</v>
      </c>
      <c r="K744" s="32" t="s">
        <v>738</v>
      </c>
      <c r="L744" s="32" t="s">
        <v>739</v>
      </c>
      <c r="M744" s="32">
        <v>1</v>
      </c>
      <c r="N744" s="32" t="s">
        <v>519</v>
      </c>
      <c r="O744" s="32" t="s">
        <v>1915</v>
      </c>
      <c r="P744" s="32" t="s">
        <v>683</v>
      </c>
      <c r="Q744" s="32" t="s">
        <v>767</v>
      </c>
      <c r="R744" s="32" t="s">
        <v>333</v>
      </c>
      <c r="S744" s="30" t="s">
        <v>684</v>
      </c>
    </row>
    <row r="745" spans="1:19" x14ac:dyDescent="0.3">
      <c r="A745" s="29" t="s">
        <v>1245</v>
      </c>
      <c r="B745" s="30" t="s">
        <v>470</v>
      </c>
      <c r="C745" s="30" t="s">
        <v>1246</v>
      </c>
      <c r="D745" s="30" t="s">
        <v>684</v>
      </c>
      <c r="E745" s="30" t="s">
        <v>674</v>
      </c>
      <c r="F745" s="30" t="s">
        <v>716</v>
      </c>
      <c r="G745" s="30" t="s">
        <v>744</v>
      </c>
      <c r="H745" s="30" t="s">
        <v>702</v>
      </c>
      <c r="I745" s="30" t="s">
        <v>678</v>
      </c>
      <c r="J745" s="30" t="s">
        <v>745</v>
      </c>
      <c r="K745" s="30" t="s">
        <v>738</v>
      </c>
      <c r="L745" s="30" t="s">
        <v>699</v>
      </c>
      <c r="M745" s="30">
        <v>0.3</v>
      </c>
      <c r="N745" s="30" t="s">
        <v>1546</v>
      </c>
      <c r="O745" s="30" t="s">
        <v>746</v>
      </c>
      <c r="P745" s="30" t="s">
        <v>683</v>
      </c>
      <c r="Q745" s="32" t="s">
        <v>767</v>
      </c>
      <c r="R745" s="30" t="s">
        <v>333</v>
      </c>
      <c r="S745" s="30" t="s">
        <v>684</v>
      </c>
    </row>
    <row r="746" spans="1:19" x14ac:dyDescent="0.3">
      <c r="A746" s="31" t="s">
        <v>1245</v>
      </c>
      <c r="B746" s="32" t="s">
        <v>470</v>
      </c>
      <c r="C746" s="32" t="s">
        <v>1246</v>
      </c>
      <c r="D746" s="32" t="s">
        <v>684</v>
      </c>
      <c r="E746" s="32" t="s">
        <v>674</v>
      </c>
      <c r="F746" s="32" t="s">
        <v>716</v>
      </c>
      <c r="G746" s="32" t="s">
        <v>744</v>
      </c>
      <c r="H746" s="32" t="s">
        <v>702</v>
      </c>
      <c r="I746" s="32" t="s">
        <v>678</v>
      </c>
      <c r="J746" s="32" t="s">
        <v>745</v>
      </c>
      <c r="K746" s="32" t="s">
        <v>738</v>
      </c>
      <c r="L746" s="32" t="s">
        <v>699</v>
      </c>
      <c r="M746" s="32">
        <v>0.2</v>
      </c>
      <c r="N746" s="32" t="s">
        <v>31</v>
      </c>
      <c r="O746" s="32" t="s">
        <v>746</v>
      </c>
      <c r="P746" s="32" t="s">
        <v>683</v>
      </c>
      <c r="Q746" s="32" t="s">
        <v>665</v>
      </c>
      <c r="R746" s="32" t="s">
        <v>333</v>
      </c>
      <c r="S746" s="30" t="s">
        <v>684</v>
      </c>
    </row>
    <row r="747" spans="1:19" x14ac:dyDescent="0.3">
      <c r="A747" s="29" t="s">
        <v>1394</v>
      </c>
      <c r="B747" s="30" t="s">
        <v>470</v>
      </c>
      <c r="C747" s="30" t="s">
        <v>1395</v>
      </c>
      <c r="D747" s="30" t="s">
        <v>684</v>
      </c>
      <c r="E747" s="30" t="s">
        <v>674</v>
      </c>
      <c r="F747" s="30" t="s">
        <v>716</v>
      </c>
      <c r="G747" s="30" t="s">
        <v>744</v>
      </c>
      <c r="H747" s="30" t="s">
        <v>702</v>
      </c>
      <c r="I747" s="30" t="s">
        <v>736</v>
      </c>
      <c r="J747" s="30" t="s">
        <v>745</v>
      </c>
      <c r="K747" s="30" t="s">
        <v>738</v>
      </c>
      <c r="L747" s="30" t="s">
        <v>739</v>
      </c>
      <c r="M747" s="30">
        <v>0.5</v>
      </c>
      <c r="N747" s="30" t="s">
        <v>371</v>
      </c>
      <c r="O747" s="30" t="s">
        <v>746</v>
      </c>
      <c r="P747" s="30" t="s">
        <v>683</v>
      </c>
      <c r="Q747" s="30" t="s">
        <v>665</v>
      </c>
      <c r="R747" s="30" t="s">
        <v>333</v>
      </c>
      <c r="S747" s="30" t="s">
        <v>684</v>
      </c>
    </row>
    <row r="748" spans="1:19" x14ac:dyDescent="0.3">
      <c r="A748" s="31" t="s">
        <v>1397</v>
      </c>
      <c r="B748" s="32" t="s">
        <v>981</v>
      </c>
      <c r="C748" s="32" t="s">
        <v>1398</v>
      </c>
      <c r="D748" s="32" t="s">
        <v>684</v>
      </c>
      <c r="E748" s="32" t="s">
        <v>674</v>
      </c>
      <c r="F748" s="32" t="s">
        <v>716</v>
      </c>
      <c r="G748" s="32" t="s">
        <v>744</v>
      </c>
      <c r="H748" s="32" t="s">
        <v>702</v>
      </c>
      <c r="I748" s="32" t="s">
        <v>736</v>
      </c>
      <c r="J748" s="32" t="s">
        <v>745</v>
      </c>
      <c r="K748" s="32" t="s">
        <v>738</v>
      </c>
      <c r="L748" s="32" t="s">
        <v>739</v>
      </c>
      <c r="M748" s="32">
        <v>0.3</v>
      </c>
      <c r="N748" s="32" t="s">
        <v>371</v>
      </c>
      <c r="O748" s="32" t="s">
        <v>746</v>
      </c>
      <c r="P748" s="32" t="s">
        <v>683</v>
      </c>
      <c r="Q748" s="32" t="s">
        <v>665</v>
      </c>
      <c r="R748" s="32" t="s">
        <v>333</v>
      </c>
      <c r="S748" s="30" t="s">
        <v>684</v>
      </c>
    </row>
    <row r="749" spans="1:19" x14ac:dyDescent="0.3">
      <c r="A749" s="29" t="s">
        <v>1404</v>
      </c>
      <c r="B749" s="30" t="s">
        <v>1403</v>
      </c>
      <c r="C749" s="30" t="s">
        <v>1405</v>
      </c>
      <c r="D749" s="30" t="s">
        <v>684</v>
      </c>
      <c r="E749" s="30" t="s">
        <v>674</v>
      </c>
      <c r="F749" s="30" t="s">
        <v>716</v>
      </c>
      <c r="G749" s="30" t="s">
        <v>744</v>
      </c>
      <c r="H749" s="30" t="s">
        <v>702</v>
      </c>
      <c r="I749" s="30" t="s">
        <v>736</v>
      </c>
      <c r="J749" s="30" t="s">
        <v>745</v>
      </c>
      <c r="K749" s="30" t="s">
        <v>738</v>
      </c>
      <c r="L749" s="30" t="s">
        <v>739</v>
      </c>
      <c r="M749" s="30">
        <v>1</v>
      </c>
      <c r="N749" s="30" t="s">
        <v>548</v>
      </c>
      <c r="O749" s="30" t="s">
        <v>746</v>
      </c>
      <c r="P749" s="30" t="s">
        <v>683</v>
      </c>
      <c r="Q749" s="30" t="s">
        <v>665</v>
      </c>
      <c r="R749" s="30" t="s">
        <v>333</v>
      </c>
      <c r="S749" s="30" t="s">
        <v>684</v>
      </c>
    </row>
    <row r="750" spans="1:19" x14ac:dyDescent="0.3">
      <c r="A750" s="31" t="s">
        <v>1404</v>
      </c>
      <c r="B750" s="32" t="s">
        <v>1403</v>
      </c>
      <c r="C750" s="32" t="s">
        <v>1405</v>
      </c>
      <c r="D750" s="32" t="s">
        <v>684</v>
      </c>
      <c r="E750" s="32" t="s">
        <v>674</v>
      </c>
      <c r="F750" s="32" t="s">
        <v>716</v>
      </c>
      <c r="G750" s="32" t="s">
        <v>744</v>
      </c>
      <c r="H750" s="32" t="s">
        <v>702</v>
      </c>
      <c r="I750" s="32" t="s">
        <v>736</v>
      </c>
      <c r="J750" s="32" t="s">
        <v>745</v>
      </c>
      <c r="K750" s="32" t="s">
        <v>738</v>
      </c>
      <c r="L750" s="32" t="s">
        <v>739</v>
      </c>
      <c r="M750" s="32">
        <v>1</v>
      </c>
      <c r="N750" s="32" t="s">
        <v>510</v>
      </c>
      <c r="O750" s="32" t="s">
        <v>1915</v>
      </c>
      <c r="P750" s="32" t="s">
        <v>683</v>
      </c>
      <c r="Q750" s="32" t="s">
        <v>767</v>
      </c>
      <c r="R750" s="32" t="s">
        <v>333</v>
      </c>
      <c r="S750" s="30" t="s">
        <v>684</v>
      </c>
    </row>
    <row r="751" spans="1:19" x14ac:dyDescent="0.3">
      <c r="A751" s="29" t="s">
        <v>1031</v>
      </c>
      <c r="B751" s="30" t="s">
        <v>470</v>
      </c>
      <c r="C751" s="30" t="s">
        <v>1032</v>
      </c>
      <c r="D751" s="30" t="s">
        <v>684</v>
      </c>
      <c r="E751" s="30" t="s">
        <v>674</v>
      </c>
      <c r="F751" s="30" t="s">
        <v>716</v>
      </c>
      <c r="G751" s="30" t="s">
        <v>744</v>
      </c>
      <c r="H751" s="30" t="s">
        <v>702</v>
      </c>
      <c r="I751" s="30" t="s">
        <v>736</v>
      </c>
      <c r="J751" s="30" t="s">
        <v>745</v>
      </c>
      <c r="K751" s="30" t="s">
        <v>738</v>
      </c>
      <c r="L751" s="30" t="s">
        <v>699</v>
      </c>
      <c r="M751" s="30">
        <v>0.8</v>
      </c>
      <c r="N751" s="30" t="s">
        <v>31</v>
      </c>
      <c r="O751" s="30" t="s">
        <v>746</v>
      </c>
      <c r="P751" s="30" t="s">
        <v>683</v>
      </c>
      <c r="Q751" s="30" t="s">
        <v>665</v>
      </c>
      <c r="R751" s="30" t="s">
        <v>333</v>
      </c>
      <c r="S751" s="30" t="s">
        <v>684</v>
      </c>
    </row>
    <row r="752" spans="1:19" x14ac:dyDescent="0.3">
      <c r="A752" s="31" t="s">
        <v>983</v>
      </c>
      <c r="B752" s="32" t="s">
        <v>981</v>
      </c>
      <c r="C752" s="32" t="s">
        <v>984</v>
      </c>
      <c r="D752" s="32" t="s">
        <v>684</v>
      </c>
      <c r="E752" s="32" t="s">
        <v>674</v>
      </c>
      <c r="F752" s="32" t="s">
        <v>716</v>
      </c>
      <c r="G752" s="32" t="s">
        <v>744</v>
      </c>
      <c r="H752" s="32" t="s">
        <v>702</v>
      </c>
      <c r="I752" s="32" t="s">
        <v>736</v>
      </c>
      <c r="J752" s="32" t="s">
        <v>745</v>
      </c>
      <c r="K752" s="32" t="s">
        <v>738</v>
      </c>
      <c r="L752" s="32" t="s">
        <v>699</v>
      </c>
      <c r="M752" s="32">
        <v>0.2</v>
      </c>
      <c r="N752" s="32" t="s">
        <v>371</v>
      </c>
      <c r="O752" s="32" t="s">
        <v>746</v>
      </c>
      <c r="P752" s="32" t="s">
        <v>683</v>
      </c>
      <c r="Q752" s="32" t="s">
        <v>665</v>
      </c>
      <c r="R752" s="32" t="s">
        <v>333</v>
      </c>
      <c r="S752" s="30" t="s">
        <v>684</v>
      </c>
    </row>
    <row r="753" spans="1:19" x14ac:dyDescent="0.3">
      <c r="A753" s="29" t="s">
        <v>1404</v>
      </c>
      <c r="B753" s="30" t="s">
        <v>1403</v>
      </c>
      <c r="C753" s="30" t="s">
        <v>1405</v>
      </c>
      <c r="D753" s="30" t="s">
        <v>684</v>
      </c>
      <c r="E753" s="30" t="s">
        <v>674</v>
      </c>
      <c r="F753" s="30" t="s">
        <v>716</v>
      </c>
      <c r="G753" s="30" t="s">
        <v>744</v>
      </c>
      <c r="H753" s="30" t="s">
        <v>702</v>
      </c>
      <c r="I753" s="30" t="s">
        <v>736</v>
      </c>
      <c r="J753" s="30" t="s">
        <v>745</v>
      </c>
      <c r="K753" s="30" t="s">
        <v>738</v>
      </c>
      <c r="L753" s="30" t="s">
        <v>739</v>
      </c>
      <c r="M753" s="30">
        <v>1</v>
      </c>
      <c r="N753" s="30" t="s">
        <v>333</v>
      </c>
      <c r="O753" s="30" t="s">
        <v>746</v>
      </c>
      <c r="P753" s="30" t="s">
        <v>683</v>
      </c>
      <c r="Q753" s="30" t="s">
        <v>665</v>
      </c>
      <c r="R753" s="30" t="s">
        <v>470</v>
      </c>
      <c r="S753" s="30" t="s">
        <v>684</v>
      </c>
    </row>
    <row r="754" spans="1:19" x14ac:dyDescent="0.3">
      <c r="A754" s="31" t="s">
        <v>1404</v>
      </c>
      <c r="B754" s="32" t="s">
        <v>1403</v>
      </c>
      <c r="C754" s="32" t="s">
        <v>1405</v>
      </c>
      <c r="D754" s="32" t="s">
        <v>684</v>
      </c>
      <c r="E754" s="32" t="s">
        <v>674</v>
      </c>
      <c r="F754" s="32" t="s">
        <v>716</v>
      </c>
      <c r="G754" s="32" t="s">
        <v>744</v>
      </c>
      <c r="H754" s="32" t="s">
        <v>702</v>
      </c>
      <c r="I754" s="32" t="s">
        <v>736</v>
      </c>
      <c r="J754" s="32" t="s">
        <v>745</v>
      </c>
      <c r="K754" s="32" t="s">
        <v>738</v>
      </c>
      <c r="L754" s="32" t="s">
        <v>739</v>
      </c>
      <c r="M754" s="32">
        <v>0.7</v>
      </c>
      <c r="N754" s="32" t="s">
        <v>1546</v>
      </c>
      <c r="O754" s="30" t="s">
        <v>746</v>
      </c>
      <c r="P754" s="32" t="s">
        <v>683</v>
      </c>
      <c r="Q754" s="32" t="s">
        <v>767</v>
      </c>
      <c r="R754" s="30" t="s">
        <v>333</v>
      </c>
      <c r="S754" s="30" t="s">
        <v>684</v>
      </c>
    </row>
    <row r="755" spans="1:19" x14ac:dyDescent="0.3">
      <c r="A755" s="29" t="s">
        <v>1245</v>
      </c>
      <c r="B755" s="30" t="s">
        <v>470</v>
      </c>
      <c r="C755" s="30" t="s">
        <v>1246</v>
      </c>
      <c r="D755" s="30" t="s">
        <v>684</v>
      </c>
      <c r="E755" s="30" t="s">
        <v>674</v>
      </c>
      <c r="F755" s="30" t="s">
        <v>716</v>
      </c>
      <c r="G755" s="30" t="s">
        <v>744</v>
      </c>
      <c r="H755" s="30" t="s">
        <v>702</v>
      </c>
      <c r="I755" s="30" t="s">
        <v>678</v>
      </c>
      <c r="J755" s="30" t="s">
        <v>745</v>
      </c>
      <c r="K755" s="30" t="s">
        <v>738</v>
      </c>
      <c r="L755" s="30" t="s">
        <v>699</v>
      </c>
      <c r="M755" s="30">
        <v>1</v>
      </c>
      <c r="N755" s="30" t="s">
        <v>404</v>
      </c>
      <c r="O755" s="30" t="s">
        <v>746</v>
      </c>
      <c r="P755" s="30" t="s">
        <v>683</v>
      </c>
      <c r="Q755" s="30" t="s">
        <v>665</v>
      </c>
      <c r="R755" s="30" t="s">
        <v>333</v>
      </c>
      <c r="S755" s="30" t="s">
        <v>684</v>
      </c>
    </row>
    <row r="756" spans="1:19" x14ac:dyDescent="0.3">
      <c r="A756" s="31" t="s">
        <v>1404</v>
      </c>
      <c r="B756" s="32" t="s">
        <v>1403</v>
      </c>
      <c r="C756" s="32" t="s">
        <v>1405</v>
      </c>
      <c r="D756" s="32" t="s">
        <v>684</v>
      </c>
      <c r="E756" s="32" t="s">
        <v>674</v>
      </c>
      <c r="F756" s="32" t="s">
        <v>716</v>
      </c>
      <c r="G756" s="32" t="s">
        <v>744</v>
      </c>
      <c r="H756" s="32" t="s">
        <v>702</v>
      </c>
      <c r="I756" s="32" t="s">
        <v>736</v>
      </c>
      <c r="J756" s="32" t="s">
        <v>745</v>
      </c>
      <c r="K756" s="32" t="s">
        <v>738</v>
      </c>
      <c r="L756" s="32" t="s">
        <v>739</v>
      </c>
      <c r="M756" s="32">
        <v>1</v>
      </c>
      <c r="N756" s="32" t="s">
        <v>167</v>
      </c>
      <c r="O756" s="32" t="s">
        <v>2180</v>
      </c>
      <c r="P756" s="32" t="s">
        <v>683</v>
      </c>
      <c r="Q756" s="32" t="s">
        <v>767</v>
      </c>
      <c r="R756" s="32" t="s">
        <v>333</v>
      </c>
      <c r="S756" s="30" t="s">
        <v>684</v>
      </c>
    </row>
    <row r="757" spans="1:19" x14ac:dyDescent="0.3">
      <c r="A757" s="29" t="s">
        <v>1547</v>
      </c>
      <c r="B757" s="30" t="s">
        <v>470</v>
      </c>
      <c r="C757" s="30" t="s">
        <v>1548</v>
      </c>
      <c r="D757" s="30" t="s">
        <v>684</v>
      </c>
      <c r="E757" s="30" t="s">
        <v>674</v>
      </c>
      <c r="F757" s="30" t="s">
        <v>716</v>
      </c>
      <c r="G757" s="30" t="s">
        <v>744</v>
      </c>
      <c r="H757" s="30" t="s">
        <v>677</v>
      </c>
      <c r="I757" s="30" t="s">
        <v>678</v>
      </c>
      <c r="J757" s="30" t="s">
        <v>745</v>
      </c>
      <c r="K757" s="30" t="s">
        <v>738</v>
      </c>
      <c r="L757" s="30" t="s">
        <v>739</v>
      </c>
      <c r="M757" s="30">
        <v>1</v>
      </c>
      <c r="N757" s="30" t="s">
        <v>160</v>
      </c>
      <c r="O757" s="30" t="s">
        <v>2180</v>
      </c>
      <c r="P757" s="30" t="s">
        <v>683</v>
      </c>
      <c r="Q757" s="30" t="s">
        <v>767</v>
      </c>
      <c r="R757" s="30" t="s">
        <v>333</v>
      </c>
      <c r="S757" s="30" t="s">
        <v>684</v>
      </c>
    </row>
    <row r="758" spans="1:19" x14ac:dyDescent="0.3">
      <c r="A758" s="31" t="s">
        <v>1547</v>
      </c>
      <c r="B758" s="32" t="s">
        <v>470</v>
      </c>
      <c r="C758" s="32" t="s">
        <v>1548</v>
      </c>
      <c r="D758" s="32" t="s">
        <v>684</v>
      </c>
      <c r="E758" s="32" t="s">
        <v>674</v>
      </c>
      <c r="F758" s="32" t="s">
        <v>716</v>
      </c>
      <c r="G758" s="32" t="s">
        <v>744</v>
      </c>
      <c r="H758" s="32" t="s">
        <v>677</v>
      </c>
      <c r="I758" s="32" t="s">
        <v>678</v>
      </c>
      <c r="J758" s="32" t="s">
        <v>745</v>
      </c>
      <c r="K758" s="32" t="s">
        <v>738</v>
      </c>
      <c r="L758" s="32" t="s">
        <v>739</v>
      </c>
      <c r="M758" s="32">
        <v>1</v>
      </c>
      <c r="N758" s="32" t="s">
        <v>321</v>
      </c>
      <c r="O758" s="32" t="s">
        <v>1915</v>
      </c>
      <c r="P758" s="32" t="s">
        <v>683</v>
      </c>
      <c r="Q758" s="32" t="s">
        <v>767</v>
      </c>
      <c r="R758" s="32" t="s">
        <v>333</v>
      </c>
      <c r="S758" s="30" t="s">
        <v>684</v>
      </c>
    </row>
    <row r="759" spans="1:19" x14ac:dyDescent="0.3">
      <c r="A759" s="29" t="s">
        <v>1432</v>
      </c>
      <c r="B759" s="30" t="s">
        <v>749</v>
      </c>
      <c r="C759" s="30" t="s">
        <v>1433</v>
      </c>
      <c r="D759" s="30" t="s">
        <v>673</v>
      </c>
      <c r="E759" s="30" t="s">
        <v>674</v>
      </c>
      <c r="F759" s="30" t="s">
        <v>716</v>
      </c>
      <c r="G759" s="30" t="s">
        <v>744</v>
      </c>
      <c r="H759" s="30" t="s">
        <v>677</v>
      </c>
      <c r="I759" s="30" t="s">
        <v>688</v>
      </c>
      <c r="J759" s="30" t="s">
        <v>751</v>
      </c>
      <c r="K759" s="30" t="s">
        <v>690</v>
      </c>
      <c r="L759" s="30" t="s">
        <v>681</v>
      </c>
      <c r="M759" s="30">
        <v>1</v>
      </c>
      <c r="N759" s="30" t="s">
        <v>179</v>
      </c>
      <c r="O759" s="30" t="s">
        <v>1915</v>
      </c>
      <c r="P759" s="30" t="s">
        <v>683</v>
      </c>
      <c r="Q759" s="30" t="s">
        <v>767</v>
      </c>
      <c r="R759" s="30" t="s">
        <v>550</v>
      </c>
      <c r="S759" s="32" t="s">
        <v>673</v>
      </c>
    </row>
    <row r="760" spans="1:19" x14ac:dyDescent="0.3">
      <c r="A760" s="31" t="s">
        <v>1432</v>
      </c>
      <c r="B760" s="32" t="s">
        <v>749</v>
      </c>
      <c r="C760" s="32" t="s">
        <v>1433</v>
      </c>
      <c r="D760" s="32" t="s">
        <v>673</v>
      </c>
      <c r="E760" s="32" t="s">
        <v>674</v>
      </c>
      <c r="F760" s="32" t="s">
        <v>716</v>
      </c>
      <c r="G760" s="32" t="s">
        <v>744</v>
      </c>
      <c r="H760" s="32" t="s">
        <v>677</v>
      </c>
      <c r="I760" s="32" t="s">
        <v>688</v>
      </c>
      <c r="J760" s="32" t="s">
        <v>751</v>
      </c>
      <c r="K760" s="32" t="s">
        <v>690</v>
      </c>
      <c r="L760" s="32" t="s">
        <v>681</v>
      </c>
      <c r="M760" s="32">
        <v>1</v>
      </c>
      <c r="N760" s="32" t="s">
        <v>598</v>
      </c>
      <c r="O760" s="32" t="s">
        <v>1915</v>
      </c>
      <c r="P760" s="32" t="s">
        <v>683</v>
      </c>
      <c r="Q760" s="32" t="s">
        <v>767</v>
      </c>
      <c r="R760" s="32" t="s">
        <v>550</v>
      </c>
      <c r="S760" s="32" t="s">
        <v>673</v>
      </c>
    </row>
    <row r="761" spans="1:19" x14ac:dyDescent="0.3">
      <c r="A761" s="29" t="s">
        <v>1011</v>
      </c>
      <c r="B761" s="30" t="s">
        <v>998</v>
      </c>
      <c r="C761" s="30" t="s">
        <v>1012</v>
      </c>
      <c r="D761" s="30" t="s">
        <v>673</v>
      </c>
      <c r="E761" s="30" t="s">
        <v>674</v>
      </c>
      <c r="F761" s="30" t="s">
        <v>716</v>
      </c>
      <c r="G761" s="30" t="s">
        <v>744</v>
      </c>
      <c r="H761" s="30" t="s">
        <v>677</v>
      </c>
      <c r="I761" s="30" t="s">
        <v>688</v>
      </c>
      <c r="J761" s="30" t="s">
        <v>751</v>
      </c>
      <c r="K761" s="30" t="s">
        <v>690</v>
      </c>
      <c r="L761" s="30" t="s">
        <v>681</v>
      </c>
      <c r="M761" s="30">
        <v>1</v>
      </c>
      <c r="N761" s="30" t="s">
        <v>323</v>
      </c>
      <c r="O761" s="30" t="s">
        <v>2250</v>
      </c>
      <c r="P761" s="30" t="s">
        <v>683</v>
      </c>
      <c r="Q761" s="30" t="s">
        <v>767</v>
      </c>
      <c r="R761" s="30" t="s">
        <v>550</v>
      </c>
      <c r="S761" s="32" t="s">
        <v>673</v>
      </c>
    </row>
    <row r="762" spans="1:19" x14ac:dyDescent="0.3">
      <c r="A762" s="31" t="s">
        <v>1440</v>
      </c>
      <c r="B762" s="32" t="s">
        <v>749</v>
      </c>
      <c r="C762" s="32" t="s">
        <v>1441</v>
      </c>
      <c r="D762" s="32" t="s">
        <v>673</v>
      </c>
      <c r="E762" s="32" t="s">
        <v>674</v>
      </c>
      <c r="F762" s="32" t="s">
        <v>716</v>
      </c>
      <c r="G762" s="32" t="s">
        <v>744</v>
      </c>
      <c r="H762" s="32" t="s">
        <v>677</v>
      </c>
      <c r="I762" s="32" t="s">
        <v>678</v>
      </c>
      <c r="J762" s="32" t="s">
        <v>751</v>
      </c>
      <c r="K762" s="32" t="s">
        <v>690</v>
      </c>
      <c r="L762" s="32" t="s">
        <v>681</v>
      </c>
      <c r="M762" s="32">
        <v>1</v>
      </c>
      <c r="N762" s="32" t="s">
        <v>577</v>
      </c>
      <c r="O762" s="32" t="s">
        <v>1915</v>
      </c>
      <c r="P762" s="32" t="s">
        <v>683</v>
      </c>
      <c r="Q762" s="32" t="s">
        <v>767</v>
      </c>
      <c r="R762" s="32" t="s">
        <v>550</v>
      </c>
      <c r="S762" s="32" t="s">
        <v>673</v>
      </c>
    </row>
    <row r="763" spans="1:19" x14ac:dyDescent="0.3">
      <c r="A763" s="29" t="s">
        <v>1430</v>
      </c>
      <c r="B763" s="30" t="s">
        <v>749</v>
      </c>
      <c r="C763" s="30" t="s">
        <v>1431</v>
      </c>
      <c r="D763" s="30" t="s">
        <v>673</v>
      </c>
      <c r="E763" s="30" t="s">
        <v>674</v>
      </c>
      <c r="F763" s="30" t="s">
        <v>716</v>
      </c>
      <c r="G763" s="30" t="s">
        <v>744</v>
      </c>
      <c r="H763" s="30" t="s">
        <v>677</v>
      </c>
      <c r="I763" s="30" t="s">
        <v>678</v>
      </c>
      <c r="J763" s="30" t="s">
        <v>751</v>
      </c>
      <c r="K763" s="30" t="s">
        <v>690</v>
      </c>
      <c r="L763" s="30" t="s">
        <v>681</v>
      </c>
      <c r="M763" s="30">
        <v>1</v>
      </c>
      <c r="N763" s="30" t="s">
        <v>255</v>
      </c>
      <c r="O763" s="30" t="s">
        <v>1915</v>
      </c>
      <c r="P763" s="30" t="s">
        <v>683</v>
      </c>
      <c r="Q763" s="30" t="s">
        <v>767</v>
      </c>
      <c r="R763" s="30" t="s">
        <v>550</v>
      </c>
      <c r="S763" s="32" t="s">
        <v>673</v>
      </c>
    </row>
    <row r="764" spans="1:19" x14ac:dyDescent="0.3">
      <c r="A764" s="31" t="s">
        <v>1434</v>
      </c>
      <c r="B764" s="32" t="s">
        <v>749</v>
      </c>
      <c r="C764" s="32" t="s">
        <v>1435</v>
      </c>
      <c r="D764" s="32" t="s">
        <v>673</v>
      </c>
      <c r="E764" s="32" t="s">
        <v>674</v>
      </c>
      <c r="F764" s="32" t="s">
        <v>716</v>
      </c>
      <c r="G764" s="32" t="s">
        <v>744</v>
      </c>
      <c r="H764" s="32" t="s">
        <v>677</v>
      </c>
      <c r="I764" s="32" t="s">
        <v>688</v>
      </c>
      <c r="J764" s="32" t="s">
        <v>751</v>
      </c>
      <c r="K764" s="32" t="s">
        <v>690</v>
      </c>
      <c r="L764" s="32" t="s">
        <v>681</v>
      </c>
      <c r="M764" s="32">
        <v>1</v>
      </c>
      <c r="N764" s="32" t="s">
        <v>210</v>
      </c>
      <c r="O764" s="32" t="s">
        <v>746</v>
      </c>
      <c r="P764" s="32" t="s">
        <v>683</v>
      </c>
      <c r="Q764" s="32" t="s">
        <v>665</v>
      </c>
      <c r="R764" s="32" t="s">
        <v>550</v>
      </c>
      <c r="S764" s="32" t="s">
        <v>673</v>
      </c>
    </row>
    <row r="765" spans="1:19" x14ac:dyDescent="0.3">
      <c r="A765" s="29" t="s">
        <v>1011</v>
      </c>
      <c r="B765" s="30" t="s">
        <v>998</v>
      </c>
      <c r="C765" s="30" t="s">
        <v>1012</v>
      </c>
      <c r="D765" s="30" t="s">
        <v>673</v>
      </c>
      <c r="E765" s="30" t="s">
        <v>674</v>
      </c>
      <c r="F765" s="30" t="s">
        <v>716</v>
      </c>
      <c r="G765" s="30" t="s">
        <v>744</v>
      </c>
      <c r="H765" s="30" t="s">
        <v>677</v>
      </c>
      <c r="I765" s="30" t="s">
        <v>688</v>
      </c>
      <c r="J765" s="30" t="s">
        <v>751</v>
      </c>
      <c r="K765" s="30" t="s">
        <v>690</v>
      </c>
      <c r="L765" s="30" t="s">
        <v>681</v>
      </c>
      <c r="M765" s="30">
        <v>0.7</v>
      </c>
      <c r="N765" s="30" t="s">
        <v>491</v>
      </c>
      <c r="O765" s="30" t="s">
        <v>746</v>
      </c>
      <c r="P765" s="30" t="s">
        <v>683</v>
      </c>
      <c r="Q765" s="30" t="s">
        <v>665</v>
      </c>
      <c r="R765" s="30" t="s">
        <v>550</v>
      </c>
      <c r="S765" s="32" t="s">
        <v>673</v>
      </c>
    </row>
    <row r="766" spans="1:19" x14ac:dyDescent="0.3">
      <c r="A766" s="31" t="s">
        <v>1011</v>
      </c>
      <c r="B766" s="32" t="s">
        <v>998</v>
      </c>
      <c r="C766" s="32" t="s">
        <v>1012</v>
      </c>
      <c r="D766" s="32" t="s">
        <v>673</v>
      </c>
      <c r="E766" s="32" t="s">
        <v>674</v>
      </c>
      <c r="F766" s="32" t="s">
        <v>716</v>
      </c>
      <c r="G766" s="32" t="s">
        <v>744</v>
      </c>
      <c r="H766" s="32" t="s">
        <v>677</v>
      </c>
      <c r="I766" s="32" t="s">
        <v>688</v>
      </c>
      <c r="J766" s="32" t="s">
        <v>751</v>
      </c>
      <c r="K766" s="32" t="s">
        <v>690</v>
      </c>
      <c r="L766" s="32" t="s">
        <v>681</v>
      </c>
      <c r="M766" s="32">
        <v>1</v>
      </c>
      <c r="N766" s="32" t="s">
        <v>1013</v>
      </c>
      <c r="O766" s="32" t="s">
        <v>746</v>
      </c>
      <c r="P766" s="32" t="s">
        <v>683</v>
      </c>
      <c r="Q766" s="32" t="s">
        <v>665</v>
      </c>
      <c r="R766" s="32" t="s">
        <v>550</v>
      </c>
      <c r="S766" s="32" t="s">
        <v>673</v>
      </c>
    </row>
    <row r="767" spans="1:19" x14ac:dyDescent="0.3">
      <c r="A767" s="29" t="s">
        <v>814</v>
      </c>
      <c r="B767" s="30" t="s">
        <v>749</v>
      </c>
      <c r="C767" s="30" t="s">
        <v>815</v>
      </c>
      <c r="D767" s="30" t="s">
        <v>673</v>
      </c>
      <c r="E767" s="30" t="s">
        <v>674</v>
      </c>
      <c r="F767" s="30" t="s">
        <v>716</v>
      </c>
      <c r="G767" s="30" t="s">
        <v>744</v>
      </c>
      <c r="H767" s="30" t="s">
        <v>677</v>
      </c>
      <c r="I767" s="30" t="s">
        <v>678</v>
      </c>
      <c r="J767" s="30" t="s">
        <v>751</v>
      </c>
      <c r="K767" s="30" t="s">
        <v>690</v>
      </c>
      <c r="L767" s="30" t="s">
        <v>681</v>
      </c>
      <c r="M767" s="30">
        <v>0.3</v>
      </c>
      <c r="N767" s="30" t="s">
        <v>491</v>
      </c>
      <c r="O767" s="30" t="s">
        <v>746</v>
      </c>
      <c r="P767" s="30" t="s">
        <v>683</v>
      </c>
      <c r="Q767" s="30" t="s">
        <v>665</v>
      </c>
      <c r="R767" s="30" t="s">
        <v>550</v>
      </c>
      <c r="S767" s="32" t="s">
        <v>673</v>
      </c>
    </row>
    <row r="768" spans="1:19" x14ac:dyDescent="0.3">
      <c r="A768" s="31" t="s">
        <v>814</v>
      </c>
      <c r="B768" s="32" t="s">
        <v>749</v>
      </c>
      <c r="C768" s="32" t="s">
        <v>815</v>
      </c>
      <c r="D768" s="32" t="s">
        <v>673</v>
      </c>
      <c r="E768" s="32" t="s">
        <v>674</v>
      </c>
      <c r="F768" s="32" t="s">
        <v>716</v>
      </c>
      <c r="G768" s="32" t="s">
        <v>744</v>
      </c>
      <c r="H768" s="32" t="s">
        <v>677</v>
      </c>
      <c r="I768" s="32" t="s">
        <v>678</v>
      </c>
      <c r="J768" s="32" t="s">
        <v>751</v>
      </c>
      <c r="K768" s="32" t="s">
        <v>690</v>
      </c>
      <c r="L768" s="32" t="s">
        <v>681</v>
      </c>
      <c r="M768" s="32">
        <v>0.2</v>
      </c>
      <c r="N768" s="32" t="s">
        <v>138</v>
      </c>
      <c r="O768" s="32" t="s">
        <v>746</v>
      </c>
      <c r="P768" s="32" t="s">
        <v>683</v>
      </c>
      <c r="Q768" s="32" t="s">
        <v>665</v>
      </c>
      <c r="R768" s="32" t="s">
        <v>550</v>
      </c>
      <c r="S768" s="32" t="s">
        <v>673</v>
      </c>
    </row>
    <row r="769" spans="1:19" x14ac:dyDescent="0.3">
      <c r="A769" s="29" t="s">
        <v>1430</v>
      </c>
      <c r="B769" s="30" t="s">
        <v>749</v>
      </c>
      <c r="C769" s="30" t="s">
        <v>1431</v>
      </c>
      <c r="D769" s="30" t="s">
        <v>673</v>
      </c>
      <c r="E769" s="30" t="s">
        <v>674</v>
      </c>
      <c r="F769" s="30" t="s">
        <v>716</v>
      </c>
      <c r="G769" s="30" t="s">
        <v>744</v>
      </c>
      <c r="H769" s="30" t="s">
        <v>677</v>
      </c>
      <c r="I769" s="30" t="s">
        <v>678</v>
      </c>
      <c r="J769" s="30" t="s">
        <v>751</v>
      </c>
      <c r="K769" s="30" t="s">
        <v>690</v>
      </c>
      <c r="L769" s="30" t="s">
        <v>681</v>
      </c>
      <c r="M769" s="30">
        <v>0.8</v>
      </c>
      <c r="N769" s="30" t="s">
        <v>138</v>
      </c>
      <c r="O769" s="30" t="s">
        <v>746</v>
      </c>
      <c r="P769" s="30" t="s">
        <v>683</v>
      </c>
      <c r="Q769" s="30" t="s">
        <v>665</v>
      </c>
      <c r="R769" s="30" t="s">
        <v>550</v>
      </c>
      <c r="S769" s="32" t="s">
        <v>673</v>
      </c>
    </row>
    <row r="770" spans="1:19" x14ac:dyDescent="0.3">
      <c r="A770" s="31" t="s">
        <v>1000</v>
      </c>
      <c r="B770" s="32" t="s">
        <v>998</v>
      </c>
      <c r="C770" s="32" t="s">
        <v>1001</v>
      </c>
      <c r="D770" s="32" t="s">
        <v>673</v>
      </c>
      <c r="E770" s="32" t="s">
        <v>674</v>
      </c>
      <c r="F770" s="32" t="s">
        <v>716</v>
      </c>
      <c r="G770" s="32" t="s">
        <v>744</v>
      </c>
      <c r="H770" s="32" t="s">
        <v>677</v>
      </c>
      <c r="I770" s="32" t="s">
        <v>688</v>
      </c>
      <c r="J770" s="32" t="s">
        <v>751</v>
      </c>
      <c r="K770" s="32" t="s">
        <v>690</v>
      </c>
      <c r="L770" s="32" t="s">
        <v>681</v>
      </c>
      <c r="M770" s="32">
        <v>0.8</v>
      </c>
      <c r="N770" s="32" t="s">
        <v>558</v>
      </c>
      <c r="O770" s="32" t="s">
        <v>746</v>
      </c>
      <c r="P770" s="32" t="s">
        <v>683</v>
      </c>
      <c r="Q770" s="32" t="s">
        <v>665</v>
      </c>
      <c r="R770" s="32" t="s">
        <v>550</v>
      </c>
      <c r="S770" s="32" t="s">
        <v>673</v>
      </c>
    </row>
    <row r="771" spans="1:19" x14ac:dyDescent="0.3">
      <c r="A771" s="29" t="s">
        <v>748</v>
      </c>
      <c r="B771" s="30" t="s">
        <v>749</v>
      </c>
      <c r="C771" s="30" t="s">
        <v>750</v>
      </c>
      <c r="D771" s="30" t="s">
        <v>673</v>
      </c>
      <c r="E771" s="30" t="s">
        <v>674</v>
      </c>
      <c r="F771" s="30" t="s">
        <v>716</v>
      </c>
      <c r="G771" s="30" t="s">
        <v>744</v>
      </c>
      <c r="H771" s="30" t="s">
        <v>677</v>
      </c>
      <c r="I771" s="30" t="s">
        <v>688</v>
      </c>
      <c r="J771" s="30" t="s">
        <v>751</v>
      </c>
      <c r="K771" s="30" t="s">
        <v>690</v>
      </c>
      <c r="L771" s="30" t="s">
        <v>681</v>
      </c>
      <c r="M771" s="30">
        <v>0.5</v>
      </c>
      <c r="N771" s="30" t="s">
        <v>478</v>
      </c>
      <c r="O771" s="30" t="s">
        <v>746</v>
      </c>
      <c r="P771" s="30" t="s">
        <v>683</v>
      </c>
      <c r="Q771" s="30" t="s">
        <v>665</v>
      </c>
      <c r="R771" s="30" t="s">
        <v>550</v>
      </c>
      <c r="S771" s="32" t="s">
        <v>673</v>
      </c>
    </row>
    <row r="772" spans="1:19" x14ac:dyDescent="0.3">
      <c r="A772" s="31" t="s">
        <v>1000</v>
      </c>
      <c r="B772" s="32" t="s">
        <v>998</v>
      </c>
      <c r="C772" s="32" t="s">
        <v>1001</v>
      </c>
      <c r="D772" s="32" t="s">
        <v>673</v>
      </c>
      <c r="E772" s="32" t="s">
        <v>674</v>
      </c>
      <c r="F772" s="32" t="s">
        <v>716</v>
      </c>
      <c r="G772" s="32" t="s">
        <v>744</v>
      </c>
      <c r="H772" s="32" t="s">
        <v>677</v>
      </c>
      <c r="I772" s="32" t="s">
        <v>688</v>
      </c>
      <c r="J772" s="32" t="s">
        <v>751</v>
      </c>
      <c r="K772" s="32" t="s">
        <v>690</v>
      </c>
      <c r="L772" s="32" t="s">
        <v>681</v>
      </c>
      <c r="M772" s="32">
        <v>0.4</v>
      </c>
      <c r="N772" s="32" t="s">
        <v>478</v>
      </c>
      <c r="O772" s="32" t="s">
        <v>746</v>
      </c>
      <c r="P772" s="32" t="s">
        <v>683</v>
      </c>
      <c r="Q772" s="32" t="s">
        <v>665</v>
      </c>
      <c r="R772" s="32" t="s">
        <v>550</v>
      </c>
      <c r="S772" s="32" t="s">
        <v>673</v>
      </c>
    </row>
    <row r="773" spans="1:19" x14ac:dyDescent="0.3">
      <c r="A773" s="29" t="s">
        <v>1438</v>
      </c>
      <c r="B773" s="30" t="s">
        <v>749</v>
      </c>
      <c r="C773" s="30" t="s">
        <v>1439</v>
      </c>
      <c r="D773" s="30" t="s">
        <v>673</v>
      </c>
      <c r="E773" s="30" t="s">
        <v>674</v>
      </c>
      <c r="F773" s="30" t="s">
        <v>716</v>
      </c>
      <c r="G773" s="30" t="s">
        <v>744</v>
      </c>
      <c r="H773" s="30" t="s">
        <v>677</v>
      </c>
      <c r="I773" s="30" t="s">
        <v>688</v>
      </c>
      <c r="J773" s="30" t="s">
        <v>751</v>
      </c>
      <c r="K773" s="30" t="s">
        <v>690</v>
      </c>
      <c r="L773" s="30" t="s">
        <v>681</v>
      </c>
      <c r="M773" s="30">
        <v>0.1</v>
      </c>
      <c r="N773" s="30" t="s">
        <v>478</v>
      </c>
      <c r="O773" s="30" t="s">
        <v>746</v>
      </c>
      <c r="P773" s="30" t="s">
        <v>683</v>
      </c>
      <c r="Q773" s="30" t="s">
        <v>665</v>
      </c>
      <c r="R773" s="30" t="s">
        <v>550</v>
      </c>
      <c r="S773" s="32" t="s">
        <v>673</v>
      </c>
    </row>
    <row r="774" spans="1:19" x14ac:dyDescent="0.3">
      <c r="A774" s="31" t="s">
        <v>867</v>
      </c>
      <c r="B774" s="32" t="s">
        <v>749</v>
      </c>
      <c r="C774" s="32" t="s">
        <v>868</v>
      </c>
      <c r="D774" s="32" t="s">
        <v>673</v>
      </c>
      <c r="E774" s="32" t="s">
        <v>674</v>
      </c>
      <c r="F774" s="32" t="s">
        <v>716</v>
      </c>
      <c r="G774" s="32" t="s">
        <v>744</v>
      </c>
      <c r="H774" s="32" t="s">
        <v>677</v>
      </c>
      <c r="I774" s="32" t="s">
        <v>688</v>
      </c>
      <c r="J774" s="32" t="s">
        <v>751</v>
      </c>
      <c r="K774" s="32" t="s">
        <v>690</v>
      </c>
      <c r="L774" s="32" t="s">
        <v>681</v>
      </c>
      <c r="M774" s="32">
        <v>0.5</v>
      </c>
      <c r="N774" s="32" t="s">
        <v>104</v>
      </c>
      <c r="O774" s="30" t="s">
        <v>746</v>
      </c>
      <c r="P774" s="32" t="s">
        <v>683</v>
      </c>
      <c r="Q774" s="32" t="s">
        <v>665</v>
      </c>
      <c r="R774" s="32" t="s">
        <v>550</v>
      </c>
      <c r="S774" s="30" t="s">
        <v>673</v>
      </c>
    </row>
    <row r="775" spans="1:19" x14ac:dyDescent="0.3">
      <c r="A775" s="29" t="s">
        <v>869</v>
      </c>
      <c r="B775" s="30" t="s">
        <v>749</v>
      </c>
      <c r="C775" s="30" t="s">
        <v>870</v>
      </c>
      <c r="D775" s="30" t="s">
        <v>673</v>
      </c>
      <c r="E775" s="30" t="s">
        <v>674</v>
      </c>
      <c r="F775" s="30" t="s">
        <v>716</v>
      </c>
      <c r="G775" s="30" t="s">
        <v>744</v>
      </c>
      <c r="H775" s="30" t="s">
        <v>677</v>
      </c>
      <c r="I775" s="30" t="s">
        <v>688</v>
      </c>
      <c r="J775" s="30" t="s">
        <v>751</v>
      </c>
      <c r="K775" s="30" t="s">
        <v>690</v>
      </c>
      <c r="L775" s="30" t="s">
        <v>681</v>
      </c>
      <c r="M775" s="30">
        <v>0.5</v>
      </c>
      <c r="N775" s="30" t="s">
        <v>104</v>
      </c>
      <c r="O775" s="30" t="s">
        <v>746</v>
      </c>
      <c r="P775" s="30" t="s">
        <v>683</v>
      </c>
      <c r="Q775" s="30" t="s">
        <v>665</v>
      </c>
      <c r="R775" s="32" t="s">
        <v>550</v>
      </c>
      <c r="S775" s="30" t="s">
        <v>673</v>
      </c>
    </row>
    <row r="776" spans="1:19" x14ac:dyDescent="0.3">
      <c r="A776" s="31" t="s">
        <v>1434</v>
      </c>
      <c r="B776" s="32" t="s">
        <v>749</v>
      </c>
      <c r="C776" s="32" t="s">
        <v>1435</v>
      </c>
      <c r="D776" s="32" t="s">
        <v>673</v>
      </c>
      <c r="E776" s="32" t="s">
        <v>674</v>
      </c>
      <c r="F776" s="32" t="s">
        <v>716</v>
      </c>
      <c r="G776" s="32" t="s">
        <v>744</v>
      </c>
      <c r="H776" s="32" t="s">
        <v>677</v>
      </c>
      <c r="I776" s="32" t="s">
        <v>688</v>
      </c>
      <c r="J776" s="32" t="s">
        <v>751</v>
      </c>
      <c r="K776" s="32" t="s">
        <v>690</v>
      </c>
      <c r="L776" s="32" t="s">
        <v>681</v>
      </c>
      <c r="M776" s="32">
        <v>1</v>
      </c>
      <c r="N776" s="32" t="s">
        <v>195</v>
      </c>
      <c r="O776" s="32" t="s">
        <v>1915</v>
      </c>
      <c r="P776" s="32" t="s">
        <v>683</v>
      </c>
      <c r="Q776" s="32" t="s">
        <v>767</v>
      </c>
      <c r="R776" s="32" t="s">
        <v>550</v>
      </c>
      <c r="S776" s="32" t="s">
        <v>673</v>
      </c>
    </row>
    <row r="777" spans="1:19" x14ac:dyDescent="0.3">
      <c r="A777" s="29" t="s">
        <v>1011</v>
      </c>
      <c r="B777" s="30" t="s">
        <v>998</v>
      </c>
      <c r="C777" s="30" t="s">
        <v>1012</v>
      </c>
      <c r="D777" s="30" t="s">
        <v>673</v>
      </c>
      <c r="E777" s="30" t="s">
        <v>674</v>
      </c>
      <c r="F777" s="30" t="s">
        <v>716</v>
      </c>
      <c r="G777" s="30" t="s">
        <v>744</v>
      </c>
      <c r="H777" s="30" t="s">
        <v>677</v>
      </c>
      <c r="I777" s="30" t="s">
        <v>688</v>
      </c>
      <c r="J777" s="30" t="s">
        <v>751</v>
      </c>
      <c r="K777" s="30" t="s">
        <v>690</v>
      </c>
      <c r="L777" s="30" t="s">
        <v>681</v>
      </c>
      <c r="M777" s="30">
        <v>1</v>
      </c>
      <c r="N777" s="30" t="s">
        <v>1436</v>
      </c>
      <c r="O777" s="30" t="s">
        <v>1915</v>
      </c>
      <c r="P777" s="30" t="s">
        <v>683</v>
      </c>
      <c r="Q777" s="30" t="s">
        <v>767</v>
      </c>
      <c r="R777" s="30" t="s">
        <v>550</v>
      </c>
      <c r="S777" s="32" t="s">
        <v>673</v>
      </c>
    </row>
    <row r="778" spans="1:19" x14ac:dyDescent="0.3">
      <c r="A778" s="31" t="s">
        <v>1000</v>
      </c>
      <c r="B778" s="32" t="s">
        <v>998</v>
      </c>
      <c r="C778" s="32" t="s">
        <v>1001</v>
      </c>
      <c r="D778" s="32" t="s">
        <v>673</v>
      </c>
      <c r="E778" s="32" t="s">
        <v>674</v>
      </c>
      <c r="F778" s="32" t="s">
        <v>716</v>
      </c>
      <c r="G778" s="32" t="s">
        <v>744</v>
      </c>
      <c r="H778" s="32" t="s">
        <v>677</v>
      </c>
      <c r="I778" s="32" t="s">
        <v>688</v>
      </c>
      <c r="J778" s="32" t="s">
        <v>751</v>
      </c>
      <c r="K778" s="32" t="s">
        <v>690</v>
      </c>
      <c r="L778" s="32" t="s">
        <v>681</v>
      </c>
      <c r="M778" s="32">
        <v>1</v>
      </c>
      <c r="N778" s="32" t="s">
        <v>353</v>
      </c>
      <c r="O778" s="32" t="s">
        <v>746</v>
      </c>
      <c r="P778" s="32" t="s">
        <v>683</v>
      </c>
      <c r="Q778" s="32" t="s">
        <v>665</v>
      </c>
      <c r="R778" s="32" t="s">
        <v>550</v>
      </c>
      <c r="S778" s="32" t="s">
        <v>673</v>
      </c>
    </row>
    <row r="779" spans="1:19" x14ac:dyDescent="0.3">
      <c r="A779" s="29" t="s">
        <v>2315</v>
      </c>
      <c r="B779" s="30" t="s">
        <v>749</v>
      </c>
      <c r="C779" s="30" t="s">
        <v>2316</v>
      </c>
      <c r="D779" s="30" t="s">
        <v>673</v>
      </c>
      <c r="E779" s="30" t="s">
        <v>674</v>
      </c>
      <c r="F779" s="30" t="s">
        <v>716</v>
      </c>
      <c r="G779" s="30" t="s">
        <v>744</v>
      </c>
      <c r="H779" s="30" t="s">
        <v>677</v>
      </c>
      <c r="I779" s="30" t="s">
        <v>688</v>
      </c>
      <c r="J779" s="30" t="s">
        <v>751</v>
      </c>
      <c r="K779" s="30" t="s">
        <v>690</v>
      </c>
      <c r="L779" s="30" t="s">
        <v>681</v>
      </c>
      <c r="M779" s="30">
        <v>0.2</v>
      </c>
      <c r="N779" s="30" t="s">
        <v>558</v>
      </c>
      <c r="O779" s="30" t="s">
        <v>746</v>
      </c>
      <c r="P779" s="30" t="s">
        <v>683</v>
      </c>
      <c r="Q779" s="30" t="s">
        <v>665</v>
      </c>
      <c r="R779" s="30" t="s">
        <v>550</v>
      </c>
      <c r="S779" s="32" t="s">
        <v>673</v>
      </c>
    </row>
    <row r="780" spans="1:19" x14ac:dyDescent="0.3">
      <c r="A780" s="31" t="s">
        <v>1018</v>
      </c>
      <c r="B780" s="32" t="s">
        <v>154</v>
      </c>
      <c r="C780" s="32" t="s">
        <v>1019</v>
      </c>
      <c r="D780" s="32" t="s">
        <v>673</v>
      </c>
      <c r="E780" s="32" t="s">
        <v>674</v>
      </c>
      <c r="F780" s="32" t="s">
        <v>716</v>
      </c>
      <c r="G780" s="32" t="s">
        <v>744</v>
      </c>
      <c r="H780" s="32" t="s">
        <v>935</v>
      </c>
      <c r="I780" s="32" t="s">
        <v>678</v>
      </c>
      <c r="J780" s="32" t="s">
        <v>713</v>
      </c>
      <c r="K780" s="32" t="s">
        <v>690</v>
      </c>
      <c r="L780" s="32" t="s">
        <v>681</v>
      </c>
      <c r="M780" s="32">
        <v>1</v>
      </c>
      <c r="N780" s="32" t="s">
        <v>40</v>
      </c>
      <c r="O780" s="32" t="s">
        <v>746</v>
      </c>
      <c r="P780" s="32" t="s">
        <v>683</v>
      </c>
      <c r="Q780" s="32" t="s">
        <v>665</v>
      </c>
      <c r="R780" s="32" t="s">
        <v>47</v>
      </c>
      <c r="S780" s="30" t="s">
        <v>755</v>
      </c>
    </row>
    <row r="781" spans="1:19" x14ac:dyDescent="0.3">
      <c r="A781" s="29" t="s">
        <v>1018</v>
      </c>
      <c r="B781" s="30" t="s">
        <v>154</v>
      </c>
      <c r="C781" s="30" t="s">
        <v>1019</v>
      </c>
      <c r="D781" s="30" t="s">
        <v>673</v>
      </c>
      <c r="E781" s="30" t="s">
        <v>674</v>
      </c>
      <c r="F781" s="30" t="s">
        <v>716</v>
      </c>
      <c r="G781" s="30" t="s">
        <v>744</v>
      </c>
      <c r="H781" s="30" t="s">
        <v>935</v>
      </c>
      <c r="I781" s="30" t="s">
        <v>678</v>
      </c>
      <c r="J781" s="30" t="s">
        <v>713</v>
      </c>
      <c r="K781" s="30" t="s">
        <v>690</v>
      </c>
      <c r="L781" s="30" t="s">
        <v>681</v>
      </c>
      <c r="M781" s="30">
        <v>0.3</v>
      </c>
      <c r="N781" s="30" t="s">
        <v>95</v>
      </c>
      <c r="O781" s="30" t="s">
        <v>746</v>
      </c>
      <c r="P781" s="30" t="s">
        <v>683</v>
      </c>
      <c r="Q781" s="30" t="s">
        <v>665</v>
      </c>
      <c r="R781" s="30" t="s">
        <v>47</v>
      </c>
      <c r="S781" s="30" t="s">
        <v>755</v>
      </c>
    </row>
    <row r="782" spans="1:19" x14ac:dyDescent="0.3">
      <c r="A782" s="31" t="s">
        <v>1061</v>
      </c>
      <c r="B782" s="32" t="s">
        <v>864</v>
      </c>
      <c r="C782" s="32" t="s">
        <v>1062</v>
      </c>
      <c r="D782" s="32" t="s">
        <v>755</v>
      </c>
      <c r="E782" s="32" t="s">
        <v>674</v>
      </c>
      <c r="F782" s="32" t="s">
        <v>675</v>
      </c>
      <c r="G782" s="32" t="s">
        <v>676</v>
      </c>
      <c r="H782" s="32" t="s">
        <v>702</v>
      </c>
      <c r="I782" s="32" t="s">
        <v>678</v>
      </c>
      <c r="J782" s="32" t="s">
        <v>774</v>
      </c>
      <c r="K782" s="32" t="s">
        <v>680</v>
      </c>
      <c r="L782" s="32" t="s">
        <v>699</v>
      </c>
      <c r="M782" s="32">
        <v>1</v>
      </c>
      <c r="N782" s="32" t="s">
        <v>284</v>
      </c>
      <c r="O782" s="32" t="s">
        <v>746</v>
      </c>
      <c r="P782" s="32" t="s">
        <v>683</v>
      </c>
      <c r="Q782" s="32" t="s">
        <v>665</v>
      </c>
      <c r="R782" s="32" t="s">
        <v>47</v>
      </c>
      <c r="S782" s="30" t="s">
        <v>755</v>
      </c>
    </row>
    <row r="783" spans="1:19" x14ac:dyDescent="0.3">
      <c r="A783" s="29" t="s">
        <v>1018</v>
      </c>
      <c r="B783" s="30" t="s">
        <v>154</v>
      </c>
      <c r="C783" s="30" t="s">
        <v>1019</v>
      </c>
      <c r="D783" s="30" t="s">
        <v>673</v>
      </c>
      <c r="E783" s="30" t="s">
        <v>674</v>
      </c>
      <c r="F783" s="30" t="s">
        <v>716</v>
      </c>
      <c r="G783" s="30" t="s">
        <v>744</v>
      </c>
      <c r="H783" s="30" t="s">
        <v>935</v>
      </c>
      <c r="I783" s="30" t="s">
        <v>678</v>
      </c>
      <c r="J783" s="30" t="s">
        <v>713</v>
      </c>
      <c r="K783" s="30" t="s">
        <v>690</v>
      </c>
      <c r="L783" s="30" t="s">
        <v>681</v>
      </c>
      <c r="M783" s="30">
        <v>1</v>
      </c>
      <c r="N783" s="30" t="s">
        <v>308</v>
      </c>
      <c r="O783" s="30" t="s">
        <v>746</v>
      </c>
      <c r="P783" s="30" t="s">
        <v>683</v>
      </c>
      <c r="Q783" s="30" t="s">
        <v>665</v>
      </c>
      <c r="R783" s="30" t="s">
        <v>47</v>
      </c>
      <c r="S783" s="30" t="s">
        <v>755</v>
      </c>
    </row>
    <row r="784" spans="1:19" x14ac:dyDescent="0.3">
      <c r="A784" s="31" t="s">
        <v>1018</v>
      </c>
      <c r="B784" s="32" t="s">
        <v>154</v>
      </c>
      <c r="C784" s="32" t="s">
        <v>1019</v>
      </c>
      <c r="D784" s="32" t="s">
        <v>673</v>
      </c>
      <c r="E784" s="32" t="s">
        <v>674</v>
      </c>
      <c r="F784" s="32" t="s">
        <v>716</v>
      </c>
      <c r="G784" s="32" t="s">
        <v>744</v>
      </c>
      <c r="H784" s="32" t="s">
        <v>935</v>
      </c>
      <c r="I784" s="32" t="s">
        <v>678</v>
      </c>
      <c r="J784" s="32" t="s">
        <v>713</v>
      </c>
      <c r="K784" s="32" t="s">
        <v>690</v>
      </c>
      <c r="L784" s="32" t="s">
        <v>681</v>
      </c>
      <c r="M784" s="32">
        <v>1</v>
      </c>
      <c r="N784" s="32" t="s">
        <v>329</v>
      </c>
      <c r="O784" s="32" t="s">
        <v>746</v>
      </c>
      <c r="P784" s="32" t="s">
        <v>683</v>
      </c>
      <c r="Q784" s="32" t="s">
        <v>665</v>
      </c>
      <c r="R784" s="32" t="s">
        <v>47</v>
      </c>
      <c r="S784" s="30" t="s">
        <v>755</v>
      </c>
    </row>
    <row r="785" spans="1:19" x14ac:dyDescent="0.3">
      <c r="A785" s="29" t="s">
        <v>1018</v>
      </c>
      <c r="B785" s="30" t="s">
        <v>154</v>
      </c>
      <c r="C785" s="30" t="s">
        <v>1019</v>
      </c>
      <c r="D785" s="30" t="s">
        <v>673</v>
      </c>
      <c r="E785" s="30" t="s">
        <v>674</v>
      </c>
      <c r="F785" s="30" t="s">
        <v>716</v>
      </c>
      <c r="G785" s="30" t="s">
        <v>744</v>
      </c>
      <c r="H785" s="30" t="s">
        <v>935</v>
      </c>
      <c r="I785" s="30" t="s">
        <v>678</v>
      </c>
      <c r="J785" s="30" t="s">
        <v>713</v>
      </c>
      <c r="K785" s="30" t="s">
        <v>690</v>
      </c>
      <c r="L785" s="30" t="s">
        <v>681</v>
      </c>
      <c r="M785" s="30">
        <v>1</v>
      </c>
      <c r="N785" s="30" t="s">
        <v>341</v>
      </c>
      <c r="O785" s="30" t="s">
        <v>746</v>
      </c>
      <c r="P785" s="30" t="s">
        <v>683</v>
      </c>
      <c r="Q785" s="30" t="s">
        <v>665</v>
      </c>
      <c r="R785" s="30" t="s">
        <v>47</v>
      </c>
      <c r="S785" s="30" t="s">
        <v>755</v>
      </c>
    </row>
    <row r="786" spans="1:19" x14ac:dyDescent="0.3">
      <c r="A786" s="31" t="s">
        <v>824</v>
      </c>
      <c r="B786" s="32" t="s">
        <v>760</v>
      </c>
      <c r="C786" s="32" t="s">
        <v>825</v>
      </c>
      <c r="D786" s="32" t="s">
        <v>673</v>
      </c>
      <c r="E786" s="32" t="s">
        <v>674</v>
      </c>
      <c r="F786" s="32" t="s">
        <v>675</v>
      </c>
      <c r="G786" s="32" t="s">
        <v>676</v>
      </c>
      <c r="H786" s="32" t="s">
        <v>677</v>
      </c>
      <c r="I786" s="32" t="s">
        <v>678</v>
      </c>
      <c r="J786" s="32" t="s">
        <v>713</v>
      </c>
      <c r="K786" s="32" t="s">
        <v>690</v>
      </c>
      <c r="L786" s="32" t="s">
        <v>699</v>
      </c>
      <c r="M786" s="32">
        <v>0.2</v>
      </c>
      <c r="N786" s="32" t="s">
        <v>394</v>
      </c>
      <c r="O786" s="32" t="s">
        <v>746</v>
      </c>
      <c r="P786" s="32" t="s">
        <v>683</v>
      </c>
      <c r="Q786" s="32" t="s">
        <v>665</v>
      </c>
      <c r="R786" s="32" t="s">
        <v>47</v>
      </c>
      <c r="S786" s="30" t="s">
        <v>755</v>
      </c>
    </row>
    <row r="787" spans="1:19" x14ac:dyDescent="0.3">
      <c r="A787" s="29" t="s">
        <v>822</v>
      </c>
      <c r="B787" s="30" t="s">
        <v>760</v>
      </c>
      <c r="C787" s="30" t="s">
        <v>823</v>
      </c>
      <c r="D787" s="30" t="s">
        <v>673</v>
      </c>
      <c r="E787" s="30" t="s">
        <v>674</v>
      </c>
      <c r="F787" s="30" t="s">
        <v>675</v>
      </c>
      <c r="G787" s="30" t="s">
        <v>676</v>
      </c>
      <c r="H787" s="30" t="s">
        <v>677</v>
      </c>
      <c r="I787" s="30" t="s">
        <v>678</v>
      </c>
      <c r="J787" s="30" t="s">
        <v>713</v>
      </c>
      <c r="K787" s="30" t="s">
        <v>690</v>
      </c>
      <c r="L787" s="30" t="s">
        <v>699</v>
      </c>
      <c r="M787" s="30">
        <v>0.8</v>
      </c>
      <c r="N787" s="30" t="s">
        <v>394</v>
      </c>
      <c r="O787" s="30" t="s">
        <v>746</v>
      </c>
      <c r="P787" s="30" t="s">
        <v>683</v>
      </c>
      <c r="Q787" s="30" t="s">
        <v>665</v>
      </c>
      <c r="R787" s="30" t="s">
        <v>47</v>
      </c>
      <c r="S787" s="30" t="s">
        <v>755</v>
      </c>
    </row>
    <row r="788" spans="1:19" x14ac:dyDescent="0.3">
      <c r="A788" s="31" t="s">
        <v>2317</v>
      </c>
      <c r="B788" s="32" t="s">
        <v>704</v>
      </c>
      <c r="C788" s="32" t="s">
        <v>2318</v>
      </c>
      <c r="D788" s="32" t="s">
        <v>673</v>
      </c>
      <c r="E788" s="32" t="s">
        <v>674</v>
      </c>
      <c r="F788" s="32" t="s">
        <v>675</v>
      </c>
      <c r="G788" s="32" t="s">
        <v>676</v>
      </c>
      <c r="H788" s="32" t="s">
        <v>677</v>
      </c>
      <c r="I788" s="32" t="s">
        <v>688</v>
      </c>
      <c r="J788" s="32" t="s">
        <v>679</v>
      </c>
      <c r="K788" s="32" t="s">
        <v>680</v>
      </c>
      <c r="L788" s="32" t="s">
        <v>681</v>
      </c>
      <c r="M788" s="32">
        <v>0.5</v>
      </c>
      <c r="N788" s="32" t="s">
        <v>612</v>
      </c>
      <c r="O788" s="32" t="s">
        <v>682</v>
      </c>
      <c r="P788" s="32" t="s">
        <v>683</v>
      </c>
      <c r="Q788" s="32" t="s">
        <v>665</v>
      </c>
      <c r="R788" s="32" t="s">
        <v>178</v>
      </c>
      <c r="S788" s="32" t="s">
        <v>673</v>
      </c>
    </row>
    <row r="789" spans="1:19" x14ac:dyDescent="0.3">
      <c r="A789" s="29" t="s">
        <v>1245</v>
      </c>
      <c r="B789" s="30" t="s">
        <v>470</v>
      </c>
      <c r="C789" s="30" t="s">
        <v>1246</v>
      </c>
      <c r="D789" s="30" t="s">
        <v>684</v>
      </c>
      <c r="E789" s="30" t="s">
        <v>674</v>
      </c>
      <c r="F789" s="30" t="s">
        <v>716</v>
      </c>
      <c r="G789" s="30" t="s">
        <v>744</v>
      </c>
      <c r="H789" s="30" t="s">
        <v>702</v>
      </c>
      <c r="I789" s="30" t="s">
        <v>678</v>
      </c>
      <c r="J789" s="30" t="s">
        <v>745</v>
      </c>
      <c r="K789" s="30" t="s">
        <v>738</v>
      </c>
      <c r="L789" s="30" t="s">
        <v>699</v>
      </c>
      <c r="M789" s="30">
        <v>1</v>
      </c>
      <c r="N789" s="30" t="s">
        <v>324</v>
      </c>
      <c r="O789" s="30" t="s">
        <v>746</v>
      </c>
      <c r="P789" s="30" t="s">
        <v>683</v>
      </c>
      <c r="Q789" s="30" t="s">
        <v>665</v>
      </c>
      <c r="R789" s="30" t="s">
        <v>470</v>
      </c>
      <c r="S789" s="30" t="s">
        <v>684</v>
      </c>
    </row>
    <row r="790" spans="1:19" x14ac:dyDescent="0.3">
      <c r="A790" s="31" t="s">
        <v>2319</v>
      </c>
      <c r="B790" s="32" t="s">
        <v>1510</v>
      </c>
      <c r="C790" s="32" t="s">
        <v>2320</v>
      </c>
      <c r="D790" s="32" t="s">
        <v>684</v>
      </c>
      <c r="E790" s="32" t="s">
        <v>674</v>
      </c>
      <c r="F790" s="32" t="s">
        <v>716</v>
      </c>
      <c r="G790" s="32" t="s">
        <v>731</v>
      </c>
      <c r="H790" s="32" t="s">
        <v>702</v>
      </c>
      <c r="I790" s="32" t="s">
        <v>736</v>
      </c>
      <c r="J790" s="32" t="s">
        <v>745</v>
      </c>
      <c r="K790" s="32" t="s">
        <v>738</v>
      </c>
      <c r="L790" s="32" t="s">
        <v>699</v>
      </c>
      <c r="M790" s="32">
        <v>0.3</v>
      </c>
      <c r="N790" s="32" t="s">
        <v>581</v>
      </c>
      <c r="O790" s="32" t="s">
        <v>746</v>
      </c>
      <c r="P790" s="32" t="s">
        <v>683</v>
      </c>
      <c r="Q790" s="32" t="s">
        <v>665</v>
      </c>
      <c r="R790" s="32" t="s">
        <v>324</v>
      </c>
      <c r="S790" s="30" t="s">
        <v>684</v>
      </c>
    </row>
    <row r="791" spans="1:19" x14ac:dyDescent="0.3">
      <c r="A791" s="29" t="s">
        <v>2321</v>
      </c>
      <c r="B791" s="30" t="s">
        <v>470</v>
      </c>
      <c r="C791" s="30" t="s">
        <v>2322</v>
      </c>
      <c r="D791" s="30" t="s">
        <v>684</v>
      </c>
      <c r="E791" s="30" t="s">
        <v>674</v>
      </c>
      <c r="F791" s="30" t="s">
        <v>716</v>
      </c>
      <c r="G791" s="30" t="s">
        <v>744</v>
      </c>
      <c r="H791" s="30" t="s">
        <v>717</v>
      </c>
      <c r="I791" s="30" t="s">
        <v>736</v>
      </c>
      <c r="J791" s="30" t="s">
        <v>745</v>
      </c>
      <c r="K791" s="30" t="s">
        <v>738</v>
      </c>
      <c r="L791" s="30" t="s">
        <v>699</v>
      </c>
      <c r="M791" s="30">
        <v>0.3</v>
      </c>
      <c r="N791" s="30" t="s">
        <v>557</v>
      </c>
      <c r="O791" s="30" t="s">
        <v>746</v>
      </c>
      <c r="P791" s="30" t="s">
        <v>683</v>
      </c>
      <c r="Q791" s="30" t="s">
        <v>665</v>
      </c>
      <c r="R791" s="30" t="s">
        <v>324</v>
      </c>
      <c r="S791" s="30" t="s">
        <v>684</v>
      </c>
    </row>
    <row r="792" spans="1:19" x14ac:dyDescent="0.3">
      <c r="A792" s="31" t="s">
        <v>2323</v>
      </c>
      <c r="B792" s="32" t="s">
        <v>470</v>
      </c>
      <c r="C792" s="32" t="s">
        <v>2324</v>
      </c>
      <c r="D792" s="32" t="s">
        <v>684</v>
      </c>
      <c r="E792" s="32" t="s">
        <v>674</v>
      </c>
      <c r="F792" s="32" t="s">
        <v>716</v>
      </c>
      <c r="G792" s="32" t="s">
        <v>724</v>
      </c>
      <c r="H792" s="32" t="s">
        <v>717</v>
      </c>
      <c r="I792" s="32" t="s">
        <v>736</v>
      </c>
      <c r="J792" s="32" t="s">
        <v>745</v>
      </c>
      <c r="K792" s="32" t="s">
        <v>738</v>
      </c>
      <c r="L792" s="32" t="s">
        <v>699</v>
      </c>
      <c r="M792" s="32">
        <v>0.2</v>
      </c>
      <c r="N792" s="32" t="s">
        <v>557</v>
      </c>
      <c r="O792" s="32" t="s">
        <v>746</v>
      </c>
      <c r="P792" s="32" t="s">
        <v>683</v>
      </c>
      <c r="Q792" s="32" t="s">
        <v>665</v>
      </c>
      <c r="R792" s="32" t="s">
        <v>324</v>
      </c>
      <c r="S792" s="30" t="s">
        <v>684</v>
      </c>
    </row>
    <row r="793" spans="1:19" x14ac:dyDescent="0.3">
      <c r="A793" s="29" t="s">
        <v>742</v>
      </c>
      <c r="B793" s="30" t="s">
        <v>470</v>
      </c>
      <c r="C793" s="30" t="s">
        <v>743</v>
      </c>
      <c r="D793" s="30" t="s">
        <v>684</v>
      </c>
      <c r="E793" s="30" t="s">
        <v>674</v>
      </c>
      <c r="F793" s="30" t="s">
        <v>716</v>
      </c>
      <c r="G793" s="30" t="s">
        <v>744</v>
      </c>
      <c r="H793" s="30" t="s">
        <v>702</v>
      </c>
      <c r="I793" s="30" t="s">
        <v>736</v>
      </c>
      <c r="J793" s="30" t="s">
        <v>745</v>
      </c>
      <c r="K793" s="30" t="s">
        <v>738</v>
      </c>
      <c r="L793" s="30" t="s">
        <v>699</v>
      </c>
      <c r="M793" s="30">
        <v>0.5</v>
      </c>
      <c r="N793" s="30" t="s">
        <v>1659</v>
      </c>
      <c r="O793" s="30" t="s">
        <v>746</v>
      </c>
      <c r="P793" s="30" t="s">
        <v>683</v>
      </c>
      <c r="Q793" s="30" t="s">
        <v>665</v>
      </c>
      <c r="R793" s="30" t="s">
        <v>324</v>
      </c>
      <c r="S793" s="30" t="s">
        <v>684</v>
      </c>
    </row>
    <row r="794" spans="1:19" x14ac:dyDescent="0.3">
      <c r="A794" s="31" t="s">
        <v>1508</v>
      </c>
      <c r="B794" s="32" t="s">
        <v>1403</v>
      </c>
      <c r="C794" s="32" t="s">
        <v>773</v>
      </c>
      <c r="D794" s="32" t="s">
        <v>684</v>
      </c>
      <c r="E794" s="32" t="s">
        <v>674</v>
      </c>
      <c r="F794" s="32" t="s">
        <v>773</v>
      </c>
      <c r="G794" s="32" t="s">
        <v>773</v>
      </c>
      <c r="H794" s="32" t="s">
        <v>773</v>
      </c>
      <c r="I794" s="32" t="s">
        <v>773</v>
      </c>
      <c r="J794" s="32" t="s">
        <v>745</v>
      </c>
      <c r="K794" s="32" t="s">
        <v>738</v>
      </c>
      <c r="L794" s="32" t="s">
        <v>699</v>
      </c>
      <c r="M794" s="32">
        <v>0.2</v>
      </c>
      <c r="N794" s="32" t="s">
        <v>1659</v>
      </c>
      <c r="O794" s="32" t="s">
        <v>746</v>
      </c>
      <c r="P794" s="32" t="s">
        <v>683</v>
      </c>
      <c r="Q794" s="32" t="s">
        <v>665</v>
      </c>
      <c r="R794" s="32" t="s">
        <v>324</v>
      </c>
      <c r="S794" s="30" t="s">
        <v>684</v>
      </c>
    </row>
    <row r="795" spans="1:19" x14ac:dyDescent="0.3">
      <c r="A795" s="29" t="s">
        <v>1402</v>
      </c>
      <c r="B795" s="30" t="s">
        <v>1403</v>
      </c>
      <c r="C795" s="30" t="s">
        <v>773</v>
      </c>
      <c r="D795" s="30" t="s">
        <v>684</v>
      </c>
      <c r="E795" s="30" t="s">
        <v>674</v>
      </c>
      <c r="F795" s="30" t="s">
        <v>773</v>
      </c>
      <c r="G795" s="30" t="s">
        <v>773</v>
      </c>
      <c r="H795" s="30" t="s">
        <v>773</v>
      </c>
      <c r="I795" s="30" t="s">
        <v>773</v>
      </c>
      <c r="J795" s="30" t="s">
        <v>745</v>
      </c>
      <c r="K795" s="30" t="s">
        <v>738</v>
      </c>
      <c r="L795" s="30" t="s">
        <v>699</v>
      </c>
      <c r="M795" s="30">
        <v>0.3</v>
      </c>
      <c r="N795" s="30" t="s">
        <v>1659</v>
      </c>
      <c r="O795" s="30" t="s">
        <v>746</v>
      </c>
      <c r="P795" s="30" t="s">
        <v>683</v>
      </c>
      <c r="Q795" s="30" t="s">
        <v>665</v>
      </c>
      <c r="R795" s="30" t="s">
        <v>324</v>
      </c>
      <c r="S795" s="30" t="s">
        <v>684</v>
      </c>
    </row>
    <row r="796" spans="1:19" x14ac:dyDescent="0.3">
      <c r="A796" s="31" t="s">
        <v>1537</v>
      </c>
      <c r="B796" s="32" t="s">
        <v>528</v>
      </c>
      <c r="C796" s="32" t="s">
        <v>1538</v>
      </c>
      <c r="D796" s="32" t="s">
        <v>673</v>
      </c>
      <c r="E796" s="32" t="s">
        <v>674</v>
      </c>
      <c r="F796" s="32" t="s">
        <v>716</v>
      </c>
      <c r="G796" s="32" t="s">
        <v>744</v>
      </c>
      <c r="H796" s="32" t="s">
        <v>677</v>
      </c>
      <c r="I796" s="32" t="s">
        <v>678</v>
      </c>
      <c r="J796" s="32" t="s">
        <v>689</v>
      </c>
      <c r="K796" s="32" t="s">
        <v>690</v>
      </c>
      <c r="L796" s="32" t="s">
        <v>699</v>
      </c>
      <c r="M796" s="32">
        <v>1</v>
      </c>
      <c r="N796" s="32" t="s">
        <v>414</v>
      </c>
      <c r="O796" s="32" t="s">
        <v>746</v>
      </c>
      <c r="P796" s="32" t="s">
        <v>683</v>
      </c>
      <c r="Q796" s="32" t="s">
        <v>665</v>
      </c>
      <c r="R796" s="32" t="s">
        <v>267</v>
      </c>
      <c r="S796" s="32" t="s">
        <v>673</v>
      </c>
    </row>
    <row r="797" spans="1:19" x14ac:dyDescent="0.3">
      <c r="A797" s="29" t="s">
        <v>1544</v>
      </c>
      <c r="B797" s="30" t="s">
        <v>1529</v>
      </c>
      <c r="C797" s="30" t="s">
        <v>1545</v>
      </c>
      <c r="D797" s="30" t="s">
        <v>673</v>
      </c>
      <c r="E797" s="30" t="s">
        <v>674</v>
      </c>
      <c r="F797" s="30" t="s">
        <v>716</v>
      </c>
      <c r="G797" s="30" t="s">
        <v>744</v>
      </c>
      <c r="H797" s="30" t="s">
        <v>935</v>
      </c>
      <c r="I797" s="30" t="s">
        <v>678</v>
      </c>
      <c r="J797" s="30" t="s">
        <v>1422</v>
      </c>
      <c r="K797" s="30" t="s">
        <v>861</v>
      </c>
      <c r="L797" s="30" t="s">
        <v>739</v>
      </c>
      <c r="M797" s="30">
        <v>0.1</v>
      </c>
      <c r="N797" s="30" t="s">
        <v>374</v>
      </c>
      <c r="O797" s="30" t="s">
        <v>1915</v>
      </c>
      <c r="P797" s="30" t="s">
        <v>683</v>
      </c>
      <c r="Q797" s="30" t="s">
        <v>767</v>
      </c>
      <c r="R797" s="30" t="s">
        <v>1541</v>
      </c>
      <c r="S797" s="32" t="s">
        <v>673</v>
      </c>
    </row>
    <row r="798" spans="1:19" x14ac:dyDescent="0.3">
      <c r="A798" s="31" t="s">
        <v>1542</v>
      </c>
      <c r="B798" s="32" t="s">
        <v>1529</v>
      </c>
      <c r="C798" s="32" t="s">
        <v>1543</v>
      </c>
      <c r="D798" s="32" t="s">
        <v>673</v>
      </c>
      <c r="E798" s="32" t="s">
        <v>674</v>
      </c>
      <c r="F798" s="32" t="s">
        <v>716</v>
      </c>
      <c r="G798" s="32" t="s">
        <v>744</v>
      </c>
      <c r="H798" s="32" t="s">
        <v>935</v>
      </c>
      <c r="I798" s="32" t="s">
        <v>678</v>
      </c>
      <c r="J798" s="32" t="s">
        <v>1422</v>
      </c>
      <c r="K798" s="32" t="s">
        <v>861</v>
      </c>
      <c r="L798" s="32" t="s">
        <v>699</v>
      </c>
      <c r="M798" s="32">
        <v>0.3</v>
      </c>
      <c r="N798" s="32" t="s">
        <v>374</v>
      </c>
      <c r="O798" s="32" t="s">
        <v>1915</v>
      </c>
      <c r="P798" s="32" t="s">
        <v>683</v>
      </c>
      <c r="Q798" s="32" t="s">
        <v>767</v>
      </c>
      <c r="R798" s="32" t="s">
        <v>1541</v>
      </c>
      <c r="S798" s="32" t="s">
        <v>673</v>
      </c>
    </row>
    <row r="799" spans="1:19" x14ac:dyDescent="0.3">
      <c r="A799" s="29" t="s">
        <v>2325</v>
      </c>
      <c r="B799" s="30" t="s">
        <v>528</v>
      </c>
      <c r="C799" s="30" t="s">
        <v>2326</v>
      </c>
      <c r="D799" s="30" t="s">
        <v>673</v>
      </c>
      <c r="E799" s="30" t="s">
        <v>674</v>
      </c>
      <c r="F799" s="30" t="s">
        <v>675</v>
      </c>
      <c r="G799" s="30" t="s">
        <v>744</v>
      </c>
      <c r="H799" s="30" t="s">
        <v>677</v>
      </c>
      <c r="I799" s="30" t="s">
        <v>678</v>
      </c>
      <c r="J799" s="30" t="s">
        <v>1422</v>
      </c>
      <c r="K799" s="30" t="s">
        <v>861</v>
      </c>
      <c r="L799" s="30" t="s">
        <v>681</v>
      </c>
      <c r="M799" s="30">
        <v>0.3</v>
      </c>
      <c r="N799" s="30" t="s">
        <v>374</v>
      </c>
      <c r="O799" s="30" t="s">
        <v>1915</v>
      </c>
      <c r="P799" s="30" t="s">
        <v>683</v>
      </c>
      <c r="Q799" s="30" t="s">
        <v>767</v>
      </c>
      <c r="R799" s="30" t="s">
        <v>1541</v>
      </c>
      <c r="S799" s="32" t="s">
        <v>673</v>
      </c>
    </row>
    <row r="800" spans="1:19" x14ac:dyDescent="0.3">
      <c r="A800" s="31" t="s">
        <v>1539</v>
      </c>
      <c r="B800" s="32" t="s">
        <v>528</v>
      </c>
      <c r="C800" s="32" t="s">
        <v>1540</v>
      </c>
      <c r="D800" s="32" t="s">
        <v>673</v>
      </c>
      <c r="E800" s="32" t="s">
        <v>674</v>
      </c>
      <c r="F800" s="32" t="s">
        <v>716</v>
      </c>
      <c r="G800" s="32" t="s">
        <v>744</v>
      </c>
      <c r="H800" s="32" t="s">
        <v>938</v>
      </c>
      <c r="I800" s="32" t="s">
        <v>678</v>
      </c>
      <c r="J800" s="32" t="s">
        <v>1422</v>
      </c>
      <c r="K800" s="32" t="s">
        <v>861</v>
      </c>
      <c r="L800" s="32" t="s">
        <v>699</v>
      </c>
      <c r="M800" s="32">
        <v>0.3</v>
      </c>
      <c r="N800" s="32" t="s">
        <v>374</v>
      </c>
      <c r="O800" s="32" t="s">
        <v>1915</v>
      </c>
      <c r="P800" s="32" t="s">
        <v>683</v>
      </c>
      <c r="Q800" s="32" t="s">
        <v>767</v>
      </c>
      <c r="R800" s="32" t="s">
        <v>1541</v>
      </c>
      <c r="S800" s="32" t="s">
        <v>673</v>
      </c>
    </row>
    <row r="801" spans="1:19" x14ac:dyDescent="0.3">
      <c r="A801" s="29" t="s">
        <v>1537</v>
      </c>
      <c r="B801" s="30" t="s">
        <v>528</v>
      </c>
      <c r="C801" s="30" t="s">
        <v>1538</v>
      </c>
      <c r="D801" s="30" t="s">
        <v>673</v>
      </c>
      <c r="E801" s="30" t="s">
        <v>674</v>
      </c>
      <c r="F801" s="30" t="s">
        <v>716</v>
      </c>
      <c r="G801" s="30" t="s">
        <v>744</v>
      </c>
      <c r="H801" s="30" t="s">
        <v>677</v>
      </c>
      <c r="I801" s="30" t="s">
        <v>678</v>
      </c>
      <c r="J801" s="30" t="s">
        <v>689</v>
      </c>
      <c r="K801" s="30" t="s">
        <v>690</v>
      </c>
      <c r="L801" s="30" t="s">
        <v>699</v>
      </c>
      <c r="M801" s="30">
        <v>0.8</v>
      </c>
      <c r="N801" s="30" t="s">
        <v>136</v>
      </c>
      <c r="O801" s="30" t="s">
        <v>746</v>
      </c>
      <c r="P801" s="30" t="s">
        <v>683</v>
      </c>
      <c r="Q801" s="30" t="s">
        <v>665</v>
      </c>
      <c r="R801" s="30" t="s">
        <v>267</v>
      </c>
      <c r="S801" s="32" t="s">
        <v>673</v>
      </c>
    </row>
    <row r="802" spans="1:19" x14ac:dyDescent="0.3">
      <c r="A802" s="31" t="s">
        <v>1460</v>
      </c>
      <c r="B802" s="32" t="s">
        <v>528</v>
      </c>
      <c r="C802" s="32" t="s">
        <v>1461</v>
      </c>
      <c r="D802" s="32" t="s">
        <v>673</v>
      </c>
      <c r="E802" s="32" t="s">
        <v>674</v>
      </c>
      <c r="F802" s="32" t="s">
        <v>716</v>
      </c>
      <c r="G802" s="32" t="s">
        <v>744</v>
      </c>
      <c r="H802" s="32" t="s">
        <v>677</v>
      </c>
      <c r="I802" s="32" t="s">
        <v>678</v>
      </c>
      <c r="J802" s="32" t="s">
        <v>1422</v>
      </c>
      <c r="K802" s="32" t="s">
        <v>861</v>
      </c>
      <c r="L802" s="32" t="s">
        <v>739</v>
      </c>
      <c r="M802" s="32">
        <v>0.2</v>
      </c>
      <c r="N802" s="32" t="s">
        <v>136</v>
      </c>
      <c r="O802" s="32" t="s">
        <v>746</v>
      </c>
      <c r="P802" s="32" t="s">
        <v>683</v>
      </c>
      <c r="Q802" s="32" t="s">
        <v>665</v>
      </c>
      <c r="R802" s="32" t="s">
        <v>267</v>
      </c>
      <c r="S802" s="32" t="s">
        <v>673</v>
      </c>
    </row>
    <row r="803" spans="1:19" x14ac:dyDescent="0.3">
      <c r="A803" s="29" t="s">
        <v>1535</v>
      </c>
      <c r="B803" s="30" t="s">
        <v>528</v>
      </c>
      <c r="C803" s="30" t="s">
        <v>1536</v>
      </c>
      <c r="D803" s="30" t="s">
        <v>673</v>
      </c>
      <c r="E803" s="30" t="s">
        <v>674</v>
      </c>
      <c r="F803" s="30" t="s">
        <v>716</v>
      </c>
      <c r="G803" s="30" t="s">
        <v>744</v>
      </c>
      <c r="H803" s="30" t="s">
        <v>938</v>
      </c>
      <c r="I803" s="30" t="s">
        <v>678</v>
      </c>
      <c r="J803" s="30" t="s">
        <v>1422</v>
      </c>
      <c r="K803" s="30" t="s">
        <v>861</v>
      </c>
      <c r="L803" s="30" t="s">
        <v>699</v>
      </c>
      <c r="M803" s="30">
        <v>0.5</v>
      </c>
      <c r="N803" s="30" t="s">
        <v>183</v>
      </c>
      <c r="O803" s="30" t="s">
        <v>746</v>
      </c>
      <c r="P803" s="30" t="s">
        <v>683</v>
      </c>
      <c r="Q803" s="30" t="s">
        <v>665</v>
      </c>
      <c r="R803" s="30" t="s">
        <v>267</v>
      </c>
      <c r="S803" s="32" t="s">
        <v>673</v>
      </c>
    </row>
    <row r="804" spans="1:19" x14ac:dyDescent="0.3">
      <c r="A804" s="31" t="s">
        <v>1537</v>
      </c>
      <c r="B804" s="32" t="s">
        <v>528</v>
      </c>
      <c r="C804" s="32" t="s">
        <v>1538</v>
      </c>
      <c r="D804" s="32" t="s">
        <v>673</v>
      </c>
      <c r="E804" s="32" t="s">
        <v>674</v>
      </c>
      <c r="F804" s="32" t="s">
        <v>716</v>
      </c>
      <c r="G804" s="32" t="s">
        <v>744</v>
      </c>
      <c r="H804" s="32" t="s">
        <v>677</v>
      </c>
      <c r="I804" s="32" t="s">
        <v>678</v>
      </c>
      <c r="J804" s="32" t="s">
        <v>689</v>
      </c>
      <c r="K804" s="32" t="s">
        <v>690</v>
      </c>
      <c r="L804" s="32" t="s">
        <v>699</v>
      </c>
      <c r="M804" s="32">
        <v>0.5</v>
      </c>
      <c r="N804" s="32" t="s">
        <v>183</v>
      </c>
      <c r="O804" s="32" t="s">
        <v>746</v>
      </c>
      <c r="P804" s="32" t="s">
        <v>683</v>
      </c>
      <c r="Q804" s="32" t="s">
        <v>665</v>
      </c>
      <c r="R804" s="32" t="s">
        <v>267</v>
      </c>
      <c r="S804" s="32" t="s">
        <v>673</v>
      </c>
    </row>
    <row r="805" spans="1:19" x14ac:dyDescent="0.3">
      <c r="A805" s="29" t="s">
        <v>1528</v>
      </c>
      <c r="B805" s="30" t="s">
        <v>1529</v>
      </c>
      <c r="C805" s="30" t="s">
        <v>1530</v>
      </c>
      <c r="D805" s="30" t="s">
        <v>673</v>
      </c>
      <c r="E805" s="30" t="s">
        <v>674</v>
      </c>
      <c r="F805" s="30" t="s">
        <v>716</v>
      </c>
      <c r="G805" s="30" t="s">
        <v>744</v>
      </c>
      <c r="H805" s="30" t="s">
        <v>935</v>
      </c>
      <c r="I805" s="30" t="s">
        <v>678</v>
      </c>
      <c r="J805" s="30" t="s">
        <v>1422</v>
      </c>
      <c r="K805" s="30" t="s">
        <v>861</v>
      </c>
      <c r="L805" s="30" t="s">
        <v>699</v>
      </c>
      <c r="M805" s="30">
        <v>0.1</v>
      </c>
      <c r="N805" s="30" t="s">
        <v>36</v>
      </c>
      <c r="O805" s="30" t="s">
        <v>746</v>
      </c>
      <c r="P805" s="30" t="s">
        <v>683</v>
      </c>
      <c r="Q805" s="30" t="s">
        <v>665</v>
      </c>
      <c r="R805" s="30" t="s">
        <v>267</v>
      </c>
      <c r="S805" s="32" t="s">
        <v>673</v>
      </c>
    </row>
    <row r="806" spans="1:19" x14ac:dyDescent="0.3">
      <c r="A806" s="31" t="s">
        <v>1535</v>
      </c>
      <c r="B806" s="32" t="s">
        <v>528</v>
      </c>
      <c r="C806" s="32" t="s">
        <v>1536</v>
      </c>
      <c r="D806" s="32" t="s">
        <v>673</v>
      </c>
      <c r="E806" s="32" t="s">
        <v>674</v>
      </c>
      <c r="F806" s="32" t="s">
        <v>716</v>
      </c>
      <c r="G806" s="32" t="s">
        <v>744</v>
      </c>
      <c r="H806" s="32" t="s">
        <v>938</v>
      </c>
      <c r="I806" s="32" t="s">
        <v>678</v>
      </c>
      <c r="J806" s="32" t="s">
        <v>1422</v>
      </c>
      <c r="K806" s="32" t="s">
        <v>861</v>
      </c>
      <c r="L806" s="32" t="s">
        <v>699</v>
      </c>
      <c r="M806" s="32">
        <v>0.1</v>
      </c>
      <c r="N806" s="32" t="s">
        <v>36</v>
      </c>
      <c r="O806" s="32" t="s">
        <v>746</v>
      </c>
      <c r="P806" s="32" t="s">
        <v>683</v>
      </c>
      <c r="Q806" s="32" t="s">
        <v>665</v>
      </c>
      <c r="R806" s="32" t="s">
        <v>267</v>
      </c>
      <c r="S806" s="32" t="s">
        <v>673</v>
      </c>
    </row>
    <row r="807" spans="1:19" x14ac:dyDescent="0.3">
      <c r="A807" s="29" t="s">
        <v>1533</v>
      </c>
      <c r="B807" s="30" t="s">
        <v>528</v>
      </c>
      <c r="C807" s="30" t="s">
        <v>1534</v>
      </c>
      <c r="D807" s="30" t="s">
        <v>673</v>
      </c>
      <c r="E807" s="30" t="s">
        <v>674</v>
      </c>
      <c r="F807" s="30" t="s">
        <v>935</v>
      </c>
      <c r="G807" s="30" t="s">
        <v>724</v>
      </c>
      <c r="H807" s="30" t="s">
        <v>935</v>
      </c>
      <c r="I807" s="30" t="s">
        <v>678</v>
      </c>
      <c r="J807" s="30" t="s">
        <v>1422</v>
      </c>
      <c r="K807" s="30" t="s">
        <v>861</v>
      </c>
      <c r="L807" s="30" t="s">
        <v>699</v>
      </c>
      <c r="M807" s="30">
        <v>0.1</v>
      </c>
      <c r="N807" s="30" t="s">
        <v>36</v>
      </c>
      <c r="O807" s="30" t="s">
        <v>746</v>
      </c>
      <c r="P807" s="30" t="s">
        <v>683</v>
      </c>
      <c r="Q807" s="30" t="s">
        <v>665</v>
      </c>
      <c r="R807" s="30" t="s">
        <v>267</v>
      </c>
      <c r="S807" s="32" t="s">
        <v>673</v>
      </c>
    </row>
    <row r="808" spans="1:19" x14ac:dyDescent="0.3">
      <c r="A808" s="31" t="s">
        <v>1526</v>
      </c>
      <c r="B808" s="32" t="s">
        <v>528</v>
      </c>
      <c r="C808" s="32" t="s">
        <v>1527</v>
      </c>
      <c r="D808" s="32" t="s">
        <v>673</v>
      </c>
      <c r="E808" s="32" t="s">
        <v>674</v>
      </c>
      <c r="F808" s="32" t="s">
        <v>716</v>
      </c>
      <c r="G808" s="32" t="s">
        <v>744</v>
      </c>
      <c r="H808" s="32" t="s">
        <v>938</v>
      </c>
      <c r="I808" s="32" t="s">
        <v>678</v>
      </c>
      <c r="J808" s="32" t="s">
        <v>1422</v>
      </c>
      <c r="K808" s="32" t="s">
        <v>861</v>
      </c>
      <c r="L808" s="32" t="s">
        <v>699</v>
      </c>
      <c r="M808" s="32">
        <v>0.3</v>
      </c>
      <c r="N808" s="32" t="s">
        <v>36</v>
      </c>
      <c r="O808" s="32" t="s">
        <v>746</v>
      </c>
      <c r="P808" s="32" t="s">
        <v>683</v>
      </c>
      <c r="Q808" s="32" t="s">
        <v>665</v>
      </c>
      <c r="R808" s="32" t="s">
        <v>267</v>
      </c>
      <c r="S808" s="32" t="s">
        <v>673</v>
      </c>
    </row>
    <row r="809" spans="1:19" x14ac:dyDescent="0.3">
      <c r="A809" s="29" t="s">
        <v>1524</v>
      </c>
      <c r="B809" s="30" t="s">
        <v>528</v>
      </c>
      <c r="C809" s="30" t="s">
        <v>1525</v>
      </c>
      <c r="D809" s="30" t="s">
        <v>673</v>
      </c>
      <c r="E809" s="30" t="s">
        <v>674</v>
      </c>
      <c r="F809" s="30" t="s">
        <v>716</v>
      </c>
      <c r="G809" s="30" t="s">
        <v>744</v>
      </c>
      <c r="H809" s="30" t="s">
        <v>677</v>
      </c>
      <c r="I809" s="30" t="s">
        <v>678</v>
      </c>
      <c r="J809" s="30" t="s">
        <v>1422</v>
      </c>
      <c r="K809" s="30" t="s">
        <v>861</v>
      </c>
      <c r="L809" s="30" t="s">
        <v>681</v>
      </c>
      <c r="M809" s="30">
        <v>0.1</v>
      </c>
      <c r="N809" s="30" t="s">
        <v>36</v>
      </c>
      <c r="O809" s="30" t="s">
        <v>746</v>
      </c>
      <c r="P809" s="30" t="s">
        <v>683</v>
      </c>
      <c r="Q809" s="30" t="s">
        <v>665</v>
      </c>
      <c r="R809" s="30" t="s">
        <v>267</v>
      </c>
      <c r="S809" s="32" t="s">
        <v>673</v>
      </c>
    </row>
    <row r="810" spans="1:19" x14ac:dyDescent="0.3">
      <c r="A810" s="31" t="s">
        <v>1531</v>
      </c>
      <c r="B810" s="32" t="s">
        <v>1529</v>
      </c>
      <c r="C810" s="32" t="s">
        <v>1532</v>
      </c>
      <c r="D810" s="32" t="s">
        <v>673</v>
      </c>
      <c r="E810" s="32" t="s">
        <v>674</v>
      </c>
      <c r="F810" s="32" t="s">
        <v>716</v>
      </c>
      <c r="G810" s="32" t="s">
        <v>744</v>
      </c>
      <c r="H810" s="32" t="s">
        <v>935</v>
      </c>
      <c r="I810" s="32" t="s">
        <v>678</v>
      </c>
      <c r="J810" s="32" t="s">
        <v>1422</v>
      </c>
      <c r="K810" s="32" t="s">
        <v>861</v>
      </c>
      <c r="L810" s="32" t="s">
        <v>699</v>
      </c>
      <c r="M810" s="32">
        <v>0.1</v>
      </c>
      <c r="N810" s="32" t="s">
        <v>36</v>
      </c>
      <c r="O810" s="32" t="s">
        <v>746</v>
      </c>
      <c r="P810" s="32" t="s">
        <v>683</v>
      </c>
      <c r="Q810" s="32" t="s">
        <v>665</v>
      </c>
      <c r="R810" s="32" t="s">
        <v>267</v>
      </c>
      <c r="S810" s="32" t="s">
        <v>673</v>
      </c>
    </row>
    <row r="811" spans="1:19" x14ac:dyDescent="0.3">
      <c r="A811" s="29" t="s">
        <v>2327</v>
      </c>
      <c r="B811" s="30" t="s">
        <v>528</v>
      </c>
      <c r="C811" s="30" t="s">
        <v>2328</v>
      </c>
      <c r="D811" s="30" t="s">
        <v>673</v>
      </c>
      <c r="E811" s="30" t="s">
        <v>674</v>
      </c>
      <c r="F811" s="30" t="s">
        <v>716</v>
      </c>
      <c r="G811" s="30" t="s">
        <v>744</v>
      </c>
      <c r="H811" s="30" t="s">
        <v>677</v>
      </c>
      <c r="I811" s="30" t="s">
        <v>678</v>
      </c>
      <c r="J811" s="30" t="s">
        <v>1422</v>
      </c>
      <c r="K811" s="30" t="s">
        <v>861</v>
      </c>
      <c r="L811" s="30" t="s">
        <v>681</v>
      </c>
      <c r="M811" s="30">
        <v>0.2</v>
      </c>
      <c r="N811" s="30" t="s">
        <v>36</v>
      </c>
      <c r="O811" s="30" t="s">
        <v>746</v>
      </c>
      <c r="P811" s="30" t="s">
        <v>683</v>
      </c>
      <c r="Q811" s="30" t="s">
        <v>665</v>
      </c>
      <c r="R811" s="30" t="s">
        <v>267</v>
      </c>
      <c r="S811" s="32" t="s">
        <v>673</v>
      </c>
    </row>
    <row r="812" spans="1:19" x14ac:dyDescent="0.3">
      <c r="A812" s="31" t="s">
        <v>2329</v>
      </c>
      <c r="B812" s="32" t="s">
        <v>952</v>
      </c>
      <c r="C812" s="32" t="s">
        <v>2330</v>
      </c>
      <c r="D812" s="32" t="s">
        <v>673</v>
      </c>
      <c r="E812" s="32" t="s">
        <v>674</v>
      </c>
      <c r="F812" s="32" t="s">
        <v>675</v>
      </c>
      <c r="G812" s="32" t="s">
        <v>744</v>
      </c>
      <c r="H812" s="32" t="s">
        <v>702</v>
      </c>
      <c r="I812" s="32" t="s">
        <v>688</v>
      </c>
      <c r="J812" s="32" t="s">
        <v>713</v>
      </c>
      <c r="K812" s="32" t="s">
        <v>690</v>
      </c>
      <c r="L812" s="32" t="s">
        <v>691</v>
      </c>
      <c r="M812" s="32">
        <v>0.4</v>
      </c>
      <c r="N812" s="32" t="s">
        <v>85</v>
      </c>
      <c r="O812" s="32" t="s">
        <v>746</v>
      </c>
      <c r="P812" s="32" t="s">
        <v>683</v>
      </c>
      <c r="Q812" s="32" t="s">
        <v>665</v>
      </c>
      <c r="R812" s="32" t="s">
        <v>123</v>
      </c>
      <c r="S812" s="32" t="s">
        <v>673</v>
      </c>
    </row>
    <row r="813" spans="1:19" x14ac:dyDescent="0.3">
      <c r="A813" s="29" t="s">
        <v>941</v>
      </c>
      <c r="B813" s="30" t="s">
        <v>154</v>
      </c>
      <c r="C813" s="30" t="s">
        <v>942</v>
      </c>
      <c r="D813" s="30" t="s">
        <v>673</v>
      </c>
      <c r="E813" s="30" t="s">
        <v>674</v>
      </c>
      <c r="F813" s="30" t="s">
        <v>716</v>
      </c>
      <c r="G813" s="30" t="s">
        <v>744</v>
      </c>
      <c r="H813" s="30" t="s">
        <v>935</v>
      </c>
      <c r="I813" s="30" t="s">
        <v>678</v>
      </c>
      <c r="J813" s="30" t="s">
        <v>713</v>
      </c>
      <c r="K813" s="30" t="s">
        <v>690</v>
      </c>
      <c r="L813" s="30" t="s">
        <v>681</v>
      </c>
      <c r="M813" s="30">
        <v>0.6</v>
      </c>
      <c r="N813" s="30" t="s">
        <v>85</v>
      </c>
      <c r="O813" s="30" t="s">
        <v>746</v>
      </c>
      <c r="P813" s="30" t="s">
        <v>683</v>
      </c>
      <c r="Q813" s="30" t="s">
        <v>665</v>
      </c>
      <c r="R813" s="30" t="s">
        <v>123</v>
      </c>
      <c r="S813" s="32" t="s">
        <v>673</v>
      </c>
    </row>
    <row r="814" spans="1:19" x14ac:dyDescent="0.3">
      <c r="A814" s="31" t="s">
        <v>1339</v>
      </c>
      <c r="B814" s="32" t="s">
        <v>1340</v>
      </c>
      <c r="C814" s="32" t="s">
        <v>1341</v>
      </c>
      <c r="D814" s="32" t="s">
        <v>673</v>
      </c>
      <c r="E814" s="32" t="s">
        <v>674</v>
      </c>
      <c r="F814" s="32" t="s">
        <v>675</v>
      </c>
      <c r="G814" s="32" t="s">
        <v>744</v>
      </c>
      <c r="H814" s="32" t="s">
        <v>677</v>
      </c>
      <c r="I814" s="32" t="s">
        <v>688</v>
      </c>
      <c r="J814" s="32" t="s">
        <v>713</v>
      </c>
      <c r="K814" s="32" t="s">
        <v>690</v>
      </c>
      <c r="L814" s="32" t="s">
        <v>681</v>
      </c>
      <c r="M814" s="32">
        <v>0.6</v>
      </c>
      <c r="N814" s="32" t="s">
        <v>69</v>
      </c>
      <c r="O814" s="32" t="s">
        <v>746</v>
      </c>
      <c r="P814" s="32" t="s">
        <v>683</v>
      </c>
      <c r="Q814" s="32" t="s">
        <v>665</v>
      </c>
      <c r="R814" s="32" t="s">
        <v>123</v>
      </c>
      <c r="S814" s="32" t="s">
        <v>673</v>
      </c>
    </row>
    <row r="815" spans="1:19" x14ac:dyDescent="0.3">
      <c r="A815" s="29" t="s">
        <v>824</v>
      </c>
      <c r="B815" s="30" t="s">
        <v>760</v>
      </c>
      <c r="C815" s="30" t="s">
        <v>825</v>
      </c>
      <c r="D815" s="30" t="s">
        <v>673</v>
      </c>
      <c r="E815" s="30" t="s">
        <v>674</v>
      </c>
      <c r="F815" s="30" t="s">
        <v>675</v>
      </c>
      <c r="G815" s="30" t="s">
        <v>676</v>
      </c>
      <c r="H815" s="30" t="s">
        <v>677</v>
      </c>
      <c r="I815" s="30" t="s">
        <v>678</v>
      </c>
      <c r="J815" s="30" t="s">
        <v>713</v>
      </c>
      <c r="K815" s="30" t="s">
        <v>690</v>
      </c>
      <c r="L815" s="30" t="s">
        <v>699</v>
      </c>
      <c r="M815" s="30">
        <v>0.1</v>
      </c>
      <c r="N815" s="30" t="s">
        <v>120</v>
      </c>
      <c r="O815" s="30" t="s">
        <v>746</v>
      </c>
      <c r="P815" s="30" t="s">
        <v>683</v>
      </c>
      <c r="Q815" s="30" t="s">
        <v>665</v>
      </c>
      <c r="R815" s="30" t="s">
        <v>123</v>
      </c>
      <c r="S815" s="32" t="s">
        <v>673</v>
      </c>
    </row>
    <row r="816" spans="1:19" x14ac:dyDescent="0.3">
      <c r="A816" s="31" t="s">
        <v>822</v>
      </c>
      <c r="B816" s="32" t="s">
        <v>760</v>
      </c>
      <c r="C816" s="32" t="s">
        <v>823</v>
      </c>
      <c r="D816" s="32" t="s">
        <v>673</v>
      </c>
      <c r="E816" s="32" t="s">
        <v>674</v>
      </c>
      <c r="F816" s="32" t="s">
        <v>675</v>
      </c>
      <c r="G816" s="32" t="s">
        <v>676</v>
      </c>
      <c r="H816" s="32" t="s">
        <v>677</v>
      </c>
      <c r="I816" s="32" t="s">
        <v>678</v>
      </c>
      <c r="J816" s="32" t="s">
        <v>713</v>
      </c>
      <c r="K816" s="32" t="s">
        <v>690</v>
      </c>
      <c r="L816" s="32" t="s">
        <v>699</v>
      </c>
      <c r="M816" s="32">
        <v>0.9</v>
      </c>
      <c r="N816" s="32" t="s">
        <v>120</v>
      </c>
      <c r="O816" s="32" t="s">
        <v>746</v>
      </c>
      <c r="P816" s="32" t="s">
        <v>683</v>
      </c>
      <c r="Q816" s="32" t="s">
        <v>665</v>
      </c>
      <c r="R816" s="32" t="s">
        <v>123</v>
      </c>
      <c r="S816" s="32" t="s">
        <v>673</v>
      </c>
    </row>
    <row r="817" spans="1:19" x14ac:dyDescent="0.3">
      <c r="A817" s="29" t="s">
        <v>1202</v>
      </c>
      <c r="B817" s="30" t="s">
        <v>154</v>
      </c>
      <c r="C817" s="30" t="s">
        <v>862</v>
      </c>
      <c r="D817" s="30" t="s">
        <v>673</v>
      </c>
      <c r="E817" s="30" t="s">
        <v>674</v>
      </c>
      <c r="F817" s="30" t="s">
        <v>716</v>
      </c>
      <c r="G817" s="30" t="s">
        <v>744</v>
      </c>
      <c r="H817" s="30" t="s">
        <v>935</v>
      </c>
      <c r="I817" s="30" t="s">
        <v>678</v>
      </c>
      <c r="J817" s="30" t="s">
        <v>713</v>
      </c>
      <c r="K817" s="30" t="s">
        <v>690</v>
      </c>
      <c r="L817" s="30" t="s">
        <v>681</v>
      </c>
      <c r="M817" s="30">
        <v>1</v>
      </c>
      <c r="N817" s="30" t="s">
        <v>499</v>
      </c>
      <c r="O817" s="30" t="s">
        <v>746</v>
      </c>
      <c r="P817" s="30" t="s">
        <v>683</v>
      </c>
      <c r="Q817" s="30" t="s">
        <v>665</v>
      </c>
      <c r="R817" s="30" t="s">
        <v>123</v>
      </c>
      <c r="S817" s="32" t="s">
        <v>673</v>
      </c>
    </row>
    <row r="818" spans="1:19" x14ac:dyDescent="0.3">
      <c r="A818" s="31" t="s">
        <v>954</v>
      </c>
      <c r="B818" s="32" t="s">
        <v>955</v>
      </c>
      <c r="C818" s="32" t="s">
        <v>956</v>
      </c>
      <c r="D818" s="32" t="s">
        <v>673</v>
      </c>
      <c r="E818" s="32" t="s">
        <v>674</v>
      </c>
      <c r="F818" s="32" t="s">
        <v>675</v>
      </c>
      <c r="G818" s="32" t="s">
        <v>676</v>
      </c>
      <c r="H818" s="32" t="s">
        <v>677</v>
      </c>
      <c r="I818" s="32" t="s">
        <v>688</v>
      </c>
      <c r="J818" s="32" t="s">
        <v>713</v>
      </c>
      <c r="K818" s="32" t="s">
        <v>690</v>
      </c>
      <c r="L818" s="32" t="s">
        <v>699</v>
      </c>
      <c r="M818" s="32">
        <v>0.1</v>
      </c>
      <c r="N818" s="32" t="s">
        <v>123</v>
      </c>
      <c r="O818" s="32" t="s">
        <v>746</v>
      </c>
      <c r="P818" s="32" t="s">
        <v>683</v>
      </c>
      <c r="Q818" s="32" t="s">
        <v>665</v>
      </c>
      <c r="R818" s="32" t="s">
        <v>269</v>
      </c>
      <c r="S818" s="32" t="s">
        <v>673</v>
      </c>
    </row>
    <row r="819" spans="1:19" x14ac:dyDescent="0.3">
      <c r="A819" s="29" t="s">
        <v>941</v>
      </c>
      <c r="B819" s="30" t="s">
        <v>154</v>
      </c>
      <c r="C819" s="30" t="s">
        <v>942</v>
      </c>
      <c r="D819" s="30" t="s">
        <v>673</v>
      </c>
      <c r="E819" s="30" t="s">
        <v>674</v>
      </c>
      <c r="F819" s="30" t="s">
        <v>716</v>
      </c>
      <c r="G819" s="30" t="s">
        <v>744</v>
      </c>
      <c r="H819" s="30" t="s">
        <v>935</v>
      </c>
      <c r="I819" s="30" t="s">
        <v>678</v>
      </c>
      <c r="J819" s="30" t="s">
        <v>713</v>
      </c>
      <c r="K819" s="30" t="s">
        <v>690</v>
      </c>
      <c r="L819" s="30" t="s">
        <v>681</v>
      </c>
      <c r="M819" s="30">
        <v>0.2</v>
      </c>
      <c r="N819" s="30" t="s">
        <v>123</v>
      </c>
      <c r="O819" s="30" t="s">
        <v>746</v>
      </c>
      <c r="P819" s="30" t="s">
        <v>683</v>
      </c>
      <c r="Q819" s="30" t="s">
        <v>665</v>
      </c>
      <c r="R819" s="30" t="s">
        <v>269</v>
      </c>
      <c r="S819" s="32" t="s">
        <v>673</v>
      </c>
    </row>
    <row r="820" spans="1:19" x14ac:dyDescent="0.3">
      <c r="A820" s="31" t="s">
        <v>1248</v>
      </c>
      <c r="B820" s="32" t="s">
        <v>154</v>
      </c>
      <c r="C820" s="32" t="s">
        <v>1249</v>
      </c>
      <c r="D820" s="32" t="s">
        <v>673</v>
      </c>
      <c r="E820" s="32" t="s">
        <v>674</v>
      </c>
      <c r="F820" s="32" t="s">
        <v>716</v>
      </c>
      <c r="G820" s="32" t="s">
        <v>744</v>
      </c>
      <c r="H820" s="32" t="s">
        <v>935</v>
      </c>
      <c r="I820" s="32" t="s">
        <v>688</v>
      </c>
      <c r="J820" s="32" t="s">
        <v>713</v>
      </c>
      <c r="K820" s="32" t="s">
        <v>690</v>
      </c>
      <c r="L820" s="32" t="s">
        <v>681</v>
      </c>
      <c r="M820" s="32">
        <v>0.1</v>
      </c>
      <c r="N820" s="32" t="s">
        <v>123</v>
      </c>
      <c r="O820" s="32" t="s">
        <v>746</v>
      </c>
      <c r="P820" s="32" t="s">
        <v>683</v>
      </c>
      <c r="Q820" s="32" t="s">
        <v>665</v>
      </c>
      <c r="R820" s="32" t="s">
        <v>269</v>
      </c>
      <c r="S820" s="32" t="s">
        <v>673</v>
      </c>
    </row>
    <row r="821" spans="1:19" x14ac:dyDescent="0.3">
      <c r="A821" s="29" t="s">
        <v>1202</v>
      </c>
      <c r="B821" s="30" t="s">
        <v>154</v>
      </c>
      <c r="C821" s="30" t="s">
        <v>862</v>
      </c>
      <c r="D821" s="30" t="s">
        <v>673</v>
      </c>
      <c r="E821" s="30" t="s">
        <v>674</v>
      </c>
      <c r="F821" s="30" t="s">
        <v>716</v>
      </c>
      <c r="G821" s="30" t="s">
        <v>744</v>
      </c>
      <c r="H821" s="30" t="s">
        <v>935</v>
      </c>
      <c r="I821" s="30" t="s">
        <v>678</v>
      </c>
      <c r="J821" s="30" t="s">
        <v>713</v>
      </c>
      <c r="K821" s="30" t="s">
        <v>690</v>
      </c>
      <c r="L821" s="30" t="s">
        <v>681</v>
      </c>
      <c r="M821" s="30">
        <v>0.2</v>
      </c>
      <c r="N821" s="30" t="s">
        <v>123</v>
      </c>
      <c r="O821" s="30" t="s">
        <v>746</v>
      </c>
      <c r="P821" s="30" t="s">
        <v>683</v>
      </c>
      <c r="Q821" s="30" t="s">
        <v>665</v>
      </c>
      <c r="R821" s="30" t="s">
        <v>269</v>
      </c>
      <c r="S821" s="32" t="s">
        <v>673</v>
      </c>
    </row>
    <row r="822" spans="1:19" x14ac:dyDescent="0.3">
      <c r="A822" s="31" t="s">
        <v>822</v>
      </c>
      <c r="B822" s="32" t="s">
        <v>760</v>
      </c>
      <c r="C822" s="32" t="s">
        <v>823</v>
      </c>
      <c r="D822" s="32" t="s">
        <v>673</v>
      </c>
      <c r="E822" s="32" t="s">
        <v>674</v>
      </c>
      <c r="F822" s="32" t="s">
        <v>675</v>
      </c>
      <c r="G822" s="32" t="s">
        <v>676</v>
      </c>
      <c r="H822" s="32" t="s">
        <v>677</v>
      </c>
      <c r="I822" s="32" t="s">
        <v>678</v>
      </c>
      <c r="J822" s="32" t="s">
        <v>713</v>
      </c>
      <c r="K822" s="32" t="s">
        <v>690</v>
      </c>
      <c r="L822" s="32" t="s">
        <v>699</v>
      </c>
      <c r="M822" s="32">
        <v>0.1</v>
      </c>
      <c r="N822" s="32" t="s">
        <v>123</v>
      </c>
      <c r="O822" s="32" t="s">
        <v>746</v>
      </c>
      <c r="P822" s="32" t="s">
        <v>683</v>
      </c>
      <c r="Q822" s="32" t="s">
        <v>665</v>
      </c>
      <c r="R822" s="32" t="s">
        <v>269</v>
      </c>
      <c r="S822" s="32" t="s">
        <v>673</v>
      </c>
    </row>
    <row r="823" spans="1:19" x14ac:dyDescent="0.3">
      <c r="A823" s="29" t="s">
        <v>1016</v>
      </c>
      <c r="B823" s="30" t="s">
        <v>955</v>
      </c>
      <c r="C823" s="30" t="s">
        <v>1017</v>
      </c>
      <c r="D823" s="30" t="s">
        <v>673</v>
      </c>
      <c r="E823" s="30" t="s">
        <v>674</v>
      </c>
      <c r="F823" s="30" t="s">
        <v>675</v>
      </c>
      <c r="G823" s="30" t="s">
        <v>676</v>
      </c>
      <c r="H823" s="30" t="s">
        <v>677</v>
      </c>
      <c r="I823" s="30" t="s">
        <v>688</v>
      </c>
      <c r="J823" s="30" t="s">
        <v>713</v>
      </c>
      <c r="K823" s="30" t="s">
        <v>690</v>
      </c>
      <c r="L823" s="30" t="s">
        <v>699</v>
      </c>
      <c r="M823" s="30">
        <v>0.1</v>
      </c>
      <c r="N823" s="30" t="s">
        <v>123</v>
      </c>
      <c r="O823" s="30" t="s">
        <v>746</v>
      </c>
      <c r="P823" s="30" t="s">
        <v>683</v>
      </c>
      <c r="Q823" s="30" t="s">
        <v>665</v>
      </c>
      <c r="R823" s="30" t="s">
        <v>269</v>
      </c>
      <c r="S823" s="32" t="s">
        <v>673</v>
      </c>
    </row>
    <row r="824" spans="1:19" x14ac:dyDescent="0.3">
      <c r="A824" s="31" t="s">
        <v>969</v>
      </c>
      <c r="B824" s="32" t="s">
        <v>418</v>
      </c>
      <c r="C824" s="32" t="s">
        <v>970</v>
      </c>
      <c r="D824" s="32" t="s">
        <v>673</v>
      </c>
      <c r="E824" s="32" t="s">
        <v>674</v>
      </c>
      <c r="F824" s="32" t="s">
        <v>675</v>
      </c>
      <c r="G824" s="32" t="s">
        <v>676</v>
      </c>
      <c r="H824" s="32" t="s">
        <v>677</v>
      </c>
      <c r="I824" s="32" t="s">
        <v>678</v>
      </c>
      <c r="J824" s="32" t="s">
        <v>713</v>
      </c>
      <c r="K824" s="32" t="s">
        <v>690</v>
      </c>
      <c r="L824" s="32" t="s">
        <v>681</v>
      </c>
      <c r="M824" s="32">
        <v>0.1</v>
      </c>
      <c r="N824" s="32" t="s">
        <v>123</v>
      </c>
      <c r="O824" s="32" t="s">
        <v>746</v>
      </c>
      <c r="P824" s="32" t="s">
        <v>683</v>
      </c>
      <c r="Q824" s="32" t="s">
        <v>665</v>
      </c>
      <c r="R824" s="32" t="s">
        <v>269</v>
      </c>
      <c r="S824" s="32" t="s">
        <v>673</v>
      </c>
    </row>
    <row r="825" spans="1:19" x14ac:dyDescent="0.3">
      <c r="A825" s="29" t="s">
        <v>1205</v>
      </c>
      <c r="B825" s="30" t="s">
        <v>154</v>
      </c>
      <c r="C825" s="30" t="s">
        <v>1206</v>
      </c>
      <c r="D825" s="30" t="s">
        <v>673</v>
      </c>
      <c r="E825" s="30" t="s">
        <v>674</v>
      </c>
      <c r="F825" s="30" t="s">
        <v>716</v>
      </c>
      <c r="G825" s="30" t="s">
        <v>744</v>
      </c>
      <c r="H825" s="30" t="s">
        <v>935</v>
      </c>
      <c r="I825" s="30" t="s">
        <v>688</v>
      </c>
      <c r="J825" s="30" t="s">
        <v>713</v>
      </c>
      <c r="K825" s="30" t="s">
        <v>690</v>
      </c>
      <c r="L825" s="30" t="s">
        <v>681</v>
      </c>
      <c r="M825" s="30">
        <v>0.1</v>
      </c>
      <c r="N825" s="30" t="s">
        <v>123</v>
      </c>
      <c r="O825" s="30" t="s">
        <v>746</v>
      </c>
      <c r="P825" s="30" t="s">
        <v>683</v>
      </c>
      <c r="Q825" s="30" t="s">
        <v>665</v>
      </c>
      <c r="R825" s="30" t="s">
        <v>269</v>
      </c>
      <c r="S825" s="32" t="s">
        <v>673</v>
      </c>
    </row>
    <row r="826" spans="1:19" x14ac:dyDescent="0.3">
      <c r="A826" s="31" t="s">
        <v>1470</v>
      </c>
      <c r="B826" s="32" t="s">
        <v>544</v>
      </c>
      <c r="C826" s="32" t="s">
        <v>1471</v>
      </c>
      <c r="D826" s="32" t="s">
        <v>684</v>
      </c>
      <c r="E826" s="32" t="s">
        <v>674</v>
      </c>
      <c r="F826" s="32" t="s">
        <v>716</v>
      </c>
      <c r="G826" s="32" t="s">
        <v>744</v>
      </c>
      <c r="H826" s="32" t="s">
        <v>702</v>
      </c>
      <c r="I826" s="32" t="s">
        <v>736</v>
      </c>
      <c r="J826" s="32" t="s">
        <v>737</v>
      </c>
      <c r="K826" s="32" t="s">
        <v>738</v>
      </c>
      <c r="L826" s="32" t="s">
        <v>808</v>
      </c>
      <c r="M826" s="32">
        <v>1</v>
      </c>
      <c r="N826" s="32" t="s">
        <v>254</v>
      </c>
      <c r="O826" s="32" t="s">
        <v>1584</v>
      </c>
      <c r="P826" s="32" t="s">
        <v>683</v>
      </c>
      <c r="Q826" s="32" t="s">
        <v>665</v>
      </c>
      <c r="R826" s="32" t="s">
        <v>48</v>
      </c>
      <c r="S826" s="30" t="s">
        <v>684</v>
      </c>
    </row>
    <row r="827" spans="1:19" x14ac:dyDescent="0.3">
      <c r="A827" s="29" t="s">
        <v>1475</v>
      </c>
      <c r="B827" s="30" t="s">
        <v>544</v>
      </c>
      <c r="C827" s="30" t="s">
        <v>1476</v>
      </c>
      <c r="D827" s="30" t="s">
        <v>684</v>
      </c>
      <c r="E827" s="30" t="s">
        <v>674</v>
      </c>
      <c r="F827" s="30" t="s">
        <v>716</v>
      </c>
      <c r="G827" s="30" t="s">
        <v>731</v>
      </c>
      <c r="H827" s="30" t="s">
        <v>702</v>
      </c>
      <c r="I827" s="30" t="s">
        <v>736</v>
      </c>
      <c r="J827" s="30" t="s">
        <v>737</v>
      </c>
      <c r="K827" s="30" t="s">
        <v>738</v>
      </c>
      <c r="L827" s="30" t="s">
        <v>699</v>
      </c>
      <c r="M827" s="30">
        <v>1</v>
      </c>
      <c r="N827" s="30" t="s">
        <v>164</v>
      </c>
      <c r="O827" s="30" t="s">
        <v>2171</v>
      </c>
      <c r="P827" s="30" t="s">
        <v>683</v>
      </c>
      <c r="Q827" s="30" t="s">
        <v>767</v>
      </c>
      <c r="R827" s="30" t="s">
        <v>48</v>
      </c>
      <c r="S827" s="30" t="s">
        <v>684</v>
      </c>
    </row>
    <row r="828" spans="1:19" x14ac:dyDescent="0.3">
      <c r="A828" s="31" t="s">
        <v>1467</v>
      </c>
      <c r="B828" s="32" t="s">
        <v>544</v>
      </c>
      <c r="C828" s="32" t="s">
        <v>1468</v>
      </c>
      <c r="D828" s="32" t="s">
        <v>684</v>
      </c>
      <c r="E828" s="32" t="s">
        <v>674</v>
      </c>
      <c r="F828" s="32" t="s">
        <v>716</v>
      </c>
      <c r="G828" s="32" t="s">
        <v>731</v>
      </c>
      <c r="H828" s="32" t="s">
        <v>702</v>
      </c>
      <c r="I828" s="32" t="s">
        <v>736</v>
      </c>
      <c r="J828" s="32" t="s">
        <v>737</v>
      </c>
      <c r="K828" s="32" t="s">
        <v>738</v>
      </c>
      <c r="L828" s="32" t="s">
        <v>808</v>
      </c>
      <c r="M828" s="32">
        <v>1</v>
      </c>
      <c r="N828" s="32" t="s">
        <v>1474</v>
      </c>
      <c r="O828" s="32" t="s">
        <v>2171</v>
      </c>
      <c r="P828" s="32" t="s">
        <v>683</v>
      </c>
      <c r="Q828" s="32" t="s">
        <v>767</v>
      </c>
      <c r="R828" s="32" t="s">
        <v>48</v>
      </c>
      <c r="S828" s="30" t="s">
        <v>684</v>
      </c>
    </row>
    <row r="829" spans="1:19" x14ac:dyDescent="0.3">
      <c r="A829" s="29" t="s">
        <v>1467</v>
      </c>
      <c r="B829" s="30" t="s">
        <v>544</v>
      </c>
      <c r="C829" s="30" t="s">
        <v>1468</v>
      </c>
      <c r="D829" s="30" t="s">
        <v>684</v>
      </c>
      <c r="E829" s="30" t="s">
        <v>674</v>
      </c>
      <c r="F829" s="30" t="s">
        <v>716</v>
      </c>
      <c r="G829" s="30" t="s">
        <v>731</v>
      </c>
      <c r="H829" s="30" t="s">
        <v>702</v>
      </c>
      <c r="I829" s="30" t="s">
        <v>736</v>
      </c>
      <c r="J829" s="30" t="s">
        <v>737</v>
      </c>
      <c r="K829" s="30" t="s">
        <v>738</v>
      </c>
      <c r="L829" s="30" t="s">
        <v>808</v>
      </c>
      <c r="M829" s="30">
        <v>1</v>
      </c>
      <c r="N829" s="30" t="s">
        <v>256</v>
      </c>
      <c r="O829" s="30" t="s">
        <v>2171</v>
      </c>
      <c r="P829" s="30" t="s">
        <v>683</v>
      </c>
      <c r="Q829" s="30" t="s">
        <v>767</v>
      </c>
      <c r="R829" s="30" t="s">
        <v>48</v>
      </c>
      <c r="S829" s="30" t="s">
        <v>684</v>
      </c>
    </row>
    <row r="830" spans="1:19" x14ac:dyDescent="0.3">
      <c r="A830" s="31" t="s">
        <v>1473</v>
      </c>
      <c r="B830" s="32" t="s">
        <v>544</v>
      </c>
      <c r="C830" s="32" t="s">
        <v>1473</v>
      </c>
      <c r="D830" s="32" t="s">
        <v>684</v>
      </c>
      <c r="E830" s="32" t="s">
        <v>674</v>
      </c>
      <c r="F830" s="32" t="s">
        <v>716</v>
      </c>
      <c r="G830" s="32" t="s">
        <v>744</v>
      </c>
      <c r="H830" s="32" t="s">
        <v>717</v>
      </c>
      <c r="I830" s="32" t="s">
        <v>736</v>
      </c>
      <c r="J830" s="32" t="s">
        <v>737</v>
      </c>
      <c r="K830" s="32" t="s">
        <v>738</v>
      </c>
      <c r="L830" s="32" t="s">
        <v>808</v>
      </c>
      <c r="M830" s="32">
        <v>1</v>
      </c>
      <c r="N830" s="32" t="s">
        <v>268</v>
      </c>
      <c r="O830" s="32" t="s">
        <v>746</v>
      </c>
      <c r="P830" s="32" t="s">
        <v>683</v>
      </c>
      <c r="Q830" s="32" t="s">
        <v>665</v>
      </c>
      <c r="R830" s="32" t="s">
        <v>48</v>
      </c>
      <c r="S830" s="30" t="s">
        <v>684</v>
      </c>
    </row>
    <row r="831" spans="1:19" x14ac:dyDescent="0.3">
      <c r="A831" s="29" t="s">
        <v>1470</v>
      </c>
      <c r="B831" s="30" t="s">
        <v>544</v>
      </c>
      <c r="C831" s="30" t="s">
        <v>1471</v>
      </c>
      <c r="D831" s="30" t="s">
        <v>684</v>
      </c>
      <c r="E831" s="30" t="s">
        <v>674</v>
      </c>
      <c r="F831" s="30" t="s">
        <v>716</v>
      </c>
      <c r="G831" s="30" t="s">
        <v>744</v>
      </c>
      <c r="H831" s="30" t="s">
        <v>702</v>
      </c>
      <c r="I831" s="30" t="s">
        <v>736</v>
      </c>
      <c r="J831" s="30" t="s">
        <v>737</v>
      </c>
      <c r="K831" s="30" t="s">
        <v>738</v>
      </c>
      <c r="L831" s="30" t="s">
        <v>808</v>
      </c>
      <c r="M831" s="30">
        <v>1</v>
      </c>
      <c r="N831" s="30" t="s">
        <v>349</v>
      </c>
      <c r="O831" s="30" t="s">
        <v>746</v>
      </c>
      <c r="P831" s="30" t="s">
        <v>683</v>
      </c>
      <c r="Q831" s="30" t="s">
        <v>665</v>
      </c>
      <c r="R831" s="30" t="s">
        <v>48</v>
      </c>
      <c r="S831" s="30" t="s">
        <v>684</v>
      </c>
    </row>
    <row r="832" spans="1:19" x14ac:dyDescent="0.3">
      <c r="A832" s="31" t="s">
        <v>1467</v>
      </c>
      <c r="B832" s="32" t="s">
        <v>544</v>
      </c>
      <c r="C832" s="32" t="s">
        <v>1468</v>
      </c>
      <c r="D832" s="32" t="s">
        <v>684</v>
      </c>
      <c r="E832" s="32" t="s">
        <v>674</v>
      </c>
      <c r="F832" s="32" t="s">
        <v>716</v>
      </c>
      <c r="G832" s="32" t="s">
        <v>731</v>
      </c>
      <c r="H832" s="32" t="s">
        <v>702</v>
      </c>
      <c r="I832" s="32" t="s">
        <v>736</v>
      </c>
      <c r="J832" s="32" t="s">
        <v>737</v>
      </c>
      <c r="K832" s="32" t="s">
        <v>738</v>
      </c>
      <c r="L832" s="32" t="s">
        <v>808</v>
      </c>
      <c r="M832" s="32">
        <v>1</v>
      </c>
      <c r="N832" s="32" t="s">
        <v>157</v>
      </c>
      <c r="O832" s="32" t="s">
        <v>2171</v>
      </c>
      <c r="P832" s="32" t="s">
        <v>683</v>
      </c>
      <c r="Q832" s="32" t="s">
        <v>767</v>
      </c>
      <c r="R832" s="32" t="s">
        <v>48</v>
      </c>
      <c r="S832" s="30" t="s">
        <v>684</v>
      </c>
    </row>
    <row r="833" spans="1:19" x14ac:dyDescent="0.3">
      <c r="A833" s="29" t="s">
        <v>1467</v>
      </c>
      <c r="B833" s="30" t="s">
        <v>544</v>
      </c>
      <c r="C833" s="30" t="s">
        <v>1468</v>
      </c>
      <c r="D833" s="30" t="s">
        <v>684</v>
      </c>
      <c r="E833" s="30" t="s">
        <v>674</v>
      </c>
      <c r="F833" s="30" t="s">
        <v>716</v>
      </c>
      <c r="G833" s="30" t="s">
        <v>731</v>
      </c>
      <c r="H833" s="30" t="s">
        <v>702</v>
      </c>
      <c r="I833" s="30" t="s">
        <v>736</v>
      </c>
      <c r="J833" s="30" t="s">
        <v>737</v>
      </c>
      <c r="K833" s="30" t="s">
        <v>738</v>
      </c>
      <c r="L833" s="30" t="s">
        <v>808</v>
      </c>
      <c r="M833" s="30">
        <v>1</v>
      </c>
      <c r="N833" s="30" t="s">
        <v>393</v>
      </c>
      <c r="O833" s="30" t="s">
        <v>746</v>
      </c>
      <c r="P833" s="30" t="s">
        <v>683</v>
      </c>
      <c r="Q833" s="30" t="s">
        <v>665</v>
      </c>
      <c r="R833" s="30" t="s">
        <v>48</v>
      </c>
      <c r="S833" s="30" t="s">
        <v>684</v>
      </c>
    </row>
    <row r="834" spans="1:19" x14ac:dyDescent="0.3">
      <c r="A834" s="31" t="s">
        <v>1472</v>
      </c>
      <c r="B834" s="32" t="s">
        <v>544</v>
      </c>
      <c r="C834" s="32" t="s">
        <v>1472</v>
      </c>
      <c r="D834" s="32" t="s">
        <v>684</v>
      </c>
      <c r="E834" s="32" t="s">
        <v>674</v>
      </c>
      <c r="F834" s="32" t="s">
        <v>716</v>
      </c>
      <c r="G834" s="32" t="s">
        <v>744</v>
      </c>
      <c r="H834" s="32" t="s">
        <v>717</v>
      </c>
      <c r="I834" s="32" t="s">
        <v>736</v>
      </c>
      <c r="J834" s="32" t="s">
        <v>737</v>
      </c>
      <c r="K834" s="32" t="s">
        <v>738</v>
      </c>
      <c r="L834" s="32" t="s">
        <v>699</v>
      </c>
      <c r="M834" s="32">
        <v>1</v>
      </c>
      <c r="N834" s="32" t="s">
        <v>344</v>
      </c>
      <c r="O834" s="32" t="s">
        <v>746</v>
      </c>
      <c r="P834" s="32" t="s">
        <v>683</v>
      </c>
      <c r="Q834" s="32" t="s">
        <v>665</v>
      </c>
      <c r="R834" s="32" t="s">
        <v>48</v>
      </c>
      <c r="S834" s="30" t="s">
        <v>684</v>
      </c>
    </row>
    <row r="835" spans="1:19" x14ac:dyDescent="0.3">
      <c r="A835" s="29" t="s">
        <v>1470</v>
      </c>
      <c r="B835" s="30" t="s">
        <v>544</v>
      </c>
      <c r="C835" s="30" t="s">
        <v>1471</v>
      </c>
      <c r="D835" s="30" t="s">
        <v>684</v>
      </c>
      <c r="E835" s="30" t="s">
        <v>674</v>
      </c>
      <c r="F835" s="30" t="s">
        <v>716</v>
      </c>
      <c r="G835" s="30" t="s">
        <v>744</v>
      </c>
      <c r="H835" s="30" t="s">
        <v>702</v>
      </c>
      <c r="I835" s="30" t="s">
        <v>736</v>
      </c>
      <c r="J835" s="30" t="s">
        <v>737</v>
      </c>
      <c r="K835" s="30" t="s">
        <v>738</v>
      </c>
      <c r="L835" s="30" t="s">
        <v>808</v>
      </c>
      <c r="M835" s="30">
        <v>1</v>
      </c>
      <c r="N835" s="30" t="s">
        <v>261</v>
      </c>
      <c r="O835" s="30" t="s">
        <v>2171</v>
      </c>
      <c r="P835" s="30" t="s">
        <v>683</v>
      </c>
      <c r="Q835" s="30" t="s">
        <v>767</v>
      </c>
      <c r="R835" s="30" t="s">
        <v>48</v>
      </c>
      <c r="S835" s="30" t="s">
        <v>684</v>
      </c>
    </row>
    <row r="836" spans="1:19" x14ac:dyDescent="0.3">
      <c r="A836" s="31" t="s">
        <v>1470</v>
      </c>
      <c r="B836" s="32" t="s">
        <v>544</v>
      </c>
      <c r="C836" s="32" t="s">
        <v>1471</v>
      </c>
      <c r="D836" s="32" t="s">
        <v>684</v>
      </c>
      <c r="E836" s="32" t="s">
        <v>674</v>
      </c>
      <c r="F836" s="32" t="s">
        <v>716</v>
      </c>
      <c r="G836" s="32" t="s">
        <v>744</v>
      </c>
      <c r="H836" s="32" t="s">
        <v>702</v>
      </c>
      <c r="I836" s="32" t="s">
        <v>736</v>
      </c>
      <c r="J836" s="32" t="s">
        <v>737</v>
      </c>
      <c r="K836" s="32" t="s">
        <v>738</v>
      </c>
      <c r="L836" s="32" t="s">
        <v>808</v>
      </c>
      <c r="M836" s="32">
        <v>1</v>
      </c>
      <c r="N836" s="32" t="s">
        <v>322</v>
      </c>
      <c r="O836" s="32" t="s">
        <v>746</v>
      </c>
      <c r="P836" s="32" t="s">
        <v>683</v>
      </c>
      <c r="Q836" s="32" t="s">
        <v>665</v>
      </c>
      <c r="R836" s="32" t="s">
        <v>48</v>
      </c>
      <c r="S836" s="30" t="s">
        <v>684</v>
      </c>
    </row>
    <row r="837" spans="1:19" x14ac:dyDescent="0.3">
      <c r="A837" s="29" t="s">
        <v>1470</v>
      </c>
      <c r="B837" s="30" t="s">
        <v>544</v>
      </c>
      <c r="C837" s="30" t="s">
        <v>1471</v>
      </c>
      <c r="D837" s="30" t="s">
        <v>684</v>
      </c>
      <c r="E837" s="30" t="s">
        <v>674</v>
      </c>
      <c r="F837" s="30" t="s">
        <v>716</v>
      </c>
      <c r="G837" s="30" t="s">
        <v>744</v>
      </c>
      <c r="H837" s="30" t="s">
        <v>702</v>
      </c>
      <c r="I837" s="30" t="s">
        <v>736</v>
      </c>
      <c r="J837" s="30" t="s">
        <v>737</v>
      </c>
      <c r="K837" s="30" t="s">
        <v>738</v>
      </c>
      <c r="L837" s="30" t="s">
        <v>808</v>
      </c>
      <c r="M837" s="30">
        <v>1</v>
      </c>
      <c r="N837" s="30" t="s">
        <v>444</v>
      </c>
      <c r="O837" s="30" t="s">
        <v>746</v>
      </c>
      <c r="P837" s="30" t="s">
        <v>683</v>
      </c>
      <c r="Q837" s="30" t="s">
        <v>665</v>
      </c>
      <c r="R837" s="30" t="s">
        <v>48</v>
      </c>
      <c r="S837" s="30" t="s">
        <v>684</v>
      </c>
    </row>
    <row r="838" spans="1:19" x14ac:dyDescent="0.3">
      <c r="A838" s="31" t="s">
        <v>1245</v>
      </c>
      <c r="B838" s="32" t="s">
        <v>470</v>
      </c>
      <c r="C838" s="32" t="s">
        <v>1246</v>
      </c>
      <c r="D838" s="32" t="s">
        <v>684</v>
      </c>
      <c r="E838" s="32" t="s">
        <v>674</v>
      </c>
      <c r="F838" s="32" t="s">
        <v>716</v>
      </c>
      <c r="G838" s="32" t="s">
        <v>744</v>
      </c>
      <c r="H838" s="32" t="s">
        <v>702</v>
      </c>
      <c r="I838" s="32" t="s">
        <v>678</v>
      </c>
      <c r="J838" s="32" t="s">
        <v>745</v>
      </c>
      <c r="K838" s="32" t="s">
        <v>738</v>
      </c>
      <c r="L838" s="32" t="s">
        <v>699</v>
      </c>
      <c r="M838" s="32">
        <v>1</v>
      </c>
      <c r="N838" s="32" t="s">
        <v>108</v>
      </c>
      <c r="O838" s="32" t="s">
        <v>746</v>
      </c>
      <c r="P838" s="32" t="s">
        <v>683</v>
      </c>
      <c r="Q838" s="32" t="s">
        <v>665</v>
      </c>
      <c r="R838" s="32" t="s">
        <v>449</v>
      </c>
      <c r="S838" s="30" t="s">
        <v>684</v>
      </c>
    </row>
    <row r="839" spans="1:19" x14ac:dyDescent="0.3">
      <c r="A839" s="29" t="s">
        <v>1245</v>
      </c>
      <c r="B839" s="30" t="s">
        <v>470</v>
      </c>
      <c r="C839" s="30" t="s">
        <v>1246</v>
      </c>
      <c r="D839" s="30" t="s">
        <v>684</v>
      </c>
      <c r="E839" s="30" t="s">
        <v>674</v>
      </c>
      <c r="F839" s="30" t="s">
        <v>716</v>
      </c>
      <c r="G839" s="30" t="s">
        <v>744</v>
      </c>
      <c r="H839" s="30" t="s">
        <v>702</v>
      </c>
      <c r="I839" s="30" t="s">
        <v>678</v>
      </c>
      <c r="J839" s="30" t="s">
        <v>745</v>
      </c>
      <c r="K839" s="30" t="s">
        <v>738</v>
      </c>
      <c r="L839" s="30" t="s">
        <v>699</v>
      </c>
      <c r="M839" s="30">
        <v>0.8</v>
      </c>
      <c r="N839" s="30" t="s">
        <v>55</v>
      </c>
      <c r="O839" s="30" t="s">
        <v>746</v>
      </c>
      <c r="P839" s="30" t="s">
        <v>683</v>
      </c>
      <c r="Q839" s="30" t="s">
        <v>665</v>
      </c>
      <c r="R839" s="30" t="s">
        <v>449</v>
      </c>
      <c r="S839" s="30" t="s">
        <v>684</v>
      </c>
    </row>
    <row r="840" spans="1:19" x14ac:dyDescent="0.3">
      <c r="A840" s="31" t="s">
        <v>1245</v>
      </c>
      <c r="B840" s="32" t="s">
        <v>470</v>
      </c>
      <c r="C840" s="32" t="s">
        <v>1246</v>
      </c>
      <c r="D840" s="32" t="s">
        <v>684</v>
      </c>
      <c r="E840" s="32" t="s">
        <v>674</v>
      </c>
      <c r="F840" s="32" t="s">
        <v>716</v>
      </c>
      <c r="G840" s="32" t="s">
        <v>744</v>
      </c>
      <c r="H840" s="32" t="s">
        <v>702</v>
      </c>
      <c r="I840" s="32" t="s">
        <v>678</v>
      </c>
      <c r="J840" s="32" t="s">
        <v>745</v>
      </c>
      <c r="K840" s="32" t="s">
        <v>738</v>
      </c>
      <c r="L840" s="32" t="s">
        <v>699</v>
      </c>
      <c r="M840" s="32">
        <v>1</v>
      </c>
      <c r="N840" s="32" t="s">
        <v>1466</v>
      </c>
      <c r="O840" s="32" t="s">
        <v>746</v>
      </c>
      <c r="P840" s="32" t="s">
        <v>683</v>
      </c>
      <c r="Q840" s="32" t="s">
        <v>665</v>
      </c>
      <c r="R840" s="32" t="s">
        <v>449</v>
      </c>
      <c r="S840" s="30" t="s">
        <v>684</v>
      </c>
    </row>
    <row r="841" spans="1:19" x14ac:dyDescent="0.3">
      <c r="A841" s="29" t="s">
        <v>1245</v>
      </c>
      <c r="B841" s="30" t="s">
        <v>470</v>
      </c>
      <c r="C841" s="30" t="s">
        <v>1246</v>
      </c>
      <c r="D841" s="30" t="s">
        <v>684</v>
      </c>
      <c r="E841" s="30" t="s">
        <v>674</v>
      </c>
      <c r="F841" s="30" t="s">
        <v>716</v>
      </c>
      <c r="G841" s="30" t="s">
        <v>744</v>
      </c>
      <c r="H841" s="30" t="s">
        <v>702</v>
      </c>
      <c r="I841" s="30" t="s">
        <v>678</v>
      </c>
      <c r="J841" s="30" t="s">
        <v>745</v>
      </c>
      <c r="K841" s="30" t="s">
        <v>738</v>
      </c>
      <c r="L841" s="30" t="s">
        <v>699</v>
      </c>
      <c r="M841" s="30">
        <v>1</v>
      </c>
      <c r="N841" s="30" t="s">
        <v>86</v>
      </c>
      <c r="O841" s="30" t="s">
        <v>1915</v>
      </c>
      <c r="P841" s="30" t="s">
        <v>683</v>
      </c>
      <c r="Q841" s="30" t="s">
        <v>767</v>
      </c>
      <c r="R841" s="30" t="s">
        <v>2165</v>
      </c>
      <c r="S841" s="30" t="s">
        <v>684</v>
      </c>
    </row>
    <row r="842" spans="1:19" x14ac:dyDescent="0.3">
      <c r="A842" s="31" t="s">
        <v>1245</v>
      </c>
      <c r="B842" s="32" t="s">
        <v>470</v>
      </c>
      <c r="C842" s="32" t="s">
        <v>1246</v>
      </c>
      <c r="D842" s="32" t="s">
        <v>684</v>
      </c>
      <c r="E842" s="32" t="s">
        <v>674</v>
      </c>
      <c r="F842" s="32" t="s">
        <v>716</v>
      </c>
      <c r="G842" s="32" t="s">
        <v>744</v>
      </c>
      <c r="H842" s="32" t="s">
        <v>702</v>
      </c>
      <c r="I842" s="32" t="s">
        <v>678</v>
      </c>
      <c r="J842" s="32" t="s">
        <v>745</v>
      </c>
      <c r="K842" s="32" t="s">
        <v>738</v>
      </c>
      <c r="L842" s="32" t="s">
        <v>699</v>
      </c>
      <c r="M842" s="32">
        <v>1</v>
      </c>
      <c r="N842" s="32" t="s">
        <v>606</v>
      </c>
      <c r="O842" s="32" t="s">
        <v>746</v>
      </c>
      <c r="P842" s="32" t="s">
        <v>683</v>
      </c>
      <c r="Q842" s="32" t="s">
        <v>665</v>
      </c>
      <c r="R842" s="32" t="s">
        <v>449</v>
      </c>
      <c r="S842" s="30" t="s">
        <v>684</v>
      </c>
    </row>
    <row r="843" spans="1:19" x14ac:dyDescent="0.3">
      <c r="A843" s="29" t="s">
        <v>1245</v>
      </c>
      <c r="B843" s="30" t="s">
        <v>470</v>
      </c>
      <c r="C843" s="30" t="s">
        <v>1246</v>
      </c>
      <c r="D843" s="30" t="s">
        <v>684</v>
      </c>
      <c r="E843" s="30" t="s">
        <v>674</v>
      </c>
      <c r="F843" s="30" t="s">
        <v>716</v>
      </c>
      <c r="G843" s="30" t="s">
        <v>744</v>
      </c>
      <c r="H843" s="30" t="s">
        <v>702</v>
      </c>
      <c r="I843" s="30" t="s">
        <v>678</v>
      </c>
      <c r="J843" s="30" t="s">
        <v>745</v>
      </c>
      <c r="K843" s="30" t="s">
        <v>738</v>
      </c>
      <c r="L843" s="30" t="s">
        <v>699</v>
      </c>
      <c r="M843" s="30">
        <v>1</v>
      </c>
      <c r="N843" s="30" t="s">
        <v>112</v>
      </c>
      <c r="O843" s="30" t="s">
        <v>746</v>
      </c>
      <c r="P843" s="30" t="s">
        <v>683</v>
      </c>
      <c r="Q843" s="30" t="s">
        <v>665</v>
      </c>
      <c r="R843" s="30" t="s">
        <v>449</v>
      </c>
      <c r="S843" s="30" t="s">
        <v>684</v>
      </c>
    </row>
    <row r="844" spans="1:19" x14ac:dyDescent="0.3">
      <c r="A844" s="31" t="s">
        <v>1245</v>
      </c>
      <c r="B844" s="32" t="s">
        <v>470</v>
      </c>
      <c r="C844" s="32" t="s">
        <v>1246</v>
      </c>
      <c r="D844" s="32" t="s">
        <v>684</v>
      </c>
      <c r="E844" s="32" t="s">
        <v>674</v>
      </c>
      <c r="F844" s="32" t="s">
        <v>716</v>
      </c>
      <c r="G844" s="32" t="s">
        <v>744</v>
      </c>
      <c r="H844" s="32" t="s">
        <v>702</v>
      </c>
      <c r="I844" s="32" t="s">
        <v>678</v>
      </c>
      <c r="J844" s="32" t="s">
        <v>745</v>
      </c>
      <c r="K844" s="32" t="s">
        <v>738</v>
      </c>
      <c r="L844" s="32" t="s">
        <v>699</v>
      </c>
      <c r="M844" s="32">
        <v>1</v>
      </c>
      <c r="N844" s="32" t="s">
        <v>145</v>
      </c>
      <c r="O844" s="32" t="s">
        <v>746</v>
      </c>
      <c r="P844" s="32" t="s">
        <v>683</v>
      </c>
      <c r="Q844" s="32" t="s">
        <v>665</v>
      </c>
      <c r="R844" s="32" t="s">
        <v>449</v>
      </c>
      <c r="S844" s="30" t="s">
        <v>684</v>
      </c>
    </row>
    <row r="845" spans="1:19" x14ac:dyDescent="0.3">
      <c r="A845" s="29" t="s">
        <v>1245</v>
      </c>
      <c r="B845" s="30" t="s">
        <v>470</v>
      </c>
      <c r="C845" s="30" t="s">
        <v>1246</v>
      </c>
      <c r="D845" s="30" t="s">
        <v>684</v>
      </c>
      <c r="E845" s="30" t="s">
        <v>674</v>
      </c>
      <c r="F845" s="30" t="s">
        <v>716</v>
      </c>
      <c r="G845" s="30" t="s">
        <v>744</v>
      </c>
      <c r="H845" s="30" t="s">
        <v>702</v>
      </c>
      <c r="I845" s="30" t="s">
        <v>678</v>
      </c>
      <c r="J845" s="30" t="s">
        <v>745</v>
      </c>
      <c r="K845" s="30" t="s">
        <v>738</v>
      </c>
      <c r="L845" s="30" t="s">
        <v>699</v>
      </c>
      <c r="M845" s="30">
        <v>1</v>
      </c>
      <c r="N845" s="30" t="s">
        <v>449</v>
      </c>
      <c r="O845" s="30" t="s">
        <v>746</v>
      </c>
      <c r="P845" s="30" t="s">
        <v>683</v>
      </c>
      <c r="Q845" s="30" t="s">
        <v>665</v>
      </c>
      <c r="R845" s="30" t="s">
        <v>470</v>
      </c>
      <c r="S845" s="30" t="s">
        <v>684</v>
      </c>
    </row>
    <row r="846" spans="1:19" x14ac:dyDescent="0.3">
      <c r="A846" s="31" t="s">
        <v>1245</v>
      </c>
      <c r="B846" s="32" t="s">
        <v>470</v>
      </c>
      <c r="C846" s="32" t="s">
        <v>1246</v>
      </c>
      <c r="D846" s="32" t="s">
        <v>684</v>
      </c>
      <c r="E846" s="32" t="s">
        <v>674</v>
      </c>
      <c r="F846" s="32" t="s">
        <v>716</v>
      </c>
      <c r="G846" s="32" t="s">
        <v>744</v>
      </c>
      <c r="H846" s="32" t="s">
        <v>702</v>
      </c>
      <c r="I846" s="32" t="s">
        <v>678</v>
      </c>
      <c r="J846" s="32" t="s">
        <v>745</v>
      </c>
      <c r="K846" s="32" t="s">
        <v>738</v>
      </c>
      <c r="L846" s="32" t="s">
        <v>699</v>
      </c>
      <c r="M846" s="32">
        <v>1</v>
      </c>
      <c r="N846" s="32" t="s">
        <v>587</v>
      </c>
      <c r="O846" s="32" t="s">
        <v>1915</v>
      </c>
      <c r="P846" s="32" t="s">
        <v>683</v>
      </c>
      <c r="Q846" s="32" t="s">
        <v>767</v>
      </c>
      <c r="R846" s="32" t="s">
        <v>2165</v>
      </c>
      <c r="S846" s="30" t="s">
        <v>684</v>
      </c>
    </row>
    <row r="847" spans="1:19" x14ac:dyDescent="0.3">
      <c r="A847" s="29" t="s">
        <v>1245</v>
      </c>
      <c r="B847" s="30" t="s">
        <v>470</v>
      </c>
      <c r="C847" s="30" t="s">
        <v>1246</v>
      </c>
      <c r="D847" s="30" t="s">
        <v>684</v>
      </c>
      <c r="E847" s="30" t="s">
        <v>674</v>
      </c>
      <c r="F847" s="30" t="s">
        <v>716</v>
      </c>
      <c r="G847" s="30" t="s">
        <v>744</v>
      </c>
      <c r="H847" s="30" t="s">
        <v>702</v>
      </c>
      <c r="I847" s="30" t="s">
        <v>678</v>
      </c>
      <c r="J847" s="30" t="s">
        <v>745</v>
      </c>
      <c r="K847" s="30" t="s">
        <v>738</v>
      </c>
      <c r="L847" s="30" t="s">
        <v>699</v>
      </c>
      <c r="M847" s="30">
        <v>1</v>
      </c>
      <c r="N847" s="30" t="s">
        <v>130</v>
      </c>
      <c r="O847" s="30" t="s">
        <v>746</v>
      </c>
      <c r="P847" s="30" t="s">
        <v>683</v>
      </c>
      <c r="Q847" s="30" t="s">
        <v>665</v>
      </c>
      <c r="R847" s="30" t="s">
        <v>449</v>
      </c>
      <c r="S847" s="30" t="s">
        <v>684</v>
      </c>
    </row>
    <row r="848" spans="1:19" x14ac:dyDescent="0.3">
      <c r="A848" s="31" t="s">
        <v>1245</v>
      </c>
      <c r="B848" s="32" t="s">
        <v>470</v>
      </c>
      <c r="C848" s="32" t="s">
        <v>1246</v>
      </c>
      <c r="D848" s="32" t="s">
        <v>684</v>
      </c>
      <c r="E848" s="32" t="s">
        <v>674</v>
      </c>
      <c r="F848" s="32" t="s">
        <v>716</v>
      </c>
      <c r="G848" s="32" t="s">
        <v>744</v>
      </c>
      <c r="H848" s="32" t="s">
        <v>702</v>
      </c>
      <c r="I848" s="32" t="s">
        <v>678</v>
      </c>
      <c r="J848" s="32" t="s">
        <v>745</v>
      </c>
      <c r="K848" s="32" t="s">
        <v>738</v>
      </c>
      <c r="L848" s="32" t="s">
        <v>699</v>
      </c>
      <c r="M848" s="32">
        <v>1</v>
      </c>
      <c r="N848" s="32" t="s">
        <v>326</v>
      </c>
      <c r="O848" s="32" t="s">
        <v>746</v>
      </c>
      <c r="P848" s="32" t="s">
        <v>683</v>
      </c>
      <c r="Q848" s="32" t="s">
        <v>665</v>
      </c>
      <c r="R848" s="32" t="s">
        <v>2331</v>
      </c>
      <c r="S848" s="32" t="s">
        <v>673</v>
      </c>
    </row>
    <row r="849" spans="1:19" x14ac:dyDescent="0.3">
      <c r="A849" s="29" t="s">
        <v>1245</v>
      </c>
      <c r="B849" s="30" t="s">
        <v>470</v>
      </c>
      <c r="C849" s="30" t="s">
        <v>1246</v>
      </c>
      <c r="D849" s="30" t="s">
        <v>684</v>
      </c>
      <c r="E849" s="30" t="s">
        <v>674</v>
      </c>
      <c r="F849" s="30" t="s">
        <v>716</v>
      </c>
      <c r="G849" s="30" t="s">
        <v>744</v>
      </c>
      <c r="H849" s="30" t="s">
        <v>702</v>
      </c>
      <c r="I849" s="30" t="s">
        <v>678</v>
      </c>
      <c r="J849" s="30" t="s">
        <v>745</v>
      </c>
      <c r="K849" s="30" t="s">
        <v>738</v>
      </c>
      <c r="L849" s="30" t="s">
        <v>699</v>
      </c>
      <c r="M849" s="30">
        <v>1</v>
      </c>
      <c r="N849" s="30" t="s">
        <v>1667</v>
      </c>
      <c r="O849" s="30" t="s">
        <v>746</v>
      </c>
      <c r="P849" s="30" t="s">
        <v>683</v>
      </c>
      <c r="Q849" s="30" t="s">
        <v>665</v>
      </c>
      <c r="R849" s="30" t="s">
        <v>449</v>
      </c>
      <c r="S849" s="30" t="s">
        <v>684</v>
      </c>
    </row>
    <row r="850" spans="1:19" x14ac:dyDescent="0.3">
      <c r="A850" s="31" t="s">
        <v>717</v>
      </c>
      <c r="B850" s="32" t="s">
        <v>716</v>
      </c>
      <c r="C850" s="32" t="s">
        <v>715</v>
      </c>
      <c r="D850" s="32" t="s">
        <v>2302</v>
      </c>
      <c r="E850" s="32" t="s">
        <v>674</v>
      </c>
      <c r="F850" s="32" t="s">
        <v>716</v>
      </c>
      <c r="G850" s="32" t="s">
        <v>717</v>
      </c>
      <c r="H850" s="32" t="s">
        <v>717</v>
      </c>
      <c r="I850" s="32" t="s">
        <v>717</v>
      </c>
      <c r="J850" s="32" t="s">
        <v>717</v>
      </c>
      <c r="K850" s="32" t="s">
        <v>717</v>
      </c>
      <c r="L850" s="32" t="s">
        <v>699</v>
      </c>
      <c r="M850" s="32">
        <v>1</v>
      </c>
      <c r="N850" s="32" t="s">
        <v>310</v>
      </c>
      <c r="O850" s="32" t="s">
        <v>682</v>
      </c>
      <c r="P850" s="32" t="s">
        <v>683</v>
      </c>
      <c r="Q850" s="32" t="s">
        <v>665</v>
      </c>
      <c r="R850" s="32" t="s">
        <v>447</v>
      </c>
      <c r="S850" s="32" t="s">
        <v>673</v>
      </c>
    </row>
    <row r="851" spans="1:19" x14ac:dyDescent="0.3">
      <c r="A851" s="29" t="s">
        <v>729</v>
      </c>
      <c r="B851" s="30" t="s">
        <v>704</v>
      </c>
      <c r="C851" s="30" t="s">
        <v>730</v>
      </c>
      <c r="D851" s="30" t="s">
        <v>673</v>
      </c>
      <c r="E851" s="30" t="s">
        <v>674</v>
      </c>
      <c r="F851" s="30" t="s">
        <v>675</v>
      </c>
      <c r="G851" s="30" t="s">
        <v>731</v>
      </c>
      <c r="H851" s="30" t="s">
        <v>702</v>
      </c>
      <c r="I851" s="30" t="s">
        <v>688</v>
      </c>
      <c r="J851" s="30" t="s">
        <v>713</v>
      </c>
      <c r="K851" s="30" t="s">
        <v>690</v>
      </c>
      <c r="L851" s="30" t="s">
        <v>681</v>
      </c>
      <c r="M851" s="30">
        <v>1</v>
      </c>
      <c r="N851" s="30" t="s">
        <v>641</v>
      </c>
      <c r="O851" s="30" t="s">
        <v>682</v>
      </c>
      <c r="P851" s="30" t="s">
        <v>683</v>
      </c>
      <c r="Q851" s="30" t="s">
        <v>665</v>
      </c>
      <c r="R851" s="30" t="s">
        <v>447</v>
      </c>
      <c r="S851" s="32" t="s">
        <v>673</v>
      </c>
    </row>
    <row r="852" spans="1:19" x14ac:dyDescent="0.3">
      <c r="A852" s="31" t="s">
        <v>1470</v>
      </c>
      <c r="B852" s="32" t="s">
        <v>544</v>
      </c>
      <c r="C852" s="32" t="s">
        <v>1471</v>
      </c>
      <c r="D852" s="32" t="s">
        <v>684</v>
      </c>
      <c r="E852" s="32" t="s">
        <v>674</v>
      </c>
      <c r="F852" s="32" t="s">
        <v>716</v>
      </c>
      <c r="G852" s="32" t="s">
        <v>744</v>
      </c>
      <c r="H852" s="32" t="s">
        <v>702</v>
      </c>
      <c r="I852" s="32" t="s">
        <v>736</v>
      </c>
      <c r="J852" s="32" t="s">
        <v>737</v>
      </c>
      <c r="K852" s="32" t="s">
        <v>738</v>
      </c>
      <c r="L852" s="32" t="s">
        <v>808</v>
      </c>
      <c r="M852" s="32">
        <v>1</v>
      </c>
      <c r="N852" s="32" t="s">
        <v>1848</v>
      </c>
      <c r="O852" s="32" t="s">
        <v>746</v>
      </c>
      <c r="P852" s="32" t="s">
        <v>683</v>
      </c>
      <c r="Q852" s="32" t="s">
        <v>665</v>
      </c>
      <c r="R852" s="32" t="s">
        <v>48</v>
      </c>
      <c r="S852" s="30" t="s">
        <v>684</v>
      </c>
    </row>
    <row r="853" spans="1:19" x14ac:dyDescent="0.3">
      <c r="A853" s="29" t="s">
        <v>1470</v>
      </c>
      <c r="B853" s="30" t="s">
        <v>544</v>
      </c>
      <c r="C853" s="30" t="s">
        <v>1471</v>
      </c>
      <c r="D853" s="30" t="s">
        <v>684</v>
      </c>
      <c r="E853" s="30" t="s">
        <v>674</v>
      </c>
      <c r="F853" s="30" t="s">
        <v>716</v>
      </c>
      <c r="G853" s="30" t="s">
        <v>744</v>
      </c>
      <c r="H853" s="30" t="s">
        <v>702</v>
      </c>
      <c r="I853" s="30" t="s">
        <v>736</v>
      </c>
      <c r="J853" s="30" t="s">
        <v>737</v>
      </c>
      <c r="K853" s="30" t="s">
        <v>738</v>
      </c>
      <c r="L853" s="30" t="s">
        <v>808</v>
      </c>
      <c r="M853" s="30">
        <v>1</v>
      </c>
      <c r="N853" s="30" t="s">
        <v>2332</v>
      </c>
      <c r="O853" s="30" t="s">
        <v>2171</v>
      </c>
      <c r="P853" s="30" t="s">
        <v>683</v>
      </c>
      <c r="Q853" s="30" t="s">
        <v>767</v>
      </c>
      <c r="R853" s="30" t="s">
        <v>48</v>
      </c>
      <c r="S853" s="30" t="s">
        <v>684</v>
      </c>
    </row>
    <row r="854" spans="1:19" x14ac:dyDescent="0.3">
      <c r="A854" s="31" t="s">
        <v>1477</v>
      </c>
      <c r="B854" s="32" t="s">
        <v>528</v>
      </c>
      <c r="C854" s="32" t="s">
        <v>1478</v>
      </c>
      <c r="D854" s="32" t="s">
        <v>673</v>
      </c>
      <c r="E854" s="32" t="s">
        <v>674</v>
      </c>
      <c r="F854" s="32" t="s">
        <v>675</v>
      </c>
      <c r="G854" s="32" t="s">
        <v>724</v>
      </c>
      <c r="H854" s="32" t="s">
        <v>677</v>
      </c>
      <c r="I854" s="32" t="s">
        <v>678</v>
      </c>
      <c r="J854" s="32" t="s">
        <v>689</v>
      </c>
      <c r="K854" s="32" t="s">
        <v>690</v>
      </c>
      <c r="L854" s="32" t="s">
        <v>699</v>
      </c>
      <c r="M854" s="32">
        <v>0.25</v>
      </c>
      <c r="N854" s="32" t="s">
        <v>426</v>
      </c>
      <c r="O854" s="32" t="s">
        <v>746</v>
      </c>
      <c r="P854" s="32" t="s">
        <v>683</v>
      </c>
      <c r="Q854" s="32" t="s">
        <v>665</v>
      </c>
      <c r="R854" s="32" t="s">
        <v>181</v>
      </c>
      <c r="S854" s="32" t="s">
        <v>673</v>
      </c>
    </row>
    <row r="855" spans="1:19" x14ac:dyDescent="0.3">
      <c r="A855" s="29" t="s">
        <v>1456</v>
      </c>
      <c r="B855" s="30" t="s">
        <v>528</v>
      </c>
      <c r="C855" s="30" t="s">
        <v>1457</v>
      </c>
      <c r="D855" s="30" t="s">
        <v>673</v>
      </c>
      <c r="E855" s="30" t="s">
        <v>674</v>
      </c>
      <c r="F855" s="30" t="s">
        <v>716</v>
      </c>
      <c r="G855" s="30" t="s">
        <v>744</v>
      </c>
      <c r="H855" s="30" t="s">
        <v>938</v>
      </c>
      <c r="I855" s="30" t="s">
        <v>688</v>
      </c>
      <c r="J855" s="30" t="s">
        <v>1422</v>
      </c>
      <c r="K855" s="30" t="s">
        <v>861</v>
      </c>
      <c r="L855" s="30" t="s">
        <v>699</v>
      </c>
      <c r="M855" s="30">
        <v>0.25</v>
      </c>
      <c r="N855" s="30" t="s">
        <v>57</v>
      </c>
      <c r="O855" s="30" t="s">
        <v>746</v>
      </c>
      <c r="P855" s="30" t="s">
        <v>683</v>
      </c>
      <c r="Q855" s="30" t="s">
        <v>665</v>
      </c>
      <c r="R855" s="30" t="s">
        <v>181</v>
      </c>
      <c r="S855" s="32" t="s">
        <v>673</v>
      </c>
    </row>
    <row r="856" spans="1:19" x14ac:dyDescent="0.3">
      <c r="A856" s="31" t="s">
        <v>1450</v>
      </c>
      <c r="B856" s="32" t="s">
        <v>528</v>
      </c>
      <c r="C856" s="32" t="s">
        <v>1451</v>
      </c>
      <c r="D856" s="32" t="s">
        <v>673</v>
      </c>
      <c r="E856" s="32" t="s">
        <v>674</v>
      </c>
      <c r="F856" s="32" t="s">
        <v>675</v>
      </c>
      <c r="G856" s="32" t="s">
        <v>676</v>
      </c>
      <c r="H856" s="32" t="s">
        <v>677</v>
      </c>
      <c r="I856" s="32" t="s">
        <v>688</v>
      </c>
      <c r="J856" s="32" t="s">
        <v>1422</v>
      </c>
      <c r="K856" s="32" t="s">
        <v>861</v>
      </c>
      <c r="L856" s="32" t="s">
        <v>691</v>
      </c>
      <c r="M856" s="32">
        <v>0.5</v>
      </c>
      <c r="N856" s="32" t="s">
        <v>110</v>
      </c>
      <c r="O856" s="32" t="s">
        <v>746</v>
      </c>
      <c r="P856" s="32" t="s">
        <v>683</v>
      </c>
      <c r="Q856" s="32" t="s">
        <v>665</v>
      </c>
      <c r="R856" s="32" t="s">
        <v>181</v>
      </c>
      <c r="S856" s="32" t="s">
        <v>673</v>
      </c>
    </row>
    <row r="857" spans="1:19" x14ac:dyDescent="0.3">
      <c r="A857" s="29" t="s">
        <v>2333</v>
      </c>
      <c r="B857" s="30" t="s">
        <v>528</v>
      </c>
      <c r="C857" s="30" t="s">
        <v>2334</v>
      </c>
      <c r="D857" s="30" t="s">
        <v>673</v>
      </c>
      <c r="E857" s="30" t="s">
        <v>674</v>
      </c>
      <c r="F857" s="30" t="s">
        <v>675</v>
      </c>
      <c r="G857" s="30" t="s">
        <v>676</v>
      </c>
      <c r="H857" s="30" t="s">
        <v>702</v>
      </c>
      <c r="I857" s="30" t="s">
        <v>688</v>
      </c>
      <c r="J857" s="30" t="s">
        <v>689</v>
      </c>
      <c r="K857" s="30" t="s">
        <v>690</v>
      </c>
      <c r="L857" s="30" t="s">
        <v>681</v>
      </c>
      <c r="M857" s="30">
        <v>0.5</v>
      </c>
      <c r="N857" s="30" t="s">
        <v>340</v>
      </c>
      <c r="O857" s="30" t="s">
        <v>746</v>
      </c>
      <c r="P857" s="30" t="s">
        <v>683</v>
      </c>
      <c r="Q857" s="30" t="s">
        <v>665</v>
      </c>
      <c r="R857" s="30" t="s">
        <v>181</v>
      </c>
      <c r="S857" s="32" t="s">
        <v>673</v>
      </c>
    </row>
    <row r="858" spans="1:19" x14ac:dyDescent="0.3">
      <c r="A858" s="31" t="s">
        <v>1479</v>
      </c>
      <c r="B858" s="32" t="s">
        <v>528</v>
      </c>
      <c r="C858" s="32" t="s">
        <v>1480</v>
      </c>
      <c r="D858" s="32" t="s">
        <v>673</v>
      </c>
      <c r="E858" s="32" t="s">
        <v>674</v>
      </c>
      <c r="F858" s="32" t="s">
        <v>675</v>
      </c>
      <c r="G858" s="32" t="s">
        <v>676</v>
      </c>
      <c r="H858" s="32" t="s">
        <v>677</v>
      </c>
      <c r="I858" s="32" t="s">
        <v>678</v>
      </c>
      <c r="J858" s="32" t="s">
        <v>1422</v>
      </c>
      <c r="K858" s="32" t="s">
        <v>861</v>
      </c>
      <c r="L858" s="32" t="s">
        <v>739</v>
      </c>
      <c r="M858" s="32">
        <v>0.25</v>
      </c>
      <c r="N858" s="32" t="s">
        <v>426</v>
      </c>
      <c r="O858" s="32" t="s">
        <v>746</v>
      </c>
      <c r="P858" s="32" t="s">
        <v>683</v>
      </c>
      <c r="Q858" s="32" t="s">
        <v>665</v>
      </c>
      <c r="R858" s="32" t="s">
        <v>181</v>
      </c>
      <c r="S858" s="32" t="s">
        <v>673</v>
      </c>
    </row>
    <row r="859" spans="1:19" x14ac:dyDescent="0.3">
      <c r="A859" s="29" t="s">
        <v>1483</v>
      </c>
      <c r="B859" s="30" t="s">
        <v>528</v>
      </c>
      <c r="C859" s="30" t="s">
        <v>1484</v>
      </c>
      <c r="D859" s="30" t="s">
        <v>1485</v>
      </c>
      <c r="E859" s="30" t="s">
        <v>674</v>
      </c>
      <c r="F859" s="30" t="s">
        <v>716</v>
      </c>
      <c r="G859" s="30" t="s">
        <v>744</v>
      </c>
      <c r="H859" s="30" t="s">
        <v>935</v>
      </c>
      <c r="I859" s="30" t="s">
        <v>678</v>
      </c>
      <c r="J859" s="30" t="s">
        <v>1422</v>
      </c>
      <c r="K859" s="30" t="s">
        <v>861</v>
      </c>
      <c r="L859" s="30" t="s">
        <v>808</v>
      </c>
      <c r="M859" s="30">
        <v>0.25</v>
      </c>
      <c r="N859" s="30" t="s">
        <v>426</v>
      </c>
      <c r="O859" s="30" t="s">
        <v>746</v>
      </c>
      <c r="P859" s="30" t="s">
        <v>683</v>
      </c>
      <c r="Q859" s="30" t="s">
        <v>665</v>
      </c>
      <c r="R859" s="30" t="s">
        <v>181</v>
      </c>
      <c r="S859" s="32" t="s">
        <v>673</v>
      </c>
    </row>
    <row r="860" spans="1:19" x14ac:dyDescent="0.3">
      <c r="A860" s="31" t="s">
        <v>1454</v>
      </c>
      <c r="B860" s="32" t="s">
        <v>528</v>
      </c>
      <c r="C860" s="32" t="s">
        <v>1455</v>
      </c>
      <c r="D860" s="32" t="s">
        <v>673</v>
      </c>
      <c r="E860" s="32" t="s">
        <v>674</v>
      </c>
      <c r="F860" s="32" t="s">
        <v>675</v>
      </c>
      <c r="G860" s="32" t="s">
        <v>676</v>
      </c>
      <c r="H860" s="32" t="s">
        <v>677</v>
      </c>
      <c r="I860" s="32" t="s">
        <v>688</v>
      </c>
      <c r="J860" s="32" t="s">
        <v>1422</v>
      </c>
      <c r="K860" s="32" t="s">
        <v>861</v>
      </c>
      <c r="L860" s="32" t="s">
        <v>681</v>
      </c>
      <c r="M860" s="32">
        <v>0.5</v>
      </c>
      <c r="N860" s="32" t="s">
        <v>110</v>
      </c>
      <c r="O860" s="32" t="s">
        <v>746</v>
      </c>
      <c r="P860" s="32" t="s">
        <v>683</v>
      </c>
      <c r="Q860" s="32" t="s">
        <v>665</v>
      </c>
      <c r="R860" s="32" t="s">
        <v>181</v>
      </c>
      <c r="S860" s="32" t="s">
        <v>673</v>
      </c>
    </row>
    <row r="861" spans="1:19" x14ac:dyDescent="0.3">
      <c r="A861" s="29" t="s">
        <v>1464</v>
      </c>
      <c r="B861" s="30" t="s">
        <v>528</v>
      </c>
      <c r="C861" s="30" t="s">
        <v>1465</v>
      </c>
      <c r="D861" s="30" t="s">
        <v>673</v>
      </c>
      <c r="E861" s="30" t="s">
        <v>674</v>
      </c>
      <c r="F861" s="30" t="s">
        <v>716</v>
      </c>
      <c r="G861" s="30" t="s">
        <v>744</v>
      </c>
      <c r="H861" s="30" t="s">
        <v>935</v>
      </c>
      <c r="I861" s="30" t="s">
        <v>678</v>
      </c>
      <c r="J861" s="30" t="s">
        <v>1422</v>
      </c>
      <c r="K861" s="30" t="s">
        <v>861</v>
      </c>
      <c r="L861" s="30" t="s">
        <v>739</v>
      </c>
      <c r="M861" s="30">
        <v>1</v>
      </c>
      <c r="N861" s="30" t="s">
        <v>397</v>
      </c>
      <c r="O861" s="30" t="s">
        <v>746</v>
      </c>
      <c r="P861" s="30" t="s">
        <v>683</v>
      </c>
      <c r="Q861" s="30" t="s">
        <v>665</v>
      </c>
      <c r="R861" s="30" t="s">
        <v>181</v>
      </c>
      <c r="S861" s="32" t="s">
        <v>673</v>
      </c>
    </row>
    <row r="862" spans="1:19" x14ac:dyDescent="0.3">
      <c r="A862" s="31" t="s">
        <v>1462</v>
      </c>
      <c r="B862" s="32" t="s">
        <v>528</v>
      </c>
      <c r="C862" s="32" t="s">
        <v>1463</v>
      </c>
      <c r="D862" s="32" t="s">
        <v>673</v>
      </c>
      <c r="E862" s="32" t="s">
        <v>674</v>
      </c>
      <c r="F862" s="32" t="s">
        <v>935</v>
      </c>
      <c r="G862" s="32" t="s">
        <v>676</v>
      </c>
      <c r="H862" s="32" t="s">
        <v>935</v>
      </c>
      <c r="I862" s="32" t="s">
        <v>688</v>
      </c>
      <c r="J862" s="32" t="s">
        <v>689</v>
      </c>
      <c r="K862" s="32" t="s">
        <v>690</v>
      </c>
      <c r="L862" s="32" t="s">
        <v>739</v>
      </c>
      <c r="M862" s="32">
        <v>0.5</v>
      </c>
      <c r="N862" s="32" t="s">
        <v>340</v>
      </c>
      <c r="O862" s="32" t="s">
        <v>746</v>
      </c>
      <c r="P862" s="32" t="s">
        <v>683</v>
      </c>
      <c r="Q862" s="32" t="s">
        <v>665</v>
      </c>
      <c r="R862" s="32" t="s">
        <v>181</v>
      </c>
      <c r="S862" s="32" t="s">
        <v>673</v>
      </c>
    </row>
    <row r="863" spans="1:19" x14ac:dyDescent="0.3">
      <c r="A863" s="29" t="s">
        <v>1481</v>
      </c>
      <c r="B863" s="30" t="s">
        <v>528</v>
      </c>
      <c r="C863" s="30" t="s">
        <v>1482</v>
      </c>
      <c r="D863" s="30" t="s">
        <v>673</v>
      </c>
      <c r="E863" s="30" t="s">
        <v>674</v>
      </c>
      <c r="F863" s="30" t="s">
        <v>675</v>
      </c>
      <c r="G863" s="30" t="s">
        <v>724</v>
      </c>
      <c r="H863" s="30" t="s">
        <v>677</v>
      </c>
      <c r="I863" s="30" t="s">
        <v>678</v>
      </c>
      <c r="J863" s="30" t="s">
        <v>689</v>
      </c>
      <c r="K863" s="30" t="s">
        <v>690</v>
      </c>
      <c r="L863" s="30" t="s">
        <v>699</v>
      </c>
      <c r="M863" s="30">
        <v>0.25</v>
      </c>
      <c r="N863" s="30" t="s">
        <v>426</v>
      </c>
      <c r="O863" s="30" t="s">
        <v>746</v>
      </c>
      <c r="P863" s="30" t="s">
        <v>683</v>
      </c>
      <c r="Q863" s="30" t="s">
        <v>665</v>
      </c>
      <c r="R863" s="30" t="s">
        <v>181</v>
      </c>
      <c r="S863" s="32" t="s">
        <v>673</v>
      </c>
    </row>
    <row r="864" spans="1:19" x14ac:dyDescent="0.3">
      <c r="A864" s="31" t="s">
        <v>1446</v>
      </c>
      <c r="B864" s="32" t="s">
        <v>528</v>
      </c>
      <c r="C864" s="32" t="s">
        <v>1447</v>
      </c>
      <c r="D864" s="32" t="s">
        <v>673</v>
      </c>
      <c r="E864" s="32" t="s">
        <v>674</v>
      </c>
      <c r="F864" s="32" t="s">
        <v>716</v>
      </c>
      <c r="G864" s="32" t="s">
        <v>744</v>
      </c>
      <c r="H864" s="32" t="s">
        <v>735</v>
      </c>
      <c r="I864" s="32" t="s">
        <v>678</v>
      </c>
      <c r="J864" s="32" t="s">
        <v>1422</v>
      </c>
      <c r="K864" s="32" t="s">
        <v>861</v>
      </c>
      <c r="L864" s="32" t="s">
        <v>699</v>
      </c>
      <c r="M864" s="32">
        <v>0.25</v>
      </c>
      <c r="N864" s="32" t="s">
        <v>57</v>
      </c>
      <c r="O864" s="32" t="s">
        <v>746</v>
      </c>
      <c r="P864" s="32" t="s">
        <v>683</v>
      </c>
      <c r="Q864" s="32" t="s">
        <v>665</v>
      </c>
      <c r="R864" s="32" t="s">
        <v>181</v>
      </c>
      <c r="S864" s="32" t="s">
        <v>673</v>
      </c>
    </row>
    <row r="865" spans="1:19" x14ac:dyDescent="0.3">
      <c r="A865" s="29" t="s">
        <v>1458</v>
      </c>
      <c r="B865" s="30" t="s">
        <v>528</v>
      </c>
      <c r="C865" s="30" t="s">
        <v>1459</v>
      </c>
      <c r="D865" s="30" t="s">
        <v>673</v>
      </c>
      <c r="E865" s="30" t="s">
        <v>674</v>
      </c>
      <c r="F865" s="30" t="s">
        <v>716</v>
      </c>
      <c r="G865" s="30" t="s">
        <v>744</v>
      </c>
      <c r="H865" s="30" t="s">
        <v>938</v>
      </c>
      <c r="I865" s="30" t="s">
        <v>678</v>
      </c>
      <c r="J865" s="30" t="s">
        <v>1422</v>
      </c>
      <c r="K865" s="30" t="s">
        <v>861</v>
      </c>
      <c r="L865" s="30" t="s">
        <v>699</v>
      </c>
      <c r="M865" s="30">
        <v>0.25</v>
      </c>
      <c r="N865" s="30" t="s">
        <v>57</v>
      </c>
      <c r="O865" s="30" t="s">
        <v>746</v>
      </c>
      <c r="P865" s="30" t="s">
        <v>683</v>
      </c>
      <c r="Q865" s="30" t="s">
        <v>665</v>
      </c>
      <c r="R865" s="30" t="s">
        <v>181</v>
      </c>
      <c r="S865" s="32" t="s">
        <v>673</v>
      </c>
    </row>
    <row r="866" spans="1:19" x14ac:dyDescent="0.3">
      <c r="A866" s="31" t="s">
        <v>1460</v>
      </c>
      <c r="B866" s="32" t="s">
        <v>528</v>
      </c>
      <c r="C866" s="32" t="s">
        <v>1461</v>
      </c>
      <c r="D866" s="32" t="s">
        <v>673</v>
      </c>
      <c r="E866" s="32" t="s">
        <v>674</v>
      </c>
      <c r="F866" s="32" t="s">
        <v>716</v>
      </c>
      <c r="G866" s="32" t="s">
        <v>744</v>
      </c>
      <c r="H866" s="32" t="s">
        <v>677</v>
      </c>
      <c r="I866" s="32" t="s">
        <v>678</v>
      </c>
      <c r="J866" s="32" t="s">
        <v>1422</v>
      </c>
      <c r="K866" s="32" t="s">
        <v>861</v>
      </c>
      <c r="L866" s="32" t="s">
        <v>739</v>
      </c>
      <c r="M866" s="32">
        <v>1</v>
      </c>
      <c r="N866" s="32" t="s">
        <v>438</v>
      </c>
      <c r="O866" s="32" t="s">
        <v>746</v>
      </c>
      <c r="P866" s="32" t="s">
        <v>683</v>
      </c>
      <c r="Q866" s="32" t="s">
        <v>665</v>
      </c>
      <c r="R866" s="32" t="s">
        <v>181</v>
      </c>
      <c r="S866" s="32" t="s">
        <v>673</v>
      </c>
    </row>
    <row r="867" spans="1:19" x14ac:dyDescent="0.3">
      <c r="A867" s="29" t="s">
        <v>1448</v>
      </c>
      <c r="B867" s="30" t="s">
        <v>528</v>
      </c>
      <c r="C867" s="30" t="s">
        <v>1449</v>
      </c>
      <c r="D867" s="30" t="s">
        <v>673</v>
      </c>
      <c r="E867" s="30" t="s">
        <v>674</v>
      </c>
      <c r="F867" s="30" t="s">
        <v>716</v>
      </c>
      <c r="G867" s="30" t="s">
        <v>744</v>
      </c>
      <c r="H867" s="30" t="s">
        <v>938</v>
      </c>
      <c r="I867" s="30" t="s">
        <v>678</v>
      </c>
      <c r="J867" s="30" t="s">
        <v>1422</v>
      </c>
      <c r="K867" s="30" t="s">
        <v>861</v>
      </c>
      <c r="L867" s="30" t="s">
        <v>699</v>
      </c>
      <c r="M867" s="30">
        <v>0.25</v>
      </c>
      <c r="N867" s="30" t="s">
        <v>57</v>
      </c>
      <c r="O867" s="30" t="s">
        <v>746</v>
      </c>
      <c r="P867" s="30" t="s">
        <v>683</v>
      </c>
      <c r="Q867" s="30" t="s">
        <v>665</v>
      </c>
      <c r="R867" s="30" t="s">
        <v>181</v>
      </c>
      <c r="S867" s="32" t="s">
        <v>673</v>
      </c>
    </row>
    <row r="868" spans="1:19" x14ac:dyDescent="0.3">
      <c r="A868" s="31" t="s">
        <v>1456</v>
      </c>
      <c r="B868" s="32" t="s">
        <v>528</v>
      </c>
      <c r="C868" s="32" t="s">
        <v>1457</v>
      </c>
      <c r="D868" s="32" t="s">
        <v>673</v>
      </c>
      <c r="E868" s="32" t="s">
        <v>674</v>
      </c>
      <c r="F868" s="32" t="s">
        <v>716</v>
      </c>
      <c r="G868" s="32" t="s">
        <v>744</v>
      </c>
      <c r="H868" s="32" t="s">
        <v>938</v>
      </c>
      <c r="I868" s="32" t="s">
        <v>688</v>
      </c>
      <c r="J868" s="32" t="s">
        <v>1422</v>
      </c>
      <c r="K868" s="32" t="s">
        <v>861</v>
      </c>
      <c r="L868" s="32" t="s">
        <v>699</v>
      </c>
      <c r="M868" s="32">
        <v>0.3</v>
      </c>
      <c r="N868" s="32" t="s">
        <v>543</v>
      </c>
      <c r="O868" s="32" t="s">
        <v>1915</v>
      </c>
      <c r="P868" s="32" t="s">
        <v>683</v>
      </c>
      <c r="Q868" s="32" t="s">
        <v>767</v>
      </c>
      <c r="R868" s="32" t="s">
        <v>181</v>
      </c>
      <c r="S868" s="32" t="s">
        <v>673</v>
      </c>
    </row>
    <row r="869" spans="1:19" x14ac:dyDescent="0.3">
      <c r="A869" s="29" t="s">
        <v>1448</v>
      </c>
      <c r="B869" s="30" t="s">
        <v>528</v>
      </c>
      <c r="C869" s="30" t="s">
        <v>1449</v>
      </c>
      <c r="D869" s="30" t="s">
        <v>673</v>
      </c>
      <c r="E869" s="30" t="s">
        <v>674</v>
      </c>
      <c r="F869" s="30" t="s">
        <v>716</v>
      </c>
      <c r="G869" s="30" t="s">
        <v>744</v>
      </c>
      <c r="H869" s="30" t="s">
        <v>938</v>
      </c>
      <c r="I869" s="30" t="s">
        <v>678</v>
      </c>
      <c r="J869" s="30" t="s">
        <v>1422</v>
      </c>
      <c r="K869" s="30" t="s">
        <v>861</v>
      </c>
      <c r="L869" s="30" t="s">
        <v>699</v>
      </c>
      <c r="M869" s="30">
        <v>0.35</v>
      </c>
      <c r="N869" s="30" t="s">
        <v>543</v>
      </c>
      <c r="O869" s="30" t="s">
        <v>1915</v>
      </c>
      <c r="P869" s="30" t="s">
        <v>683</v>
      </c>
      <c r="Q869" s="30" t="s">
        <v>767</v>
      </c>
      <c r="R869" s="30" t="s">
        <v>181</v>
      </c>
      <c r="S869" s="32" t="s">
        <v>673</v>
      </c>
    </row>
    <row r="870" spans="1:19" x14ac:dyDescent="0.3">
      <c r="A870" s="31" t="s">
        <v>879</v>
      </c>
      <c r="B870" s="32" t="s">
        <v>142</v>
      </c>
      <c r="C870" s="32" t="s">
        <v>880</v>
      </c>
      <c r="D870" s="32" t="s">
        <v>673</v>
      </c>
      <c r="E870" s="32" t="s">
        <v>674</v>
      </c>
      <c r="F870" s="32" t="s">
        <v>716</v>
      </c>
      <c r="G870" s="32" t="s">
        <v>744</v>
      </c>
      <c r="H870" s="32" t="s">
        <v>677</v>
      </c>
      <c r="I870" s="32" t="s">
        <v>678</v>
      </c>
      <c r="J870" s="32" t="s">
        <v>698</v>
      </c>
      <c r="K870" s="32" t="s">
        <v>690</v>
      </c>
      <c r="L870" s="32" t="s">
        <v>699</v>
      </c>
      <c r="M870" s="32">
        <v>1</v>
      </c>
      <c r="N870" s="32" t="s">
        <v>521</v>
      </c>
      <c r="O870" s="32" t="s">
        <v>746</v>
      </c>
      <c r="P870" s="32" t="s">
        <v>683</v>
      </c>
      <c r="Q870" s="32" t="s">
        <v>665</v>
      </c>
      <c r="R870" s="32" t="s">
        <v>87</v>
      </c>
      <c r="S870" s="32" t="s">
        <v>673</v>
      </c>
    </row>
    <row r="871" spans="1:19" x14ac:dyDescent="0.3">
      <c r="A871" s="29" t="s">
        <v>879</v>
      </c>
      <c r="B871" s="30" t="s">
        <v>142</v>
      </c>
      <c r="C871" s="30" t="s">
        <v>880</v>
      </c>
      <c r="D871" s="30" t="s">
        <v>673</v>
      </c>
      <c r="E871" s="30" t="s">
        <v>674</v>
      </c>
      <c r="F871" s="30" t="s">
        <v>716</v>
      </c>
      <c r="G871" s="30" t="s">
        <v>744</v>
      </c>
      <c r="H871" s="30" t="s">
        <v>677</v>
      </c>
      <c r="I871" s="30" t="s">
        <v>678</v>
      </c>
      <c r="J871" s="30" t="s">
        <v>698</v>
      </c>
      <c r="K871" s="30" t="s">
        <v>690</v>
      </c>
      <c r="L871" s="30" t="s">
        <v>699</v>
      </c>
      <c r="M871" s="30">
        <v>1</v>
      </c>
      <c r="N871" s="30" t="s">
        <v>345</v>
      </c>
      <c r="O871" s="30" t="s">
        <v>746</v>
      </c>
      <c r="P871" s="30" t="s">
        <v>683</v>
      </c>
      <c r="Q871" s="30" t="s">
        <v>665</v>
      </c>
      <c r="R871" s="30" t="s">
        <v>87</v>
      </c>
      <c r="S871" s="32" t="s">
        <v>673</v>
      </c>
    </row>
    <row r="872" spans="1:19" x14ac:dyDescent="0.3">
      <c r="A872" s="31" t="s">
        <v>879</v>
      </c>
      <c r="B872" s="32" t="s">
        <v>142</v>
      </c>
      <c r="C872" s="32" t="s">
        <v>880</v>
      </c>
      <c r="D872" s="32" t="s">
        <v>673</v>
      </c>
      <c r="E872" s="32" t="s">
        <v>674</v>
      </c>
      <c r="F872" s="32" t="s">
        <v>716</v>
      </c>
      <c r="G872" s="32" t="s">
        <v>744</v>
      </c>
      <c r="H872" s="32" t="s">
        <v>677</v>
      </c>
      <c r="I872" s="32" t="s">
        <v>678</v>
      </c>
      <c r="J872" s="32" t="s">
        <v>698</v>
      </c>
      <c r="K872" s="32" t="s">
        <v>690</v>
      </c>
      <c r="L872" s="32" t="s">
        <v>699</v>
      </c>
      <c r="M872" s="32">
        <v>1</v>
      </c>
      <c r="N872" s="32" t="s">
        <v>530</v>
      </c>
      <c r="O872" s="32" t="s">
        <v>746</v>
      </c>
      <c r="P872" s="32" t="s">
        <v>683</v>
      </c>
      <c r="Q872" s="32" t="s">
        <v>665</v>
      </c>
      <c r="R872" s="32" t="s">
        <v>87</v>
      </c>
      <c r="S872" s="32" t="s">
        <v>673</v>
      </c>
    </row>
    <row r="873" spans="1:19" x14ac:dyDescent="0.3">
      <c r="A873" s="29" t="s">
        <v>879</v>
      </c>
      <c r="B873" s="30" t="s">
        <v>142</v>
      </c>
      <c r="C873" s="30" t="s">
        <v>880</v>
      </c>
      <c r="D873" s="30" t="s">
        <v>673</v>
      </c>
      <c r="E873" s="30" t="s">
        <v>674</v>
      </c>
      <c r="F873" s="30" t="s">
        <v>716</v>
      </c>
      <c r="G873" s="30" t="s">
        <v>744</v>
      </c>
      <c r="H873" s="30" t="s">
        <v>677</v>
      </c>
      <c r="I873" s="30" t="s">
        <v>678</v>
      </c>
      <c r="J873" s="30" t="s">
        <v>698</v>
      </c>
      <c r="K873" s="30" t="s">
        <v>690</v>
      </c>
      <c r="L873" s="30" t="s">
        <v>699</v>
      </c>
      <c r="M873" s="30">
        <v>1</v>
      </c>
      <c r="N873" s="30" t="s">
        <v>599</v>
      </c>
      <c r="O873" s="30" t="s">
        <v>746</v>
      </c>
      <c r="P873" s="30" t="s">
        <v>683</v>
      </c>
      <c r="Q873" s="30" t="s">
        <v>665</v>
      </c>
      <c r="R873" s="30" t="s">
        <v>87</v>
      </c>
      <c r="S873" s="32" t="s">
        <v>673</v>
      </c>
    </row>
    <row r="874" spans="1:19" x14ac:dyDescent="0.3">
      <c r="A874" s="31" t="s">
        <v>879</v>
      </c>
      <c r="B874" s="32" t="s">
        <v>142</v>
      </c>
      <c r="C874" s="32" t="s">
        <v>880</v>
      </c>
      <c r="D874" s="32" t="s">
        <v>673</v>
      </c>
      <c r="E874" s="32" t="s">
        <v>674</v>
      </c>
      <c r="F874" s="32" t="s">
        <v>716</v>
      </c>
      <c r="G874" s="32" t="s">
        <v>744</v>
      </c>
      <c r="H874" s="32" t="s">
        <v>677</v>
      </c>
      <c r="I874" s="32" t="s">
        <v>678</v>
      </c>
      <c r="J874" s="32" t="s">
        <v>698</v>
      </c>
      <c r="K874" s="32" t="s">
        <v>690</v>
      </c>
      <c r="L874" s="32" t="s">
        <v>699</v>
      </c>
      <c r="M874" s="32">
        <v>1</v>
      </c>
      <c r="N874" s="32" t="s">
        <v>101</v>
      </c>
      <c r="O874" s="32" t="s">
        <v>746</v>
      </c>
      <c r="P874" s="32" t="s">
        <v>683</v>
      </c>
      <c r="Q874" s="32" t="s">
        <v>665</v>
      </c>
      <c r="R874" s="32" t="s">
        <v>87</v>
      </c>
      <c r="S874" s="32" t="s">
        <v>673</v>
      </c>
    </row>
    <row r="875" spans="1:19" x14ac:dyDescent="0.3">
      <c r="A875" s="29" t="s">
        <v>879</v>
      </c>
      <c r="B875" s="30" t="s">
        <v>142</v>
      </c>
      <c r="C875" s="30" t="s">
        <v>880</v>
      </c>
      <c r="D875" s="30" t="s">
        <v>673</v>
      </c>
      <c r="E875" s="30" t="s">
        <v>674</v>
      </c>
      <c r="F875" s="30" t="s">
        <v>716</v>
      </c>
      <c r="G875" s="30" t="s">
        <v>744</v>
      </c>
      <c r="H875" s="30" t="s">
        <v>677</v>
      </c>
      <c r="I875" s="30" t="s">
        <v>678</v>
      </c>
      <c r="J875" s="30" t="s">
        <v>698</v>
      </c>
      <c r="K875" s="30" t="s">
        <v>690</v>
      </c>
      <c r="L875" s="30" t="s">
        <v>699</v>
      </c>
      <c r="M875" s="30">
        <v>1</v>
      </c>
      <c r="N875" s="30" t="s">
        <v>419</v>
      </c>
      <c r="O875" s="30" t="s">
        <v>746</v>
      </c>
      <c r="P875" s="30" t="s">
        <v>683</v>
      </c>
      <c r="Q875" s="30" t="s">
        <v>665</v>
      </c>
      <c r="R875" s="30" t="s">
        <v>87</v>
      </c>
      <c r="S875" s="32" t="s">
        <v>673</v>
      </c>
    </row>
    <row r="876" spans="1:19" x14ac:dyDescent="0.3">
      <c r="A876" s="31" t="s">
        <v>879</v>
      </c>
      <c r="B876" s="32" t="s">
        <v>142</v>
      </c>
      <c r="C876" s="32" t="s">
        <v>880</v>
      </c>
      <c r="D876" s="32" t="s">
        <v>673</v>
      </c>
      <c r="E876" s="32" t="s">
        <v>674</v>
      </c>
      <c r="F876" s="32" t="s">
        <v>716</v>
      </c>
      <c r="G876" s="32" t="s">
        <v>744</v>
      </c>
      <c r="H876" s="32" t="s">
        <v>677</v>
      </c>
      <c r="I876" s="32" t="s">
        <v>678</v>
      </c>
      <c r="J876" s="32" t="s">
        <v>698</v>
      </c>
      <c r="K876" s="32" t="s">
        <v>690</v>
      </c>
      <c r="L876" s="32" t="s">
        <v>699</v>
      </c>
      <c r="M876" s="32">
        <v>1</v>
      </c>
      <c r="N876" s="32" t="s">
        <v>316</v>
      </c>
      <c r="O876" s="32" t="s">
        <v>746</v>
      </c>
      <c r="P876" s="32" t="s">
        <v>683</v>
      </c>
      <c r="Q876" s="32" t="s">
        <v>665</v>
      </c>
      <c r="R876" s="32" t="s">
        <v>87</v>
      </c>
      <c r="S876" s="32" t="s">
        <v>673</v>
      </c>
    </row>
    <row r="877" spans="1:19" x14ac:dyDescent="0.3">
      <c r="A877" s="29" t="s">
        <v>879</v>
      </c>
      <c r="B877" s="30" t="s">
        <v>142</v>
      </c>
      <c r="C877" s="30" t="s">
        <v>880</v>
      </c>
      <c r="D877" s="30" t="s">
        <v>673</v>
      </c>
      <c r="E877" s="30" t="s">
        <v>674</v>
      </c>
      <c r="F877" s="30" t="s">
        <v>716</v>
      </c>
      <c r="G877" s="30" t="s">
        <v>744</v>
      </c>
      <c r="H877" s="30" t="s">
        <v>677</v>
      </c>
      <c r="I877" s="30" t="s">
        <v>678</v>
      </c>
      <c r="J877" s="30" t="s">
        <v>698</v>
      </c>
      <c r="K877" s="30" t="s">
        <v>690</v>
      </c>
      <c r="L877" s="30" t="s">
        <v>699</v>
      </c>
      <c r="M877" s="30">
        <v>1</v>
      </c>
      <c r="N877" s="30" t="s">
        <v>317</v>
      </c>
      <c r="O877" s="30" t="s">
        <v>746</v>
      </c>
      <c r="P877" s="30" t="s">
        <v>683</v>
      </c>
      <c r="Q877" s="30" t="s">
        <v>665</v>
      </c>
      <c r="R877" s="30" t="s">
        <v>87</v>
      </c>
      <c r="S877" s="32" t="s">
        <v>673</v>
      </c>
    </row>
    <row r="878" spans="1:19" x14ac:dyDescent="0.3">
      <c r="A878" s="31" t="s">
        <v>879</v>
      </c>
      <c r="B878" s="32" t="s">
        <v>142</v>
      </c>
      <c r="C878" s="32" t="s">
        <v>880</v>
      </c>
      <c r="D878" s="32" t="s">
        <v>673</v>
      </c>
      <c r="E878" s="32" t="s">
        <v>674</v>
      </c>
      <c r="F878" s="32" t="s">
        <v>716</v>
      </c>
      <c r="G878" s="32" t="s">
        <v>744</v>
      </c>
      <c r="H878" s="32" t="s">
        <v>677</v>
      </c>
      <c r="I878" s="32" t="s">
        <v>678</v>
      </c>
      <c r="J878" s="32" t="s">
        <v>698</v>
      </c>
      <c r="K878" s="32" t="s">
        <v>690</v>
      </c>
      <c r="L878" s="32" t="s">
        <v>699</v>
      </c>
      <c r="M878" s="32">
        <v>1</v>
      </c>
      <c r="N878" s="32" t="s">
        <v>328</v>
      </c>
      <c r="O878" s="32" t="s">
        <v>746</v>
      </c>
      <c r="P878" s="32" t="s">
        <v>683</v>
      </c>
      <c r="Q878" s="32" t="s">
        <v>665</v>
      </c>
      <c r="R878" s="32" t="s">
        <v>87</v>
      </c>
      <c r="S878" s="32" t="s">
        <v>673</v>
      </c>
    </row>
    <row r="879" spans="1:19" x14ac:dyDescent="0.3">
      <c r="A879" s="29" t="s">
        <v>879</v>
      </c>
      <c r="B879" s="30" t="s">
        <v>142</v>
      </c>
      <c r="C879" s="30" t="s">
        <v>880</v>
      </c>
      <c r="D879" s="30" t="s">
        <v>673</v>
      </c>
      <c r="E879" s="30" t="s">
        <v>674</v>
      </c>
      <c r="F879" s="30" t="s">
        <v>716</v>
      </c>
      <c r="G879" s="30" t="s">
        <v>744</v>
      </c>
      <c r="H879" s="30" t="s">
        <v>677</v>
      </c>
      <c r="I879" s="30" t="s">
        <v>678</v>
      </c>
      <c r="J879" s="30" t="s">
        <v>698</v>
      </c>
      <c r="K879" s="30" t="s">
        <v>690</v>
      </c>
      <c r="L879" s="30" t="s">
        <v>699</v>
      </c>
      <c r="M879" s="30">
        <v>1</v>
      </c>
      <c r="N879" s="30" t="s">
        <v>125</v>
      </c>
      <c r="O879" s="30" t="s">
        <v>746</v>
      </c>
      <c r="P879" s="30" t="s">
        <v>683</v>
      </c>
      <c r="Q879" s="30" t="s">
        <v>665</v>
      </c>
      <c r="R879" s="30" t="s">
        <v>87</v>
      </c>
      <c r="S879" s="32" t="s">
        <v>673</v>
      </c>
    </row>
    <row r="880" spans="1:19" x14ac:dyDescent="0.3">
      <c r="A880" s="31" t="s">
        <v>879</v>
      </c>
      <c r="B880" s="32" t="s">
        <v>142</v>
      </c>
      <c r="C880" s="32" t="s">
        <v>880</v>
      </c>
      <c r="D880" s="32" t="s">
        <v>673</v>
      </c>
      <c r="E880" s="32" t="s">
        <v>674</v>
      </c>
      <c r="F880" s="32" t="s">
        <v>716</v>
      </c>
      <c r="G880" s="32" t="s">
        <v>744</v>
      </c>
      <c r="H880" s="32" t="s">
        <v>677</v>
      </c>
      <c r="I880" s="32" t="s">
        <v>678</v>
      </c>
      <c r="J880" s="32" t="s">
        <v>698</v>
      </c>
      <c r="K880" s="32" t="s">
        <v>690</v>
      </c>
      <c r="L880" s="32" t="s">
        <v>699</v>
      </c>
      <c r="M880" s="32">
        <v>1</v>
      </c>
      <c r="N880" s="32" t="s">
        <v>533</v>
      </c>
      <c r="O880" s="32" t="s">
        <v>746</v>
      </c>
      <c r="P880" s="32" t="s">
        <v>683</v>
      </c>
      <c r="Q880" s="32" t="s">
        <v>665</v>
      </c>
      <c r="R880" s="32" t="s">
        <v>87</v>
      </c>
      <c r="S880" s="32" t="s">
        <v>673</v>
      </c>
    </row>
    <row r="881" spans="1:19" x14ac:dyDescent="0.3">
      <c r="A881" s="29" t="s">
        <v>879</v>
      </c>
      <c r="B881" s="30" t="s">
        <v>142</v>
      </c>
      <c r="C881" s="30" t="s">
        <v>880</v>
      </c>
      <c r="D881" s="30" t="s">
        <v>673</v>
      </c>
      <c r="E881" s="30" t="s">
        <v>674</v>
      </c>
      <c r="F881" s="30" t="s">
        <v>716</v>
      </c>
      <c r="G881" s="30" t="s">
        <v>744</v>
      </c>
      <c r="H881" s="30" t="s">
        <v>677</v>
      </c>
      <c r="I881" s="30" t="s">
        <v>678</v>
      </c>
      <c r="J881" s="30" t="s">
        <v>698</v>
      </c>
      <c r="K881" s="30" t="s">
        <v>690</v>
      </c>
      <c r="L881" s="30" t="s">
        <v>699</v>
      </c>
      <c r="M881" s="30">
        <v>1</v>
      </c>
      <c r="N881" s="30" t="s">
        <v>335</v>
      </c>
      <c r="O881" s="30" t="s">
        <v>746</v>
      </c>
      <c r="P881" s="30" t="s">
        <v>683</v>
      </c>
      <c r="Q881" s="30" t="s">
        <v>665</v>
      </c>
      <c r="R881" s="30" t="s">
        <v>87</v>
      </c>
      <c r="S881" s="32" t="s">
        <v>673</v>
      </c>
    </row>
    <row r="882" spans="1:19" x14ac:dyDescent="0.3">
      <c r="A882" s="31" t="s">
        <v>879</v>
      </c>
      <c r="B882" s="32" t="s">
        <v>142</v>
      </c>
      <c r="C882" s="32" t="s">
        <v>880</v>
      </c>
      <c r="D882" s="32" t="s">
        <v>673</v>
      </c>
      <c r="E882" s="32" t="s">
        <v>674</v>
      </c>
      <c r="F882" s="32" t="s">
        <v>716</v>
      </c>
      <c r="G882" s="32" t="s">
        <v>744</v>
      </c>
      <c r="H882" s="32" t="s">
        <v>677</v>
      </c>
      <c r="I882" s="32" t="s">
        <v>678</v>
      </c>
      <c r="J882" s="32" t="s">
        <v>698</v>
      </c>
      <c r="K882" s="32" t="s">
        <v>690</v>
      </c>
      <c r="L882" s="32" t="s">
        <v>699</v>
      </c>
      <c r="M882" s="32">
        <v>1</v>
      </c>
      <c r="N882" s="32" t="s">
        <v>441</v>
      </c>
      <c r="O882" s="32" t="s">
        <v>746</v>
      </c>
      <c r="P882" s="32" t="s">
        <v>683</v>
      </c>
      <c r="Q882" s="32" t="s">
        <v>665</v>
      </c>
      <c r="R882" s="32" t="s">
        <v>87</v>
      </c>
      <c r="S882" s="32" t="s">
        <v>673</v>
      </c>
    </row>
    <row r="883" spans="1:19" x14ac:dyDescent="0.3">
      <c r="A883" s="29" t="s">
        <v>837</v>
      </c>
      <c r="B883" s="30" t="s">
        <v>686</v>
      </c>
      <c r="C883" s="30" t="s">
        <v>838</v>
      </c>
      <c r="D883" s="30" t="s">
        <v>673</v>
      </c>
      <c r="E883" s="30" t="s">
        <v>674</v>
      </c>
      <c r="F883" s="30" t="s">
        <v>716</v>
      </c>
      <c r="G883" s="30" t="s">
        <v>731</v>
      </c>
      <c r="H883" s="30" t="s">
        <v>702</v>
      </c>
      <c r="I883" s="30" t="s">
        <v>688</v>
      </c>
      <c r="J883" s="30" t="s">
        <v>689</v>
      </c>
      <c r="K883" s="30" t="s">
        <v>690</v>
      </c>
      <c r="L883" s="30" t="s">
        <v>691</v>
      </c>
      <c r="M883" s="30">
        <v>1</v>
      </c>
      <c r="N883" s="30" t="s">
        <v>2335</v>
      </c>
      <c r="O883" s="30" t="s">
        <v>682</v>
      </c>
      <c r="P883" s="30" t="s">
        <v>683</v>
      </c>
      <c r="Q883" s="30" t="s">
        <v>665</v>
      </c>
      <c r="R883" s="30" t="s">
        <v>447</v>
      </c>
      <c r="S883" s="32" t="s">
        <v>673</v>
      </c>
    </row>
    <row r="884" spans="1:19" x14ac:dyDescent="0.3">
      <c r="A884" s="31" t="s">
        <v>1486</v>
      </c>
      <c r="B884" s="32" t="s">
        <v>544</v>
      </c>
      <c r="C884" s="32" t="s">
        <v>1487</v>
      </c>
      <c r="D884" s="32" t="s">
        <v>684</v>
      </c>
      <c r="E884" s="32" t="s">
        <v>674</v>
      </c>
      <c r="F884" s="32" t="s">
        <v>716</v>
      </c>
      <c r="G884" s="32" t="s">
        <v>744</v>
      </c>
      <c r="H884" s="32" t="s">
        <v>702</v>
      </c>
      <c r="I884" s="32" t="s">
        <v>1488</v>
      </c>
      <c r="J884" s="32" t="s">
        <v>737</v>
      </c>
      <c r="K884" s="32" t="s">
        <v>738</v>
      </c>
      <c r="L884" s="32" t="s">
        <v>699</v>
      </c>
      <c r="M884" s="32">
        <v>0.15</v>
      </c>
      <c r="N884" s="32" t="s">
        <v>134</v>
      </c>
      <c r="O884" s="32" t="s">
        <v>746</v>
      </c>
      <c r="P884" s="32" t="s">
        <v>683</v>
      </c>
      <c r="Q884" s="32" t="s">
        <v>665</v>
      </c>
      <c r="R884" s="32" t="s">
        <v>544</v>
      </c>
      <c r="S884" s="30" t="s">
        <v>684</v>
      </c>
    </row>
    <row r="885" spans="1:19" x14ac:dyDescent="0.3">
      <c r="A885" s="29" t="s">
        <v>1503</v>
      </c>
      <c r="B885" s="30" t="s">
        <v>544</v>
      </c>
      <c r="C885" s="30" t="s">
        <v>1504</v>
      </c>
      <c r="D885" s="30" t="s">
        <v>684</v>
      </c>
      <c r="E885" s="30" t="s">
        <v>674</v>
      </c>
      <c r="F885" s="30" t="s">
        <v>716</v>
      </c>
      <c r="G885" s="30" t="s">
        <v>717</v>
      </c>
      <c r="H885" s="30" t="s">
        <v>717</v>
      </c>
      <c r="I885" s="30" t="s">
        <v>736</v>
      </c>
      <c r="J885" s="30" t="s">
        <v>737</v>
      </c>
      <c r="K885" s="30" t="s">
        <v>738</v>
      </c>
      <c r="L885" s="30" t="s">
        <v>699</v>
      </c>
      <c r="M885" s="30">
        <v>0.7</v>
      </c>
      <c r="N885" s="30" t="s">
        <v>134</v>
      </c>
      <c r="O885" s="30" t="s">
        <v>746</v>
      </c>
      <c r="P885" s="30" t="s">
        <v>683</v>
      </c>
      <c r="Q885" s="30" t="s">
        <v>665</v>
      </c>
      <c r="R885" s="30" t="s">
        <v>544</v>
      </c>
      <c r="S885" s="30" t="s">
        <v>684</v>
      </c>
    </row>
    <row r="886" spans="1:19" x14ac:dyDescent="0.3">
      <c r="A886" s="31" t="s">
        <v>1489</v>
      </c>
      <c r="B886" s="32" t="s">
        <v>544</v>
      </c>
      <c r="C886" s="32" t="s">
        <v>1490</v>
      </c>
      <c r="D886" s="32" t="s">
        <v>684</v>
      </c>
      <c r="E886" s="32" t="s">
        <v>674</v>
      </c>
      <c r="F886" s="32" t="s">
        <v>716</v>
      </c>
      <c r="G886" s="32" t="s">
        <v>744</v>
      </c>
      <c r="H886" s="32" t="s">
        <v>702</v>
      </c>
      <c r="I886" s="32" t="s">
        <v>1488</v>
      </c>
      <c r="J886" s="32" t="s">
        <v>737</v>
      </c>
      <c r="K886" s="32" t="s">
        <v>738</v>
      </c>
      <c r="L886" s="32" t="s">
        <v>699</v>
      </c>
      <c r="M886" s="32">
        <v>0.15</v>
      </c>
      <c r="N886" s="32" t="s">
        <v>134</v>
      </c>
      <c r="O886" s="32" t="s">
        <v>746</v>
      </c>
      <c r="P886" s="32" t="s">
        <v>683</v>
      </c>
      <c r="Q886" s="32" t="s">
        <v>665</v>
      </c>
      <c r="R886" s="32" t="s">
        <v>544</v>
      </c>
      <c r="S886" s="30" t="s">
        <v>684</v>
      </c>
    </row>
    <row r="887" spans="1:19" x14ac:dyDescent="0.3">
      <c r="A887" s="29" t="s">
        <v>1493</v>
      </c>
      <c r="B887" s="30" t="s">
        <v>544</v>
      </c>
      <c r="C887" s="30" t="s">
        <v>1494</v>
      </c>
      <c r="D887" s="30" t="s">
        <v>684</v>
      </c>
      <c r="E887" s="30" t="s">
        <v>674</v>
      </c>
      <c r="F887" s="30" t="s">
        <v>675</v>
      </c>
      <c r="G887" s="30" t="s">
        <v>676</v>
      </c>
      <c r="H887" s="30" t="s">
        <v>677</v>
      </c>
      <c r="I887" s="30" t="s">
        <v>736</v>
      </c>
      <c r="J887" s="30" t="s">
        <v>737</v>
      </c>
      <c r="K887" s="30" t="s">
        <v>738</v>
      </c>
      <c r="L887" s="30" t="s">
        <v>699</v>
      </c>
      <c r="M887" s="30">
        <v>0.1</v>
      </c>
      <c r="N887" s="30" t="s">
        <v>155</v>
      </c>
      <c r="O887" s="30" t="s">
        <v>746</v>
      </c>
      <c r="P887" s="30" t="s">
        <v>683</v>
      </c>
      <c r="Q887" s="30" t="s">
        <v>665</v>
      </c>
      <c r="R887" s="30" t="s">
        <v>544</v>
      </c>
      <c r="S887" s="30" t="s">
        <v>684</v>
      </c>
    </row>
    <row r="888" spans="1:19" x14ac:dyDescent="0.3">
      <c r="A888" s="31" t="s">
        <v>1009</v>
      </c>
      <c r="B888" s="32" t="s">
        <v>707</v>
      </c>
      <c r="C888" s="32" t="s">
        <v>715</v>
      </c>
      <c r="D888" s="32" t="s">
        <v>684</v>
      </c>
      <c r="E888" s="32" t="s">
        <v>674</v>
      </c>
      <c r="F888" s="32" t="s">
        <v>716</v>
      </c>
      <c r="G888" s="32" t="s">
        <v>717</v>
      </c>
      <c r="H888" s="32" t="s">
        <v>717</v>
      </c>
      <c r="I888" s="32" t="s">
        <v>717</v>
      </c>
      <c r="J888" s="32" t="s">
        <v>737</v>
      </c>
      <c r="K888" s="32" t="s">
        <v>738</v>
      </c>
      <c r="L888" s="32" t="s">
        <v>699</v>
      </c>
      <c r="M888" s="32">
        <v>0.3</v>
      </c>
      <c r="N888" s="32" t="s">
        <v>155</v>
      </c>
      <c r="O888" s="32" t="s">
        <v>746</v>
      </c>
      <c r="P888" s="32" t="s">
        <v>683</v>
      </c>
      <c r="Q888" s="32" t="s">
        <v>665</v>
      </c>
      <c r="R888" s="32" t="s">
        <v>544</v>
      </c>
      <c r="S888" s="30" t="s">
        <v>684</v>
      </c>
    </row>
    <row r="889" spans="1:19" x14ac:dyDescent="0.3">
      <c r="A889" s="29" t="s">
        <v>2336</v>
      </c>
      <c r="B889" s="30" t="s">
        <v>544</v>
      </c>
      <c r="C889" s="30" t="s">
        <v>2337</v>
      </c>
      <c r="D889" s="30" t="s">
        <v>684</v>
      </c>
      <c r="E889" s="30" t="s">
        <v>674</v>
      </c>
      <c r="F889" s="30" t="s">
        <v>675</v>
      </c>
      <c r="G889" s="30" t="s">
        <v>676</v>
      </c>
      <c r="H889" s="30" t="s">
        <v>677</v>
      </c>
      <c r="I889" s="30" t="s">
        <v>736</v>
      </c>
      <c r="J889" s="30" t="s">
        <v>737</v>
      </c>
      <c r="K889" s="30" t="s">
        <v>738</v>
      </c>
      <c r="L889" s="30" t="s">
        <v>699</v>
      </c>
      <c r="M889" s="30">
        <v>0.1</v>
      </c>
      <c r="N889" s="30" t="s">
        <v>155</v>
      </c>
      <c r="O889" s="30" t="s">
        <v>746</v>
      </c>
      <c r="P889" s="30" t="s">
        <v>683</v>
      </c>
      <c r="Q889" s="30" t="s">
        <v>665</v>
      </c>
      <c r="R889" s="30" t="s">
        <v>544</v>
      </c>
      <c r="S889" s="30" t="s">
        <v>684</v>
      </c>
    </row>
    <row r="890" spans="1:19" x14ac:dyDescent="0.3">
      <c r="A890" s="31" t="s">
        <v>2338</v>
      </c>
      <c r="B890" s="32" t="s">
        <v>544</v>
      </c>
      <c r="C890" s="32" t="s">
        <v>2339</v>
      </c>
      <c r="D890" s="32" t="s">
        <v>684</v>
      </c>
      <c r="E890" s="32" t="s">
        <v>674</v>
      </c>
      <c r="F890" s="32" t="s">
        <v>716</v>
      </c>
      <c r="G890" s="32" t="s">
        <v>717</v>
      </c>
      <c r="H890" s="32" t="s">
        <v>717</v>
      </c>
      <c r="I890" s="32" t="s">
        <v>736</v>
      </c>
      <c r="J890" s="32" t="s">
        <v>737</v>
      </c>
      <c r="K890" s="32" t="s">
        <v>738</v>
      </c>
      <c r="L890" s="32" t="s">
        <v>699</v>
      </c>
      <c r="M890" s="32">
        <v>0.3</v>
      </c>
      <c r="N890" s="32" t="s">
        <v>155</v>
      </c>
      <c r="O890" s="32" t="s">
        <v>746</v>
      </c>
      <c r="P890" s="32" t="s">
        <v>683</v>
      </c>
      <c r="Q890" s="32" t="s">
        <v>665</v>
      </c>
      <c r="R890" s="32" t="s">
        <v>544</v>
      </c>
      <c r="S890" s="30" t="s">
        <v>684</v>
      </c>
    </row>
    <row r="891" spans="1:19" x14ac:dyDescent="0.3">
      <c r="A891" s="29" t="s">
        <v>1491</v>
      </c>
      <c r="B891" s="30" t="s">
        <v>544</v>
      </c>
      <c r="C891" s="30" t="s">
        <v>1492</v>
      </c>
      <c r="D891" s="30" t="s">
        <v>684</v>
      </c>
      <c r="E891" s="30" t="s">
        <v>674</v>
      </c>
      <c r="F891" s="30" t="s">
        <v>675</v>
      </c>
      <c r="G891" s="30" t="s">
        <v>676</v>
      </c>
      <c r="H891" s="30" t="s">
        <v>677</v>
      </c>
      <c r="I891" s="30" t="s">
        <v>678</v>
      </c>
      <c r="J891" s="30" t="s">
        <v>737</v>
      </c>
      <c r="K891" s="30" t="s">
        <v>738</v>
      </c>
      <c r="L891" s="30" t="s">
        <v>699</v>
      </c>
      <c r="M891" s="30">
        <v>0.1</v>
      </c>
      <c r="N891" s="30" t="s">
        <v>155</v>
      </c>
      <c r="O891" s="30" t="s">
        <v>746</v>
      </c>
      <c r="P891" s="30" t="s">
        <v>683</v>
      </c>
      <c r="Q891" s="30" t="s">
        <v>665</v>
      </c>
      <c r="R891" s="30" t="s">
        <v>544</v>
      </c>
      <c r="S891" s="30" t="s">
        <v>684</v>
      </c>
    </row>
    <row r="892" spans="1:19" x14ac:dyDescent="0.3">
      <c r="A892" s="31" t="s">
        <v>1497</v>
      </c>
      <c r="B892" s="32" t="s">
        <v>544</v>
      </c>
      <c r="C892" s="32" t="s">
        <v>1498</v>
      </c>
      <c r="D892" s="32" t="s">
        <v>684</v>
      </c>
      <c r="E892" s="32" t="s">
        <v>674</v>
      </c>
      <c r="F892" s="32" t="s">
        <v>675</v>
      </c>
      <c r="G892" s="32" t="s">
        <v>676</v>
      </c>
      <c r="H892" s="32" t="s">
        <v>677</v>
      </c>
      <c r="I892" s="32" t="s">
        <v>688</v>
      </c>
      <c r="J892" s="32" t="s">
        <v>737</v>
      </c>
      <c r="K892" s="32" t="s">
        <v>738</v>
      </c>
      <c r="L892" s="32" t="s">
        <v>699</v>
      </c>
      <c r="M892" s="32">
        <v>0.1</v>
      </c>
      <c r="N892" s="32" t="s">
        <v>155</v>
      </c>
      <c r="O892" s="32" t="s">
        <v>746</v>
      </c>
      <c r="P892" s="32" t="s">
        <v>683</v>
      </c>
      <c r="Q892" s="32" t="s">
        <v>665</v>
      </c>
      <c r="R892" s="32" t="s">
        <v>544</v>
      </c>
      <c r="S892" s="30" t="s">
        <v>684</v>
      </c>
    </row>
    <row r="893" spans="1:19" x14ac:dyDescent="0.3">
      <c r="A893" s="29" t="s">
        <v>1505</v>
      </c>
      <c r="B893" s="30" t="s">
        <v>544</v>
      </c>
      <c r="C893" s="30" t="s">
        <v>1499</v>
      </c>
      <c r="D893" s="30" t="s">
        <v>684</v>
      </c>
      <c r="E893" s="30" t="s">
        <v>674</v>
      </c>
      <c r="F893" s="30" t="s">
        <v>716</v>
      </c>
      <c r="G893" s="30" t="s">
        <v>717</v>
      </c>
      <c r="H893" s="30" t="s">
        <v>717</v>
      </c>
      <c r="I893" s="30" t="s">
        <v>736</v>
      </c>
      <c r="J893" s="30" t="s">
        <v>737</v>
      </c>
      <c r="K893" s="30" t="s">
        <v>738</v>
      </c>
      <c r="L893" s="30" t="s">
        <v>699</v>
      </c>
      <c r="M893" s="30">
        <v>0.2</v>
      </c>
      <c r="N893" s="30" t="s">
        <v>213</v>
      </c>
      <c r="O893" s="30" t="s">
        <v>746</v>
      </c>
      <c r="P893" s="30" t="s">
        <v>683</v>
      </c>
      <c r="Q893" s="30" t="s">
        <v>665</v>
      </c>
      <c r="R893" s="30" t="s">
        <v>544</v>
      </c>
      <c r="S893" s="30" t="s">
        <v>684</v>
      </c>
    </row>
    <row r="894" spans="1:19" x14ac:dyDescent="0.3">
      <c r="A894" s="31" t="s">
        <v>1506</v>
      </c>
      <c r="B894" s="32" t="s">
        <v>544</v>
      </c>
      <c r="C894" s="32" t="s">
        <v>1500</v>
      </c>
      <c r="D894" s="32" t="s">
        <v>684</v>
      </c>
      <c r="E894" s="32" t="s">
        <v>674</v>
      </c>
      <c r="F894" s="32" t="s">
        <v>716</v>
      </c>
      <c r="G894" s="32" t="s">
        <v>717</v>
      </c>
      <c r="H894" s="32" t="s">
        <v>717</v>
      </c>
      <c r="I894" s="32" t="s">
        <v>736</v>
      </c>
      <c r="J894" s="32" t="s">
        <v>737</v>
      </c>
      <c r="K894" s="32" t="s">
        <v>738</v>
      </c>
      <c r="L894" s="32" t="s">
        <v>699</v>
      </c>
      <c r="M894" s="32">
        <v>0.2</v>
      </c>
      <c r="N894" s="32" t="s">
        <v>213</v>
      </c>
      <c r="O894" s="32" t="s">
        <v>746</v>
      </c>
      <c r="P894" s="32" t="s">
        <v>683</v>
      </c>
      <c r="Q894" s="32" t="s">
        <v>665</v>
      </c>
      <c r="R894" s="32" t="s">
        <v>544</v>
      </c>
      <c r="S894" s="30" t="s">
        <v>684</v>
      </c>
    </row>
    <row r="895" spans="1:19" x14ac:dyDescent="0.3">
      <c r="A895" s="29" t="s">
        <v>1501</v>
      </c>
      <c r="B895" s="30" t="s">
        <v>544</v>
      </c>
      <c r="C895" s="30" t="s">
        <v>1502</v>
      </c>
      <c r="D895" s="30" t="s">
        <v>684</v>
      </c>
      <c r="E895" s="30" t="s">
        <v>674</v>
      </c>
      <c r="F895" s="30" t="s">
        <v>716</v>
      </c>
      <c r="G895" s="30" t="s">
        <v>717</v>
      </c>
      <c r="H895" s="30" t="s">
        <v>717</v>
      </c>
      <c r="I895" s="30" t="s">
        <v>736</v>
      </c>
      <c r="J895" s="30" t="s">
        <v>737</v>
      </c>
      <c r="K895" s="30" t="s">
        <v>738</v>
      </c>
      <c r="L895" s="30" t="s">
        <v>699</v>
      </c>
      <c r="M895" s="30">
        <v>0.2</v>
      </c>
      <c r="N895" s="30" t="s">
        <v>213</v>
      </c>
      <c r="O895" s="30" t="s">
        <v>746</v>
      </c>
      <c r="P895" s="30" t="s">
        <v>683</v>
      </c>
      <c r="Q895" s="30" t="s">
        <v>665</v>
      </c>
      <c r="R895" s="30" t="s">
        <v>544</v>
      </c>
      <c r="S895" s="30" t="s">
        <v>684</v>
      </c>
    </row>
    <row r="896" spans="1:19" x14ac:dyDescent="0.3">
      <c r="A896" s="31" t="s">
        <v>1503</v>
      </c>
      <c r="B896" s="32" t="s">
        <v>544</v>
      </c>
      <c r="C896" s="32" t="s">
        <v>1504</v>
      </c>
      <c r="D896" s="32" t="s">
        <v>684</v>
      </c>
      <c r="E896" s="32" t="s">
        <v>674</v>
      </c>
      <c r="F896" s="32" t="s">
        <v>716</v>
      </c>
      <c r="G896" s="32" t="s">
        <v>717</v>
      </c>
      <c r="H896" s="32" t="s">
        <v>717</v>
      </c>
      <c r="I896" s="32" t="s">
        <v>736</v>
      </c>
      <c r="J896" s="32" t="s">
        <v>737</v>
      </c>
      <c r="K896" s="32" t="s">
        <v>738</v>
      </c>
      <c r="L896" s="32" t="s">
        <v>699</v>
      </c>
      <c r="M896" s="32">
        <v>0.2</v>
      </c>
      <c r="N896" s="32" t="s">
        <v>213</v>
      </c>
      <c r="O896" s="32" t="s">
        <v>746</v>
      </c>
      <c r="P896" s="32" t="s">
        <v>683</v>
      </c>
      <c r="Q896" s="32" t="s">
        <v>665</v>
      </c>
      <c r="R896" s="32" t="s">
        <v>544</v>
      </c>
      <c r="S896" s="30" t="s">
        <v>684</v>
      </c>
    </row>
    <row r="897" spans="1:19" x14ac:dyDescent="0.3">
      <c r="A897" s="29" t="s">
        <v>1009</v>
      </c>
      <c r="B897" s="30" t="s">
        <v>707</v>
      </c>
      <c r="C897" s="30" t="s">
        <v>715</v>
      </c>
      <c r="D897" s="30" t="s">
        <v>684</v>
      </c>
      <c r="E897" s="30" t="s">
        <v>674</v>
      </c>
      <c r="F897" s="30" t="s">
        <v>716</v>
      </c>
      <c r="G897" s="30" t="s">
        <v>717</v>
      </c>
      <c r="H897" s="30" t="s">
        <v>717</v>
      </c>
      <c r="I897" s="30" t="s">
        <v>717</v>
      </c>
      <c r="J897" s="30" t="s">
        <v>737</v>
      </c>
      <c r="K897" s="30" t="s">
        <v>738</v>
      </c>
      <c r="L897" s="30" t="s">
        <v>699</v>
      </c>
      <c r="M897" s="30">
        <v>0.2</v>
      </c>
      <c r="N897" s="30" t="s">
        <v>213</v>
      </c>
      <c r="O897" s="30" t="s">
        <v>746</v>
      </c>
      <c r="P897" s="30" t="s">
        <v>683</v>
      </c>
      <c r="Q897" s="30" t="s">
        <v>665</v>
      </c>
      <c r="R897" s="30" t="s">
        <v>544</v>
      </c>
      <c r="S897" s="30" t="s">
        <v>684</v>
      </c>
    </row>
    <row r="898" spans="1:19" x14ac:dyDescent="0.3">
      <c r="A898" s="31" t="s">
        <v>1501</v>
      </c>
      <c r="B898" s="32" t="s">
        <v>544</v>
      </c>
      <c r="C898" s="32" t="s">
        <v>1502</v>
      </c>
      <c r="D898" s="32" t="s">
        <v>684</v>
      </c>
      <c r="E898" s="32" t="s">
        <v>674</v>
      </c>
      <c r="F898" s="32" t="s">
        <v>716</v>
      </c>
      <c r="G898" s="32" t="s">
        <v>717</v>
      </c>
      <c r="H898" s="32" t="s">
        <v>717</v>
      </c>
      <c r="I898" s="32" t="s">
        <v>736</v>
      </c>
      <c r="J898" s="32" t="s">
        <v>737</v>
      </c>
      <c r="K898" s="32" t="s">
        <v>738</v>
      </c>
      <c r="L898" s="32" t="s">
        <v>699</v>
      </c>
      <c r="M898" s="32">
        <v>0.2</v>
      </c>
      <c r="N898" s="32" t="s">
        <v>244</v>
      </c>
      <c r="O898" s="32" t="s">
        <v>746</v>
      </c>
      <c r="P898" s="32" t="s">
        <v>683</v>
      </c>
      <c r="Q898" s="32" t="s">
        <v>665</v>
      </c>
      <c r="R898" s="32" t="s">
        <v>544</v>
      </c>
      <c r="S898" s="30" t="s">
        <v>684</v>
      </c>
    </row>
    <row r="899" spans="1:19" x14ac:dyDescent="0.3">
      <c r="A899" s="29" t="s">
        <v>1505</v>
      </c>
      <c r="B899" s="30" t="s">
        <v>544</v>
      </c>
      <c r="C899" s="30" t="s">
        <v>1499</v>
      </c>
      <c r="D899" s="30" t="s">
        <v>684</v>
      </c>
      <c r="E899" s="30" t="s">
        <v>674</v>
      </c>
      <c r="F899" s="30" t="s">
        <v>716</v>
      </c>
      <c r="G899" s="30" t="s">
        <v>717</v>
      </c>
      <c r="H899" s="30" t="s">
        <v>717</v>
      </c>
      <c r="I899" s="30" t="s">
        <v>736</v>
      </c>
      <c r="J899" s="30" t="s">
        <v>737</v>
      </c>
      <c r="K899" s="30" t="s">
        <v>738</v>
      </c>
      <c r="L899" s="30" t="s">
        <v>699</v>
      </c>
      <c r="M899" s="30">
        <v>0.2</v>
      </c>
      <c r="N899" s="30" t="s">
        <v>244</v>
      </c>
      <c r="O899" s="30" t="s">
        <v>746</v>
      </c>
      <c r="P899" s="30" t="s">
        <v>683</v>
      </c>
      <c r="Q899" s="30" t="s">
        <v>665</v>
      </c>
      <c r="R899" s="30" t="s">
        <v>544</v>
      </c>
      <c r="S899" s="30" t="s">
        <v>684</v>
      </c>
    </row>
    <row r="900" spans="1:19" x14ac:dyDescent="0.3">
      <c r="A900" s="31" t="s">
        <v>1503</v>
      </c>
      <c r="B900" s="32" t="s">
        <v>544</v>
      </c>
      <c r="C900" s="32" t="s">
        <v>1504</v>
      </c>
      <c r="D900" s="32" t="s">
        <v>684</v>
      </c>
      <c r="E900" s="32" t="s">
        <v>674</v>
      </c>
      <c r="F900" s="32" t="s">
        <v>716</v>
      </c>
      <c r="G900" s="32" t="s">
        <v>717</v>
      </c>
      <c r="H900" s="32" t="s">
        <v>717</v>
      </c>
      <c r="I900" s="32" t="s">
        <v>736</v>
      </c>
      <c r="J900" s="32" t="s">
        <v>737</v>
      </c>
      <c r="K900" s="32" t="s">
        <v>738</v>
      </c>
      <c r="L900" s="32" t="s">
        <v>699</v>
      </c>
      <c r="M900" s="32">
        <v>0.2</v>
      </c>
      <c r="N900" s="32" t="s">
        <v>244</v>
      </c>
      <c r="O900" s="32" t="s">
        <v>746</v>
      </c>
      <c r="P900" s="32" t="s">
        <v>683</v>
      </c>
      <c r="Q900" s="32" t="s">
        <v>665</v>
      </c>
      <c r="R900" s="32" t="s">
        <v>544</v>
      </c>
      <c r="S900" s="30" t="s">
        <v>684</v>
      </c>
    </row>
    <row r="901" spans="1:19" x14ac:dyDescent="0.3">
      <c r="A901" s="29" t="s">
        <v>1009</v>
      </c>
      <c r="B901" s="30" t="s">
        <v>707</v>
      </c>
      <c r="C901" s="30" t="s">
        <v>715</v>
      </c>
      <c r="D901" s="30" t="s">
        <v>684</v>
      </c>
      <c r="E901" s="30" t="s">
        <v>674</v>
      </c>
      <c r="F901" s="30" t="s">
        <v>716</v>
      </c>
      <c r="G901" s="30" t="s">
        <v>717</v>
      </c>
      <c r="H901" s="30" t="s">
        <v>717</v>
      </c>
      <c r="I901" s="30" t="s">
        <v>717</v>
      </c>
      <c r="J901" s="30" t="s">
        <v>737</v>
      </c>
      <c r="K901" s="30" t="s">
        <v>738</v>
      </c>
      <c r="L901" s="30" t="s">
        <v>699</v>
      </c>
      <c r="M901" s="30">
        <v>0.2</v>
      </c>
      <c r="N901" s="30" t="s">
        <v>244</v>
      </c>
      <c r="O901" s="30" t="s">
        <v>746</v>
      </c>
      <c r="P901" s="30" t="s">
        <v>683</v>
      </c>
      <c r="Q901" s="30" t="s">
        <v>665</v>
      </c>
      <c r="R901" s="30" t="s">
        <v>544</v>
      </c>
      <c r="S901" s="30" t="s">
        <v>684</v>
      </c>
    </row>
    <row r="902" spans="1:19" x14ac:dyDescent="0.3">
      <c r="A902" s="31" t="s">
        <v>1506</v>
      </c>
      <c r="B902" s="32" t="s">
        <v>544</v>
      </c>
      <c r="C902" s="32" t="s">
        <v>1500</v>
      </c>
      <c r="D902" s="32" t="s">
        <v>684</v>
      </c>
      <c r="E902" s="32" t="s">
        <v>674</v>
      </c>
      <c r="F902" s="32" t="s">
        <v>716</v>
      </c>
      <c r="G902" s="32" t="s">
        <v>717</v>
      </c>
      <c r="H902" s="32" t="s">
        <v>717</v>
      </c>
      <c r="I902" s="32" t="s">
        <v>736</v>
      </c>
      <c r="J902" s="32" t="s">
        <v>737</v>
      </c>
      <c r="K902" s="32" t="s">
        <v>738</v>
      </c>
      <c r="L902" s="32" t="s">
        <v>699</v>
      </c>
      <c r="M902" s="32">
        <v>0.2</v>
      </c>
      <c r="N902" s="32" t="s">
        <v>244</v>
      </c>
      <c r="O902" s="32" t="s">
        <v>746</v>
      </c>
      <c r="P902" s="32" t="s">
        <v>683</v>
      </c>
      <c r="Q902" s="32" t="s">
        <v>665</v>
      </c>
      <c r="R902" s="32" t="s">
        <v>544</v>
      </c>
      <c r="S902" s="30" t="s">
        <v>684</v>
      </c>
    </row>
    <row r="903" spans="1:19" x14ac:dyDescent="0.3">
      <c r="A903" s="29" t="s">
        <v>2338</v>
      </c>
      <c r="B903" s="30" t="s">
        <v>544</v>
      </c>
      <c r="C903" s="30" t="s">
        <v>2339</v>
      </c>
      <c r="D903" s="30" t="s">
        <v>684</v>
      </c>
      <c r="E903" s="30" t="s">
        <v>674</v>
      </c>
      <c r="F903" s="30" t="s">
        <v>716</v>
      </c>
      <c r="G903" s="30" t="s">
        <v>717</v>
      </c>
      <c r="H903" s="30" t="s">
        <v>717</v>
      </c>
      <c r="I903" s="30" t="s">
        <v>736</v>
      </c>
      <c r="J903" s="30" t="s">
        <v>737</v>
      </c>
      <c r="K903" s="30" t="s">
        <v>738</v>
      </c>
      <c r="L903" s="30" t="s">
        <v>699</v>
      </c>
      <c r="M903" s="30">
        <v>1</v>
      </c>
      <c r="N903" s="30" t="s">
        <v>286</v>
      </c>
      <c r="O903" s="30" t="s">
        <v>746</v>
      </c>
      <c r="P903" s="30" t="s">
        <v>683</v>
      </c>
      <c r="Q903" s="30" t="s">
        <v>665</v>
      </c>
      <c r="R903" s="30" t="s">
        <v>544</v>
      </c>
      <c r="S903" s="30" t="s">
        <v>684</v>
      </c>
    </row>
    <row r="904" spans="1:19" x14ac:dyDescent="0.3">
      <c r="A904" s="31" t="s">
        <v>1489</v>
      </c>
      <c r="B904" s="32" t="s">
        <v>544</v>
      </c>
      <c r="C904" s="32" t="s">
        <v>1490</v>
      </c>
      <c r="D904" s="32" t="s">
        <v>684</v>
      </c>
      <c r="E904" s="32" t="s">
        <v>674</v>
      </c>
      <c r="F904" s="32" t="s">
        <v>716</v>
      </c>
      <c r="G904" s="32" t="s">
        <v>744</v>
      </c>
      <c r="H904" s="32" t="s">
        <v>702</v>
      </c>
      <c r="I904" s="32" t="s">
        <v>1488</v>
      </c>
      <c r="J904" s="32" t="s">
        <v>737</v>
      </c>
      <c r="K904" s="32" t="s">
        <v>738</v>
      </c>
      <c r="L904" s="32" t="s">
        <v>699</v>
      </c>
      <c r="M904" s="32">
        <v>0.2</v>
      </c>
      <c r="N904" s="32" t="s">
        <v>303</v>
      </c>
      <c r="O904" s="32" t="s">
        <v>746</v>
      </c>
      <c r="P904" s="32" t="s">
        <v>683</v>
      </c>
      <c r="Q904" s="32" t="s">
        <v>665</v>
      </c>
      <c r="R904" s="32" t="s">
        <v>544</v>
      </c>
      <c r="S904" s="30" t="s">
        <v>684</v>
      </c>
    </row>
    <row r="905" spans="1:19" x14ac:dyDescent="0.3">
      <c r="A905" s="29" t="s">
        <v>1486</v>
      </c>
      <c r="B905" s="30" t="s">
        <v>544</v>
      </c>
      <c r="C905" s="30" t="s">
        <v>1487</v>
      </c>
      <c r="D905" s="30" t="s">
        <v>684</v>
      </c>
      <c r="E905" s="30" t="s">
        <v>674</v>
      </c>
      <c r="F905" s="30" t="s">
        <v>716</v>
      </c>
      <c r="G905" s="30" t="s">
        <v>744</v>
      </c>
      <c r="H905" s="30" t="s">
        <v>702</v>
      </c>
      <c r="I905" s="30" t="s">
        <v>1488</v>
      </c>
      <c r="J905" s="30" t="s">
        <v>737</v>
      </c>
      <c r="K905" s="30" t="s">
        <v>738</v>
      </c>
      <c r="L905" s="30" t="s">
        <v>699</v>
      </c>
      <c r="M905" s="30">
        <v>0.2</v>
      </c>
      <c r="N905" s="30" t="s">
        <v>303</v>
      </c>
      <c r="O905" s="30" t="s">
        <v>746</v>
      </c>
      <c r="P905" s="30" t="s">
        <v>683</v>
      </c>
      <c r="Q905" s="30" t="s">
        <v>665</v>
      </c>
      <c r="R905" s="30" t="s">
        <v>544</v>
      </c>
      <c r="S905" s="30" t="s">
        <v>684</v>
      </c>
    </row>
    <row r="906" spans="1:19" x14ac:dyDescent="0.3">
      <c r="A906" s="31" t="s">
        <v>1503</v>
      </c>
      <c r="B906" s="32" t="s">
        <v>544</v>
      </c>
      <c r="C906" s="32" t="s">
        <v>1504</v>
      </c>
      <c r="D906" s="32" t="s">
        <v>684</v>
      </c>
      <c r="E906" s="32" t="s">
        <v>674</v>
      </c>
      <c r="F906" s="32" t="s">
        <v>716</v>
      </c>
      <c r="G906" s="32" t="s">
        <v>717</v>
      </c>
      <c r="H906" s="32" t="s">
        <v>717</v>
      </c>
      <c r="I906" s="32" t="s">
        <v>736</v>
      </c>
      <c r="J906" s="32" t="s">
        <v>737</v>
      </c>
      <c r="K906" s="32" t="s">
        <v>738</v>
      </c>
      <c r="L906" s="32" t="s">
        <v>699</v>
      </c>
      <c r="M906" s="32">
        <v>0.6</v>
      </c>
      <c r="N906" s="32" t="s">
        <v>303</v>
      </c>
      <c r="O906" s="32" t="s">
        <v>746</v>
      </c>
      <c r="P906" s="32" t="s">
        <v>683</v>
      </c>
      <c r="Q906" s="32" t="s">
        <v>665</v>
      </c>
      <c r="R906" s="32" t="s">
        <v>544</v>
      </c>
      <c r="S906" s="30" t="s">
        <v>684</v>
      </c>
    </row>
    <row r="907" spans="1:19" x14ac:dyDescent="0.3">
      <c r="A907" s="29" t="s">
        <v>717</v>
      </c>
      <c r="B907" s="30" t="s">
        <v>716</v>
      </c>
      <c r="C907" s="30" t="s">
        <v>715</v>
      </c>
      <c r="D907" s="30" t="s">
        <v>2302</v>
      </c>
      <c r="E907" s="30" t="s">
        <v>674</v>
      </c>
      <c r="F907" s="30" t="s">
        <v>716</v>
      </c>
      <c r="G907" s="30" t="s">
        <v>717</v>
      </c>
      <c r="H907" s="30" t="s">
        <v>717</v>
      </c>
      <c r="I907" s="30" t="s">
        <v>717</v>
      </c>
      <c r="J907" s="30" t="s">
        <v>717</v>
      </c>
      <c r="K907" s="30" t="s">
        <v>717</v>
      </c>
      <c r="L907" s="30" t="s">
        <v>699</v>
      </c>
      <c r="M907" s="30">
        <v>0.6</v>
      </c>
      <c r="N907" s="30" t="s">
        <v>305</v>
      </c>
      <c r="O907" s="30" t="s">
        <v>746</v>
      </c>
      <c r="P907" s="30" t="s">
        <v>683</v>
      </c>
      <c r="Q907" s="30" t="s">
        <v>665</v>
      </c>
      <c r="R907" s="30" t="s">
        <v>544</v>
      </c>
      <c r="S907" s="30" t="s">
        <v>684</v>
      </c>
    </row>
    <row r="908" spans="1:19" x14ac:dyDescent="0.3">
      <c r="A908" s="31" t="s">
        <v>1009</v>
      </c>
      <c r="B908" s="32" t="s">
        <v>707</v>
      </c>
      <c r="C908" s="32" t="s">
        <v>715</v>
      </c>
      <c r="D908" s="32" t="s">
        <v>684</v>
      </c>
      <c r="E908" s="32" t="s">
        <v>674</v>
      </c>
      <c r="F908" s="32" t="s">
        <v>716</v>
      </c>
      <c r="G908" s="32" t="s">
        <v>717</v>
      </c>
      <c r="H908" s="32" t="s">
        <v>717</v>
      </c>
      <c r="I908" s="32" t="s">
        <v>717</v>
      </c>
      <c r="J908" s="32" t="s">
        <v>737</v>
      </c>
      <c r="K908" s="32" t="s">
        <v>738</v>
      </c>
      <c r="L908" s="32" t="s">
        <v>699</v>
      </c>
      <c r="M908" s="32">
        <v>0.2</v>
      </c>
      <c r="N908" s="32" t="s">
        <v>516</v>
      </c>
      <c r="O908" s="32" t="s">
        <v>746</v>
      </c>
      <c r="P908" s="32" t="s">
        <v>683</v>
      </c>
      <c r="Q908" s="32" t="s">
        <v>665</v>
      </c>
      <c r="R908" s="32" t="s">
        <v>544</v>
      </c>
      <c r="S908" s="30" t="s">
        <v>684</v>
      </c>
    </row>
    <row r="909" spans="1:19" x14ac:dyDescent="0.3">
      <c r="A909" s="29" t="s">
        <v>1506</v>
      </c>
      <c r="B909" s="30" t="s">
        <v>544</v>
      </c>
      <c r="C909" s="30" t="s">
        <v>1500</v>
      </c>
      <c r="D909" s="30" t="s">
        <v>684</v>
      </c>
      <c r="E909" s="30" t="s">
        <v>674</v>
      </c>
      <c r="F909" s="30" t="s">
        <v>716</v>
      </c>
      <c r="G909" s="30" t="s">
        <v>717</v>
      </c>
      <c r="H909" s="30" t="s">
        <v>717</v>
      </c>
      <c r="I909" s="30" t="s">
        <v>736</v>
      </c>
      <c r="J909" s="30" t="s">
        <v>737</v>
      </c>
      <c r="K909" s="30" t="s">
        <v>738</v>
      </c>
      <c r="L909" s="30" t="s">
        <v>699</v>
      </c>
      <c r="M909" s="30">
        <v>0.2</v>
      </c>
      <c r="N909" s="30" t="s">
        <v>516</v>
      </c>
      <c r="O909" s="30" t="s">
        <v>746</v>
      </c>
      <c r="P909" s="30" t="s">
        <v>683</v>
      </c>
      <c r="Q909" s="30" t="s">
        <v>665</v>
      </c>
      <c r="R909" s="30" t="s">
        <v>544</v>
      </c>
      <c r="S909" s="30" t="s">
        <v>684</v>
      </c>
    </row>
    <row r="910" spans="1:19" x14ac:dyDescent="0.3">
      <c r="A910" s="31" t="s">
        <v>1503</v>
      </c>
      <c r="B910" s="32" t="s">
        <v>544</v>
      </c>
      <c r="C910" s="32" t="s">
        <v>1504</v>
      </c>
      <c r="D910" s="32" t="s">
        <v>684</v>
      </c>
      <c r="E910" s="32" t="s">
        <v>674</v>
      </c>
      <c r="F910" s="32" t="s">
        <v>716</v>
      </c>
      <c r="G910" s="32" t="s">
        <v>717</v>
      </c>
      <c r="H910" s="32" t="s">
        <v>717</v>
      </c>
      <c r="I910" s="32" t="s">
        <v>736</v>
      </c>
      <c r="J910" s="32" t="s">
        <v>737</v>
      </c>
      <c r="K910" s="32" t="s">
        <v>738</v>
      </c>
      <c r="L910" s="32" t="s">
        <v>699</v>
      </c>
      <c r="M910" s="32">
        <v>0.2</v>
      </c>
      <c r="N910" s="32" t="s">
        <v>516</v>
      </c>
      <c r="O910" s="32" t="s">
        <v>746</v>
      </c>
      <c r="P910" s="32" t="s">
        <v>683</v>
      </c>
      <c r="Q910" s="32" t="s">
        <v>665</v>
      </c>
      <c r="R910" s="32" t="s">
        <v>544</v>
      </c>
      <c r="S910" s="30" t="s">
        <v>684</v>
      </c>
    </row>
    <row r="911" spans="1:19" x14ac:dyDescent="0.3">
      <c r="A911" s="29" t="s">
        <v>1505</v>
      </c>
      <c r="B911" s="30" t="s">
        <v>544</v>
      </c>
      <c r="C911" s="30" t="s">
        <v>1499</v>
      </c>
      <c r="D911" s="30" t="s">
        <v>684</v>
      </c>
      <c r="E911" s="30" t="s">
        <v>674</v>
      </c>
      <c r="F911" s="30" t="s">
        <v>716</v>
      </c>
      <c r="G911" s="30" t="s">
        <v>717</v>
      </c>
      <c r="H911" s="30" t="s">
        <v>717</v>
      </c>
      <c r="I911" s="30" t="s">
        <v>736</v>
      </c>
      <c r="J911" s="30" t="s">
        <v>737</v>
      </c>
      <c r="K911" s="30" t="s">
        <v>738</v>
      </c>
      <c r="L911" s="30" t="s">
        <v>699</v>
      </c>
      <c r="M911" s="30">
        <v>0.2</v>
      </c>
      <c r="N911" s="30" t="s">
        <v>516</v>
      </c>
      <c r="O911" s="30" t="s">
        <v>746</v>
      </c>
      <c r="P911" s="30" t="s">
        <v>683</v>
      </c>
      <c r="Q911" s="30" t="s">
        <v>665</v>
      </c>
      <c r="R911" s="30" t="s">
        <v>544</v>
      </c>
      <c r="S911" s="30" t="s">
        <v>684</v>
      </c>
    </row>
    <row r="912" spans="1:19" x14ac:dyDescent="0.3">
      <c r="A912" s="31" t="s">
        <v>1501</v>
      </c>
      <c r="B912" s="32" t="s">
        <v>544</v>
      </c>
      <c r="C912" s="32" t="s">
        <v>1502</v>
      </c>
      <c r="D912" s="32" t="s">
        <v>684</v>
      </c>
      <c r="E912" s="32" t="s">
        <v>674</v>
      </c>
      <c r="F912" s="32" t="s">
        <v>716</v>
      </c>
      <c r="G912" s="32" t="s">
        <v>717</v>
      </c>
      <c r="H912" s="32" t="s">
        <v>717</v>
      </c>
      <c r="I912" s="32" t="s">
        <v>736</v>
      </c>
      <c r="J912" s="32" t="s">
        <v>737</v>
      </c>
      <c r="K912" s="32" t="s">
        <v>738</v>
      </c>
      <c r="L912" s="32" t="s">
        <v>699</v>
      </c>
      <c r="M912" s="32">
        <v>0.2</v>
      </c>
      <c r="N912" s="32" t="s">
        <v>516</v>
      </c>
      <c r="O912" s="32" t="s">
        <v>746</v>
      </c>
      <c r="P912" s="32" t="s">
        <v>683</v>
      </c>
      <c r="Q912" s="32" t="s">
        <v>665</v>
      </c>
      <c r="R912" s="32" t="s">
        <v>544</v>
      </c>
      <c r="S912" s="30" t="s">
        <v>684</v>
      </c>
    </row>
    <row r="913" spans="1:19" x14ac:dyDescent="0.3">
      <c r="A913" s="29" t="s">
        <v>1506</v>
      </c>
      <c r="B913" s="30" t="s">
        <v>544</v>
      </c>
      <c r="C913" s="30" t="s">
        <v>1500</v>
      </c>
      <c r="D913" s="30" t="s">
        <v>684</v>
      </c>
      <c r="E913" s="30" t="s">
        <v>674</v>
      </c>
      <c r="F913" s="30" t="s">
        <v>716</v>
      </c>
      <c r="G913" s="30" t="s">
        <v>717</v>
      </c>
      <c r="H913" s="30" t="s">
        <v>717</v>
      </c>
      <c r="I913" s="30" t="s">
        <v>736</v>
      </c>
      <c r="J913" s="30" t="s">
        <v>737</v>
      </c>
      <c r="K913" s="30" t="s">
        <v>738</v>
      </c>
      <c r="L913" s="30" t="s">
        <v>699</v>
      </c>
      <c r="M913" s="30">
        <v>0.2</v>
      </c>
      <c r="N913" s="30" t="s">
        <v>639</v>
      </c>
      <c r="O913" s="30" t="s">
        <v>746</v>
      </c>
      <c r="P913" s="30" t="s">
        <v>683</v>
      </c>
      <c r="Q913" s="30" t="s">
        <v>665</v>
      </c>
      <c r="R913" s="30" t="s">
        <v>544</v>
      </c>
      <c r="S913" s="30" t="s">
        <v>684</v>
      </c>
    </row>
    <row r="914" spans="1:19" x14ac:dyDescent="0.3">
      <c r="A914" s="31" t="s">
        <v>1503</v>
      </c>
      <c r="B914" s="32" t="s">
        <v>544</v>
      </c>
      <c r="C914" s="32" t="s">
        <v>1504</v>
      </c>
      <c r="D914" s="32" t="s">
        <v>684</v>
      </c>
      <c r="E914" s="32" t="s">
        <v>674</v>
      </c>
      <c r="F914" s="32" t="s">
        <v>716</v>
      </c>
      <c r="G914" s="32" t="s">
        <v>717</v>
      </c>
      <c r="H914" s="32" t="s">
        <v>717</v>
      </c>
      <c r="I914" s="32" t="s">
        <v>736</v>
      </c>
      <c r="J914" s="32" t="s">
        <v>737</v>
      </c>
      <c r="K914" s="32" t="s">
        <v>738</v>
      </c>
      <c r="L914" s="32" t="s">
        <v>699</v>
      </c>
      <c r="M914" s="32">
        <v>0.2</v>
      </c>
      <c r="N914" s="32" t="s">
        <v>639</v>
      </c>
      <c r="O914" s="32" t="s">
        <v>746</v>
      </c>
      <c r="P914" s="32" t="s">
        <v>683</v>
      </c>
      <c r="Q914" s="32" t="s">
        <v>665</v>
      </c>
      <c r="R914" s="32" t="s">
        <v>544</v>
      </c>
      <c r="S914" s="30" t="s">
        <v>684</v>
      </c>
    </row>
    <row r="915" spans="1:19" x14ac:dyDescent="0.3">
      <c r="A915" s="29" t="s">
        <v>1505</v>
      </c>
      <c r="B915" s="30" t="s">
        <v>544</v>
      </c>
      <c r="C915" s="30" t="s">
        <v>1499</v>
      </c>
      <c r="D915" s="30" t="s">
        <v>684</v>
      </c>
      <c r="E915" s="30" t="s">
        <v>674</v>
      </c>
      <c r="F915" s="30" t="s">
        <v>716</v>
      </c>
      <c r="G915" s="30" t="s">
        <v>717</v>
      </c>
      <c r="H915" s="30" t="s">
        <v>717</v>
      </c>
      <c r="I915" s="30" t="s">
        <v>736</v>
      </c>
      <c r="J915" s="30" t="s">
        <v>737</v>
      </c>
      <c r="K915" s="30" t="s">
        <v>738</v>
      </c>
      <c r="L915" s="30" t="s">
        <v>699</v>
      </c>
      <c r="M915" s="30">
        <v>0.2</v>
      </c>
      <c r="N915" s="30" t="s">
        <v>639</v>
      </c>
      <c r="O915" s="30" t="s">
        <v>746</v>
      </c>
      <c r="P915" s="30" t="s">
        <v>683</v>
      </c>
      <c r="Q915" s="30" t="s">
        <v>665</v>
      </c>
      <c r="R915" s="30" t="s">
        <v>544</v>
      </c>
      <c r="S915" s="30" t="s">
        <v>684</v>
      </c>
    </row>
    <row r="916" spans="1:19" x14ac:dyDescent="0.3">
      <c r="A916" s="31" t="s">
        <v>1501</v>
      </c>
      <c r="B916" s="32" t="s">
        <v>544</v>
      </c>
      <c r="C916" s="32" t="s">
        <v>1502</v>
      </c>
      <c r="D916" s="32" t="s">
        <v>684</v>
      </c>
      <c r="E916" s="32" t="s">
        <v>674</v>
      </c>
      <c r="F916" s="32" t="s">
        <v>716</v>
      </c>
      <c r="G916" s="32" t="s">
        <v>717</v>
      </c>
      <c r="H916" s="32" t="s">
        <v>717</v>
      </c>
      <c r="I916" s="32" t="s">
        <v>736</v>
      </c>
      <c r="J916" s="32" t="s">
        <v>737</v>
      </c>
      <c r="K916" s="32" t="s">
        <v>738</v>
      </c>
      <c r="L916" s="32" t="s">
        <v>699</v>
      </c>
      <c r="M916" s="32">
        <v>0.2</v>
      </c>
      <c r="N916" s="32" t="s">
        <v>639</v>
      </c>
      <c r="O916" s="32" t="s">
        <v>746</v>
      </c>
      <c r="P916" s="32" t="s">
        <v>683</v>
      </c>
      <c r="Q916" s="32" t="s">
        <v>665</v>
      </c>
      <c r="R916" s="32" t="s">
        <v>544</v>
      </c>
      <c r="S916" s="30" t="s">
        <v>684</v>
      </c>
    </row>
    <row r="917" spans="1:19" x14ac:dyDescent="0.3">
      <c r="A917" s="29" t="s">
        <v>1009</v>
      </c>
      <c r="B917" s="30" t="s">
        <v>707</v>
      </c>
      <c r="C917" s="30" t="s">
        <v>715</v>
      </c>
      <c r="D917" s="30" t="s">
        <v>684</v>
      </c>
      <c r="E917" s="30" t="s">
        <v>674</v>
      </c>
      <c r="F917" s="30" t="s">
        <v>716</v>
      </c>
      <c r="G917" s="30" t="s">
        <v>717</v>
      </c>
      <c r="H917" s="30" t="s">
        <v>717</v>
      </c>
      <c r="I917" s="30" t="s">
        <v>717</v>
      </c>
      <c r="J917" s="30" t="s">
        <v>737</v>
      </c>
      <c r="K917" s="30" t="s">
        <v>738</v>
      </c>
      <c r="L917" s="30" t="s">
        <v>699</v>
      </c>
      <c r="M917" s="30">
        <v>0.2</v>
      </c>
      <c r="N917" s="30" t="s">
        <v>639</v>
      </c>
      <c r="O917" s="30" t="s">
        <v>746</v>
      </c>
      <c r="P917" s="30" t="s">
        <v>683</v>
      </c>
      <c r="Q917" s="30" t="s">
        <v>665</v>
      </c>
      <c r="R917" s="30" t="s">
        <v>544</v>
      </c>
      <c r="S917" s="30" t="s">
        <v>684</v>
      </c>
    </row>
    <row r="918" spans="1:19" x14ac:dyDescent="0.3">
      <c r="A918" s="31" t="s">
        <v>756</v>
      </c>
      <c r="B918" s="32" t="s">
        <v>753</v>
      </c>
      <c r="C918" s="32" t="s">
        <v>756</v>
      </c>
      <c r="D918" s="32" t="s">
        <v>755</v>
      </c>
      <c r="E918" s="32" t="s">
        <v>674</v>
      </c>
      <c r="F918" s="32" t="s">
        <v>716</v>
      </c>
      <c r="G918" s="32" t="s">
        <v>744</v>
      </c>
      <c r="H918" s="32" t="s">
        <v>702</v>
      </c>
      <c r="I918" s="32" t="s">
        <v>678</v>
      </c>
      <c r="J918" s="32" t="s">
        <v>679</v>
      </c>
      <c r="K918" s="32" t="s">
        <v>680</v>
      </c>
      <c r="L918" s="32" t="s">
        <v>681</v>
      </c>
      <c r="M918" s="32">
        <v>1</v>
      </c>
      <c r="N918" s="32" t="s">
        <v>2340</v>
      </c>
      <c r="O918" s="32" t="s">
        <v>746</v>
      </c>
      <c r="P918" s="32" t="s">
        <v>683</v>
      </c>
      <c r="Q918" s="32" t="s">
        <v>665</v>
      </c>
      <c r="R918" s="32" t="s">
        <v>285</v>
      </c>
      <c r="S918" s="30" t="s">
        <v>755</v>
      </c>
    </row>
    <row r="919" spans="1:19" x14ac:dyDescent="0.3">
      <c r="A919" s="29" t="s">
        <v>1002</v>
      </c>
      <c r="B919" s="30" t="s">
        <v>998</v>
      </c>
      <c r="C919" s="30" t="s">
        <v>1003</v>
      </c>
      <c r="D919" s="30" t="s">
        <v>673</v>
      </c>
      <c r="E919" s="30" t="s">
        <v>674</v>
      </c>
      <c r="F919" s="30" t="s">
        <v>716</v>
      </c>
      <c r="G919" s="30" t="s">
        <v>744</v>
      </c>
      <c r="H919" s="30" t="s">
        <v>677</v>
      </c>
      <c r="I919" s="30" t="s">
        <v>678</v>
      </c>
      <c r="J919" s="30" t="s">
        <v>751</v>
      </c>
      <c r="K919" s="30" t="s">
        <v>690</v>
      </c>
      <c r="L919" s="30" t="s">
        <v>681</v>
      </c>
      <c r="M919" s="30">
        <v>1</v>
      </c>
      <c r="N919" s="30" t="s">
        <v>1660</v>
      </c>
      <c r="O919" s="30" t="s">
        <v>1915</v>
      </c>
      <c r="P919" s="30" t="s">
        <v>683</v>
      </c>
      <c r="Q919" s="30" t="s">
        <v>767</v>
      </c>
      <c r="R919" s="30" t="s">
        <v>278</v>
      </c>
      <c r="S919" s="32" t="s">
        <v>673</v>
      </c>
    </row>
    <row r="920" spans="1:19" x14ac:dyDescent="0.3">
      <c r="A920" s="31" t="s">
        <v>911</v>
      </c>
      <c r="B920" s="32" t="s">
        <v>544</v>
      </c>
      <c r="C920" s="32" t="s">
        <v>912</v>
      </c>
      <c r="D920" s="32" t="s">
        <v>684</v>
      </c>
      <c r="E920" s="32" t="s">
        <v>674</v>
      </c>
      <c r="F920" s="32" t="s">
        <v>716</v>
      </c>
      <c r="G920" s="32" t="s">
        <v>744</v>
      </c>
      <c r="H920" s="32" t="s">
        <v>702</v>
      </c>
      <c r="I920" s="32" t="s">
        <v>736</v>
      </c>
      <c r="J920" s="32" t="s">
        <v>737</v>
      </c>
      <c r="K920" s="32" t="s">
        <v>738</v>
      </c>
      <c r="L920" s="32" t="s">
        <v>808</v>
      </c>
      <c r="M920" s="32">
        <v>0.5</v>
      </c>
      <c r="N920" s="32" t="s">
        <v>608</v>
      </c>
      <c r="O920" s="32" t="s">
        <v>746</v>
      </c>
      <c r="P920" s="32" t="s">
        <v>683</v>
      </c>
      <c r="Q920" s="32" t="s">
        <v>665</v>
      </c>
      <c r="R920" s="32" t="s">
        <v>300</v>
      </c>
      <c r="S920" s="30" t="s">
        <v>684</v>
      </c>
    </row>
    <row r="921" spans="1:19" x14ac:dyDescent="0.3">
      <c r="A921" s="29" t="s">
        <v>911</v>
      </c>
      <c r="B921" s="30" t="s">
        <v>544</v>
      </c>
      <c r="C921" s="30" t="s">
        <v>912</v>
      </c>
      <c r="D921" s="30" t="s">
        <v>684</v>
      </c>
      <c r="E921" s="30" t="s">
        <v>674</v>
      </c>
      <c r="F921" s="30" t="s">
        <v>716</v>
      </c>
      <c r="G921" s="30" t="s">
        <v>744</v>
      </c>
      <c r="H921" s="30" t="s">
        <v>702</v>
      </c>
      <c r="I921" s="30" t="s">
        <v>736</v>
      </c>
      <c r="J921" s="30" t="s">
        <v>737</v>
      </c>
      <c r="K921" s="30" t="s">
        <v>738</v>
      </c>
      <c r="L921" s="30" t="s">
        <v>808</v>
      </c>
      <c r="M921" s="30">
        <v>0.5</v>
      </c>
      <c r="N921" s="30" t="s">
        <v>2341</v>
      </c>
      <c r="O921" s="30" t="s">
        <v>1915</v>
      </c>
      <c r="P921" s="30" t="s">
        <v>683</v>
      </c>
      <c r="Q921" s="30" t="s">
        <v>767</v>
      </c>
      <c r="R921" s="30" t="s">
        <v>516</v>
      </c>
      <c r="S921" s="30" t="s">
        <v>684</v>
      </c>
    </row>
    <row r="922" spans="1:19" x14ac:dyDescent="0.3">
      <c r="A922" s="31" t="s">
        <v>911</v>
      </c>
      <c r="B922" s="32" t="s">
        <v>544</v>
      </c>
      <c r="C922" s="32" t="s">
        <v>912</v>
      </c>
      <c r="D922" s="32" t="s">
        <v>684</v>
      </c>
      <c r="E922" s="32" t="s">
        <v>674</v>
      </c>
      <c r="F922" s="32" t="s">
        <v>716</v>
      </c>
      <c r="G922" s="32" t="s">
        <v>744</v>
      </c>
      <c r="H922" s="32" t="s">
        <v>702</v>
      </c>
      <c r="I922" s="32" t="s">
        <v>736</v>
      </c>
      <c r="J922" s="32" t="s">
        <v>737</v>
      </c>
      <c r="K922" s="32" t="s">
        <v>738</v>
      </c>
      <c r="L922" s="32" t="s">
        <v>808</v>
      </c>
      <c r="M922" s="32">
        <v>0.5</v>
      </c>
      <c r="N922" s="32" t="s">
        <v>594</v>
      </c>
      <c r="O922" s="32" t="s">
        <v>1915</v>
      </c>
      <c r="P922" s="32" t="s">
        <v>683</v>
      </c>
      <c r="Q922" s="32" t="s">
        <v>767</v>
      </c>
      <c r="R922" s="32" t="s">
        <v>516</v>
      </c>
      <c r="S922" s="30" t="s">
        <v>684</v>
      </c>
    </row>
    <row r="923" spans="1:19" x14ac:dyDescent="0.3">
      <c r="A923" s="29" t="s">
        <v>898</v>
      </c>
      <c r="B923" s="30" t="s">
        <v>544</v>
      </c>
      <c r="C923" s="30" t="s">
        <v>899</v>
      </c>
      <c r="D923" s="30" t="s">
        <v>684</v>
      </c>
      <c r="E923" s="30" t="s">
        <v>674</v>
      </c>
      <c r="F923" s="30" t="s">
        <v>716</v>
      </c>
      <c r="G923" s="30" t="s">
        <v>744</v>
      </c>
      <c r="H923" s="30" t="s">
        <v>702</v>
      </c>
      <c r="I923" s="30" t="s">
        <v>736</v>
      </c>
      <c r="J923" s="30" t="s">
        <v>737</v>
      </c>
      <c r="K923" s="30" t="s">
        <v>738</v>
      </c>
      <c r="L923" s="30" t="s">
        <v>808</v>
      </c>
      <c r="M923" s="30">
        <v>0.5</v>
      </c>
      <c r="N923" s="30" t="s">
        <v>1651</v>
      </c>
      <c r="O923" s="30" t="s">
        <v>746</v>
      </c>
      <c r="P923" s="30" t="s">
        <v>683</v>
      </c>
      <c r="Q923" s="30" t="s">
        <v>665</v>
      </c>
      <c r="R923" s="30" t="s">
        <v>516</v>
      </c>
      <c r="S923" s="30" t="s">
        <v>684</v>
      </c>
    </row>
    <row r="924" spans="1:19" x14ac:dyDescent="0.3">
      <c r="A924" s="31" t="s">
        <v>898</v>
      </c>
      <c r="B924" s="32" t="s">
        <v>544</v>
      </c>
      <c r="C924" s="32" t="s">
        <v>899</v>
      </c>
      <c r="D924" s="32" t="s">
        <v>684</v>
      </c>
      <c r="E924" s="32" t="s">
        <v>674</v>
      </c>
      <c r="F924" s="32" t="s">
        <v>716</v>
      </c>
      <c r="G924" s="32" t="s">
        <v>744</v>
      </c>
      <c r="H924" s="32" t="s">
        <v>702</v>
      </c>
      <c r="I924" s="32" t="s">
        <v>736</v>
      </c>
      <c r="J924" s="32" t="s">
        <v>737</v>
      </c>
      <c r="K924" s="32" t="s">
        <v>738</v>
      </c>
      <c r="L924" s="32" t="s">
        <v>808</v>
      </c>
      <c r="M924" s="32">
        <v>0.5</v>
      </c>
      <c r="N924" s="32" t="s">
        <v>281</v>
      </c>
      <c r="O924" s="32" t="s">
        <v>746</v>
      </c>
      <c r="P924" s="32" t="s">
        <v>683</v>
      </c>
      <c r="Q924" s="32" t="s">
        <v>665</v>
      </c>
      <c r="R924" s="32" t="s">
        <v>516</v>
      </c>
      <c r="S924" s="30" t="s">
        <v>684</v>
      </c>
    </row>
    <row r="925" spans="1:19" x14ac:dyDescent="0.3">
      <c r="A925" s="29" t="s">
        <v>898</v>
      </c>
      <c r="B925" s="30" t="s">
        <v>544</v>
      </c>
      <c r="C925" s="30" t="s">
        <v>899</v>
      </c>
      <c r="D925" s="30" t="s">
        <v>684</v>
      </c>
      <c r="E925" s="30" t="s">
        <v>674</v>
      </c>
      <c r="F925" s="30" t="s">
        <v>716</v>
      </c>
      <c r="G925" s="30" t="s">
        <v>744</v>
      </c>
      <c r="H925" s="30" t="s">
        <v>702</v>
      </c>
      <c r="I925" s="30" t="s">
        <v>736</v>
      </c>
      <c r="J925" s="30" t="s">
        <v>737</v>
      </c>
      <c r="K925" s="30" t="s">
        <v>738</v>
      </c>
      <c r="L925" s="30" t="s">
        <v>808</v>
      </c>
      <c r="M925" s="30">
        <v>0.5</v>
      </c>
      <c r="N925" s="30" t="s">
        <v>608</v>
      </c>
      <c r="O925" s="30" t="s">
        <v>746</v>
      </c>
      <c r="P925" s="30" t="s">
        <v>683</v>
      </c>
      <c r="Q925" s="30" t="s">
        <v>665</v>
      </c>
      <c r="R925" s="30" t="s">
        <v>300</v>
      </c>
      <c r="S925" s="30" t="s">
        <v>684</v>
      </c>
    </row>
    <row r="926" spans="1:19" x14ac:dyDescent="0.3">
      <c r="A926" s="31" t="s">
        <v>911</v>
      </c>
      <c r="B926" s="32" t="s">
        <v>544</v>
      </c>
      <c r="C926" s="32" t="s">
        <v>912</v>
      </c>
      <c r="D926" s="32" t="s">
        <v>684</v>
      </c>
      <c r="E926" s="32" t="s">
        <v>674</v>
      </c>
      <c r="F926" s="32" t="s">
        <v>716</v>
      </c>
      <c r="G926" s="32" t="s">
        <v>744</v>
      </c>
      <c r="H926" s="32" t="s">
        <v>702</v>
      </c>
      <c r="I926" s="32" t="s">
        <v>736</v>
      </c>
      <c r="J926" s="32" t="s">
        <v>737</v>
      </c>
      <c r="K926" s="32" t="s">
        <v>738</v>
      </c>
      <c r="L926" s="32" t="s">
        <v>808</v>
      </c>
      <c r="M926" s="32">
        <v>0.5</v>
      </c>
      <c r="N926" s="32" t="s">
        <v>281</v>
      </c>
      <c r="O926" s="32" t="s">
        <v>746</v>
      </c>
      <c r="P926" s="32" t="s">
        <v>683</v>
      </c>
      <c r="Q926" s="32" t="s">
        <v>665</v>
      </c>
      <c r="R926" s="32" t="s">
        <v>516</v>
      </c>
      <c r="S926" s="30" t="s">
        <v>684</v>
      </c>
    </row>
    <row r="927" spans="1:19" x14ac:dyDescent="0.3">
      <c r="A927" s="29" t="s">
        <v>1587</v>
      </c>
      <c r="B927" s="30" t="s">
        <v>544</v>
      </c>
      <c r="C927" s="30" t="s">
        <v>1588</v>
      </c>
      <c r="D927" s="30" t="s">
        <v>684</v>
      </c>
      <c r="E927" s="30" t="s">
        <v>674</v>
      </c>
      <c r="F927" s="30" t="s">
        <v>716</v>
      </c>
      <c r="G927" s="30" t="s">
        <v>744</v>
      </c>
      <c r="H927" s="30" t="s">
        <v>702</v>
      </c>
      <c r="I927" s="30" t="s">
        <v>736</v>
      </c>
      <c r="J927" s="30" t="s">
        <v>737</v>
      </c>
      <c r="K927" s="30" t="s">
        <v>738</v>
      </c>
      <c r="L927" s="30" t="s">
        <v>808</v>
      </c>
      <c r="M927" s="30">
        <v>1</v>
      </c>
      <c r="N927" s="30" t="s">
        <v>529</v>
      </c>
      <c r="O927" s="30" t="s">
        <v>746</v>
      </c>
      <c r="P927" s="30" t="s">
        <v>683</v>
      </c>
      <c r="Q927" s="30" t="s">
        <v>665</v>
      </c>
      <c r="R927" s="30" t="s">
        <v>516</v>
      </c>
      <c r="S927" s="30" t="s">
        <v>684</v>
      </c>
    </row>
    <row r="928" spans="1:19" x14ac:dyDescent="0.3">
      <c r="A928" s="31" t="s">
        <v>898</v>
      </c>
      <c r="B928" s="32" t="s">
        <v>544</v>
      </c>
      <c r="C928" s="32" t="s">
        <v>899</v>
      </c>
      <c r="D928" s="32" t="s">
        <v>684</v>
      </c>
      <c r="E928" s="32" t="s">
        <v>674</v>
      </c>
      <c r="F928" s="32" t="s">
        <v>716</v>
      </c>
      <c r="G928" s="32" t="s">
        <v>744</v>
      </c>
      <c r="H928" s="32" t="s">
        <v>702</v>
      </c>
      <c r="I928" s="32" t="s">
        <v>736</v>
      </c>
      <c r="J928" s="32" t="s">
        <v>737</v>
      </c>
      <c r="K928" s="32" t="s">
        <v>738</v>
      </c>
      <c r="L928" s="32" t="s">
        <v>808</v>
      </c>
      <c r="M928" s="32">
        <v>0.5</v>
      </c>
      <c r="N928" s="32" t="s">
        <v>594</v>
      </c>
      <c r="O928" s="32" t="s">
        <v>1915</v>
      </c>
      <c r="P928" s="32" t="s">
        <v>683</v>
      </c>
      <c r="Q928" s="32" t="s">
        <v>767</v>
      </c>
      <c r="R928" s="32" t="s">
        <v>516</v>
      </c>
      <c r="S928" s="30" t="s">
        <v>684</v>
      </c>
    </row>
    <row r="929" spans="1:19" x14ac:dyDescent="0.3">
      <c r="A929" s="29" t="s">
        <v>917</v>
      </c>
      <c r="B929" s="30" t="s">
        <v>544</v>
      </c>
      <c r="C929" s="30" t="s">
        <v>918</v>
      </c>
      <c r="D929" s="30" t="s">
        <v>684</v>
      </c>
      <c r="E929" s="30" t="s">
        <v>674</v>
      </c>
      <c r="F929" s="30" t="s">
        <v>716</v>
      </c>
      <c r="G929" s="30" t="s">
        <v>744</v>
      </c>
      <c r="H929" s="30" t="s">
        <v>702</v>
      </c>
      <c r="I929" s="30" t="s">
        <v>736</v>
      </c>
      <c r="J929" s="30" t="s">
        <v>737</v>
      </c>
      <c r="K929" s="30" t="s">
        <v>738</v>
      </c>
      <c r="L929" s="30" t="s">
        <v>808</v>
      </c>
      <c r="M929" s="30">
        <v>1</v>
      </c>
      <c r="N929" s="30" t="s">
        <v>1589</v>
      </c>
      <c r="O929" s="30" t="s">
        <v>746</v>
      </c>
      <c r="P929" s="30" t="s">
        <v>683</v>
      </c>
      <c r="Q929" s="30" t="s">
        <v>665</v>
      </c>
      <c r="R929" s="30" t="s">
        <v>516</v>
      </c>
      <c r="S929" s="30" t="s">
        <v>684</v>
      </c>
    </row>
    <row r="930" spans="1:19" x14ac:dyDescent="0.3">
      <c r="A930" s="31" t="s">
        <v>898</v>
      </c>
      <c r="B930" s="32" t="s">
        <v>544</v>
      </c>
      <c r="C930" s="32" t="s">
        <v>899</v>
      </c>
      <c r="D930" s="32" t="s">
        <v>684</v>
      </c>
      <c r="E930" s="32" t="s">
        <v>674</v>
      </c>
      <c r="F930" s="32" t="s">
        <v>716</v>
      </c>
      <c r="G930" s="32" t="s">
        <v>744</v>
      </c>
      <c r="H930" s="32" t="s">
        <v>702</v>
      </c>
      <c r="I930" s="32" t="s">
        <v>736</v>
      </c>
      <c r="J930" s="32" t="s">
        <v>737</v>
      </c>
      <c r="K930" s="32" t="s">
        <v>738</v>
      </c>
      <c r="L930" s="32" t="s">
        <v>808</v>
      </c>
      <c r="M930" s="32">
        <v>0.5</v>
      </c>
      <c r="N930" s="32" t="s">
        <v>2341</v>
      </c>
      <c r="O930" s="32" t="s">
        <v>1915</v>
      </c>
      <c r="P930" s="32" t="s">
        <v>683</v>
      </c>
      <c r="Q930" s="32" t="s">
        <v>767</v>
      </c>
      <c r="R930" s="32" t="s">
        <v>516</v>
      </c>
      <c r="S930" s="30" t="s">
        <v>684</v>
      </c>
    </row>
    <row r="931" spans="1:19" x14ac:dyDescent="0.3">
      <c r="A931" s="29" t="s">
        <v>911</v>
      </c>
      <c r="B931" s="30" t="s">
        <v>544</v>
      </c>
      <c r="C931" s="30" t="s">
        <v>912</v>
      </c>
      <c r="D931" s="30" t="s">
        <v>684</v>
      </c>
      <c r="E931" s="30" t="s">
        <v>674</v>
      </c>
      <c r="F931" s="30" t="s">
        <v>716</v>
      </c>
      <c r="G931" s="30" t="s">
        <v>744</v>
      </c>
      <c r="H931" s="30" t="s">
        <v>702</v>
      </c>
      <c r="I931" s="30" t="s">
        <v>736</v>
      </c>
      <c r="J931" s="30" t="s">
        <v>737</v>
      </c>
      <c r="K931" s="30" t="s">
        <v>738</v>
      </c>
      <c r="L931" s="30" t="s">
        <v>808</v>
      </c>
      <c r="M931" s="30">
        <v>0.5</v>
      </c>
      <c r="N931" s="30" t="s">
        <v>1651</v>
      </c>
      <c r="O931" s="30" t="s">
        <v>746</v>
      </c>
      <c r="P931" s="30" t="s">
        <v>683</v>
      </c>
      <c r="Q931" s="30" t="s">
        <v>665</v>
      </c>
      <c r="R931" s="30" t="s">
        <v>516</v>
      </c>
      <c r="S931" s="30" t="s">
        <v>684</v>
      </c>
    </row>
    <row r="932" spans="1:19" x14ac:dyDescent="0.3">
      <c r="A932" s="31" t="s">
        <v>917</v>
      </c>
      <c r="B932" s="32" t="s">
        <v>544</v>
      </c>
      <c r="C932" s="32" t="s">
        <v>918</v>
      </c>
      <c r="D932" s="32" t="s">
        <v>684</v>
      </c>
      <c r="E932" s="32" t="s">
        <v>674</v>
      </c>
      <c r="F932" s="32" t="s">
        <v>716</v>
      </c>
      <c r="G932" s="32" t="s">
        <v>744</v>
      </c>
      <c r="H932" s="32" t="s">
        <v>702</v>
      </c>
      <c r="I932" s="32" t="s">
        <v>736</v>
      </c>
      <c r="J932" s="32" t="s">
        <v>737</v>
      </c>
      <c r="K932" s="32" t="s">
        <v>738</v>
      </c>
      <c r="L932" s="32" t="s">
        <v>808</v>
      </c>
      <c r="M932" s="32">
        <v>1</v>
      </c>
      <c r="N932" s="32" t="s">
        <v>68</v>
      </c>
      <c r="O932" s="32" t="s">
        <v>746</v>
      </c>
      <c r="P932" s="32" t="s">
        <v>683</v>
      </c>
      <c r="Q932" s="32" t="s">
        <v>665</v>
      </c>
      <c r="R932" s="32" t="s">
        <v>516</v>
      </c>
      <c r="S932" s="30" t="s">
        <v>684</v>
      </c>
    </row>
    <row r="933" spans="1:19" x14ac:dyDescent="0.3">
      <c r="A933" s="29" t="s">
        <v>857</v>
      </c>
      <c r="B933" s="30" t="s">
        <v>858</v>
      </c>
      <c r="C933" s="30" t="s">
        <v>859</v>
      </c>
      <c r="D933" s="30" t="s">
        <v>684</v>
      </c>
      <c r="E933" s="30" t="s">
        <v>674</v>
      </c>
      <c r="F933" s="30" t="s">
        <v>716</v>
      </c>
      <c r="G933" s="30" t="s">
        <v>744</v>
      </c>
      <c r="H933" s="30" t="s">
        <v>677</v>
      </c>
      <c r="I933" s="30" t="s">
        <v>688</v>
      </c>
      <c r="J933" s="30" t="s">
        <v>860</v>
      </c>
      <c r="K933" s="30" t="s">
        <v>861</v>
      </c>
      <c r="L933" s="30" t="s">
        <v>699</v>
      </c>
      <c r="M933" s="30">
        <v>0.75</v>
      </c>
      <c r="N933" s="30" t="s">
        <v>381</v>
      </c>
      <c r="O933" s="30" t="s">
        <v>746</v>
      </c>
      <c r="P933" s="30" t="s">
        <v>683</v>
      </c>
      <c r="Q933" s="30" t="s">
        <v>665</v>
      </c>
      <c r="R933" s="30" t="s">
        <v>300</v>
      </c>
      <c r="S933" s="30" t="s">
        <v>684</v>
      </c>
    </row>
    <row r="934" spans="1:19" x14ac:dyDescent="0.3">
      <c r="A934" s="31" t="s">
        <v>1050</v>
      </c>
      <c r="B934" s="32" t="s">
        <v>132</v>
      </c>
      <c r="C934" s="32" t="s">
        <v>1051</v>
      </c>
      <c r="D934" s="32" t="s">
        <v>673</v>
      </c>
      <c r="E934" s="32" t="s">
        <v>674</v>
      </c>
      <c r="F934" s="32" t="s">
        <v>716</v>
      </c>
      <c r="G934" s="32" t="s">
        <v>731</v>
      </c>
      <c r="H934" s="32" t="s">
        <v>702</v>
      </c>
      <c r="I934" s="32" t="s">
        <v>688</v>
      </c>
      <c r="J934" s="32" t="s">
        <v>713</v>
      </c>
      <c r="K934" s="32" t="s">
        <v>690</v>
      </c>
      <c r="L934" s="32" t="s">
        <v>691</v>
      </c>
      <c r="M934" s="32">
        <v>0.5</v>
      </c>
      <c r="N934" s="32" t="s">
        <v>383</v>
      </c>
      <c r="O934" s="32" t="s">
        <v>1915</v>
      </c>
      <c r="P934" s="32" t="s">
        <v>683</v>
      </c>
      <c r="Q934" s="32" t="s">
        <v>767</v>
      </c>
      <c r="R934" s="32" t="s">
        <v>300</v>
      </c>
      <c r="S934" s="30" t="s">
        <v>684</v>
      </c>
    </row>
    <row r="935" spans="1:19" x14ac:dyDescent="0.3">
      <c r="A935" s="29" t="s">
        <v>1154</v>
      </c>
      <c r="B935" s="30" t="s">
        <v>544</v>
      </c>
      <c r="C935" s="30" t="s">
        <v>1155</v>
      </c>
      <c r="D935" s="30" t="s">
        <v>684</v>
      </c>
      <c r="E935" s="30" t="s">
        <v>674</v>
      </c>
      <c r="F935" s="30" t="s">
        <v>716</v>
      </c>
      <c r="G935" s="30" t="s">
        <v>744</v>
      </c>
      <c r="H935" s="30" t="s">
        <v>702</v>
      </c>
      <c r="I935" s="30" t="s">
        <v>736</v>
      </c>
      <c r="J935" s="30" t="s">
        <v>737</v>
      </c>
      <c r="K935" s="30" t="s">
        <v>738</v>
      </c>
      <c r="L935" s="30" t="s">
        <v>699</v>
      </c>
      <c r="M935" s="30">
        <v>0.5</v>
      </c>
      <c r="N935" s="30" t="s">
        <v>454</v>
      </c>
      <c r="O935" s="30" t="s">
        <v>746</v>
      </c>
      <c r="P935" s="30" t="s">
        <v>683</v>
      </c>
      <c r="Q935" s="30" t="s">
        <v>665</v>
      </c>
      <c r="R935" s="30" t="s">
        <v>300</v>
      </c>
      <c r="S935" s="30" t="s">
        <v>684</v>
      </c>
    </row>
    <row r="936" spans="1:19" x14ac:dyDescent="0.3">
      <c r="A936" s="31" t="s">
        <v>722</v>
      </c>
      <c r="B936" s="32" t="s">
        <v>686</v>
      </c>
      <c r="C936" s="32" t="s">
        <v>723</v>
      </c>
      <c r="D936" s="32" t="s">
        <v>673</v>
      </c>
      <c r="E936" s="32" t="s">
        <v>674</v>
      </c>
      <c r="F936" s="32" t="s">
        <v>675</v>
      </c>
      <c r="G936" s="32" t="s">
        <v>724</v>
      </c>
      <c r="H936" s="32" t="s">
        <v>677</v>
      </c>
      <c r="I936" s="32" t="s">
        <v>688</v>
      </c>
      <c r="J936" s="32" t="s">
        <v>689</v>
      </c>
      <c r="K936" s="32" t="s">
        <v>690</v>
      </c>
      <c r="L936" s="32" t="s">
        <v>681</v>
      </c>
      <c r="M936" s="32">
        <v>0.3</v>
      </c>
      <c r="N936" s="32" t="s">
        <v>197</v>
      </c>
      <c r="O936" s="32" t="s">
        <v>682</v>
      </c>
      <c r="P936" s="32" t="s">
        <v>683</v>
      </c>
      <c r="Q936" s="32" t="s">
        <v>665</v>
      </c>
      <c r="R936" s="32" t="s">
        <v>217</v>
      </c>
      <c r="S936" s="30" t="s">
        <v>684</v>
      </c>
    </row>
    <row r="937" spans="1:19" x14ac:dyDescent="0.3">
      <c r="A937" s="29" t="s">
        <v>2342</v>
      </c>
      <c r="B937" s="30" t="s">
        <v>528</v>
      </c>
      <c r="C937" s="30" t="s">
        <v>1668</v>
      </c>
      <c r="D937" s="30" t="s">
        <v>673</v>
      </c>
      <c r="E937" s="30" t="s">
        <v>674</v>
      </c>
      <c r="F937" s="30" t="s">
        <v>675</v>
      </c>
      <c r="G937" s="30" t="s">
        <v>744</v>
      </c>
      <c r="H937" s="30" t="s">
        <v>677</v>
      </c>
      <c r="I937" s="30" t="s">
        <v>678</v>
      </c>
      <c r="J937" s="30" t="s">
        <v>1422</v>
      </c>
      <c r="K937" s="30" t="s">
        <v>861</v>
      </c>
      <c r="L937" s="30" t="s">
        <v>699</v>
      </c>
      <c r="M937" s="30">
        <v>0.5</v>
      </c>
      <c r="N937" s="30" t="s">
        <v>362</v>
      </c>
      <c r="O937" s="30" t="s">
        <v>711</v>
      </c>
      <c r="P937" s="30" t="s">
        <v>683</v>
      </c>
      <c r="Q937" s="30" t="s">
        <v>665</v>
      </c>
      <c r="R937" s="30" t="s">
        <v>528</v>
      </c>
      <c r="S937" s="32" t="s">
        <v>673</v>
      </c>
    </row>
    <row r="938" spans="1:19" x14ac:dyDescent="0.3">
      <c r="A938" s="31" t="s">
        <v>1462</v>
      </c>
      <c r="B938" s="32" t="s">
        <v>528</v>
      </c>
      <c r="C938" s="32" t="s">
        <v>1463</v>
      </c>
      <c r="D938" s="32" t="s">
        <v>673</v>
      </c>
      <c r="E938" s="32" t="s">
        <v>674</v>
      </c>
      <c r="F938" s="32" t="s">
        <v>935</v>
      </c>
      <c r="G938" s="32" t="s">
        <v>676</v>
      </c>
      <c r="H938" s="32" t="s">
        <v>935</v>
      </c>
      <c r="I938" s="32" t="s">
        <v>688</v>
      </c>
      <c r="J938" s="32" t="s">
        <v>689</v>
      </c>
      <c r="K938" s="32" t="s">
        <v>690</v>
      </c>
      <c r="L938" s="32" t="s">
        <v>739</v>
      </c>
      <c r="M938" s="32">
        <v>0.34</v>
      </c>
      <c r="N938" s="32" t="s">
        <v>75</v>
      </c>
      <c r="O938" s="32" t="s">
        <v>711</v>
      </c>
      <c r="P938" s="32" t="s">
        <v>683</v>
      </c>
      <c r="Q938" s="32" t="s">
        <v>665</v>
      </c>
      <c r="R938" s="32" t="s">
        <v>528</v>
      </c>
      <c r="S938" s="32" t="s">
        <v>673</v>
      </c>
    </row>
    <row r="939" spans="1:19" x14ac:dyDescent="0.3">
      <c r="A939" s="29" t="s">
        <v>1671</v>
      </c>
      <c r="B939" s="30" t="s">
        <v>707</v>
      </c>
      <c r="C939" s="30" t="s">
        <v>708</v>
      </c>
      <c r="D939" s="30" t="s">
        <v>673</v>
      </c>
      <c r="E939" s="30" t="s">
        <v>674</v>
      </c>
      <c r="F939" s="30" t="s">
        <v>709</v>
      </c>
      <c r="G939" s="30" t="s">
        <v>709</v>
      </c>
      <c r="H939" s="30" t="s">
        <v>709</v>
      </c>
      <c r="I939" s="30" t="s">
        <v>709</v>
      </c>
      <c r="J939" s="30" t="s">
        <v>689</v>
      </c>
      <c r="K939" s="30" t="s">
        <v>690</v>
      </c>
      <c r="L939" s="30" t="s">
        <v>699</v>
      </c>
      <c r="M939" s="30">
        <v>0.5</v>
      </c>
      <c r="N939" s="30" t="s">
        <v>264</v>
      </c>
      <c r="O939" s="30" t="s">
        <v>746</v>
      </c>
      <c r="P939" s="30" t="s">
        <v>683</v>
      </c>
      <c r="Q939" s="30" t="s">
        <v>665</v>
      </c>
      <c r="R939" s="30" t="s">
        <v>528</v>
      </c>
      <c r="S939" s="32" t="s">
        <v>673</v>
      </c>
    </row>
    <row r="940" spans="1:19" x14ac:dyDescent="0.3">
      <c r="A940" s="31" t="s">
        <v>2343</v>
      </c>
      <c r="B940" s="32" t="s">
        <v>528</v>
      </c>
      <c r="C940" s="32" t="s">
        <v>1673</v>
      </c>
      <c r="D940" s="32" t="s">
        <v>673</v>
      </c>
      <c r="E940" s="32" t="s">
        <v>674</v>
      </c>
      <c r="F940" s="32" t="s">
        <v>935</v>
      </c>
      <c r="G940" s="32" t="s">
        <v>724</v>
      </c>
      <c r="H940" s="32" t="s">
        <v>702</v>
      </c>
      <c r="I940" s="32" t="s">
        <v>678</v>
      </c>
      <c r="J940" s="32" t="s">
        <v>1422</v>
      </c>
      <c r="K940" s="32" t="s">
        <v>861</v>
      </c>
      <c r="L940" s="32" t="s">
        <v>691</v>
      </c>
      <c r="M940" s="32">
        <v>0.5</v>
      </c>
      <c r="N940" s="32" t="s">
        <v>362</v>
      </c>
      <c r="O940" s="32" t="s">
        <v>711</v>
      </c>
      <c r="P940" s="32" t="s">
        <v>683</v>
      </c>
      <c r="Q940" s="32" t="s">
        <v>665</v>
      </c>
      <c r="R940" s="32" t="s">
        <v>528</v>
      </c>
      <c r="S940" s="32" t="s">
        <v>673</v>
      </c>
    </row>
    <row r="941" spans="1:19" x14ac:dyDescent="0.3">
      <c r="A941" s="29" t="s">
        <v>1672</v>
      </c>
      <c r="B941" s="30" t="s">
        <v>707</v>
      </c>
      <c r="C941" s="30" t="s">
        <v>708</v>
      </c>
      <c r="D941" s="30" t="s">
        <v>673</v>
      </c>
      <c r="E941" s="30" t="s">
        <v>674</v>
      </c>
      <c r="F941" s="30" t="s">
        <v>709</v>
      </c>
      <c r="G941" s="30" t="s">
        <v>709</v>
      </c>
      <c r="H941" s="30" t="s">
        <v>709</v>
      </c>
      <c r="I941" s="30" t="s">
        <v>709</v>
      </c>
      <c r="J941" s="30" t="s">
        <v>1422</v>
      </c>
      <c r="K941" s="30" t="s">
        <v>861</v>
      </c>
      <c r="L941" s="30" t="s">
        <v>699</v>
      </c>
      <c r="M941" s="30">
        <v>0.3</v>
      </c>
      <c r="N941" s="30" t="s">
        <v>181</v>
      </c>
      <c r="O941" s="30" t="s">
        <v>746</v>
      </c>
      <c r="P941" s="30" t="s">
        <v>683</v>
      </c>
      <c r="Q941" s="30" t="s">
        <v>665</v>
      </c>
      <c r="R941" s="30" t="s">
        <v>528</v>
      </c>
      <c r="S941" s="32" t="s">
        <v>673</v>
      </c>
    </row>
    <row r="942" spans="1:19" x14ac:dyDescent="0.3">
      <c r="A942" s="31" t="s">
        <v>1675</v>
      </c>
      <c r="B942" s="32" t="s">
        <v>528</v>
      </c>
      <c r="C942" s="32" t="s">
        <v>1676</v>
      </c>
      <c r="D942" s="32" t="s">
        <v>673</v>
      </c>
      <c r="E942" s="32" t="s">
        <v>674</v>
      </c>
      <c r="F942" s="32" t="s">
        <v>675</v>
      </c>
      <c r="G942" s="32" t="s">
        <v>744</v>
      </c>
      <c r="H942" s="32" t="s">
        <v>702</v>
      </c>
      <c r="I942" s="32" t="s">
        <v>678</v>
      </c>
      <c r="J942" s="32" t="s">
        <v>1422</v>
      </c>
      <c r="K942" s="32" t="s">
        <v>861</v>
      </c>
      <c r="L942" s="32" t="s">
        <v>766</v>
      </c>
      <c r="M942" s="32">
        <v>0.5</v>
      </c>
      <c r="N942" s="32" t="s">
        <v>151</v>
      </c>
      <c r="O942" s="32" t="s">
        <v>711</v>
      </c>
      <c r="P942" s="32" t="s">
        <v>683</v>
      </c>
      <c r="Q942" s="32" t="s">
        <v>665</v>
      </c>
      <c r="R942" s="32" t="s">
        <v>528</v>
      </c>
      <c r="S942" s="32" t="s">
        <v>673</v>
      </c>
    </row>
    <row r="943" spans="1:19" x14ac:dyDescent="0.3">
      <c r="A943" s="29" t="s">
        <v>2344</v>
      </c>
      <c r="B943" s="30" t="s">
        <v>528</v>
      </c>
      <c r="C943" s="30" t="s">
        <v>1674</v>
      </c>
      <c r="D943" s="30" t="s">
        <v>673</v>
      </c>
      <c r="E943" s="30" t="s">
        <v>674</v>
      </c>
      <c r="F943" s="30" t="s">
        <v>675</v>
      </c>
      <c r="G943" s="30" t="s">
        <v>744</v>
      </c>
      <c r="H943" s="30" t="s">
        <v>702</v>
      </c>
      <c r="I943" s="30" t="s">
        <v>678</v>
      </c>
      <c r="J943" s="30" t="s">
        <v>1422</v>
      </c>
      <c r="K943" s="30" t="s">
        <v>861</v>
      </c>
      <c r="L943" s="30" t="s">
        <v>691</v>
      </c>
      <c r="M943" s="30">
        <v>0.5</v>
      </c>
      <c r="N943" s="30" t="s">
        <v>151</v>
      </c>
      <c r="O943" s="30" t="s">
        <v>711</v>
      </c>
      <c r="P943" s="30" t="s">
        <v>683</v>
      </c>
      <c r="Q943" s="30" t="s">
        <v>665</v>
      </c>
      <c r="R943" s="30" t="s">
        <v>528</v>
      </c>
      <c r="S943" s="32" t="s">
        <v>673</v>
      </c>
    </row>
    <row r="944" spans="1:19" x14ac:dyDescent="0.3">
      <c r="A944" s="31" t="s">
        <v>1669</v>
      </c>
      <c r="B944" s="32" t="s">
        <v>1529</v>
      </c>
      <c r="C944" s="32" t="s">
        <v>1670</v>
      </c>
      <c r="D944" s="32" t="s">
        <v>673</v>
      </c>
      <c r="E944" s="32" t="s">
        <v>674</v>
      </c>
      <c r="F944" s="32" t="s">
        <v>675</v>
      </c>
      <c r="G944" s="32" t="s">
        <v>724</v>
      </c>
      <c r="H944" s="32" t="s">
        <v>935</v>
      </c>
      <c r="I944" s="32" t="s">
        <v>678</v>
      </c>
      <c r="J944" s="32" t="s">
        <v>1422</v>
      </c>
      <c r="K944" s="32" t="s">
        <v>861</v>
      </c>
      <c r="L944" s="32" t="s">
        <v>739</v>
      </c>
      <c r="M944" s="32">
        <v>0.5</v>
      </c>
      <c r="N944" s="32" t="s">
        <v>267</v>
      </c>
      <c r="O944" s="32" t="s">
        <v>746</v>
      </c>
      <c r="P944" s="32" t="s">
        <v>683</v>
      </c>
      <c r="Q944" s="32" t="s">
        <v>665</v>
      </c>
      <c r="R944" s="32" t="s">
        <v>528</v>
      </c>
      <c r="S944" s="32" t="s">
        <v>673</v>
      </c>
    </row>
    <row r="945" spans="1:19" x14ac:dyDescent="0.3">
      <c r="A945" s="29" t="s">
        <v>1460</v>
      </c>
      <c r="B945" s="30" t="s">
        <v>528</v>
      </c>
      <c r="C945" s="30" t="s">
        <v>1461</v>
      </c>
      <c r="D945" s="30" t="s">
        <v>673</v>
      </c>
      <c r="E945" s="30" t="s">
        <v>674</v>
      </c>
      <c r="F945" s="30" t="s">
        <v>716</v>
      </c>
      <c r="G945" s="30" t="s">
        <v>744</v>
      </c>
      <c r="H945" s="30" t="s">
        <v>677</v>
      </c>
      <c r="I945" s="30" t="s">
        <v>678</v>
      </c>
      <c r="J945" s="30" t="s">
        <v>1422</v>
      </c>
      <c r="K945" s="30" t="s">
        <v>861</v>
      </c>
      <c r="L945" s="30" t="s">
        <v>739</v>
      </c>
      <c r="M945" s="30">
        <v>0.5</v>
      </c>
      <c r="N945" s="30" t="s">
        <v>267</v>
      </c>
      <c r="O945" s="30" t="s">
        <v>746</v>
      </c>
      <c r="P945" s="30" t="s">
        <v>683</v>
      </c>
      <c r="Q945" s="30" t="s">
        <v>665</v>
      </c>
      <c r="R945" s="30" t="s">
        <v>528</v>
      </c>
      <c r="S945" s="32" t="s">
        <v>673</v>
      </c>
    </row>
    <row r="946" spans="1:19" x14ac:dyDescent="0.3">
      <c r="A946" s="31" t="s">
        <v>1669</v>
      </c>
      <c r="B946" s="32" t="s">
        <v>1529</v>
      </c>
      <c r="C946" s="32" t="s">
        <v>1670</v>
      </c>
      <c r="D946" s="32" t="s">
        <v>673</v>
      </c>
      <c r="E946" s="32" t="s">
        <v>674</v>
      </c>
      <c r="F946" s="32" t="s">
        <v>675</v>
      </c>
      <c r="G946" s="32" t="s">
        <v>724</v>
      </c>
      <c r="H946" s="32" t="s">
        <v>935</v>
      </c>
      <c r="I946" s="32" t="s">
        <v>678</v>
      </c>
      <c r="J946" s="32" t="s">
        <v>1422</v>
      </c>
      <c r="K946" s="32" t="s">
        <v>861</v>
      </c>
      <c r="L946" s="32" t="s">
        <v>739</v>
      </c>
      <c r="M946" s="32">
        <v>0.5</v>
      </c>
      <c r="N946" s="32" t="s">
        <v>264</v>
      </c>
      <c r="O946" s="32" t="s">
        <v>746</v>
      </c>
      <c r="P946" s="32" t="s">
        <v>683</v>
      </c>
      <c r="Q946" s="32" t="s">
        <v>665</v>
      </c>
      <c r="R946" s="32" t="s">
        <v>528</v>
      </c>
      <c r="S946" s="32" t="s">
        <v>673</v>
      </c>
    </row>
    <row r="947" spans="1:19" x14ac:dyDescent="0.3">
      <c r="A947" s="29" t="s">
        <v>1452</v>
      </c>
      <c r="B947" s="30" t="s">
        <v>528</v>
      </c>
      <c r="C947" s="30" t="s">
        <v>1453</v>
      </c>
      <c r="D947" s="30" t="s">
        <v>673</v>
      </c>
      <c r="E947" s="30" t="s">
        <v>674</v>
      </c>
      <c r="F947" s="30" t="s">
        <v>675</v>
      </c>
      <c r="G947" s="30" t="s">
        <v>676</v>
      </c>
      <c r="H947" s="30" t="s">
        <v>702</v>
      </c>
      <c r="I947" s="30" t="s">
        <v>678</v>
      </c>
      <c r="J947" s="30" t="s">
        <v>1422</v>
      </c>
      <c r="K947" s="30" t="s">
        <v>861</v>
      </c>
      <c r="L947" s="30" t="s">
        <v>739</v>
      </c>
      <c r="M947" s="30">
        <v>0.4</v>
      </c>
      <c r="N947" s="30" t="s">
        <v>181</v>
      </c>
      <c r="O947" s="30" t="s">
        <v>746</v>
      </c>
      <c r="P947" s="30" t="s">
        <v>683</v>
      </c>
      <c r="Q947" s="30" t="s">
        <v>665</v>
      </c>
      <c r="R947" s="30" t="s">
        <v>528</v>
      </c>
      <c r="S947" s="32" t="s">
        <v>673</v>
      </c>
    </row>
    <row r="948" spans="1:19" x14ac:dyDescent="0.3">
      <c r="A948" s="31" t="s">
        <v>1671</v>
      </c>
      <c r="B948" s="32" t="s">
        <v>707</v>
      </c>
      <c r="C948" s="32" t="s">
        <v>708</v>
      </c>
      <c r="D948" s="32" t="s">
        <v>673</v>
      </c>
      <c r="E948" s="32" t="s">
        <v>674</v>
      </c>
      <c r="F948" s="32" t="s">
        <v>709</v>
      </c>
      <c r="G948" s="32" t="s">
        <v>709</v>
      </c>
      <c r="H948" s="32" t="s">
        <v>709</v>
      </c>
      <c r="I948" s="32" t="s">
        <v>709</v>
      </c>
      <c r="J948" s="32" t="s">
        <v>689</v>
      </c>
      <c r="K948" s="32" t="s">
        <v>690</v>
      </c>
      <c r="L948" s="32" t="s">
        <v>699</v>
      </c>
      <c r="M948" s="32">
        <v>0.3</v>
      </c>
      <c r="N948" s="32" t="s">
        <v>181</v>
      </c>
      <c r="O948" s="32" t="s">
        <v>746</v>
      </c>
      <c r="P948" s="32" t="s">
        <v>683</v>
      </c>
      <c r="Q948" s="32" t="s">
        <v>665</v>
      </c>
      <c r="R948" s="32" t="s">
        <v>528</v>
      </c>
      <c r="S948" s="32" t="s">
        <v>673</v>
      </c>
    </row>
    <row r="949" spans="1:19" x14ac:dyDescent="0.3">
      <c r="A949" s="29" t="s">
        <v>1481</v>
      </c>
      <c r="B949" s="30" t="s">
        <v>528</v>
      </c>
      <c r="C949" s="30" t="s">
        <v>1482</v>
      </c>
      <c r="D949" s="30" t="s">
        <v>673</v>
      </c>
      <c r="E949" s="30" t="s">
        <v>674</v>
      </c>
      <c r="F949" s="30" t="s">
        <v>675</v>
      </c>
      <c r="G949" s="30" t="s">
        <v>724</v>
      </c>
      <c r="H949" s="30" t="s">
        <v>677</v>
      </c>
      <c r="I949" s="30" t="s">
        <v>678</v>
      </c>
      <c r="J949" s="30" t="s">
        <v>689</v>
      </c>
      <c r="K949" s="30" t="s">
        <v>690</v>
      </c>
      <c r="L949" s="30" t="s">
        <v>699</v>
      </c>
      <c r="M949" s="30">
        <v>0.33</v>
      </c>
      <c r="N949" s="30" t="s">
        <v>75</v>
      </c>
      <c r="O949" s="30" t="s">
        <v>711</v>
      </c>
      <c r="P949" s="30" t="s">
        <v>683</v>
      </c>
      <c r="Q949" s="30" t="s">
        <v>665</v>
      </c>
      <c r="R949" s="30" t="s">
        <v>528</v>
      </c>
      <c r="S949" s="32" t="s">
        <v>673</v>
      </c>
    </row>
    <row r="950" spans="1:19" x14ac:dyDescent="0.3">
      <c r="A950" s="31" t="s">
        <v>1477</v>
      </c>
      <c r="B950" s="32" t="s">
        <v>528</v>
      </c>
      <c r="C950" s="32" t="s">
        <v>1478</v>
      </c>
      <c r="D950" s="32" t="s">
        <v>673</v>
      </c>
      <c r="E950" s="32" t="s">
        <v>674</v>
      </c>
      <c r="F950" s="32" t="s">
        <v>675</v>
      </c>
      <c r="G950" s="32" t="s">
        <v>724</v>
      </c>
      <c r="H950" s="32" t="s">
        <v>677</v>
      </c>
      <c r="I950" s="32" t="s">
        <v>678</v>
      </c>
      <c r="J950" s="32" t="s">
        <v>689</v>
      </c>
      <c r="K950" s="32" t="s">
        <v>690</v>
      </c>
      <c r="L950" s="32" t="s">
        <v>699</v>
      </c>
      <c r="M950" s="32">
        <v>0.33</v>
      </c>
      <c r="N950" s="32" t="s">
        <v>75</v>
      </c>
      <c r="O950" s="32" t="s">
        <v>711</v>
      </c>
      <c r="P950" s="32" t="s">
        <v>683</v>
      </c>
      <c r="Q950" s="32" t="s">
        <v>665</v>
      </c>
      <c r="R950" s="32" t="s">
        <v>528</v>
      </c>
      <c r="S950" s="32" t="s">
        <v>673</v>
      </c>
    </row>
    <row r="951" spans="1:19" x14ac:dyDescent="0.3">
      <c r="A951" s="29" t="s">
        <v>818</v>
      </c>
      <c r="B951" s="30" t="s">
        <v>470</v>
      </c>
      <c r="C951" s="30" t="s">
        <v>819</v>
      </c>
      <c r="D951" s="30" t="s">
        <v>684</v>
      </c>
      <c r="E951" s="30" t="s">
        <v>674</v>
      </c>
      <c r="F951" s="30" t="s">
        <v>716</v>
      </c>
      <c r="G951" s="30" t="s">
        <v>724</v>
      </c>
      <c r="H951" s="30" t="s">
        <v>677</v>
      </c>
      <c r="I951" s="30" t="s">
        <v>678</v>
      </c>
      <c r="J951" s="30" t="s">
        <v>745</v>
      </c>
      <c r="K951" s="30" t="s">
        <v>738</v>
      </c>
      <c r="L951" s="30" t="s">
        <v>699</v>
      </c>
      <c r="M951" s="30">
        <v>0.3</v>
      </c>
      <c r="N951" s="30" t="s">
        <v>71</v>
      </c>
      <c r="O951" s="30" t="s">
        <v>1915</v>
      </c>
      <c r="P951" s="30" t="s">
        <v>683</v>
      </c>
      <c r="Q951" s="30" t="s">
        <v>767</v>
      </c>
      <c r="R951" s="30" t="s">
        <v>471</v>
      </c>
      <c r="S951" s="30" t="s">
        <v>684</v>
      </c>
    </row>
    <row r="952" spans="1:19" x14ac:dyDescent="0.3">
      <c r="A952" s="31" t="s">
        <v>1245</v>
      </c>
      <c r="B952" s="32" t="s">
        <v>470</v>
      </c>
      <c r="C952" s="32" t="s">
        <v>1246</v>
      </c>
      <c r="D952" s="32" t="s">
        <v>684</v>
      </c>
      <c r="E952" s="32" t="s">
        <v>674</v>
      </c>
      <c r="F952" s="32" t="s">
        <v>716</v>
      </c>
      <c r="G952" s="32" t="s">
        <v>744</v>
      </c>
      <c r="H952" s="32" t="s">
        <v>702</v>
      </c>
      <c r="I952" s="32" t="s">
        <v>678</v>
      </c>
      <c r="J952" s="32" t="s">
        <v>745</v>
      </c>
      <c r="K952" s="32" t="s">
        <v>738</v>
      </c>
      <c r="L952" s="32" t="s">
        <v>699</v>
      </c>
      <c r="M952" s="32">
        <v>0.5</v>
      </c>
      <c r="N952" s="32" t="s">
        <v>71</v>
      </c>
      <c r="O952" s="32" t="s">
        <v>1915</v>
      </c>
      <c r="P952" s="32" t="s">
        <v>683</v>
      </c>
      <c r="Q952" s="32" t="s">
        <v>767</v>
      </c>
      <c r="R952" s="32" t="s">
        <v>471</v>
      </c>
      <c r="S952" s="30" t="s">
        <v>684</v>
      </c>
    </row>
    <row r="953" spans="1:19" x14ac:dyDescent="0.3">
      <c r="A953" s="29" t="s">
        <v>1058</v>
      </c>
      <c r="B953" s="30" t="s">
        <v>470</v>
      </c>
      <c r="C953" s="30" t="s">
        <v>1059</v>
      </c>
      <c r="D953" s="30" t="s">
        <v>684</v>
      </c>
      <c r="E953" s="30" t="s">
        <v>674</v>
      </c>
      <c r="F953" s="30" t="s">
        <v>675</v>
      </c>
      <c r="G953" s="30" t="s">
        <v>1060</v>
      </c>
      <c r="H953" s="30" t="s">
        <v>702</v>
      </c>
      <c r="I953" s="30" t="s">
        <v>736</v>
      </c>
      <c r="J953" s="30" t="s">
        <v>745</v>
      </c>
      <c r="K953" s="30" t="s">
        <v>738</v>
      </c>
      <c r="L953" s="30" t="s">
        <v>699</v>
      </c>
      <c r="M953" s="30">
        <v>0.2</v>
      </c>
      <c r="N953" s="30" t="s">
        <v>71</v>
      </c>
      <c r="O953" s="30" t="s">
        <v>1915</v>
      </c>
      <c r="P953" s="30" t="s">
        <v>683</v>
      </c>
      <c r="Q953" s="30" t="s">
        <v>767</v>
      </c>
      <c r="R953" s="30" t="s">
        <v>471</v>
      </c>
      <c r="S953" s="30" t="s">
        <v>684</v>
      </c>
    </row>
    <row r="954" spans="1:19" x14ac:dyDescent="0.3">
      <c r="A954" s="31" t="s">
        <v>978</v>
      </c>
      <c r="B954" s="32" t="s">
        <v>470</v>
      </c>
      <c r="C954" s="32" t="s">
        <v>979</v>
      </c>
      <c r="D954" s="32" t="s">
        <v>684</v>
      </c>
      <c r="E954" s="32" t="s">
        <v>674</v>
      </c>
      <c r="F954" s="32" t="s">
        <v>675</v>
      </c>
      <c r="G954" s="32" t="s">
        <v>676</v>
      </c>
      <c r="H954" s="32" t="s">
        <v>677</v>
      </c>
      <c r="I954" s="32" t="s">
        <v>736</v>
      </c>
      <c r="J954" s="32" t="s">
        <v>745</v>
      </c>
      <c r="K954" s="32" t="s">
        <v>738</v>
      </c>
      <c r="L954" s="32" t="s">
        <v>699</v>
      </c>
      <c r="M954" s="32">
        <v>0.4</v>
      </c>
      <c r="N954" s="32" t="s">
        <v>129</v>
      </c>
      <c r="O954" s="32" t="s">
        <v>2171</v>
      </c>
      <c r="P954" s="32" t="s">
        <v>683</v>
      </c>
      <c r="Q954" s="32" t="s">
        <v>767</v>
      </c>
      <c r="R954" s="32" t="s">
        <v>471</v>
      </c>
      <c r="S954" s="30" t="s">
        <v>684</v>
      </c>
    </row>
    <row r="955" spans="1:19" x14ac:dyDescent="0.3">
      <c r="A955" s="29" t="s">
        <v>1031</v>
      </c>
      <c r="B955" s="30" t="s">
        <v>470</v>
      </c>
      <c r="C955" s="30" t="s">
        <v>1032</v>
      </c>
      <c r="D955" s="30" t="s">
        <v>684</v>
      </c>
      <c r="E955" s="30" t="s">
        <v>674</v>
      </c>
      <c r="F955" s="30" t="s">
        <v>716</v>
      </c>
      <c r="G955" s="30" t="s">
        <v>744</v>
      </c>
      <c r="H955" s="30" t="s">
        <v>702</v>
      </c>
      <c r="I955" s="30" t="s">
        <v>736</v>
      </c>
      <c r="J955" s="30" t="s">
        <v>745</v>
      </c>
      <c r="K955" s="30" t="s">
        <v>738</v>
      </c>
      <c r="L955" s="30" t="s">
        <v>699</v>
      </c>
      <c r="M955" s="30">
        <v>0.6</v>
      </c>
      <c r="N955" s="30" t="s">
        <v>129</v>
      </c>
      <c r="O955" s="30" t="s">
        <v>2171</v>
      </c>
      <c r="P955" s="30" t="s">
        <v>683</v>
      </c>
      <c r="Q955" s="30" t="s">
        <v>767</v>
      </c>
      <c r="R955" s="30" t="s">
        <v>471</v>
      </c>
      <c r="S955" s="30" t="s">
        <v>684</v>
      </c>
    </row>
    <row r="956" spans="1:19" x14ac:dyDescent="0.3">
      <c r="A956" s="31" t="s">
        <v>1508</v>
      </c>
      <c r="B956" s="32" t="s">
        <v>1403</v>
      </c>
      <c r="C956" s="32" t="s">
        <v>773</v>
      </c>
      <c r="D956" s="32" t="s">
        <v>684</v>
      </c>
      <c r="E956" s="32" t="s">
        <v>674</v>
      </c>
      <c r="F956" s="32" t="s">
        <v>773</v>
      </c>
      <c r="G956" s="32" t="s">
        <v>773</v>
      </c>
      <c r="H956" s="32" t="s">
        <v>773</v>
      </c>
      <c r="I956" s="32" t="s">
        <v>773</v>
      </c>
      <c r="J956" s="32" t="s">
        <v>745</v>
      </c>
      <c r="K956" s="32" t="s">
        <v>738</v>
      </c>
      <c r="L956" s="32" t="s">
        <v>699</v>
      </c>
      <c r="M956" s="32">
        <v>0.1</v>
      </c>
      <c r="N956" s="32" t="s">
        <v>1507</v>
      </c>
      <c r="O956" s="32" t="s">
        <v>746</v>
      </c>
      <c r="P956" s="32" t="s">
        <v>683</v>
      </c>
      <c r="Q956" s="32" t="s">
        <v>665</v>
      </c>
      <c r="R956" s="32" t="s">
        <v>471</v>
      </c>
      <c r="S956" s="30" t="s">
        <v>684</v>
      </c>
    </row>
    <row r="957" spans="1:19" x14ac:dyDescent="0.3">
      <c r="A957" s="29" t="s">
        <v>983</v>
      </c>
      <c r="B957" s="30" t="s">
        <v>981</v>
      </c>
      <c r="C957" s="30" t="s">
        <v>984</v>
      </c>
      <c r="D957" s="30" t="s">
        <v>684</v>
      </c>
      <c r="E957" s="30" t="s">
        <v>674</v>
      </c>
      <c r="F957" s="30" t="s">
        <v>716</v>
      </c>
      <c r="G957" s="30" t="s">
        <v>744</v>
      </c>
      <c r="H957" s="30" t="s">
        <v>702</v>
      </c>
      <c r="I957" s="30" t="s">
        <v>736</v>
      </c>
      <c r="J957" s="30" t="s">
        <v>745</v>
      </c>
      <c r="K957" s="30" t="s">
        <v>738</v>
      </c>
      <c r="L957" s="30" t="s">
        <v>699</v>
      </c>
      <c r="M957" s="30">
        <v>0.8</v>
      </c>
      <c r="N957" s="30" t="s">
        <v>1507</v>
      </c>
      <c r="O957" s="30" t="s">
        <v>746</v>
      </c>
      <c r="P957" s="30" t="s">
        <v>683</v>
      </c>
      <c r="Q957" s="30" t="s">
        <v>665</v>
      </c>
      <c r="R957" s="30" t="s">
        <v>471</v>
      </c>
      <c r="S957" s="30" t="s">
        <v>684</v>
      </c>
    </row>
    <row r="958" spans="1:19" x14ac:dyDescent="0.3">
      <c r="A958" s="31" t="s">
        <v>1402</v>
      </c>
      <c r="B958" s="32" t="s">
        <v>1403</v>
      </c>
      <c r="C958" s="32" t="s">
        <v>773</v>
      </c>
      <c r="D958" s="32" t="s">
        <v>684</v>
      </c>
      <c r="E958" s="32" t="s">
        <v>674</v>
      </c>
      <c r="F958" s="32" t="s">
        <v>773</v>
      </c>
      <c r="G958" s="32" t="s">
        <v>773</v>
      </c>
      <c r="H958" s="32" t="s">
        <v>773</v>
      </c>
      <c r="I958" s="32" t="s">
        <v>773</v>
      </c>
      <c r="J958" s="32" t="s">
        <v>745</v>
      </c>
      <c r="K958" s="32" t="s">
        <v>738</v>
      </c>
      <c r="L958" s="32" t="s">
        <v>699</v>
      </c>
      <c r="M958" s="32">
        <v>0.1</v>
      </c>
      <c r="N958" s="32" t="s">
        <v>1507</v>
      </c>
      <c r="O958" s="32" t="s">
        <v>746</v>
      </c>
      <c r="P958" s="32" t="s">
        <v>683</v>
      </c>
      <c r="Q958" s="32" t="s">
        <v>665</v>
      </c>
      <c r="R958" s="32" t="s">
        <v>471</v>
      </c>
      <c r="S958" s="30" t="s">
        <v>684</v>
      </c>
    </row>
    <row r="959" spans="1:19" x14ac:dyDescent="0.3">
      <c r="A959" s="29" t="s">
        <v>2345</v>
      </c>
      <c r="B959" s="30" t="s">
        <v>1510</v>
      </c>
      <c r="C959" s="30" t="s">
        <v>2346</v>
      </c>
      <c r="D959" s="30" t="s">
        <v>684</v>
      </c>
      <c r="E959" s="30" t="s">
        <v>674</v>
      </c>
      <c r="F959" s="30" t="s">
        <v>716</v>
      </c>
      <c r="G959" s="30" t="s">
        <v>744</v>
      </c>
      <c r="H959" s="30" t="s">
        <v>702</v>
      </c>
      <c r="I959" s="30" t="s">
        <v>736</v>
      </c>
      <c r="J959" s="30" t="s">
        <v>745</v>
      </c>
      <c r="K959" s="30" t="s">
        <v>738</v>
      </c>
      <c r="L959" s="30" t="s">
        <v>699</v>
      </c>
      <c r="M959" s="30">
        <v>0.8</v>
      </c>
      <c r="N959" s="30" t="s">
        <v>1511</v>
      </c>
      <c r="O959" s="30" t="s">
        <v>746</v>
      </c>
      <c r="P959" s="30" t="s">
        <v>683</v>
      </c>
      <c r="Q959" s="30" t="s">
        <v>665</v>
      </c>
      <c r="R959" s="30" t="s">
        <v>471</v>
      </c>
      <c r="S959" s="30" t="s">
        <v>684</v>
      </c>
    </row>
    <row r="960" spans="1:19" x14ac:dyDescent="0.3">
      <c r="A960" s="31" t="s">
        <v>1402</v>
      </c>
      <c r="B960" s="32" t="s">
        <v>1403</v>
      </c>
      <c r="C960" s="32" t="s">
        <v>773</v>
      </c>
      <c r="D960" s="32" t="s">
        <v>684</v>
      </c>
      <c r="E960" s="32" t="s">
        <v>674</v>
      </c>
      <c r="F960" s="32" t="s">
        <v>773</v>
      </c>
      <c r="G960" s="32" t="s">
        <v>773</v>
      </c>
      <c r="H960" s="32" t="s">
        <v>773</v>
      </c>
      <c r="I960" s="32" t="s">
        <v>773</v>
      </c>
      <c r="J960" s="32" t="s">
        <v>745</v>
      </c>
      <c r="K960" s="32" t="s">
        <v>738</v>
      </c>
      <c r="L960" s="32" t="s">
        <v>699</v>
      </c>
      <c r="M960" s="32">
        <v>0.1</v>
      </c>
      <c r="N960" s="32" t="s">
        <v>1511</v>
      </c>
      <c r="O960" s="32" t="s">
        <v>746</v>
      </c>
      <c r="P960" s="32" t="s">
        <v>683</v>
      </c>
      <c r="Q960" s="32" t="s">
        <v>665</v>
      </c>
      <c r="R960" s="32" t="s">
        <v>471</v>
      </c>
      <c r="S960" s="30" t="s">
        <v>684</v>
      </c>
    </row>
    <row r="961" spans="1:19" x14ac:dyDescent="0.3">
      <c r="A961" s="29" t="s">
        <v>1508</v>
      </c>
      <c r="B961" s="30" t="s">
        <v>1403</v>
      </c>
      <c r="C961" s="30" t="s">
        <v>773</v>
      </c>
      <c r="D961" s="30" t="s">
        <v>684</v>
      </c>
      <c r="E961" s="30" t="s">
        <v>674</v>
      </c>
      <c r="F961" s="30" t="s">
        <v>773</v>
      </c>
      <c r="G961" s="30" t="s">
        <v>773</v>
      </c>
      <c r="H961" s="30" t="s">
        <v>773</v>
      </c>
      <c r="I961" s="30" t="s">
        <v>773</v>
      </c>
      <c r="J961" s="30" t="s">
        <v>745</v>
      </c>
      <c r="K961" s="30" t="s">
        <v>738</v>
      </c>
      <c r="L961" s="30" t="s">
        <v>699</v>
      </c>
      <c r="M961" s="30">
        <v>0.1</v>
      </c>
      <c r="N961" s="30" t="s">
        <v>1511</v>
      </c>
      <c r="O961" s="30" t="s">
        <v>746</v>
      </c>
      <c r="P961" s="30" t="s">
        <v>683</v>
      </c>
      <c r="Q961" s="30" t="s">
        <v>665</v>
      </c>
      <c r="R961" s="30" t="s">
        <v>471</v>
      </c>
      <c r="S961" s="30" t="s">
        <v>684</v>
      </c>
    </row>
    <row r="962" spans="1:19" x14ac:dyDescent="0.3">
      <c r="A962" s="31" t="s">
        <v>980</v>
      </c>
      <c r="B962" s="32" t="s">
        <v>981</v>
      </c>
      <c r="C962" s="32" t="s">
        <v>982</v>
      </c>
      <c r="D962" s="32" t="s">
        <v>684</v>
      </c>
      <c r="E962" s="32" t="s">
        <v>674</v>
      </c>
      <c r="F962" s="32" t="s">
        <v>716</v>
      </c>
      <c r="G962" s="32" t="s">
        <v>744</v>
      </c>
      <c r="H962" s="32" t="s">
        <v>702</v>
      </c>
      <c r="I962" s="32" t="s">
        <v>736</v>
      </c>
      <c r="J962" s="32" t="s">
        <v>745</v>
      </c>
      <c r="K962" s="32" t="s">
        <v>738</v>
      </c>
      <c r="L962" s="32" t="s">
        <v>699</v>
      </c>
      <c r="M962" s="32">
        <v>0.6</v>
      </c>
      <c r="N962" s="32" t="s">
        <v>1509</v>
      </c>
      <c r="O962" s="32" t="s">
        <v>746</v>
      </c>
      <c r="P962" s="32" t="s">
        <v>683</v>
      </c>
      <c r="Q962" s="32" t="s">
        <v>665</v>
      </c>
      <c r="R962" s="32" t="s">
        <v>258</v>
      </c>
      <c r="S962" s="32" t="s">
        <v>673</v>
      </c>
    </row>
    <row r="963" spans="1:19" x14ac:dyDescent="0.3">
      <c r="A963" s="29" t="s">
        <v>1402</v>
      </c>
      <c r="B963" s="30" t="s">
        <v>1403</v>
      </c>
      <c r="C963" s="30" t="s">
        <v>773</v>
      </c>
      <c r="D963" s="30" t="s">
        <v>684</v>
      </c>
      <c r="E963" s="30" t="s">
        <v>674</v>
      </c>
      <c r="F963" s="30" t="s">
        <v>773</v>
      </c>
      <c r="G963" s="30" t="s">
        <v>773</v>
      </c>
      <c r="H963" s="30" t="s">
        <v>773</v>
      </c>
      <c r="I963" s="30" t="s">
        <v>773</v>
      </c>
      <c r="J963" s="30" t="s">
        <v>745</v>
      </c>
      <c r="K963" s="30" t="s">
        <v>738</v>
      </c>
      <c r="L963" s="30" t="s">
        <v>699</v>
      </c>
      <c r="M963" s="30">
        <v>0.1</v>
      </c>
      <c r="N963" s="30" t="s">
        <v>1509</v>
      </c>
      <c r="O963" s="30" t="s">
        <v>746</v>
      </c>
      <c r="P963" s="30" t="s">
        <v>683</v>
      </c>
      <c r="Q963" s="30" t="s">
        <v>665</v>
      </c>
      <c r="R963" s="30" t="s">
        <v>258</v>
      </c>
      <c r="S963" s="30" t="s">
        <v>684</v>
      </c>
    </row>
    <row r="964" spans="1:19" x14ac:dyDescent="0.3">
      <c r="A964" s="31" t="s">
        <v>2347</v>
      </c>
      <c r="B964" s="32" t="s">
        <v>1510</v>
      </c>
      <c r="C964" s="32" t="s">
        <v>2348</v>
      </c>
      <c r="D964" s="32" t="s">
        <v>684</v>
      </c>
      <c r="E964" s="32" t="s">
        <v>674</v>
      </c>
      <c r="F964" s="32" t="s">
        <v>734</v>
      </c>
      <c r="G964" s="32" t="s">
        <v>735</v>
      </c>
      <c r="H964" s="32" t="s">
        <v>735</v>
      </c>
      <c r="I964" s="32" t="s">
        <v>736</v>
      </c>
      <c r="J964" s="32" t="s">
        <v>745</v>
      </c>
      <c r="K964" s="32" t="s">
        <v>738</v>
      </c>
      <c r="L964" s="32" t="s">
        <v>699</v>
      </c>
      <c r="M964" s="32">
        <v>0.3</v>
      </c>
      <c r="N964" s="32" t="s">
        <v>1509</v>
      </c>
      <c r="O964" s="32" t="s">
        <v>746</v>
      </c>
      <c r="P964" s="32" t="s">
        <v>683</v>
      </c>
      <c r="Q964" s="32" t="s">
        <v>665</v>
      </c>
      <c r="R964" s="32" t="s">
        <v>258</v>
      </c>
      <c r="S964" s="32" t="s">
        <v>673</v>
      </c>
    </row>
    <row r="965" spans="1:19" x14ac:dyDescent="0.3">
      <c r="A965" s="29" t="s">
        <v>2323</v>
      </c>
      <c r="B965" s="30" t="s">
        <v>470</v>
      </c>
      <c r="C965" s="30" t="s">
        <v>2324</v>
      </c>
      <c r="D965" s="30" t="s">
        <v>684</v>
      </c>
      <c r="E965" s="30" t="s">
        <v>674</v>
      </c>
      <c r="F965" s="30" t="s">
        <v>716</v>
      </c>
      <c r="G965" s="30" t="s">
        <v>724</v>
      </c>
      <c r="H965" s="30" t="s">
        <v>717</v>
      </c>
      <c r="I965" s="30" t="s">
        <v>736</v>
      </c>
      <c r="J965" s="30" t="s">
        <v>745</v>
      </c>
      <c r="K965" s="30" t="s">
        <v>738</v>
      </c>
      <c r="L965" s="30" t="s">
        <v>699</v>
      </c>
      <c r="M965" s="30">
        <v>0.7</v>
      </c>
      <c r="N965" s="30" t="s">
        <v>1514</v>
      </c>
      <c r="O965" s="30" t="s">
        <v>1915</v>
      </c>
      <c r="P965" s="30" t="s">
        <v>683</v>
      </c>
      <c r="Q965" s="30" t="s">
        <v>767</v>
      </c>
      <c r="R965" s="30" t="s">
        <v>471</v>
      </c>
      <c r="S965" s="30" t="s">
        <v>684</v>
      </c>
    </row>
    <row r="966" spans="1:19" x14ac:dyDescent="0.3">
      <c r="A966" s="31" t="s">
        <v>1397</v>
      </c>
      <c r="B966" s="32" t="s">
        <v>981</v>
      </c>
      <c r="C966" s="32" t="s">
        <v>1398</v>
      </c>
      <c r="D966" s="32" t="s">
        <v>684</v>
      </c>
      <c r="E966" s="32" t="s">
        <v>674</v>
      </c>
      <c r="F966" s="32" t="s">
        <v>716</v>
      </c>
      <c r="G966" s="32" t="s">
        <v>744</v>
      </c>
      <c r="H966" s="32" t="s">
        <v>702</v>
      </c>
      <c r="I966" s="32" t="s">
        <v>736</v>
      </c>
      <c r="J966" s="32" t="s">
        <v>745</v>
      </c>
      <c r="K966" s="32" t="s">
        <v>738</v>
      </c>
      <c r="L966" s="32" t="s">
        <v>739</v>
      </c>
      <c r="M966" s="32">
        <v>0.3</v>
      </c>
      <c r="N966" s="32" t="s">
        <v>1514</v>
      </c>
      <c r="O966" s="32" t="s">
        <v>1915</v>
      </c>
      <c r="P966" s="32" t="s">
        <v>683</v>
      </c>
      <c r="Q966" s="32" t="s">
        <v>767</v>
      </c>
      <c r="R966" s="32" t="s">
        <v>471</v>
      </c>
      <c r="S966" s="30" t="s">
        <v>684</v>
      </c>
    </row>
    <row r="967" spans="1:19" x14ac:dyDescent="0.3">
      <c r="A967" s="29" t="s">
        <v>1512</v>
      </c>
      <c r="B967" s="30" t="s">
        <v>470</v>
      </c>
      <c r="C967" s="30" t="s">
        <v>1513</v>
      </c>
      <c r="D967" s="30" t="s">
        <v>684</v>
      </c>
      <c r="E967" s="30" t="s">
        <v>674</v>
      </c>
      <c r="F967" s="30" t="s">
        <v>716</v>
      </c>
      <c r="G967" s="30" t="s">
        <v>744</v>
      </c>
      <c r="H967" s="30" t="s">
        <v>702</v>
      </c>
      <c r="I967" s="30" t="s">
        <v>736</v>
      </c>
      <c r="J967" s="30" t="s">
        <v>745</v>
      </c>
      <c r="K967" s="30" t="s">
        <v>738</v>
      </c>
      <c r="L967" s="30" t="s">
        <v>699</v>
      </c>
      <c r="M967" s="30">
        <v>0.1</v>
      </c>
      <c r="N967" s="30" t="s">
        <v>325</v>
      </c>
      <c r="O967" s="30" t="s">
        <v>746</v>
      </c>
      <c r="P967" s="30" t="s">
        <v>683</v>
      </c>
      <c r="Q967" s="30" t="s">
        <v>665</v>
      </c>
      <c r="R967" s="30" t="s">
        <v>471</v>
      </c>
      <c r="S967" s="30" t="s">
        <v>684</v>
      </c>
    </row>
    <row r="968" spans="1:19" x14ac:dyDescent="0.3">
      <c r="A968" s="31" t="s">
        <v>1031</v>
      </c>
      <c r="B968" s="32" t="s">
        <v>470</v>
      </c>
      <c r="C968" s="32" t="s">
        <v>1032</v>
      </c>
      <c r="D968" s="32" t="s">
        <v>684</v>
      </c>
      <c r="E968" s="32" t="s">
        <v>674</v>
      </c>
      <c r="F968" s="32" t="s">
        <v>716</v>
      </c>
      <c r="G968" s="32" t="s">
        <v>744</v>
      </c>
      <c r="H968" s="32" t="s">
        <v>702</v>
      </c>
      <c r="I968" s="32" t="s">
        <v>736</v>
      </c>
      <c r="J968" s="32" t="s">
        <v>745</v>
      </c>
      <c r="K968" s="32" t="s">
        <v>738</v>
      </c>
      <c r="L968" s="32" t="s">
        <v>699</v>
      </c>
      <c r="M968" s="32">
        <v>0.6</v>
      </c>
      <c r="N968" s="32" t="s">
        <v>325</v>
      </c>
      <c r="O968" s="32" t="s">
        <v>746</v>
      </c>
      <c r="P968" s="32" t="s">
        <v>683</v>
      </c>
      <c r="Q968" s="32" t="s">
        <v>665</v>
      </c>
      <c r="R968" s="32" t="s">
        <v>471</v>
      </c>
      <c r="S968" s="30" t="s">
        <v>684</v>
      </c>
    </row>
    <row r="969" spans="1:19" x14ac:dyDescent="0.3">
      <c r="A969" s="29" t="s">
        <v>1058</v>
      </c>
      <c r="B969" s="30" t="s">
        <v>470</v>
      </c>
      <c r="C969" s="30" t="s">
        <v>1059</v>
      </c>
      <c r="D969" s="30" t="s">
        <v>684</v>
      </c>
      <c r="E969" s="30" t="s">
        <v>674</v>
      </c>
      <c r="F969" s="30" t="s">
        <v>675</v>
      </c>
      <c r="G969" s="30" t="s">
        <v>1060</v>
      </c>
      <c r="H969" s="30" t="s">
        <v>702</v>
      </c>
      <c r="I969" s="30" t="s">
        <v>736</v>
      </c>
      <c r="J969" s="30" t="s">
        <v>745</v>
      </c>
      <c r="K969" s="30" t="s">
        <v>738</v>
      </c>
      <c r="L969" s="30" t="s">
        <v>699</v>
      </c>
      <c r="M969" s="30">
        <v>0.2</v>
      </c>
      <c r="N969" s="30" t="s">
        <v>325</v>
      </c>
      <c r="O969" s="30" t="s">
        <v>746</v>
      </c>
      <c r="P969" s="30" t="s">
        <v>683</v>
      </c>
      <c r="Q969" s="30" t="s">
        <v>665</v>
      </c>
      <c r="R969" s="30" t="s">
        <v>471</v>
      </c>
      <c r="S969" s="30" t="s">
        <v>684</v>
      </c>
    </row>
    <row r="970" spans="1:19" x14ac:dyDescent="0.3">
      <c r="A970" s="31" t="s">
        <v>1402</v>
      </c>
      <c r="B970" s="32" t="s">
        <v>1403</v>
      </c>
      <c r="C970" s="32" t="s">
        <v>773</v>
      </c>
      <c r="D970" s="32" t="s">
        <v>684</v>
      </c>
      <c r="E970" s="32" t="s">
        <v>674</v>
      </c>
      <c r="F970" s="32" t="s">
        <v>773</v>
      </c>
      <c r="G970" s="32" t="s">
        <v>773</v>
      </c>
      <c r="H970" s="32" t="s">
        <v>773</v>
      </c>
      <c r="I970" s="32" t="s">
        <v>773</v>
      </c>
      <c r="J970" s="32" t="s">
        <v>745</v>
      </c>
      <c r="K970" s="32" t="s">
        <v>738</v>
      </c>
      <c r="L970" s="32" t="s">
        <v>699</v>
      </c>
      <c r="M970" s="32">
        <v>0.1</v>
      </c>
      <c r="N970" s="32" t="s">
        <v>325</v>
      </c>
      <c r="O970" s="32" t="s">
        <v>746</v>
      </c>
      <c r="P970" s="32" t="s">
        <v>683</v>
      </c>
      <c r="Q970" s="32" t="s">
        <v>665</v>
      </c>
      <c r="R970" s="32" t="s">
        <v>471</v>
      </c>
      <c r="S970" s="30" t="s">
        <v>684</v>
      </c>
    </row>
    <row r="971" spans="1:19" x14ac:dyDescent="0.3">
      <c r="A971" s="29" t="s">
        <v>978</v>
      </c>
      <c r="B971" s="30" t="s">
        <v>470</v>
      </c>
      <c r="C971" s="30" t="s">
        <v>979</v>
      </c>
      <c r="D971" s="30" t="s">
        <v>684</v>
      </c>
      <c r="E971" s="30" t="s">
        <v>674</v>
      </c>
      <c r="F971" s="30" t="s">
        <v>675</v>
      </c>
      <c r="G971" s="30" t="s">
        <v>676</v>
      </c>
      <c r="H971" s="30" t="s">
        <v>677</v>
      </c>
      <c r="I971" s="30" t="s">
        <v>736</v>
      </c>
      <c r="J971" s="30" t="s">
        <v>745</v>
      </c>
      <c r="K971" s="30" t="s">
        <v>738</v>
      </c>
      <c r="L971" s="30" t="s">
        <v>699</v>
      </c>
      <c r="M971" s="30">
        <v>0.5</v>
      </c>
      <c r="N971" s="30" t="s">
        <v>370</v>
      </c>
      <c r="O971" s="30" t="s">
        <v>746</v>
      </c>
      <c r="P971" s="30" t="s">
        <v>683</v>
      </c>
      <c r="Q971" s="30" t="s">
        <v>665</v>
      </c>
      <c r="R971" s="30" t="s">
        <v>471</v>
      </c>
      <c r="S971" s="30" t="s">
        <v>684</v>
      </c>
    </row>
    <row r="972" spans="1:19" x14ac:dyDescent="0.3">
      <c r="A972" s="31" t="s">
        <v>2349</v>
      </c>
      <c r="B972" s="32" t="s">
        <v>1510</v>
      </c>
      <c r="C972" s="32" t="s">
        <v>2350</v>
      </c>
      <c r="D972" s="32" t="s">
        <v>684</v>
      </c>
      <c r="E972" s="32" t="s">
        <v>674</v>
      </c>
      <c r="F972" s="32" t="s">
        <v>716</v>
      </c>
      <c r="G972" s="32" t="s">
        <v>744</v>
      </c>
      <c r="H972" s="32" t="s">
        <v>702</v>
      </c>
      <c r="I972" s="32" t="s">
        <v>736</v>
      </c>
      <c r="J972" s="32" t="s">
        <v>745</v>
      </c>
      <c r="K972" s="32" t="s">
        <v>738</v>
      </c>
      <c r="L972" s="32" t="s">
        <v>699</v>
      </c>
      <c r="M972" s="32">
        <v>0.3</v>
      </c>
      <c r="N972" s="32" t="s">
        <v>370</v>
      </c>
      <c r="O972" s="32" t="s">
        <v>746</v>
      </c>
      <c r="P972" s="32" t="s">
        <v>683</v>
      </c>
      <c r="Q972" s="32" t="s">
        <v>665</v>
      </c>
      <c r="R972" s="32" t="s">
        <v>471</v>
      </c>
      <c r="S972" s="30" t="s">
        <v>684</v>
      </c>
    </row>
    <row r="973" spans="1:19" x14ac:dyDescent="0.3">
      <c r="A973" s="29" t="s">
        <v>1402</v>
      </c>
      <c r="B973" s="30" t="s">
        <v>1403</v>
      </c>
      <c r="C973" s="30" t="s">
        <v>773</v>
      </c>
      <c r="D973" s="30" t="s">
        <v>684</v>
      </c>
      <c r="E973" s="30" t="s">
        <v>674</v>
      </c>
      <c r="F973" s="30" t="s">
        <v>773</v>
      </c>
      <c r="G973" s="30" t="s">
        <v>773</v>
      </c>
      <c r="H973" s="30" t="s">
        <v>773</v>
      </c>
      <c r="I973" s="30" t="s">
        <v>773</v>
      </c>
      <c r="J973" s="30" t="s">
        <v>745</v>
      </c>
      <c r="K973" s="30" t="s">
        <v>738</v>
      </c>
      <c r="L973" s="30" t="s">
        <v>699</v>
      </c>
      <c r="M973" s="30">
        <v>0.1</v>
      </c>
      <c r="N973" s="30" t="s">
        <v>370</v>
      </c>
      <c r="O973" s="30" t="s">
        <v>746</v>
      </c>
      <c r="P973" s="30" t="s">
        <v>683</v>
      </c>
      <c r="Q973" s="30" t="s">
        <v>665</v>
      </c>
      <c r="R973" s="30" t="s">
        <v>471</v>
      </c>
      <c r="S973" s="30" t="s">
        <v>684</v>
      </c>
    </row>
    <row r="974" spans="1:19" x14ac:dyDescent="0.3">
      <c r="A974" s="31" t="s">
        <v>1515</v>
      </c>
      <c r="B974" s="32" t="s">
        <v>981</v>
      </c>
      <c r="C974" s="32" t="s">
        <v>1516</v>
      </c>
      <c r="D974" s="32" t="s">
        <v>684</v>
      </c>
      <c r="E974" s="32" t="s">
        <v>674</v>
      </c>
      <c r="F974" s="32" t="s">
        <v>716</v>
      </c>
      <c r="G974" s="32" t="s">
        <v>744</v>
      </c>
      <c r="H974" s="32" t="s">
        <v>702</v>
      </c>
      <c r="I974" s="32" t="s">
        <v>736</v>
      </c>
      <c r="J974" s="32" t="s">
        <v>745</v>
      </c>
      <c r="K974" s="32" t="s">
        <v>738</v>
      </c>
      <c r="L974" s="32" t="s">
        <v>699</v>
      </c>
      <c r="M974" s="32">
        <v>0.1</v>
      </c>
      <c r="N974" s="32" t="s">
        <v>370</v>
      </c>
      <c r="O974" s="32" t="s">
        <v>746</v>
      </c>
      <c r="P974" s="32" t="s">
        <v>683</v>
      </c>
      <c r="Q974" s="32" t="s">
        <v>665</v>
      </c>
      <c r="R974" s="32" t="s">
        <v>471</v>
      </c>
      <c r="S974" s="30" t="s">
        <v>684</v>
      </c>
    </row>
    <row r="975" spans="1:19" x14ac:dyDescent="0.3">
      <c r="A975" s="29" t="s">
        <v>1402</v>
      </c>
      <c r="B975" s="30" t="s">
        <v>1403</v>
      </c>
      <c r="C975" s="30" t="s">
        <v>773</v>
      </c>
      <c r="D975" s="30" t="s">
        <v>684</v>
      </c>
      <c r="E975" s="30" t="s">
        <v>674</v>
      </c>
      <c r="F975" s="30" t="s">
        <v>773</v>
      </c>
      <c r="G975" s="30" t="s">
        <v>773</v>
      </c>
      <c r="H975" s="30" t="s">
        <v>773</v>
      </c>
      <c r="I975" s="30" t="s">
        <v>773</v>
      </c>
      <c r="J975" s="30" t="s">
        <v>745</v>
      </c>
      <c r="K975" s="30" t="s">
        <v>738</v>
      </c>
      <c r="L975" s="30" t="s">
        <v>699</v>
      </c>
      <c r="M975" s="30">
        <v>0.1</v>
      </c>
      <c r="N975" s="30" t="s">
        <v>376</v>
      </c>
      <c r="O975" s="30" t="s">
        <v>746</v>
      </c>
      <c r="P975" s="30" t="s">
        <v>683</v>
      </c>
      <c r="Q975" s="30" t="s">
        <v>665</v>
      </c>
      <c r="R975" s="30" t="s">
        <v>1519</v>
      </c>
      <c r="S975" s="30" t="s">
        <v>684</v>
      </c>
    </row>
    <row r="976" spans="1:19" x14ac:dyDescent="0.3">
      <c r="A976" s="31" t="s">
        <v>2351</v>
      </c>
      <c r="B976" s="32" t="s">
        <v>470</v>
      </c>
      <c r="C976" s="32" t="s">
        <v>2352</v>
      </c>
      <c r="D976" s="32" t="s">
        <v>684</v>
      </c>
      <c r="E976" s="32" t="s">
        <v>674</v>
      </c>
      <c r="F976" s="32" t="s">
        <v>716</v>
      </c>
      <c r="G976" s="32" t="s">
        <v>744</v>
      </c>
      <c r="H976" s="32" t="s">
        <v>702</v>
      </c>
      <c r="I976" s="32" t="s">
        <v>736</v>
      </c>
      <c r="J976" s="32" t="s">
        <v>745</v>
      </c>
      <c r="K976" s="32" t="s">
        <v>738</v>
      </c>
      <c r="L976" s="32" t="s">
        <v>739</v>
      </c>
      <c r="M976" s="32">
        <v>0.1</v>
      </c>
      <c r="N976" s="32" t="s">
        <v>376</v>
      </c>
      <c r="O976" s="32" t="s">
        <v>746</v>
      </c>
      <c r="P976" s="32" t="s">
        <v>683</v>
      </c>
      <c r="Q976" s="32" t="s">
        <v>665</v>
      </c>
      <c r="R976" s="32" t="s">
        <v>1519</v>
      </c>
      <c r="S976" s="30" t="s">
        <v>684</v>
      </c>
    </row>
    <row r="977" spans="1:19" x14ac:dyDescent="0.3">
      <c r="A977" s="29" t="s">
        <v>2353</v>
      </c>
      <c r="B977" s="30" t="s">
        <v>1510</v>
      </c>
      <c r="C977" s="30" t="s">
        <v>2354</v>
      </c>
      <c r="D977" s="30" t="s">
        <v>684</v>
      </c>
      <c r="E977" s="30" t="s">
        <v>674</v>
      </c>
      <c r="F977" s="30" t="s">
        <v>716</v>
      </c>
      <c r="G977" s="30" t="s">
        <v>676</v>
      </c>
      <c r="H977" s="30" t="s">
        <v>717</v>
      </c>
      <c r="I977" s="30" t="s">
        <v>736</v>
      </c>
      <c r="J977" s="30" t="s">
        <v>745</v>
      </c>
      <c r="K977" s="30" t="s">
        <v>738</v>
      </c>
      <c r="L977" s="30" t="s">
        <v>739</v>
      </c>
      <c r="M977" s="30">
        <v>0.1</v>
      </c>
      <c r="N977" s="30" t="s">
        <v>376</v>
      </c>
      <c r="O977" s="30" t="s">
        <v>746</v>
      </c>
      <c r="P977" s="30" t="s">
        <v>683</v>
      </c>
      <c r="Q977" s="30" t="s">
        <v>665</v>
      </c>
      <c r="R977" s="30" t="s">
        <v>1519</v>
      </c>
      <c r="S977" s="30" t="s">
        <v>684</v>
      </c>
    </row>
    <row r="978" spans="1:19" x14ac:dyDescent="0.3">
      <c r="A978" s="31" t="s">
        <v>2355</v>
      </c>
      <c r="B978" s="32" t="s">
        <v>470</v>
      </c>
      <c r="C978" s="32" t="s">
        <v>2356</v>
      </c>
      <c r="D978" s="32" t="s">
        <v>684</v>
      </c>
      <c r="E978" s="32" t="s">
        <v>674</v>
      </c>
      <c r="F978" s="32" t="s">
        <v>716</v>
      </c>
      <c r="G978" s="32" t="s">
        <v>744</v>
      </c>
      <c r="H978" s="32" t="s">
        <v>717</v>
      </c>
      <c r="I978" s="32" t="s">
        <v>736</v>
      </c>
      <c r="J978" s="32" t="s">
        <v>745</v>
      </c>
      <c r="K978" s="32" t="s">
        <v>738</v>
      </c>
      <c r="L978" s="32" t="s">
        <v>699</v>
      </c>
      <c r="M978" s="32">
        <v>0.2</v>
      </c>
      <c r="N978" s="32" t="s">
        <v>376</v>
      </c>
      <c r="O978" s="32" t="s">
        <v>746</v>
      </c>
      <c r="P978" s="32" t="s">
        <v>683</v>
      </c>
      <c r="Q978" s="32" t="s">
        <v>665</v>
      </c>
      <c r="R978" s="32" t="s">
        <v>1519</v>
      </c>
      <c r="S978" s="30" t="s">
        <v>684</v>
      </c>
    </row>
    <row r="979" spans="1:19" x14ac:dyDescent="0.3">
      <c r="A979" s="29" t="s">
        <v>2357</v>
      </c>
      <c r="B979" s="30" t="s">
        <v>1510</v>
      </c>
      <c r="C979" s="30" t="s">
        <v>2358</v>
      </c>
      <c r="D979" s="30" t="s">
        <v>684</v>
      </c>
      <c r="E979" s="30" t="s">
        <v>674</v>
      </c>
      <c r="F979" s="30" t="s">
        <v>716</v>
      </c>
      <c r="G979" s="30" t="s">
        <v>676</v>
      </c>
      <c r="H979" s="30" t="s">
        <v>702</v>
      </c>
      <c r="I979" s="30" t="s">
        <v>736</v>
      </c>
      <c r="J979" s="30" t="s">
        <v>745</v>
      </c>
      <c r="K979" s="30" t="s">
        <v>738</v>
      </c>
      <c r="L979" s="30" t="s">
        <v>699</v>
      </c>
      <c r="M979" s="30">
        <v>0.2</v>
      </c>
      <c r="N979" s="30" t="s">
        <v>376</v>
      </c>
      <c r="O979" s="30" t="s">
        <v>746</v>
      </c>
      <c r="P979" s="30" t="s">
        <v>683</v>
      </c>
      <c r="Q979" s="30" t="s">
        <v>665</v>
      </c>
      <c r="R979" s="30" t="s">
        <v>1519</v>
      </c>
      <c r="S979" s="30" t="s">
        <v>684</v>
      </c>
    </row>
    <row r="980" spans="1:19" x14ac:dyDescent="0.3">
      <c r="A980" s="31" t="s">
        <v>1517</v>
      </c>
      <c r="B980" s="32" t="s">
        <v>470</v>
      </c>
      <c r="C980" s="32" t="s">
        <v>1518</v>
      </c>
      <c r="D980" s="32" t="s">
        <v>684</v>
      </c>
      <c r="E980" s="32" t="s">
        <v>674</v>
      </c>
      <c r="F980" s="32" t="s">
        <v>716</v>
      </c>
      <c r="G980" s="32" t="s">
        <v>744</v>
      </c>
      <c r="H980" s="32" t="s">
        <v>702</v>
      </c>
      <c r="I980" s="32" t="s">
        <v>736</v>
      </c>
      <c r="J980" s="32" t="s">
        <v>745</v>
      </c>
      <c r="K980" s="32" t="s">
        <v>738</v>
      </c>
      <c r="L980" s="32" t="s">
        <v>699</v>
      </c>
      <c r="M980" s="32">
        <v>0.3</v>
      </c>
      <c r="N980" s="32" t="s">
        <v>376</v>
      </c>
      <c r="O980" s="32" t="s">
        <v>746</v>
      </c>
      <c r="P980" s="32" t="s">
        <v>683</v>
      </c>
      <c r="Q980" s="32" t="s">
        <v>665</v>
      </c>
      <c r="R980" s="32" t="s">
        <v>1519</v>
      </c>
      <c r="S980" s="30" t="s">
        <v>684</v>
      </c>
    </row>
    <row r="981" spans="1:19" x14ac:dyDescent="0.3">
      <c r="A981" s="29" t="s">
        <v>1402</v>
      </c>
      <c r="B981" s="30" t="s">
        <v>1403</v>
      </c>
      <c r="C981" s="30" t="s">
        <v>773</v>
      </c>
      <c r="D981" s="30" t="s">
        <v>684</v>
      </c>
      <c r="E981" s="30" t="s">
        <v>674</v>
      </c>
      <c r="F981" s="30" t="s">
        <v>773</v>
      </c>
      <c r="G981" s="30" t="s">
        <v>773</v>
      </c>
      <c r="H981" s="30" t="s">
        <v>773</v>
      </c>
      <c r="I981" s="30" t="s">
        <v>773</v>
      </c>
      <c r="J981" s="30" t="s">
        <v>745</v>
      </c>
      <c r="K981" s="30" t="s">
        <v>738</v>
      </c>
      <c r="L981" s="30" t="s">
        <v>699</v>
      </c>
      <c r="M981" s="30">
        <v>0.2</v>
      </c>
      <c r="N981" s="30" t="s">
        <v>1520</v>
      </c>
      <c r="O981" s="30" t="s">
        <v>746</v>
      </c>
      <c r="P981" s="30" t="s">
        <v>683</v>
      </c>
      <c r="Q981" s="30" t="s">
        <v>665</v>
      </c>
      <c r="R981" s="30" t="s">
        <v>471</v>
      </c>
      <c r="S981" s="30" t="s">
        <v>684</v>
      </c>
    </row>
    <row r="982" spans="1:19" x14ac:dyDescent="0.3">
      <c r="A982" s="31" t="s">
        <v>2359</v>
      </c>
      <c r="B982" s="32" t="s">
        <v>470</v>
      </c>
      <c r="C982" s="32" t="s">
        <v>2360</v>
      </c>
      <c r="D982" s="32" t="s">
        <v>684</v>
      </c>
      <c r="E982" s="32" t="s">
        <v>674</v>
      </c>
      <c r="F982" s="32" t="s">
        <v>716</v>
      </c>
      <c r="G982" s="32" t="s">
        <v>724</v>
      </c>
      <c r="H982" s="32" t="s">
        <v>702</v>
      </c>
      <c r="I982" s="32" t="s">
        <v>736</v>
      </c>
      <c r="J982" s="32" t="s">
        <v>745</v>
      </c>
      <c r="K982" s="32" t="s">
        <v>738</v>
      </c>
      <c r="L982" s="32" t="s">
        <v>699</v>
      </c>
      <c r="M982" s="32">
        <v>0.2</v>
      </c>
      <c r="N982" s="32" t="s">
        <v>1520</v>
      </c>
      <c r="O982" s="32" t="s">
        <v>746</v>
      </c>
      <c r="P982" s="32" t="s">
        <v>683</v>
      </c>
      <c r="Q982" s="32" t="s">
        <v>665</v>
      </c>
      <c r="R982" s="32" t="s">
        <v>471</v>
      </c>
      <c r="S982" s="30" t="s">
        <v>684</v>
      </c>
    </row>
    <row r="983" spans="1:19" x14ac:dyDescent="0.3">
      <c r="A983" s="29" t="s">
        <v>983</v>
      </c>
      <c r="B983" s="30" t="s">
        <v>981</v>
      </c>
      <c r="C983" s="30" t="s">
        <v>984</v>
      </c>
      <c r="D983" s="30" t="s">
        <v>684</v>
      </c>
      <c r="E983" s="30" t="s">
        <v>674</v>
      </c>
      <c r="F983" s="30" t="s">
        <v>716</v>
      </c>
      <c r="G983" s="30" t="s">
        <v>744</v>
      </c>
      <c r="H983" s="30" t="s">
        <v>702</v>
      </c>
      <c r="I983" s="30" t="s">
        <v>736</v>
      </c>
      <c r="J983" s="30" t="s">
        <v>745</v>
      </c>
      <c r="K983" s="30" t="s">
        <v>738</v>
      </c>
      <c r="L983" s="30" t="s">
        <v>699</v>
      </c>
      <c r="M983" s="30">
        <v>0.6</v>
      </c>
      <c r="N983" s="30" t="s">
        <v>1520</v>
      </c>
      <c r="O983" s="30" t="s">
        <v>746</v>
      </c>
      <c r="P983" s="30" t="s">
        <v>683</v>
      </c>
      <c r="Q983" s="30" t="s">
        <v>665</v>
      </c>
      <c r="R983" s="30" t="s">
        <v>471</v>
      </c>
      <c r="S983" s="30" t="s">
        <v>684</v>
      </c>
    </row>
    <row r="984" spans="1:19" x14ac:dyDescent="0.3">
      <c r="A984" s="31" t="s">
        <v>1245</v>
      </c>
      <c r="B984" s="32" t="s">
        <v>470</v>
      </c>
      <c r="C984" s="32" t="s">
        <v>1246</v>
      </c>
      <c r="D984" s="32" t="s">
        <v>684</v>
      </c>
      <c r="E984" s="32" t="s">
        <v>674</v>
      </c>
      <c r="F984" s="32" t="s">
        <v>716</v>
      </c>
      <c r="G984" s="32" t="s">
        <v>744</v>
      </c>
      <c r="H984" s="32" t="s">
        <v>702</v>
      </c>
      <c r="I984" s="32" t="s">
        <v>678</v>
      </c>
      <c r="J984" s="32" t="s">
        <v>745</v>
      </c>
      <c r="K984" s="32" t="s">
        <v>738</v>
      </c>
      <c r="L984" s="32" t="s">
        <v>699</v>
      </c>
      <c r="M984" s="32">
        <v>0.8</v>
      </c>
      <c r="N984" s="32" t="s">
        <v>450</v>
      </c>
      <c r="O984" s="32" t="s">
        <v>746</v>
      </c>
      <c r="P984" s="32" t="s">
        <v>683</v>
      </c>
      <c r="Q984" s="32" t="s">
        <v>665</v>
      </c>
      <c r="R984" s="32" t="s">
        <v>1519</v>
      </c>
      <c r="S984" s="30" t="s">
        <v>684</v>
      </c>
    </row>
    <row r="985" spans="1:19" x14ac:dyDescent="0.3">
      <c r="A985" s="29" t="s">
        <v>1521</v>
      </c>
      <c r="B985" s="30" t="s">
        <v>470</v>
      </c>
      <c r="C985" s="30" t="s">
        <v>1522</v>
      </c>
      <c r="D985" s="30" t="s">
        <v>684</v>
      </c>
      <c r="E985" s="30" t="s">
        <v>674</v>
      </c>
      <c r="F985" s="30" t="s">
        <v>716</v>
      </c>
      <c r="G985" s="30" t="s">
        <v>744</v>
      </c>
      <c r="H985" s="30" t="s">
        <v>702</v>
      </c>
      <c r="I985" s="30" t="s">
        <v>736</v>
      </c>
      <c r="J985" s="30" t="s">
        <v>745</v>
      </c>
      <c r="K985" s="30" t="s">
        <v>738</v>
      </c>
      <c r="L985" s="30" t="s">
        <v>699</v>
      </c>
      <c r="M985" s="30">
        <v>0.1</v>
      </c>
      <c r="N985" s="30" t="s">
        <v>450</v>
      </c>
      <c r="O985" s="30" t="s">
        <v>746</v>
      </c>
      <c r="P985" s="30" t="s">
        <v>683</v>
      </c>
      <c r="Q985" s="30" t="s">
        <v>665</v>
      </c>
      <c r="R985" s="30" t="s">
        <v>1519</v>
      </c>
      <c r="S985" s="30" t="s">
        <v>684</v>
      </c>
    </row>
    <row r="986" spans="1:19" x14ac:dyDescent="0.3">
      <c r="A986" s="31" t="s">
        <v>1402</v>
      </c>
      <c r="B986" s="32" t="s">
        <v>1403</v>
      </c>
      <c r="C986" s="32" t="s">
        <v>773</v>
      </c>
      <c r="D986" s="32" t="s">
        <v>684</v>
      </c>
      <c r="E986" s="32" t="s">
        <v>674</v>
      </c>
      <c r="F986" s="32" t="s">
        <v>773</v>
      </c>
      <c r="G986" s="32" t="s">
        <v>773</v>
      </c>
      <c r="H986" s="32" t="s">
        <v>773</v>
      </c>
      <c r="I986" s="32" t="s">
        <v>773</v>
      </c>
      <c r="J986" s="32" t="s">
        <v>745</v>
      </c>
      <c r="K986" s="32" t="s">
        <v>738</v>
      </c>
      <c r="L986" s="32" t="s">
        <v>699</v>
      </c>
      <c r="M986" s="32">
        <v>0.1</v>
      </c>
      <c r="N986" s="32" t="s">
        <v>450</v>
      </c>
      <c r="O986" s="32" t="s">
        <v>746</v>
      </c>
      <c r="P986" s="32" t="s">
        <v>683</v>
      </c>
      <c r="Q986" s="32" t="s">
        <v>665</v>
      </c>
      <c r="R986" s="32" t="s">
        <v>1519</v>
      </c>
      <c r="S986" s="30" t="s">
        <v>684</v>
      </c>
    </row>
    <row r="987" spans="1:19" x14ac:dyDescent="0.3">
      <c r="A987" s="29" t="s">
        <v>1245</v>
      </c>
      <c r="B987" s="30" t="s">
        <v>470</v>
      </c>
      <c r="C987" s="30" t="s">
        <v>1246</v>
      </c>
      <c r="D987" s="30" t="s">
        <v>684</v>
      </c>
      <c r="E987" s="30" t="s">
        <v>674</v>
      </c>
      <c r="F987" s="30" t="s">
        <v>716</v>
      </c>
      <c r="G987" s="30" t="s">
        <v>744</v>
      </c>
      <c r="H987" s="30" t="s">
        <v>702</v>
      </c>
      <c r="I987" s="30" t="s">
        <v>678</v>
      </c>
      <c r="J987" s="30" t="s">
        <v>745</v>
      </c>
      <c r="K987" s="30" t="s">
        <v>738</v>
      </c>
      <c r="L987" s="30" t="s">
        <v>699</v>
      </c>
      <c r="M987" s="30">
        <v>0.8</v>
      </c>
      <c r="N987" s="30" t="s">
        <v>1523</v>
      </c>
      <c r="O987" s="30" t="s">
        <v>1915</v>
      </c>
      <c r="P987" s="30" t="s">
        <v>683</v>
      </c>
      <c r="Q987" s="30" t="s">
        <v>767</v>
      </c>
      <c r="R987" s="30" t="s">
        <v>471</v>
      </c>
      <c r="S987" s="30" t="s">
        <v>684</v>
      </c>
    </row>
    <row r="988" spans="1:19" x14ac:dyDescent="0.3">
      <c r="A988" s="31" t="s">
        <v>1423</v>
      </c>
      <c r="B988" s="32" t="s">
        <v>981</v>
      </c>
      <c r="C988" s="32" t="s">
        <v>1424</v>
      </c>
      <c r="D988" s="32" t="s">
        <v>684</v>
      </c>
      <c r="E988" s="32" t="s">
        <v>674</v>
      </c>
      <c r="F988" s="32" t="s">
        <v>716</v>
      </c>
      <c r="G988" s="32" t="s">
        <v>744</v>
      </c>
      <c r="H988" s="32" t="s">
        <v>702</v>
      </c>
      <c r="I988" s="32" t="s">
        <v>736</v>
      </c>
      <c r="J988" s="32" t="s">
        <v>745</v>
      </c>
      <c r="K988" s="32" t="s">
        <v>738</v>
      </c>
      <c r="L988" s="32" t="s">
        <v>699</v>
      </c>
      <c r="M988" s="32">
        <v>0.2</v>
      </c>
      <c r="N988" s="32" t="s">
        <v>1523</v>
      </c>
      <c r="O988" s="32" t="s">
        <v>1915</v>
      </c>
      <c r="P988" s="32" t="s">
        <v>683</v>
      </c>
      <c r="Q988" s="32" t="s">
        <v>767</v>
      </c>
      <c r="R988" s="32" t="s">
        <v>471</v>
      </c>
      <c r="S988" s="30" t="s">
        <v>684</v>
      </c>
    </row>
    <row r="989" spans="1:19" x14ac:dyDescent="0.3">
      <c r="A989" s="29" t="s">
        <v>1423</v>
      </c>
      <c r="B989" s="30" t="s">
        <v>981</v>
      </c>
      <c r="C989" s="30" t="s">
        <v>1424</v>
      </c>
      <c r="D989" s="30" t="s">
        <v>684</v>
      </c>
      <c r="E989" s="30" t="s">
        <v>674</v>
      </c>
      <c r="F989" s="30" t="s">
        <v>716</v>
      </c>
      <c r="G989" s="30" t="s">
        <v>744</v>
      </c>
      <c r="H989" s="30" t="s">
        <v>702</v>
      </c>
      <c r="I989" s="30" t="s">
        <v>736</v>
      </c>
      <c r="J989" s="30" t="s">
        <v>745</v>
      </c>
      <c r="K989" s="30" t="s">
        <v>738</v>
      </c>
      <c r="L989" s="30" t="s">
        <v>699</v>
      </c>
      <c r="M989" s="30">
        <v>0.2</v>
      </c>
      <c r="N989" s="30" t="s">
        <v>490</v>
      </c>
      <c r="O989" s="30" t="s">
        <v>746</v>
      </c>
      <c r="P989" s="30" t="s">
        <v>683</v>
      </c>
      <c r="Q989" s="30" t="s">
        <v>665</v>
      </c>
      <c r="R989" s="30" t="s">
        <v>471</v>
      </c>
      <c r="S989" s="30" t="s">
        <v>684</v>
      </c>
    </row>
    <row r="990" spans="1:19" x14ac:dyDescent="0.3">
      <c r="A990" s="31" t="s">
        <v>1402</v>
      </c>
      <c r="B990" s="32" t="s">
        <v>1403</v>
      </c>
      <c r="C990" s="32" t="s">
        <v>773</v>
      </c>
      <c r="D990" s="32" t="s">
        <v>684</v>
      </c>
      <c r="E990" s="32" t="s">
        <v>674</v>
      </c>
      <c r="F990" s="32" t="s">
        <v>773</v>
      </c>
      <c r="G990" s="32" t="s">
        <v>773</v>
      </c>
      <c r="H990" s="32" t="s">
        <v>773</v>
      </c>
      <c r="I990" s="32" t="s">
        <v>773</v>
      </c>
      <c r="J990" s="32" t="s">
        <v>745</v>
      </c>
      <c r="K990" s="32" t="s">
        <v>738</v>
      </c>
      <c r="L990" s="32" t="s">
        <v>699</v>
      </c>
      <c r="M990" s="32">
        <v>0.1</v>
      </c>
      <c r="N990" s="32" t="s">
        <v>490</v>
      </c>
      <c r="O990" s="32" t="s">
        <v>746</v>
      </c>
      <c r="P990" s="32" t="s">
        <v>683</v>
      </c>
      <c r="Q990" s="32" t="s">
        <v>665</v>
      </c>
      <c r="R990" s="32" t="s">
        <v>471</v>
      </c>
      <c r="S990" s="30" t="s">
        <v>684</v>
      </c>
    </row>
    <row r="991" spans="1:19" x14ac:dyDescent="0.3">
      <c r="A991" s="29" t="s">
        <v>818</v>
      </c>
      <c r="B991" s="30" t="s">
        <v>470</v>
      </c>
      <c r="C991" s="30" t="s">
        <v>819</v>
      </c>
      <c r="D991" s="30" t="s">
        <v>684</v>
      </c>
      <c r="E991" s="30" t="s">
        <v>674</v>
      </c>
      <c r="F991" s="30" t="s">
        <v>716</v>
      </c>
      <c r="G991" s="30" t="s">
        <v>724</v>
      </c>
      <c r="H991" s="30" t="s">
        <v>677</v>
      </c>
      <c r="I991" s="30" t="s">
        <v>678</v>
      </c>
      <c r="J991" s="30" t="s">
        <v>745</v>
      </c>
      <c r="K991" s="30" t="s">
        <v>738</v>
      </c>
      <c r="L991" s="30" t="s">
        <v>699</v>
      </c>
      <c r="M991" s="30">
        <v>0.7</v>
      </c>
      <c r="N991" s="30" t="s">
        <v>490</v>
      </c>
      <c r="O991" s="30" t="s">
        <v>746</v>
      </c>
      <c r="P991" s="30" t="s">
        <v>683</v>
      </c>
      <c r="Q991" s="30" t="s">
        <v>665</v>
      </c>
      <c r="R991" s="30" t="s">
        <v>471</v>
      </c>
      <c r="S991" s="30" t="s">
        <v>684</v>
      </c>
    </row>
    <row r="992" spans="1:19" x14ac:dyDescent="0.3">
      <c r="A992" s="31" t="s">
        <v>1394</v>
      </c>
      <c r="B992" s="32" t="s">
        <v>470</v>
      </c>
      <c r="C992" s="32" t="s">
        <v>1395</v>
      </c>
      <c r="D992" s="32" t="s">
        <v>684</v>
      </c>
      <c r="E992" s="32" t="s">
        <v>674</v>
      </c>
      <c r="F992" s="32" t="s">
        <v>716</v>
      </c>
      <c r="G992" s="32" t="s">
        <v>744</v>
      </c>
      <c r="H992" s="32" t="s">
        <v>702</v>
      </c>
      <c r="I992" s="32" t="s">
        <v>736</v>
      </c>
      <c r="J992" s="32" t="s">
        <v>745</v>
      </c>
      <c r="K992" s="32" t="s">
        <v>738</v>
      </c>
      <c r="L992" s="32" t="s">
        <v>739</v>
      </c>
      <c r="M992" s="32">
        <v>0.2</v>
      </c>
      <c r="N992" s="32" t="s">
        <v>515</v>
      </c>
      <c r="O992" s="32" t="s">
        <v>746</v>
      </c>
      <c r="P992" s="32" t="s">
        <v>683</v>
      </c>
      <c r="Q992" s="32" t="s">
        <v>665</v>
      </c>
      <c r="R992" s="32" t="s">
        <v>471</v>
      </c>
      <c r="S992" s="30" t="s">
        <v>684</v>
      </c>
    </row>
    <row r="993" spans="1:19" x14ac:dyDescent="0.3">
      <c r="A993" s="29" t="s">
        <v>983</v>
      </c>
      <c r="B993" s="30" t="s">
        <v>981</v>
      </c>
      <c r="C993" s="30" t="s">
        <v>984</v>
      </c>
      <c r="D993" s="30" t="s">
        <v>684</v>
      </c>
      <c r="E993" s="30" t="s">
        <v>674</v>
      </c>
      <c r="F993" s="30" t="s">
        <v>716</v>
      </c>
      <c r="G993" s="30" t="s">
        <v>744</v>
      </c>
      <c r="H993" s="30" t="s">
        <v>702</v>
      </c>
      <c r="I993" s="30" t="s">
        <v>736</v>
      </c>
      <c r="J993" s="30" t="s">
        <v>745</v>
      </c>
      <c r="K993" s="30" t="s">
        <v>738</v>
      </c>
      <c r="L993" s="30" t="s">
        <v>699</v>
      </c>
      <c r="M993" s="30">
        <v>0.4</v>
      </c>
      <c r="N993" s="30" t="s">
        <v>515</v>
      </c>
      <c r="O993" s="30" t="s">
        <v>746</v>
      </c>
      <c r="P993" s="30" t="s">
        <v>683</v>
      </c>
      <c r="Q993" s="30" t="s">
        <v>665</v>
      </c>
      <c r="R993" s="30" t="s">
        <v>471</v>
      </c>
      <c r="S993" s="30" t="s">
        <v>684</v>
      </c>
    </row>
    <row r="994" spans="1:19" x14ac:dyDescent="0.3">
      <c r="A994" s="31" t="s">
        <v>1402</v>
      </c>
      <c r="B994" s="32" t="s">
        <v>1403</v>
      </c>
      <c r="C994" s="32" t="s">
        <v>773</v>
      </c>
      <c r="D994" s="32" t="s">
        <v>684</v>
      </c>
      <c r="E994" s="32" t="s">
        <v>674</v>
      </c>
      <c r="F994" s="32" t="s">
        <v>773</v>
      </c>
      <c r="G994" s="32" t="s">
        <v>773</v>
      </c>
      <c r="H994" s="32" t="s">
        <v>773</v>
      </c>
      <c r="I994" s="32" t="s">
        <v>773</v>
      </c>
      <c r="J994" s="32" t="s">
        <v>745</v>
      </c>
      <c r="K994" s="32" t="s">
        <v>738</v>
      </c>
      <c r="L994" s="32" t="s">
        <v>699</v>
      </c>
      <c r="M994" s="32">
        <v>0.1</v>
      </c>
      <c r="N994" s="32" t="s">
        <v>515</v>
      </c>
      <c r="O994" s="32" t="s">
        <v>746</v>
      </c>
      <c r="P994" s="32" t="s">
        <v>683</v>
      </c>
      <c r="Q994" s="32" t="s">
        <v>665</v>
      </c>
      <c r="R994" s="32" t="s">
        <v>471</v>
      </c>
      <c r="S994" s="30" t="s">
        <v>684</v>
      </c>
    </row>
    <row r="995" spans="1:19" x14ac:dyDescent="0.3">
      <c r="A995" s="29" t="s">
        <v>2345</v>
      </c>
      <c r="B995" s="30" t="s">
        <v>1510</v>
      </c>
      <c r="C995" s="30" t="s">
        <v>2346</v>
      </c>
      <c r="D995" s="30" t="s">
        <v>684</v>
      </c>
      <c r="E995" s="30" t="s">
        <v>674</v>
      </c>
      <c r="F995" s="30" t="s">
        <v>716</v>
      </c>
      <c r="G995" s="30" t="s">
        <v>744</v>
      </c>
      <c r="H995" s="30" t="s">
        <v>702</v>
      </c>
      <c r="I995" s="30" t="s">
        <v>736</v>
      </c>
      <c r="J995" s="30" t="s">
        <v>745</v>
      </c>
      <c r="K995" s="30" t="s">
        <v>738</v>
      </c>
      <c r="L995" s="30" t="s">
        <v>699</v>
      </c>
      <c r="M995" s="30">
        <v>0.3</v>
      </c>
      <c r="N995" s="30" t="s">
        <v>515</v>
      </c>
      <c r="O995" s="30" t="s">
        <v>746</v>
      </c>
      <c r="P995" s="30" t="s">
        <v>683</v>
      </c>
      <c r="Q995" s="30" t="s">
        <v>665</v>
      </c>
      <c r="R995" s="30" t="s">
        <v>471</v>
      </c>
      <c r="S995" s="30" t="s">
        <v>684</v>
      </c>
    </row>
    <row r="996" spans="1:19" x14ac:dyDescent="0.3">
      <c r="A996" s="31" t="s">
        <v>816</v>
      </c>
      <c r="B996" s="32" t="s">
        <v>470</v>
      </c>
      <c r="C996" s="32" t="s">
        <v>817</v>
      </c>
      <c r="D996" s="32" t="s">
        <v>684</v>
      </c>
      <c r="E996" s="32" t="s">
        <v>674</v>
      </c>
      <c r="F996" s="32" t="s">
        <v>675</v>
      </c>
      <c r="G996" s="32" t="s">
        <v>724</v>
      </c>
      <c r="H996" s="32" t="s">
        <v>677</v>
      </c>
      <c r="I996" s="32" t="s">
        <v>678</v>
      </c>
      <c r="J996" s="32" t="s">
        <v>745</v>
      </c>
      <c r="K996" s="32" t="s">
        <v>738</v>
      </c>
      <c r="L996" s="32" t="s">
        <v>699</v>
      </c>
      <c r="M996" s="32">
        <v>0.4</v>
      </c>
      <c r="N996" s="32" t="s">
        <v>524</v>
      </c>
      <c r="O996" s="32" t="s">
        <v>746</v>
      </c>
      <c r="P996" s="32" t="s">
        <v>683</v>
      </c>
      <c r="Q996" s="32" t="s">
        <v>665</v>
      </c>
      <c r="R996" s="32" t="s">
        <v>471</v>
      </c>
      <c r="S996" s="30" t="s">
        <v>684</v>
      </c>
    </row>
    <row r="997" spans="1:19" x14ac:dyDescent="0.3">
      <c r="A997" s="29" t="s">
        <v>1508</v>
      </c>
      <c r="B997" s="30" t="s">
        <v>1403</v>
      </c>
      <c r="C997" s="30" t="s">
        <v>773</v>
      </c>
      <c r="D997" s="30" t="s">
        <v>684</v>
      </c>
      <c r="E997" s="30" t="s">
        <v>674</v>
      </c>
      <c r="F997" s="30" t="s">
        <v>773</v>
      </c>
      <c r="G997" s="30" t="s">
        <v>773</v>
      </c>
      <c r="H997" s="30" t="s">
        <v>773</v>
      </c>
      <c r="I997" s="30" t="s">
        <v>773</v>
      </c>
      <c r="J997" s="30" t="s">
        <v>745</v>
      </c>
      <c r="K997" s="30" t="s">
        <v>738</v>
      </c>
      <c r="L997" s="30" t="s">
        <v>699</v>
      </c>
      <c r="M997" s="30">
        <v>0.1</v>
      </c>
      <c r="N997" s="30" t="s">
        <v>524</v>
      </c>
      <c r="O997" s="30" t="s">
        <v>746</v>
      </c>
      <c r="P997" s="30" t="s">
        <v>683</v>
      </c>
      <c r="Q997" s="30" t="s">
        <v>665</v>
      </c>
      <c r="R997" s="30" t="s">
        <v>471</v>
      </c>
      <c r="S997" s="30" t="s">
        <v>684</v>
      </c>
    </row>
    <row r="998" spans="1:19" x14ac:dyDescent="0.3">
      <c r="A998" s="31" t="s">
        <v>1399</v>
      </c>
      <c r="B998" s="32" t="s">
        <v>470</v>
      </c>
      <c r="C998" s="32" t="s">
        <v>1400</v>
      </c>
      <c r="D998" s="32" t="s">
        <v>684</v>
      </c>
      <c r="E998" s="32" t="s">
        <v>674</v>
      </c>
      <c r="F998" s="32" t="s">
        <v>675</v>
      </c>
      <c r="G998" s="32" t="s">
        <v>676</v>
      </c>
      <c r="H998" s="32" t="s">
        <v>677</v>
      </c>
      <c r="I998" s="32" t="s">
        <v>688</v>
      </c>
      <c r="J998" s="32" t="s">
        <v>745</v>
      </c>
      <c r="K998" s="32" t="s">
        <v>738</v>
      </c>
      <c r="L998" s="32" t="s">
        <v>699</v>
      </c>
      <c r="M998" s="32">
        <v>0.1</v>
      </c>
      <c r="N998" s="32" t="s">
        <v>524</v>
      </c>
      <c r="O998" s="32" t="s">
        <v>746</v>
      </c>
      <c r="P998" s="32" t="s">
        <v>683</v>
      </c>
      <c r="Q998" s="32" t="s">
        <v>665</v>
      </c>
      <c r="R998" s="32" t="s">
        <v>471</v>
      </c>
      <c r="S998" s="30" t="s">
        <v>684</v>
      </c>
    </row>
    <row r="999" spans="1:19" x14ac:dyDescent="0.3">
      <c r="A999" s="29" t="s">
        <v>1397</v>
      </c>
      <c r="B999" s="30" t="s">
        <v>981</v>
      </c>
      <c r="C999" s="30" t="s">
        <v>1398</v>
      </c>
      <c r="D999" s="30" t="s">
        <v>684</v>
      </c>
      <c r="E999" s="30" t="s">
        <v>674</v>
      </c>
      <c r="F999" s="30" t="s">
        <v>716</v>
      </c>
      <c r="G999" s="30" t="s">
        <v>744</v>
      </c>
      <c r="H999" s="30" t="s">
        <v>702</v>
      </c>
      <c r="I999" s="30" t="s">
        <v>736</v>
      </c>
      <c r="J999" s="30" t="s">
        <v>745</v>
      </c>
      <c r="K999" s="30" t="s">
        <v>738</v>
      </c>
      <c r="L999" s="30" t="s">
        <v>739</v>
      </c>
      <c r="M999" s="30">
        <v>0.4</v>
      </c>
      <c r="N999" s="30" t="s">
        <v>524</v>
      </c>
      <c r="O999" s="30" t="s">
        <v>746</v>
      </c>
      <c r="P999" s="30" t="s">
        <v>683</v>
      </c>
      <c r="Q999" s="30" t="s">
        <v>665</v>
      </c>
      <c r="R999" s="30" t="s">
        <v>471</v>
      </c>
      <c r="S999" s="30" t="s">
        <v>684</v>
      </c>
    </row>
    <row r="1000" spans="1:19" x14ac:dyDescent="0.3">
      <c r="A1000" s="31" t="s">
        <v>1245</v>
      </c>
      <c r="B1000" s="32" t="s">
        <v>470</v>
      </c>
      <c r="C1000" s="32" t="s">
        <v>1246</v>
      </c>
      <c r="D1000" s="32" t="s">
        <v>684</v>
      </c>
      <c r="E1000" s="32" t="s">
        <v>674</v>
      </c>
      <c r="F1000" s="32" t="s">
        <v>716</v>
      </c>
      <c r="G1000" s="32" t="s">
        <v>744</v>
      </c>
      <c r="H1000" s="32" t="s">
        <v>702</v>
      </c>
      <c r="I1000" s="32" t="s">
        <v>678</v>
      </c>
      <c r="J1000" s="32" t="s">
        <v>745</v>
      </c>
      <c r="K1000" s="32" t="s">
        <v>738</v>
      </c>
      <c r="L1000" s="32" t="s">
        <v>699</v>
      </c>
      <c r="M1000" s="32">
        <v>0.5</v>
      </c>
      <c r="N1000" s="32" t="s">
        <v>471</v>
      </c>
      <c r="O1000" s="32" t="s">
        <v>746</v>
      </c>
      <c r="P1000" s="32" t="s">
        <v>683</v>
      </c>
      <c r="Q1000" s="32" t="s">
        <v>665</v>
      </c>
      <c r="R1000" s="32" t="s">
        <v>470</v>
      </c>
      <c r="S1000" s="30" t="s">
        <v>684</v>
      </c>
    </row>
    <row r="1001" spans="1:19" x14ac:dyDescent="0.3">
      <c r="A1001" s="29" t="s">
        <v>2345</v>
      </c>
      <c r="B1001" s="30" t="s">
        <v>1510</v>
      </c>
      <c r="C1001" s="30" t="s">
        <v>2346</v>
      </c>
      <c r="D1001" s="30" t="s">
        <v>684</v>
      </c>
      <c r="E1001" s="30" t="s">
        <v>674</v>
      </c>
      <c r="F1001" s="30" t="s">
        <v>716</v>
      </c>
      <c r="G1001" s="30" t="s">
        <v>744</v>
      </c>
      <c r="H1001" s="30" t="s">
        <v>702</v>
      </c>
      <c r="I1001" s="30" t="s">
        <v>736</v>
      </c>
      <c r="J1001" s="30" t="s">
        <v>745</v>
      </c>
      <c r="K1001" s="30" t="s">
        <v>738</v>
      </c>
      <c r="L1001" s="30" t="s">
        <v>699</v>
      </c>
      <c r="M1001" s="30">
        <v>0.2</v>
      </c>
      <c r="N1001" s="30" t="s">
        <v>471</v>
      </c>
      <c r="O1001" s="30" t="s">
        <v>746</v>
      </c>
      <c r="P1001" s="30" t="s">
        <v>683</v>
      </c>
      <c r="Q1001" s="30" t="s">
        <v>665</v>
      </c>
      <c r="R1001" s="30" t="s">
        <v>470</v>
      </c>
      <c r="S1001" s="30" t="s">
        <v>684</v>
      </c>
    </row>
    <row r="1002" spans="1:19" x14ac:dyDescent="0.3">
      <c r="A1002" s="31" t="s">
        <v>1508</v>
      </c>
      <c r="B1002" s="32" t="s">
        <v>1403</v>
      </c>
      <c r="C1002" s="32" t="s">
        <v>773</v>
      </c>
      <c r="D1002" s="32" t="s">
        <v>684</v>
      </c>
      <c r="E1002" s="32" t="s">
        <v>674</v>
      </c>
      <c r="F1002" s="32" t="s">
        <v>773</v>
      </c>
      <c r="G1002" s="32" t="s">
        <v>773</v>
      </c>
      <c r="H1002" s="32" t="s">
        <v>773</v>
      </c>
      <c r="I1002" s="32" t="s">
        <v>773</v>
      </c>
      <c r="J1002" s="32" t="s">
        <v>745</v>
      </c>
      <c r="K1002" s="32" t="s">
        <v>738</v>
      </c>
      <c r="L1002" s="32" t="s">
        <v>699</v>
      </c>
      <c r="M1002" s="32">
        <v>0.1</v>
      </c>
      <c r="N1002" s="32" t="s">
        <v>471</v>
      </c>
      <c r="O1002" s="32" t="s">
        <v>746</v>
      </c>
      <c r="P1002" s="32" t="s">
        <v>683</v>
      </c>
      <c r="Q1002" s="32" t="s">
        <v>665</v>
      </c>
      <c r="R1002" s="32" t="s">
        <v>470</v>
      </c>
      <c r="S1002" s="30" t="s">
        <v>684</v>
      </c>
    </row>
    <row r="1003" spans="1:19" x14ac:dyDescent="0.3">
      <c r="A1003" s="29" t="s">
        <v>1031</v>
      </c>
      <c r="B1003" s="30" t="s">
        <v>470</v>
      </c>
      <c r="C1003" s="30" t="s">
        <v>1032</v>
      </c>
      <c r="D1003" s="30" t="s">
        <v>684</v>
      </c>
      <c r="E1003" s="30" t="s">
        <v>674</v>
      </c>
      <c r="F1003" s="30" t="s">
        <v>716</v>
      </c>
      <c r="G1003" s="30" t="s">
        <v>744</v>
      </c>
      <c r="H1003" s="30" t="s">
        <v>702</v>
      </c>
      <c r="I1003" s="30" t="s">
        <v>736</v>
      </c>
      <c r="J1003" s="30" t="s">
        <v>745</v>
      </c>
      <c r="K1003" s="30" t="s">
        <v>738</v>
      </c>
      <c r="L1003" s="30" t="s">
        <v>699</v>
      </c>
      <c r="M1003" s="30">
        <v>0.2</v>
      </c>
      <c r="N1003" s="30" t="s">
        <v>471</v>
      </c>
      <c r="O1003" s="30" t="s">
        <v>746</v>
      </c>
      <c r="P1003" s="30" t="s">
        <v>683</v>
      </c>
      <c r="Q1003" s="30" t="s">
        <v>665</v>
      </c>
      <c r="R1003" s="30" t="s">
        <v>470</v>
      </c>
      <c r="S1003" s="30" t="s">
        <v>684</v>
      </c>
    </row>
    <row r="1004" spans="1:19" x14ac:dyDescent="0.3">
      <c r="A1004" s="31" t="s">
        <v>2361</v>
      </c>
      <c r="B1004" s="32" t="s">
        <v>528</v>
      </c>
      <c r="C1004" s="32" t="s">
        <v>2362</v>
      </c>
      <c r="D1004" s="32" t="s">
        <v>673</v>
      </c>
      <c r="E1004" s="32" t="s">
        <v>674</v>
      </c>
      <c r="F1004" s="32" t="s">
        <v>716</v>
      </c>
      <c r="G1004" s="32" t="s">
        <v>744</v>
      </c>
      <c r="H1004" s="32" t="s">
        <v>677</v>
      </c>
      <c r="I1004" s="32" t="s">
        <v>678</v>
      </c>
      <c r="J1004" s="32" t="s">
        <v>1422</v>
      </c>
      <c r="K1004" s="32" t="s">
        <v>861</v>
      </c>
      <c r="L1004" s="32" t="s">
        <v>801</v>
      </c>
      <c r="M1004" s="32">
        <v>0.35</v>
      </c>
      <c r="N1004" s="32" t="s">
        <v>543</v>
      </c>
      <c r="O1004" s="32" t="s">
        <v>1915</v>
      </c>
      <c r="P1004" s="32" t="s">
        <v>683</v>
      </c>
      <c r="Q1004" s="32" t="s">
        <v>767</v>
      </c>
      <c r="R1004" s="32" t="s">
        <v>181</v>
      </c>
      <c r="S1004" s="32" t="s">
        <v>673</v>
      </c>
    </row>
    <row r="1005" spans="1:19" x14ac:dyDescent="0.3">
      <c r="A1005" s="29" t="s">
        <v>1245</v>
      </c>
      <c r="B1005" s="30" t="s">
        <v>470</v>
      </c>
      <c r="C1005" s="30" t="s">
        <v>1246</v>
      </c>
      <c r="D1005" s="30" t="s">
        <v>684</v>
      </c>
      <c r="E1005" s="30" t="s">
        <v>674</v>
      </c>
      <c r="F1005" s="30" t="s">
        <v>716</v>
      </c>
      <c r="G1005" s="30" t="s">
        <v>744</v>
      </c>
      <c r="H1005" s="30" t="s">
        <v>702</v>
      </c>
      <c r="I1005" s="30" t="s">
        <v>678</v>
      </c>
      <c r="J1005" s="30" t="s">
        <v>745</v>
      </c>
      <c r="K1005" s="30" t="s">
        <v>738</v>
      </c>
      <c r="L1005" s="30" t="s">
        <v>699</v>
      </c>
      <c r="M1005" s="30">
        <v>0.5</v>
      </c>
      <c r="N1005" s="30" t="s">
        <v>331</v>
      </c>
      <c r="O1005" s="30" t="s">
        <v>746</v>
      </c>
      <c r="P1005" s="30" t="s">
        <v>683</v>
      </c>
      <c r="Q1005" s="30" t="s">
        <v>665</v>
      </c>
      <c r="R1005" s="30" t="s">
        <v>470</v>
      </c>
      <c r="S1005" s="30" t="s">
        <v>684</v>
      </c>
    </row>
    <row r="1006" spans="1:19" x14ac:dyDescent="0.3">
      <c r="A1006" s="31" t="s">
        <v>816</v>
      </c>
      <c r="B1006" s="32" t="s">
        <v>470</v>
      </c>
      <c r="C1006" s="32" t="s">
        <v>817</v>
      </c>
      <c r="D1006" s="32" t="s">
        <v>684</v>
      </c>
      <c r="E1006" s="32" t="s">
        <v>674</v>
      </c>
      <c r="F1006" s="32" t="s">
        <v>675</v>
      </c>
      <c r="G1006" s="32" t="s">
        <v>724</v>
      </c>
      <c r="H1006" s="32" t="s">
        <v>677</v>
      </c>
      <c r="I1006" s="32" t="s">
        <v>678</v>
      </c>
      <c r="J1006" s="32" t="s">
        <v>745</v>
      </c>
      <c r="K1006" s="32" t="s">
        <v>738</v>
      </c>
      <c r="L1006" s="32" t="s">
        <v>699</v>
      </c>
      <c r="M1006" s="32">
        <v>0.25</v>
      </c>
      <c r="N1006" s="32" t="s">
        <v>331</v>
      </c>
      <c r="O1006" s="32" t="s">
        <v>746</v>
      </c>
      <c r="P1006" s="32" t="s">
        <v>683</v>
      </c>
      <c r="Q1006" s="32" t="s">
        <v>665</v>
      </c>
      <c r="R1006" s="32" t="s">
        <v>470</v>
      </c>
      <c r="S1006" s="30" t="s">
        <v>684</v>
      </c>
    </row>
    <row r="1007" spans="1:19" x14ac:dyDescent="0.3">
      <c r="A1007" s="29" t="s">
        <v>818</v>
      </c>
      <c r="B1007" s="30" t="s">
        <v>470</v>
      </c>
      <c r="C1007" s="30" t="s">
        <v>819</v>
      </c>
      <c r="D1007" s="30" t="s">
        <v>684</v>
      </c>
      <c r="E1007" s="30" t="s">
        <v>674</v>
      </c>
      <c r="F1007" s="30" t="s">
        <v>716</v>
      </c>
      <c r="G1007" s="30" t="s">
        <v>724</v>
      </c>
      <c r="H1007" s="30" t="s">
        <v>677</v>
      </c>
      <c r="I1007" s="30" t="s">
        <v>678</v>
      </c>
      <c r="J1007" s="30" t="s">
        <v>745</v>
      </c>
      <c r="K1007" s="30" t="s">
        <v>738</v>
      </c>
      <c r="L1007" s="30" t="s">
        <v>699</v>
      </c>
      <c r="M1007" s="30">
        <v>0.25</v>
      </c>
      <c r="N1007" s="30" t="s">
        <v>331</v>
      </c>
      <c r="O1007" s="30" t="s">
        <v>746</v>
      </c>
      <c r="P1007" s="30" t="s">
        <v>683</v>
      </c>
      <c r="Q1007" s="30" t="s">
        <v>665</v>
      </c>
      <c r="R1007" s="30" t="s">
        <v>470</v>
      </c>
      <c r="S1007" s="30" t="s">
        <v>684</v>
      </c>
    </row>
    <row r="1008" spans="1:19" x14ac:dyDescent="0.3">
      <c r="A1008" s="31" t="s">
        <v>1444</v>
      </c>
      <c r="B1008" s="32" t="s">
        <v>470</v>
      </c>
      <c r="C1008" s="32" t="s">
        <v>1445</v>
      </c>
      <c r="D1008" s="32" t="s">
        <v>684</v>
      </c>
      <c r="E1008" s="32" t="s">
        <v>674</v>
      </c>
      <c r="F1008" s="32" t="s">
        <v>675</v>
      </c>
      <c r="G1008" s="32" t="s">
        <v>676</v>
      </c>
      <c r="H1008" s="32" t="s">
        <v>677</v>
      </c>
      <c r="I1008" s="32" t="s">
        <v>688</v>
      </c>
      <c r="J1008" s="32" t="s">
        <v>745</v>
      </c>
      <c r="K1008" s="32" t="s">
        <v>738</v>
      </c>
      <c r="L1008" s="32" t="s">
        <v>739</v>
      </c>
      <c r="M1008" s="32">
        <v>0.5</v>
      </c>
      <c r="N1008" s="32" t="s">
        <v>392</v>
      </c>
      <c r="O1008" s="32" t="s">
        <v>746</v>
      </c>
      <c r="P1008" s="32" t="s">
        <v>683</v>
      </c>
      <c r="Q1008" s="32" t="s">
        <v>665</v>
      </c>
      <c r="R1008" s="32" t="s">
        <v>470</v>
      </c>
      <c r="S1008" s="30" t="s">
        <v>684</v>
      </c>
    </row>
    <row r="1009" spans="1:19" x14ac:dyDescent="0.3">
      <c r="A1009" s="29" t="s">
        <v>978</v>
      </c>
      <c r="B1009" s="30" t="s">
        <v>470</v>
      </c>
      <c r="C1009" s="30" t="s">
        <v>979</v>
      </c>
      <c r="D1009" s="30" t="s">
        <v>684</v>
      </c>
      <c r="E1009" s="30" t="s">
        <v>674</v>
      </c>
      <c r="F1009" s="30" t="s">
        <v>675</v>
      </c>
      <c r="G1009" s="30" t="s">
        <v>676</v>
      </c>
      <c r="H1009" s="30" t="s">
        <v>677</v>
      </c>
      <c r="I1009" s="30" t="s">
        <v>736</v>
      </c>
      <c r="J1009" s="30" t="s">
        <v>745</v>
      </c>
      <c r="K1009" s="30" t="s">
        <v>738</v>
      </c>
      <c r="L1009" s="30" t="s">
        <v>699</v>
      </c>
      <c r="M1009" s="30">
        <v>0.5</v>
      </c>
      <c r="N1009" s="30" t="s">
        <v>392</v>
      </c>
      <c r="O1009" s="30" t="s">
        <v>746</v>
      </c>
      <c r="P1009" s="30" t="s">
        <v>683</v>
      </c>
      <c r="Q1009" s="30" t="s">
        <v>665</v>
      </c>
      <c r="R1009" s="30" t="s">
        <v>470</v>
      </c>
      <c r="S1009" s="30" t="s">
        <v>684</v>
      </c>
    </row>
    <row r="1010" spans="1:19" x14ac:dyDescent="0.3">
      <c r="A1010" s="31" t="s">
        <v>2363</v>
      </c>
      <c r="B1010" s="32" t="s">
        <v>2364</v>
      </c>
      <c r="C1010" s="32" t="s">
        <v>2363</v>
      </c>
      <c r="D1010" s="32" t="s">
        <v>684</v>
      </c>
      <c r="E1010" s="32" t="s">
        <v>674</v>
      </c>
      <c r="F1010" s="32" t="s">
        <v>716</v>
      </c>
      <c r="G1010" s="32" t="s">
        <v>717</v>
      </c>
      <c r="H1010" s="32" t="s">
        <v>717</v>
      </c>
      <c r="I1010" s="32" t="s">
        <v>736</v>
      </c>
      <c r="J1010" s="32" t="s">
        <v>745</v>
      </c>
      <c r="K1010" s="32" t="s">
        <v>738</v>
      </c>
      <c r="L1010" s="32" t="s">
        <v>699</v>
      </c>
      <c r="M1010" s="32">
        <v>0.7</v>
      </c>
      <c r="N1010" s="32" t="s">
        <v>1401</v>
      </c>
      <c r="O1010" s="32" t="s">
        <v>746</v>
      </c>
      <c r="P1010" s="32" t="s">
        <v>683</v>
      </c>
      <c r="Q1010" s="32" t="s">
        <v>665</v>
      </c>
      <c r="R1010" s="32" t="s">
        <v>470</v>
      </c>
      <c r="S1010" s="30" t="s">
        <v>684</v>
      </c>
    </row>
    <row r="1011" spans="1:19" x14ac:dyDescent="0.3">
      <c r="A1011" s="29" t="s">
        <v>1508</v>
      </c>
      <c r="B1011" s="30" t="s">
        <v>1403</v>
      </c>
      <c r="C1011" s="30" t="s">
        <v>773</v>
      </c>
      <c r="D1011" s="30" t="s">
        <v>684</v>
      </c>
      <c r="E1011" s="30" t="s">
        <v>674</v>
      </c>
      <c r="F1011" s="30" t="s">
        <v>773</v>
      </c>
      <c r="G1011" s="30" t="s">
        <v>773</v>
      </c>
      <c r="H1011" s="30" t="s">
        <v>773</v>
      </c>
      <c r="I1011" s="30" t="s">
        <v>773</v>
      </c>
      <c r="J1011" s="30" t="s">
        <v>745</v>
      </c>
      <c r="K1011" s="30" t="s">
        <v>738</v>
      </c>
      <c r="L1011" s="30" t="s">
        <v>699</v>
      </c>
      <c r="M1011" s="30">
        <v>0.2</v>
      </c>
      <c r="N1011" s="30" t="s">
        <v>1401</v>
      </c>
      <c r="O1011" s="30" t="s">
        <v>746</v>
      </c>
      <c r="P1011" s="30" t="s">
        <v>683</v>
      </c>
      <c r="Q1011" s="30" t="s">
        <v>665</v>
      </c>
      <c r="R1011" s="30" t="s">
        <v>470</v>
      </c>
      <c r="S1011" s="30" t="s">
        <v>684</v>
      </c>
    </row>
    <row r="1012" spans="1:19" x14ac:dyDescent="0.3">
      <c r="A1012" s="31" t="s">
        <v>1402</v>
      </c>
      <c r="B1012" s="32" t="s">
        <v>1403</v>
      </c>
      <c r="C1012" s="32" t="s">
        <v>773</v>
      </c>
      <c r="D1012" s="32" t="s">
        <v>684</v>
      </c>
      <c r="E1012" s="32" t="s">
        <v>674</v>
      </c>
      <c r="F1012" s="32" t="s">
        <v>773</v>
      </c>
      <c r="G1012" s="32" t="s">
        <v>773</v>
      </c>
      <c r="H1012" s="32" t="s">
        <v>773</v>
      </c>
      <c r="I1012" s="32" t="s">
        <v>773</v>
      </c>
      <c r="J1012" s="32" t="s">
        <v>745</v>
      </c>
      <c r="K1012" s="32" t="s">
        <v>738</v>
      </c>
      <c r="L1012" s="32" t="s">
        <v>699</v>
      </c>
      <c r="M1012" s="32">
        <v>0.1</v>
      </c>
      <c r="N1012" s="32" t="s">
        <v>1401</v>
      </c>
      <c r="O1012" s="32" t="s">
        <v>746</v>
      </c>
      <c r="P1012" s="32" t="s">
        <v>683</v>
      </c>
      <c r="Q1012" s="32" t="s">
        <v>665</v>
      </c>
      <c r="R1012" s="32" t="s">
        <v>470</v>
      </c>
      <c r="S1012" s="30" t="s">
        <v>684</v>
      </c>
    </row>
    <row r="1013" spans="1:19" x14ac:dyDescent="0.3">
      <c r="A1013" s="29" t="s">
        <v>1399</v>
      </c>
      <c r="B1013" s="30" t="s">
        <v>470</v>
      </c>
      <c r="C1013" s="30" t="s">
        <v>1400</v>
      </c>
      <c r="D1013" s="30" t="s">
        <v>684</v>
      </c>
      <c r="E1013" s="30" t="s">
        <v>674</v>
      </c>
      <c r="F1013" s="30" t="s">
        <v>675</v>
      </c>
      <c r="G1013" s="30" t="s">
        <v>676</v>
      </c>
      <c r="H1013" s="30" t="s">
        <v>677</v>
      </c>
      <c r="I1013" s="30" t="s">
        <v>688</v>
      </c>
      <c r="J1013" s="30" t="s">
        <v>745</v>
      </c>
      <c r="K1013" s="30" t="s">
        <v>738</v>
      </c>
      <c r="L1013" s="30" t="s">
        <v>699</v>
      </c>
      <c r="M1013" s="30">
        <v>0.25</v>
      </c>
      <c r="N1013" s="30" t="s">
        <v>1396</v>
      </c>
      <c r="O1013" s="30" t="s">
        <v>746</v>
      </c>
      <c r="P1013" s="30" t="s">
        <v>683</v>
      </c>
      <c r="Q1013" s="30" t="s">
        <v>665</v>
      </c>
      <c r="R1013" s="30" t="s">
        <v>470</v>
      </c>
      <c r="S1013" s="30" t="s">
        <v>684</v>
      </c>
    </row>
    <row r="1014" spans="1:19" x14ac:dyDescent="0.3">
      <c r="A1014" s="31" t="s">
        <v>1397</v>
      </c>
      <c r="B1014" s="32" t="s">
        <v>981</v>
      </c>
      <c r="C1014" s="32" t="s">
        <v>1398</v>
      </c>
      <c r="D1014" s="32" t="s">
        <v>684</v>
      </c>
      <c r="E1014" s="32" t="s">
        <v>674</v>
      </c>
      <c r="F1014" s="32" t="s">
        <v>716</v>
      </c>
      <c r="G1014" s="32" t="s">
        <v>744</v>
      </c>
      <c r="H1014" s="32" t="s">
        <v>702</v>
      </c>
      <c r="I1014" s="32" t="s">
        <v>736</v>
      </c>
      <c r="J1014" s="32" t="s">
        <v>745</v>
      </c>
      <c r="K1014" s="32" t="s">
        <v>738</v>
      </c>
      <c r="L1014" s="32" t="s">
        <v>739</v>
      </c>
      <c r="M1014" s="32">
        <v>0.25</v>
      </c>
      <c r="N1014" s="32" t="s">
        <v>1396</v>
      </c>
      <c r="O1014" s="32" t="s">
        <v>746</v>
      </c>
      <c r="P1014" s="32" t="s">
        <v>683</v>
      </c>
      <c r="Q1014" s="32" t="s">
        <v>665</v>
      </c>
      <c r="R1014" s="32" t="s">
        <v>470</v>
      </c>
      <c r="S1014" s="30" t="s">
        <v>684</v>
      </c>
    </row>
    <row r="1015" spans="1:19" x14ac:dyDescent="0.3">
      <c r="A1015" s="29" t="s">
        <v>1394</v>
      </c>
      <c r="B1015" s="30" t="s">
        <v>470</v>
      </c>
      <c r="C1015" s="30" t="s">
        <v>1395</v>
      </c>
      <c r="D1015" s="30" t="s">
        <v>684</v>
      </c>
      <c r="E1015" s="30" t="s">
        <v>674</v>
      </c>
      <c r="F1015" s="30" t="s">
        <v>716</v>
      </c>
      <c r="G1015" s="30" t="s">
        <v>744</v>
      </c>
      <c r="H1015" s="30" t="s">
        <v>702</v>
      </c>
      <c r="I1015" s="30" t="s">
        <v>736</v>
      </c>
      <c r="J1015" s="30" t="s">
        <v>745</v>
      </c>
      <c r="K1015" s="30" t="s">
        <v>738</v>
      </c>
      <c r="L1015" s="30" t="s">
        <v>739</v>
      </c>
      <c r="M1015" s="30">
        <v>0.25</v>
      </c>
      <c r="N1015" s="30" t="s">
        <v>1396</v>
      </c>
      <c r="O1015" s="30" t="s">
        <v>746</v>
      </c>
      <c r="P1015" s="30" t="s">
        <v>683</v>
      </c>
      <c r="Q1015" s="30" t="s">
        <v>665</v>
      </c>
      <c r="R1015" s="30" t="s">
        <v>470</v>
      </c>
      <c r="S1015" s="30" t="s">
        <v>684</v>
      </c>
    </row>
    <row r="1016" spans="1:19" x14ac:dyDescent="0.3">
      <c r="A1016" s="31" t="s">
        <v>818</v>
      </c>
      <c r="B1016" s="32" t="s">
        <v>470</v>
      </c>
      <c r="C1016" s="32" t="s">
        <v>819</v>
      </c>
      <c r="D1016" s="32" t="s">
        <v>684</v>
      </c>
      <c r="E1016" s="32" t="s">
        <v>674</v>
      </c>
      <c r="F1016" s="32" t="s">
        <v>716</v>
      </c>
      <c r="G1016" s="32" t="s">
        <v>724</v>
      </c>
      <c r="H1016" s="32" t="s">
        <v>677</v>
      </c>
      <c r="I1016" s="32" t="s">
        <v>678</v>
      </c>
      <c r="J1016" s="32" t="s">
        <v>745</v>
      </c>
      <c r="K1016" s="32" t="s">
        <v>738</v>
      </c>
      <c r="L1016" s="32" t="s">
        <v>699</v>
      </c>
      <c r="M1016" s="32">
        <v>0.25</v>
      </c>
      <c r="N1016" s="32" t="s">
        <v>1396</v>
      </c>
      <c r="O1016" s="32" t="s">
        <v>746</v>
      </c>
      <c r="P1016" s="32" t="s">
        <v>683</v>
      </c>
      <c r="Q1016" s="32" t="s">
        <v>665</v>
      </c>
      <c r="R1016" s="32" t="s">
        <v>470</v>
      </c>
      <c r="S1016" s="30" t="s">
        <v>684</v>
      </c>
    </row>
    <row r="1017" spans="1:19" x14ac:dyDescent="0.3">
      <c r="A1017" s="29" t="s">
        <v>978</v>
      </c>
      <c r="B1017" s="30" t="s">
        <v>470</v>
      </c>
      <c r="C1017" s="30" t="s">
        <v>979</v>
      </c>
      <c r="D1017" s="30" t="s">
        <v>684</v>
      </c>
      <c r="E1017" s="30" t="s">
        <v>674</v>
      </c>
      <c r="F1017" s="30" t="s">
        <v>675</v>
      </c>
      <c r="G1017" s="30" t="s">
        <v>676</v>
      </c>
      <c r="H1017" s="30" t="s">
        <v>677</v>
      </c>
      <c r="I1017" s="30" t="s">
        <v>736</v>
      </c>
      <c r="J1017" s="30" t="s">
        <v>745</v>
      </c>
      <c r="K1017" s="30" t="s">
        <v>738</v>
      </c>
      <c r="L1017" s="30" t="s">
        <v>699</v>
      </c>
      <c r="M1017" s="30">
        <v>0.35</v>
      </c>
      <c r="N1017" s="30" t="s">
        <v>168</v>
      </c>
      <c r="O1017" s="30" t="s">
        <v>746</v>
      </c>
      <c r="P1017" s="30" t="s">
        <v>683</v>
      </c>
      <c r="Q1017" s="30" t="s">
        <v>665</v>
      </c>
      <c r="R1017" s="30" t="s">
        <v>470</v>
      </c>
      <c r="S1017" s="30" t="s">
        <v>684</v>
      </c>
    </row>
    <row r="1018" spans="1:19" x14ac:dyDescent="0.3">
      <c r="A1018" s="31" t="s">
        <v>1444</v>
      </c>
      <c r="B1018" s="32" t="s">
        <v>470</v>
      </c>
      <c r="C1018" s="32" t="s">
        <v>1445</v>
      </c>
      <c r="D1018" s="32" t="s">
        <v>684</v>
      </c>
      <c r="E1018" s="32" t="s">
        <v>674</v>
      </c>
      <c r="F1018" s="32" t="s">
        <v>675</v>
      </c>
      <c r="G1018" s="32" t="s">
        <v>676</v>
      </c>
      <c r="H1018" s="32" t="s">
        <v>677</v>
      </c>
      <c r="I1018" s="32" t="s">
        <v>688</v>
      </c>
      <c r="J1018" s="32" t="s">
        <v>745</v>
      </c>
      <c r="K1018" s="32" t="s">
        <v>738</v>
      </c>
      <c r="L1018" s="32" t="s">
        <v>739</v>
      </c>
      <c r="M1018" s="32">
        <v>0.65</v>
      </c>
      <c r="N1018" s="32" t="s">
        <v>168</v>
      </c>
      <c r="O1018" s="32" t="s">
        <v>746</v>
      </c>
      <c r="P1018" s="32" t="s">
        <v>683</v>
      </c>
      <c r="Q1018" s="32" t="s">
        <v>665</v>
      </c>
      <c r="R1018" s="32" t="s">
        <v>470</v>
      </c>
      <c r="S1018" s="30" t="s">
        <v>684</v>
      </c>
    </row>
    <row r="1019" spans="1:19" x14ac:dyDescent="0.3">
      <c r="A1019" s="29" t="s">
        <v>2365</v>
      </c>
      <c r="B1019" s="30" t="s">
        <v>470</v>
      </c>
      <c r="C1019" s="30" t="s">
        <v>2366</v>
      </c>
      <c r="D1019" s="30" t="s">
        <v>684</v>
      </c>
      <c r="E1019" s="30" t="s">
        <v>674</v>
      </c>
      <c r="F1019" s="30" t="s">
        <v>716</v>
      </c>
      <c r="G1019" s="30" t="s">
        <v>724</v>
      </c>
      <c r="H1019" s="30" t="s">
        <v>702</v>
      </c>
      <c r="I1019" s="30" t="s">
        <v>736</v>
      </c>
      <c r="J1019" s="30" t="s">
        <v>745</v>
      </c>
      <c r="K1019" s="30" t="s">
        <v>738</v>
      </c>
      <c r="L1019" s="30" t="s">
        <v>699</v>
      </c>
      <c r="M1019" s="30">
        <v>0.5</v>
      </c>
      <c r="N1019" s="30" t="s">
        <v>1666</v>
      </c>
      <c r="O1019" s="30" t="s">
        <v>746</v>
      </c>
      <c r="P1019" s="30" t="s">
        <v>683</v>
      </c>
      <c r="Q1019" s="30" t="s">
        <v>665</v>
      </c>
      <c r="R1019" s="30" t="s">
        <v>470</v>
      </c>
      <c r="S1019" s="30" t="s">
        <v>684</v>
      </c>
    </row>
    <row r="1020" spans="1:19" x14ac:dyDescent="0.3">
      <c r="A1020" s="31" t="s">
        <v>2367</v>
      </c>
      <c r="B1020" s="32" t="s">
        <v>470</v>
      </c>
      <c r="C1020" s="32" t="s">
        <v>2368</v>
      </c>
      <c r="D1020" s="32" t="s">
        <v>684</v>
      </c>
      <c r="E1020" s="32" t="s">
        <v>674</v>
      </c>
      <c r="F1020" s="32" t="s">
        <v>716</v>
      </c>
      <c r="G1020" s="32" t="s">
        <v>724</v>
      </c>
      <c r="H1020" s="32" t="s">
        <v>702</v>
      </c>
      <c r="I1020" s="32" t="s">
        <v>736</v>
      </c>
      <c r="J1020" s="32" t="s">
        <v>745</v>
      </c>
      <c r="K1020" s="32" t="s">
        <v>738</v>
      </c>
      <c r="L1020" s="32" t="s">
        <v>699</v>
      </c>
      <c r="M1020" s="32">
        <v>0.5</v>
      </c>
      <c r="N1020" s="32" t="s">
        <v>1666</v>
      </c>
      <c r="O1020" s="32" t="s">
        <v>746</v>
      </c>
      <c r="P1020" s="32" t="s">
        <v>683</v>
      </c>
      <c r="Q1020" s="32" t="s">
        <v>665</v>
      </c>
      <c r="R1020" s="32" t="s">
        <v>470</v>
      </c>
      <c r="S1020" s="30" t="s">
        <v>684</v>
      </c>
    </row>
    <row r="1021" spans="1:19" x14ac:dyDescent="0.3">
      <c r="A1021" s="29" t="s">
        <v>1402</v>
      </c>
      <c r="B1021" s="30" t="s">
        <v>1403</v>
      </c>
      <c r="C1021" s="30" t="s">
        <v>773</v>
      </c>
      <c r="D1021" s="30" t="s">
        <v>684</v>
      </c>
      <c r="E1021" s="30" t="s">
        <v>674</v>
      </c>
      <c r="F1021" s="30" t="s">
        <v>773</v>
      </c>
      <c r="G1021" s="30" t="s">
        <v>773</v>
      </c>
      <c r="H1021" s="30" t="s">
        <v>773</v>
      </c>
      <c r="I1021" s="30" t="s">
        <v>773</v>
      </c>
      <c r="J1021" s="30" t="s">
        <v>745</v>
      </c>
      <c r="K1021" s="30" t="s">
        <v>738</v>
      </c>
      <c r="L1021" s="30" t="s">
        <v>699</v>
      </c>
      <c r="M1021" s="30">
        <v>0.5</v>
      </c>
      <c r="N1021" s="30" t="s">
        <v>1665</v>
      </c>
      <c r="O1021" s="30" t="s">
        <v>746</v>
      </c>
      <c r="P1021" s="30" t="s">
        <v>683</v>
      </c>
      <c r="Q1021" s="30" t="s">
        <v>665</v>
      </c>
      <c r="R1021" s="30" t="s">
        <v>470</v>
      </c>
      <c r="S1021" s="30" t="s">
        <v>684</v>
      </c>
    </row>
    <row r="1022" spans="1:19" x14ac:dyDescent="0.3">
      <c r="A1022" s="31" t="s">
        <v>1508</v>
      </c>
      <c r="B1022" s="32" t="s">
        <v>1403</v>
      </c>
      <c r="C1022" s="32" t="s">
        <v>773</v>
      </c>
      <c r="D1022" s="32" t="s">
        <v>684</v>
      </c>
      <c r="E1022" s="32" t="s">
        <v>674</v>
      </c>
      <c r="F1022" s="32" t="s">
        <v>773</v>
      </c>
      <c r="G1022" s="32" t="s">
        <v>773</v>
      </c>
      <c r="H1022" s="32" t="s">
        <v>773</v>
      </c>
      <c r="I1022" s="32" t="s">
        <v>773</v>
      </c>
      <c r="J1022" s="32" t="s">
        <v>745</v>
      </c>
      <c r="K1022" s="32" t="s">
        <v>738</v>
      </c>
      <c r="L1022" s="32" t="s">
        <v>699</v>
      </c>
      <c r="M1022" s="32">
        <v>0.5</v>
      </c>
      <c r="N1022" s="32" t="s">
        <v>1665</v>
      </c>
      <c r="O1022" s="32" t="s">
        <v>746</v>
      </c>
      <c r="P1022" s="32" t="s">
        <v>683</v>
      </c>
      <c r="Q1022" s="32" t="s">
        <v>665</v>
      </c>
      <c r="R1022" s="32" t="s">
        <v>470</v>
      </c>
      <c r="S1022" s="30" t="s">
        <v>684</v>
      </c>
    </row>
    <row r="1023" spans="1:19" x14ac:dyDescent="0.3">
      <c r="A1023" s="29" t="s">
        <v>747</v>
      </c>
      <c r="B1023" s="30" t="s">
        <v>470</v>
      </c>
      <c r="C1023" s="30" t="s">
        <v>747</v>
      </c>
      <c r="D1023" s="30" t="s">
        <v>684</v>
      </c>
      <c r="E1023" s="30" t="s">
        <v>674</v>
      </c>
      <c r="F1023" s="30" t="s">
        <v>716</v>
      </c>
      <c r="G1023" s="30" t="s">
        <v>744</v>
      </c>
      <c r="H1023" s="30" t="s">
        <v>702</v>
      </c>
      <c r="I1023" s="30" t="s">
        <v>736</v>
      </c>
      <c r="J1023" s="30" t="s">
        <v>745</v>
      </c>
      <c r="K1023" s="30" t="s">
        <v>738</v>
      </c>
      <c r="L1023" s="30" t="s">
        <v>699</v>
      </c>
      <c r="M1023" s="30">
        <v>0.6</v>
      </c>
      <c r="N1023" s="30" t="s">
        <v>83</v>
      </c>
      <c r="O1023" s="30" t="s">
        <v>746</v>
      </c>
      <c r="P1023" s="30" t="s">
        <v>683</v>
      </c>
      <c r="Q1023" s="30" t="s">
        <v>665</v>
      </c>
      <c r="R1023" s="30" t="s">
        <v>470</v>
      </c>
      <c r="S1023" s="30" t="s">
        <v>684</v>
      </c>
    </row>
    <row r="1024" spans="1:19" x14ac:dyDescent="0.3">
      <c r="A1024" s="31" t="s">
        <v>742</v>
      </c>
      <c r="B1024" s="32" t="s">
        <v>470</v>
      </c>
      <c r="C1024" s="32" t="s">
        <v>743</v>
      </c>
      <c r="D1024" s="32" t="s">
        <v>684</v>
      </c>
      <c r="E1024" s="32" t="s">
        <v>674</v>
      </c>
      <c r="F1024" s="32" t="s">
        <v>716</v>
      </c>
      <c r="G1024" s="32" t="s">
        <v>744</v>
      </c>
      <c r="H1024" s="32" t="s">
        <v>702</v>
      </c>
      <c r="I1024" s="32" t="s">
        <v>736</v>
      </c>
      <c r="J1024" s="32" t="s">
        <v>745</v>
      </c>
      <c r="K1024" s="32" t="s">
        <v>738</v>
      </c>
      <c r="L1024" s="32" t="s">
        <v>699</v>
      </c>
      <c r="M1024" s="32">
        <v>0.4</v>
      </c>
      <c r="N1024" s="32" t="s">
        <v>83</v>
      </c>
      <c r="O1024" s="32" t="s">
        <v>746</v>
      </c>
      <c r="P1024" s="32" t="s">
        <v>683</v>
      </c>
      <c r="Q1024" s="32" t="s">
        <v>665</v>
      </c>
      <c r="R1024" s="32" t="s">
        <v>470</v>
      </c>
      <c r="S1024" s="30" t="s">
        <v>684</v>
      </c>
    </row>
    <row r="1025" spans="1:19" x14ac:dyDescent="0.3">
      <c r="A1025" s="29" t="s">
        <v>1495</v>
      </c>
      <c r="B1025" s="30" t="s">
        <v>544</v>
      </c>
      <c r="C1025" s="30" t="s">
        <v>1496</v>
      </c>
      <c r="D1025" s="30" t="s">
        <v>684</v>
      </c>
      <c r="E1025" s="30" t="s">
        <v>674</v>
      </c>
      <c r="F1025" s="30" t="s">
        <v>675</v>
      </c>
      <c r="G1025" s="30" t="s">
        <v>676</v>
      </c>
      <c r="H1025" s="30" t="s">
        <v>677</v>
      </c>
      <c r="I1025" s="30" t="s">
        <v>736</v>
      </c>
      <c r="J1025" s="30" t="s">
        <v>737</v>
      </c>
      <c r="K1025" s="30" t="s">
        <v>738</v>
      </c>
      <c r="L1025" s="30" t="s">
        <v>699</v>
      </c>
      <c r="M1025" s="30">
        <v>0.3</v>
      </c>
      <c r="N1025" s="30" t="s">
        <v>283</v>
      </c>
      <c r="O1025" s="30" t="s">
        <v>746</v>
      </c>
      <c r="P1025" s="30" t="s">
        <v>683</v>
      </c>
      <c r="Q1025" s="30" t="s">
        <v>665</v>
      </c>
      <c r="R1025" s="30" t="s">
        <v>155</v>
      </c>
      <c r="S1025" s="30" t="s">
        <v>684</v>
      </c>
    </row>
    <row r="1026" spans="1:19" x14ac:dyDescent="0.3">
      <c r="A1026" s="31" t="s">
        <v>1503</v>
      </c>
      <c r="B1026" s="32" t="s">
        <v>544</v>
      </c>
      <c r="C1026" s="32" t="s">
        <v>1504</v>
      </c>
      <c r="D1026" s="32" t="s">
        <v>684</v>
      </c>
      <c r="E1026" s="32" t="s">
        <v>674</v>
      </c>
      <c r="F1026" s="32" t="s">
        <v>716</v>
      </c>
      <c r="G1026" s="32" t="s">
        <v>717</v>
      </c>
      <c r="H1026" s="32" t="s">
        <v>717</v>
      </c>
      <c r="I1026" s="32" t="s">
        <v>736</v>
      </c>
      <c r="J1026" s="32" t="s">
        <v>737</v>
      </c>
      <c r="K1026" s="32" t="s">
        <v>738</v>
      </c>
      <c r="L1026" s="32" t="s">
        <v>699</v>
      </c>
      <c r="M1026" s="32">
        <v>0.1</v>
      </c>
      <c r="N1026" s="32" t="s">
        <v>497</v>
      </c>
      <c r="O1026" s="32" t="s">
        <v>746</v>
      </c>
      <c r="P1026" s="32" t="s">
        <v>683</v>
      </c>
      <c r="Q1026" s="32" t="s">
        <v>665</v>
      </c>
      <c r="R1026" s="32" t="s">
        <v>155</v>
      </c>
      <c r="S1026" s="30" t="s">
        <v>684</v>
      </c>
    </row>
    <row r="1027" spans="1:19" x14ac:dyDescent="0.3">
      <c r="A1027" s="29" t="s">
        <v>2369</v>
      </c>
      <c r="B1027" s="30" t="s">
        <v>544</v>
      </c>
      <c r="C1027" s="30" t="s">
        <v>2370</v>
      </c>
      <c r="D1027" s="30" t="s">
        <v>684</v>
      </c>
      <c r="E1027" s="30" t="s">
        <v>674</v>
      </c>
      <c r="F1027" s="30" t="s">
        <v>716</v>
      </c>
      <c r="G1027" s="30" t="s">
        <v>744</v>
      </c>
      <c r="H1027" s="30" t="s">
        <v>677</v>
      </c>
      <c r="I1027" s="30" t="s">
        <v>736</v>
      </c>
      <c r="J1027" s="30" t="s">
        <v>737</v>
      </c>
      <c r="K1027" s="30" t="s">
        <v>738</v>
      </c>
      <c r="L1027" s="30" t="s">
        <v>691</v>
      </c>
      <c r="M1027" s="30">
        <v>0.4</v>
      </c>
      <c r="N1027" s="30" t="s">
        <v>497</v>
      </c>
      <c r="O1027" s="30" t="s">
        <v>746</v>
      </c>
      <c r="P1027" s="30" t="s">
        <v>683</v>
      </c>
      <c r="Q1027" s="30" t="s">
        <v>665</v>
      </c>
      <c r="R1027" s="30" t="s">
        <v>155</v>
      </c>
      <c r="S1027" s="30" t="s">
        <v>684</v>
      </c>
    </row>
    <row r="1028" spans="1:19" x14ac:dyDescent="0.3">
      <c r="A1028" s="31" t="s">
        <v>1612</v>
      </c>
      <c r="B1028" s="32" t="s">
        <v>544</v>
      </c>
      <c r="C1028" s="32" t="s">
        <v>1613</v>
      </c>
      <c r="D1028" s="32" t="s">
        <v>684</v>
      </c>
      <c r="E1028" s="32" t="s">
        <v>674</v>
      </c>
      <c r="F1028" s="32" t="s">
        <v>716</v>
      </c>
      <c r="G1028" s="32" t="s">
        <v>744</v>
      </c>
      <c r="H1028" s="32" t="s">
        <v>677</v>
      </c>
      <c r="I1028" s="32" t="s">
        <v>688</v>
      </c>
      <c r="J1028" s="32" t="s">
        <v>737</v>
      </c>
      <c r="K1028" s="32" t="s">
        <v>738</v>
      </c>
      <c r="L1028" s="32" t="s">
        <v>808</v>
      </c>
      <c r="M1028" s="32">
        <v>0.3</v>
      </c>
      <c r="N1028" s="32" t="s">
        <v>288</v>
      </c>
      <c r="O1028" s="32" t="s">
        <v>746</v>
      </c>
      <c r="P1028" s="32" t="s">
        <v>683</v>
      </c>
      <c r="Q1028" s="32" t="s">
        <v>665</v>
      </c>
      <c r="R1028" s="32" t="s">
        <v>155</v>
      </c>
      <c r="S1028" s="30" t="s">
        <v>684</v>
      </c>
    </row>
    <row r="1029" spans="1:19" x14ac:dyDescent="0.3">
      <c r="A1029" s="29" t="s">
        <v>1609</v>
      </c>
      <c r="B1029" s="30" t="s">
        <v>544</v>
      </c>
      <c r="C1029" s="30" t="s">
        <v>1610</v>
      </c>
      <c r="D1029" s="30" t="s">
        <v>684</v>
      </c>
      <c r="E1029" s="30" t="s">
        <v>674</v>
      </c>
      <c r="F1029" s="30" t="s">
        <v>675</v>
      </c>
      <c r="G1029" s="30" t="s">
        <v>676</v>
      </c>
      <c r="H1029" s="30" t="s">
        <v>677</v>
      </c>
      <c r="I1029" s="30" t="s">
        <v>736</v>
      </c>
      <c r="J1029" s="30" t="s">
        <v>737</v>
      </c>
      <c r="K1029" s="30" t="s">
        <v>738</v>
      </c>
      <c r="L1029" s="30" t="s">
        <v>699</v>
      </c>
      <c r="M1029" s="30">
        <v>0.4</v>
      </c>
      <c r="N1029" s="30" t="s">
        <v>283</v>
      </c>
      <c r="O1029" s="30" t="s">
        <v>746</v>
      </c>
      <c r="P1029" s="30" t="s">
        <v>683</v>
      </c>
      <c r="Q1029" s="30" t="s">
        <v>665</v>
      </c>
      <c r="R1029" s="30" t="s">
        <v>155</v>
      </c>
      <c r="S1029" s="30" t="s">
        <v>684</v>
      </c>
    </row>
    <row r="1030" spans="1:19" x14ac:dyDescent="0.3">
      <c r="A1030" s="31" t="s">
        <v>1497</v>
      </c>
      <c r="B1030" s="32" t="s">
        <v>544</v>
      </c>
      <c r="C1030" s="32" t="s">
        <v>1498</v>
      </c>
      <c r="D1030" s="32" t="s">
        <v>684</v>
      </c>
      <c r="E1030" s="32" t="s">
        <v>674</v>
      </c>
      <c r="F1030" s="32" t="s">
        <v>675</v>
      </c>
      <c r="G1030" s="32" t="s">
        <v>676</v>
      </c>
      <c r="H1030" s="32" t="s">
        <v>677</v>
      </c>
      <c r="I1030" s="32" t="s">
        <v>688</v>
      </c>
      <c r="J1030" s="32" t="s">
        <v>737</v>
      </c>
      <c r="K1030" s="32" t="s">
        <v>738</v>
      </c>
      <c r="L1030" s="32" t="s">
        <v>699</v>
      </c>
      <c r="M1030" s="32">
        <v>0.3</v>
      </c>
      <c r="N1030" s="32" t="s">
        <v>283</v>
      </c>
      <c r="O1030" s="32" t="s">
        <v>746</v>
      </c>
      <c r="P1030" s="32" t="s">
        <v>683</v>
      </c>
      <c r="Q1030" s="32" t="s">
        <v>665</v>
      </c>
      <c r="R1030" s="32" t="s">
        <v>155</v>
      </c>
      <c r="S1030" s="30" t="s">
        <v>684</v>
      </c>
    </row>
    <row r="1031" spans="1:19" x14ac:dyDescent="0.3">
      <c r="A1031" s="29" t="s">
        <v>911</v>
      </c>
      <c r="B1031" s="30" t="s">
        <v>544</v>
      </c>
      <c r="C1031" s="30" t="s">
        <v>912</v>
      </c>
      <c r="D1031" s="30" t="s">
        <v>684</v>
      </c>
      <c r="E1031" s="30" t="s">
        <v>674</v>
      </c>
      <c r="F1031" s="30" t="s">
        <v>716</v>
      </c>
      <c r="G1031" s="30" t="s">
        <v>744</v>
      </c>
      <c r="H1031" s="30" t="s">
        <v>702</v>
      </c>
      <c r="I1031" s="30" t="s">
        <v>736</v>
      </c>
      <c r="J1031" s="30" t="s">
        <v>737</v>
      </c>
      <c r="K1031" s="30" t="s">
        <v>738</v>
      </c>
      <c r="L1031" s="30" t="s">
        <v>808</v>
      </c>
      <c r="M1031" s="30">
        <v>0.2</v>
      </c>
      <c r="N1031" s="30" t="s">
        <v>288</v>
      </c>
      <c r="O1031" s="30" t="s">
        <v>746</v>
      </c>
      <c r="P1031" s="30" t="s">
        <v>683</v>
      </c>
      <c r="Q1031" s="30" t="s">
        <v>665</v>
      </c>
      <c r="R1031" s="30" t="s">
        <v>155</v>
      </c>
      <c r="S1031" s="30" t="s">
        <v>684</v>
      </c>
    </row>
    <row r="1032" spans="1:19" x14ac:dyDescent="0.3">
      <c r="A1032" s="31" t="s">
        <v>2371</v>
      </c>
      <c r="B1032" s="32" t="s">
        <v>544</v>
      </c>
      <c r="C1032" s="32" t="s">
        <v>2372</v>
      </c>
      <c r="D1032" s="32" t="s">
        <v>684</v>
      </c>
      <c r="E1032" s="32" t="s">
        <v>674</v>
      </c>
      <c r="F1032" s="32" t="s">
        <v>716</v>
      </c>
      <c r="G1032" s="32" t="s">
        <v>744</v>
      </c>
      <c r="H1032" s="32" t="s">
        <v>677</v>
      </c>
      <c r="I1032" s="32" t="s">
        <v>736</v>
      </c>
      <c r="J1032" s="32" t="s">
        <v>737</v>
      </c>
      <c r="K1032" s="32" t="s">
        <v>738</v>
      </c>
      <c r="L1032" s="32" t="s">
        <v>691</v>
      </c>
      <c r="M1032" s="32">
        <v>0.5</v>
      </c>
      <c r="N1032" s="32" t="s">
        <v>497</v>
      </c>
      <c r="O1032" s="32" t="s">
        <v>746</v>
      </c>
      <c r="P1032" s="32" t="s">
        <v>683</v>
      </c>
      <c r="Q1032" s="32" t="s">
        <v>665</v>
      </c>
      <c r="R1032" s="32" t="s">
        <v>155</v>
      </c>
      <c r="S1032" s="30" t="s">
        <v>684</v>
      </c>
    </row>
    <row r="1033" spans="1:19" x14ac:dyDescent="0.3">
      <c r="A1033" s="29" t="s">
        <v>1611</v>
      </c>
      <c r="B1033" s="30" t="s">
        <v>544</v>
      </c>
      <c r="C1033" s="30" t="s">
        <v>1611</v>
      </c>
      <c r="D1033" s="30" t="s">
        <v>684</v>
      </c>
      <c r="E1033" s="30" t="s">
        <v>674</v>
      </c>
      <c r="F1033" s="30" t="s">
        <v>716</v>
      </c>
      <c r="G1033" s="30" t="s">
        <v>744</v>
      </c>
      <c r="H1033" s="30" t="s">
        <v>702</v>
      </c>
      <c r="I1033" s="30" t="s">
        <v>736</v>
      </c>
      <c r="J1033" s="30" t="s">
        <v>737</v>
      </c>
      <c r="K1033" s="30" t="s">
        <v>738</v>
      </c>
      <c r="L1033" s="30" t="s">
        <v>739</v>
      </c>
      <c r="M1033" s="30">
        <v>0.5</v>
      </c>
      <c r="N1033" s="30" t="s">
        <v>288</v>
      </c>
      <c r="O1033" s="30" t="s">
        <v>746</v>
      </c>
      <c r="P1033" s="30" t="s">
        <v>683</v>
      </c>
      <c r="Q1033" s="30" t="s">
        <v>665</v>
      </c>
      <c r="R1033" s="30" t="s">
        <v>155</v>
      </c>
      <c r="S1033" s="30" t="s">
        <v>684</v>
      </c>
    </row>
    <row r="1034" spans="1:19" x14ac:dyDescent="0.3">
      <c r="A1034" s="31" t="s">
        <v>2373</v>
      </c>
      <c r="B1034" s="32" t="s">
        <v>544</v>
      </c>
      <c r="C1034" s="32" t="s">
        <v>2374</v>
      </c>
      <c r="D1034" s="32" t="s">
        <v>684</v>
      </c>
      <c r="E1034" s="32" t="s">
        <v>674</v>
      </c>
      <c r="F1034" s="32" t="s">
        <v>675</v>
      </c>
      <c r="G1034" s="32" t="s">
        <v>744</v>
      </c>
      <c r="H1034" s="32" t="s">
        <v>677</v>
      </c>
      <c r="I1034" s="32" t="s">
        <v>736</v>
      </c>
      <c r="J1034" s="32" t="s">
        <v>737</v>
      </c>
      <c r="K1034" s="32" t="s">
        <v>738</v>
      </c>
      <c r="L1034" s="32" t="s">
        <v>691</v>
      </c>
      <c r="M1034" s="32">
        <v>0.2</v>
      </c>
      <c r="N1034" s="32" t="s">
        <v>356</v>
      </c>
      <c r="O1034" s="32" t="s">
        <v>746</v>
      </c>
      <c r="P1034" s="32" t="s">
        <v>683</v>
      </c>
      <c r="Q1034" s="32" t="s">
        <v>665</v>
      </c>
      <c r="R1034" s="32" t="s">
        <v>155</v>
      </c>
      <c r="S1034" s="30" t="s">
        <v>684</v>
      </c>
    </row>
    <row r="1035" spans="1:19" x14ac:dyDescent="0.3">
      <c r="A1035" s="29" t="s">
        <v>2375</v>
      </c>
      <c r="B1035" s="30" t="s">
        <v>544</v>
      </c>
      <c r="C1035" s="30" t="s">
        <v>2376</v>
      </c>
      <c r="D1035" s="30" t="s">
        <v>684</v>
      </c>
      <c r="E1035" s="30" t="s">
        <v>674</v>
      </c>
      <c r="F1035" s="30" t="s">
        <v>675</v>
      </c>
      <c r="G1035" s="30" t="s">
        <v>744</v>
      </c>
      <c r="H1035" s="30" t="s">
        <v>677</v>
      </c>
      <c r="I1035" s="30" t="s">
        <v>736</v>
      </c>
      <c r="J1035" s="30" t="s">
        <v>737</v>
      </c>
      <c r="K1035" s="30" t="s">
        <v>738</v>
      </c>
      <c r="L1035" s="30" t="s">
        <v>681</v>
      </c>
      <c r="M1035" s="30">
        <v>0.2</v>
      </c>
      <c r="N1035" s="30" t="s">
        <v>356</v>
      </c>
      <c r="O1035" s="30" t="s">
        <v>746</v>
      </c>
      <c r="P1035" s="30" t="s">
        <v>683</v>
      </c>
      <c r="Q1035" s="30" t="s">
        <v>665</v>
      </c>
      <c r="R1035" s="30" t="s">
        <v>155</v>
      </c>
      <c r="S1035" s="30" t="s">
        <v>684</v>
      </c>
    </row>
    <row r="1036" spans="1:19" x14ac:dyDescent="0.3">
      <c r="A1036" s="31" t="s">
        <v>1611</v>
      </c>
      <c r="B1036" s="32" t="s">
        <v>544</v>
      </c>
      <c r="C1036" s="32" t="s">
        <v>1611</v>
      </c>
      <c r="D1036" s="32" t="s">
        <v>684</v>
      </c>
      <c r="E1036" s="32" t="s">
        <v>674</v>
      </c>
      <c r="F1036" s="32" t="s">
        <v>716</v>
      </c>
      <c r="G1036" s="32" t="s">
        <v>744</v>
      </c>
      <c r="H1036" s="32" t="s">
        <v>702</v>
      </c>
      <c r="I1036" s="32" t="s">
        <v>736</v>
      </c>
      <c r="J1036" s="32" t="s">
        <v>737</v>
      </c>
      <c r="K1036" s="32" t="s">
        <v>738</v>
      </c>
      <c r="L1036" s="32" t="s">
        <v>739</v>
      </c>
      <c r="M1036" s="32">
        <v>0.6</v>
      </c>
      <c r="N1036" s="32" t="s">
        <v>356</v>
      </c>
      <c r="O1036" s="32" t="s">
        <v>746</v>
      </c>
      <c r="P1036" s="32" t="s">
        <v>683</v>
      </c>
      <c r="Q1036" s="32" t="s">
        <v>665</v>
      </c>
      <c r="R1036" s="32" t="s">
        <v>155</v>
      </c>
      <c r="S1036" s="30" t="s">
        <v>684</v>
      </c>
    </row>
    <row r="1037" spans="1:19" x14ac:dyDescent="0.3">
      <c r="A1037" s="29" t="s">
        <v>911</v>
      </c>
      <c r="B1037" s="30" t="s">
        <v>544</v>
      </c>
      <c r="C1037" s="30" t="s">
        <v>912</v>
      </c>
      <c r="D1037" s="30" t="s">
        <v>684</v>
      </c>
      <c r="E1037" s="30" t="s">
        <v>674</v>
      </c>
      <c r="F1037" s="30" t="s">
        <v>716</v>
      </c>
      <c r="G1037" s="30" t="s">
        <v>744</v>
      </c>
      <c r="H1037" s="30" t="s">
        <v>702</v>
      </c>
      <c r="I1037" s="30" t="s">
        <v>736</v>
      </c>
      <c r="J1037" s="30" t="s">
        <v>737</v>
      </c>
      <c r="K1037" s="30" t="s">
        <v>738</v>
      </c>
      <c r="L1037" s="30" t="s">
        <v>808</v>
      </c>
      <c r="M1037" s="30">
        <v>1</v>
      </c>
      <c r="N1037" s="30" t="s">
        <v>400</v>
      </c>
      <c r="O1037" s="30" t="s">
        <v>746</v>
      </c>
      <c r="P1037" s="30" t="s">
        <v>683</v>
      </c>
      <c r="Q1037" s="30" t="s">
        <v>665</v>
      </c>
      <c r="R1037" s="30" t="s">
        <v>155</v>
      </c>
      <c r="S1037" s="30" t="s">
        <v>684</v>
      </c>
    </row>
    <row r="1038" spans="1:19" x14ac:dyDescent="0.3">
      <c r="A1038" s="31" t="s">
        <v>1503</v>
      </c>
      <c r="B1038" s="32" t="s">
        <v>544</v>
      </c>
      <c r="C1038" s="32" t="s">
        <v>1504</v>
      </c>
      <c r="D1038" s="32" t="s">
        <v>684</v>
      </c>
      <c r="E1038" s="32" t="s">
        <v>674</v>
      </c>
      <c r="F1038" s="32" t="s">
        <v>716</v>
      </c>
      <c r="G1038" s="32" t="s">
        <v>717</v>
      </c>
      <c r="H1038" s="32" t="s">
        <v>717</v>
      </c>
      <c r="I1038" s="32" t="s">
        <v>736</v>
      </c>
      <c r="J1038" s="32" t="s">
        <v>737</v>
      </c>
      <c r="K1038" s="32" t="s">
        <v>738</v>
      </c>
      <c r="L1038" s="32" t="s">
        <v>699</v>
      </c>
      <c r="M1038" s="32">
        <v>0.5</v>
      </c>
      <c r="N1038" s="32" t="s">
        <v>1048</v>
      </c>
      <c r="O1038" s="30" t="s">
        <v>746</v>
      </c>
      <c r="P1038" s="32" t="s">
        <v>683</v>
      </c>
      <c r="Q1038" s="32" t="s">
        <v>767</v>
      </c>
      <c r="R1038" s="32" t="s">
        <v>89</v>
      </c>
      <c r="S1038" s="30" t="s">
        <v>684</v>
      </c>
    </row>
    <row r="1039" spans="1:19" x14ac:dyDescent="0.3">
      <c r="A1039" s="29" t="s">
        <v>1503</v>
      </c>
      <c r="B1039" s="30" t="s">
        <v>544</v>
      </c>
      <c r="C1039" s="30" t="s">
        <v>1504</v>
      </c>
      <c r="D1039" s="30" t="s">
        <v>684</v>
      </c>
      <c r="E1039" s="30" t="s">
        <v>674</v>
      </c>
      <c r="F1039" s="30" t="s">
        <v>716</v>
      </c>
      <c r="G1039" s="30" t="s">
        <v>717</v>
      </c>
      <c r="H1039" s="30" t="s">
        <v>717</v>
      </c>
      <c r="I1039" s="30" t="s">
        <v>736</v>
      </c>
      <c r="J1039" s="30" t="s">
        <v>737</v>
      </c>
      <c r="K1039" s="30" t="s">
        <v>738</v>
      </c>
      <c r="L1039" s="30" t="s">
        <v>699</v>
      </c>
      <c r="M1039" s="30">
        <v>0.5</v>
      </c>
      <c r="N1039" s="30" t="s">
        <v>495</v>
      </c>
      <c r="O1039" s="30" t="s">
        <v>1915</v>
      </c>
      <c r="P1039" s="30" t="s">
        <v>683</v>
      </c>
      <c r="Q1039" s="30" t="s">
        <v>767</v>
      </c>
      <c r="R1039" s="30" t="s">
        <v>89</v>
      </c>
      <c r="S1039" s="30" t="s">
        <v>684</v>
      </c>
    </row>
    <row r="1040" spans="1:19" x14ac:dyDescent="0.3">
      <c r="A1040" s="31" t="s">
        <v>969</v>
      </c>
      <c r="B1040" s="32" t="s">
        <v>418</v>
      </c>
      <c r="C1040" s="32" t="s">
        <v>970</v>
      </c>
      <c r="D1040" s="32" t="s">
        <v>673</v>
      </c>
      <c r="E1040" s="32" t="s">
        <v>674</v>
      </c>
      <c r="F1040" s="32" t="s">
        <v>675</v>
      </c>
      <c r="G1040" s="32" t="s">
        <v>676</v>
      </c>
      <c r="H1040" s="32" t="s">
        <v>677</v>
      </c>
      <c r="I1040" s="32" t="s">
        <v>678</v>
      </c>
      <c r="J1040" s="32" t="s">
        <v>713</v>
      </c>
      <c r="K1040" s="32" t="s">
        <v>690</v>
      </c>
      <c r="L1040" s="32" t="s">
        <v>681</v>
      </c>
      <c r="M1040" s="32">
        <v>0.4</v>
      </c>
      <c r="N1040" s="32" t="s">
        <v>462</v>
      </c>
      <c r="O1040" s="32" t="s">
        <v>746</v>
      </c>
      <c r="P1040" s="32" t="s">
        <v>683</v>
      </c>
      <c r="Q1040" s="32" t="s">
        <v>665</v>
      </c>
      <c r="R1040" s="32" t="s">
        <v>89</v>
      </c>
      <c r="S1040" s="30" t="s">
        <v>684</v>
      </c>
    </row>
    <row r="1041" spans="1:19" x14ac:dyDescent="0.3">
      <c r="A1041" s="29" t="s">
        <v>1029</v>
      </c>
      <c r="B1041" s="30" t="s">
        <v>470</v>
      </c>
      <c r="C1041" s="30" t="s">
        <v>1030</v>
      </c>
      <c r="D1041" s="30" t="s">
        <v>684</v>
      </c>
      <c r="E1041" s="30" t="s">
        <v>674</v>
      </c>
      <c r="F1041" s="30" t="s">
        <v>716</v>
      </c>
      <c r="G1041" s="30" t="s">
        <v>744</v>
      </c>
      <c r="H1041" s="30" t="s">
        <v>702</v>
      </c>
      <c r="I1041" s="30" t="s">
        <v>736</v>
      </c>
      <c r="J1041" s="30" t="s">
        <v>745</v>
      </c>
      <c r="K1041" s="30" t="s">
        <v>738</v>
      </c>
      <c r="L1041" s="30" t="s">
        <v>699</v>
      </c>
      <c r="M1041" s="30">
        <v>0.2</v>
      </c>
      <c r="N1041" s="30" t="s">
        <v>144</v>
      </c>
      <c r="O1041" s="30" t="s">
        <v>1915</v>
      </c>
      <c r="P1041" s="30" t="s">
        <v>683</v>
      </c>
      <c r="Q1041" s="30" t="s">
        <v>767</v>
      </c>
      <c r="R1041" s="30" t="s">
        <v>458</v>
      </c>
      <c r="S1041" s="30" t="s">
        <v>684</v>
      </c>
    </row>
    <row r="1042" spans="1:19" x14ac:dyDescent="0.3">
      <c r="A1042" s="31" t="s">
        <v>1517</v>
      </c>
      <c r="B1042" s="32" t="s">
        <v>470</v>
      </c>
      <c r="C1042" s="32" t="s">
        <v>1518</v>
      </c>
      <c r="D1042" s="32" t="s">
        <v>684</v>
      </c>
      <c r="E1042" s="32" t="s">
        <v>674</v>
      </c>
      <c r="F1042" s="32" t="s">
        <v>716</v>
      </c>
      <c r="G1042" s="32" t="s">
        <v>744</v>
      </c>
      <c r="H1042" s="32" t="s">
        <v>702</v>
      </c>
      <c r="I1042" s="32" t="s">
        <v>736</v>
      </c>
      <c r="J1042" s="32" t="s">
        <v>745</v>
      </c>
      <c r="K1042" s="32" t="s">
        <v>738</v>
      </c>
      <c r="L1042" s="32" t="s">
        <v>699</v>
      </c>
      <c r="M1042" s="32">
        <v>0.2</v>
      </c>
      <c r="N1042" s="32" t="s">
        <v>144</v>
      </c>
      <c r="O1042" s="32" t="s">
        <v>1915</v>
      </c>
      <c r="P1042" s="32" t="s">
        <v>683</v>
      </c>
      <c r="Q1042" s="32" t="s">
        <v>767</v>
      </c>
      <c r="R1042" s="32" t="s">
        <v>458</v>
      </c>
      <c r="S1042" s="30" t="s">
        <v>684</v>
      </c>
    </row>
    <row r="1043" spans="1:19" x14ac:dyDescent="0.3">
      <c r="A1043" s="29" t="s">
        <v>2377</v>
      </c>
      <c r="B1043" s="30" t="s">
        <v>470</v>
      </c>
      <c r="C1043" s="30" t="s">
        <v>2378</v>
      </c>
      <c r="D1043" s="30" t="s">
        <v>684</v>
      </c>
      <c r="E1043" s="30" t="s">
        <v>674</v>
      </c>
      <c r="F1043" s="30" t="s">
        <v>716</v>
      </c>
      <c r="G1043" s="30" t="s">
        <v>744</v>
      </c>
      <c r="H1043" s="30" t="s">
        <v>702</v>
      </c>
      <c r="I1043" s="30" t="s">
        <v>736</v>
      </c>
      <c r="J1043" s="30" t="s">
        <v>745</v>
      </c>
      <c r="K1043" s="30" t="s">
        <v>738</v>
      </c>
      <c r="L1043" s="30" t="s">
        <v>699</v>
      </c>
      <c r="M1043" s="30">
        <v>0.2</v>
      </c>
      <c r="N1043" s="30" t="s">
        <v>144</v>
      </c>
      <c r="O1043" s="30" t="s">
        <v>1915</v>
      </c>
      <c r="P1043" s="30" t="s">
        <v>683</v>
      </c>
      <c r="Q1043" s="30" t="s">
        <v>767</v>
      </c>
      <c r="R1043" s="30" t="s">
        <v>458</v>
      </c>
      <c r="S1043" s="30" t="s">
        <v>684</v>
      </c>
    </row>
    <row r="1044" spans="1:19" x14ac:dyDescent="0.3">
      <c r="A1044" s="31" t="s">
        <v>1423</v>
      </c>
      <c r="B1044" s="32" t="s">
        <v>981</v>
      </c>
      <c r="C1044" s="32" t="s">
        <v>1424</v>
      </c>
      <c r="D1044" s="32" t="s">
        <v>684</v>
      </c>
      <c r="E1044" s="32" t="s">
        <v>674</v>
      </c>
      <c r="F1044" s="32" t="s">
        <v>716</v>
      </c>
      <c r="G1044" s="32" t="s">
        <v>744</v>
      </c>
      <c r="H1044" s="32" t="s">
        <v>702</v>
      </c>
      <c r="I1044" s="32" t="s">
        <v>736</v>
      </c>
      <c r="J1044" s="32" t="s">
        <v>745</v>
      </c>
      <c r="K1044" s="32" t="s">
        <v>738</v>
      </c>
      <c r="L1044" s="32" t="s">
        <v>699</v>
      </c>
      <c r="M1044" s="32">
        <v>0.2</v>
      </c>
      <c r="N1044" s="32" t="s">
        <v>144</v>
      </c>
      <c r="O1044" s="32" t="s">
        <v>1915</v>
      </c>
      <c r="P1044" s="32" t="s">
        <v>683</v>
      </c>
      <c r="Q1044" s="32" t="s">
        <v>767</v>
      </c>
      <c r="R1044" s="32" t="s">
        <v>458</v>
      </c>
      <c r="S1044" s="30" t="s">
        <v>684</v>
      </c>
    </row>
    <row r="1045" spans="1:19" x14ac:dyDescent="0.3">
      <c r="A1045" s="29" t="s">
        <v>959</v>
      </c>
      <c r="B1045" s="30" t="s">
        <v>960</v>
      </c>
      <c r="C1045" s="30" t="s">
        <v>961</v>
      </c>
      <c r="D1045" s="30" t="s">
        <v>673</v>
      </c>
      <c r="E1045" s="30" t="s">
        <v>674</v>
      </c>
      <c r="F1045" s="30" t="s">
        <v>675</v>
      </c>
      <c r="G1045" s="30" t="s">
        <v>676</v>
      </c>
      <c r="H1045" s="30" t="s">
        <v>677</v>
      </c>
      <c r="I1045" s="30" t="s">
        <v>678</v>
      </c>
      <c r="J1045" s="30" t="s">
        <v>713</v>
      </c>
      <c r="K1045" s="30" t="s">
        <v>690</v>
      </c>
      <c r="L1045" s="30" t="s">
        <v>699</v>
      </c>
      <c r="M1045" s="30">
        <v>0.4</v>
      </c>
      <c r="N1045" s="30" t="s">
        <v>62</v>
      </c>
      <c r="O1045" s="30" t="s">
        <v>746</v>
      </c>
      <c r="P1045" s="30" t="s">
        <v>683</v>
      </c>
      <c r="Q1045" s="30" t="s">
        <v>665</v>
      </c>
      <c r="R1045" s="30" t="s">
        <v>458</v>
      </c>
      <c r="S1045" s="30" t="s">
        <v>684</v>
      </c>
    </row>
    <row r="1046" spans="1:19" x14ac:dyDescent="0.3">
      <c r="A1046" s="31" t="s">
        <v>1406</v>
      </c>
      <c r="B1046" s="32" t="s">
        <v>45</v>
      </c>
      <c r="C1046" s="32" t="s">
        <v>1407</v>
      </c>
      <c r="D1046" s="32" t="s">
        <v>755</v>
      </c>
      <c r="E1046" s="32" t="s">
        <v>674</v>
      </c>
      <c r="F1046" s="32" t="s">
        <v>716</v>
      </c>
      <c r="G1046" s="32" t="s">
        <v>744</v>
      </c>
      <c r="H1046" s="32" t="s">
        <v>828</v>
      </c>
      <c r="I1046" s="32" t="s">
        <v>678</v>
      </c>
      <c r="J1046" s="32" t="s">
        <v>950</v>
      </c>
      <c r="K1046" s="32" t="s">
        <v>680</v>
      </c>
      <c r="L1046" s="32" t="s">
        <v>801</v>
      </c>
      <c r="M1046" s="32">
        <v>0.1</v>
      </c>
      <c r="N1046" s="32" t="s">
        <v>62</v>
      </c>
      <c r="O1046" s="32" t="s">
        <v>746</v>
      </c>
      <c r="P1046" s="32" t="s">
        <v>683</v>
      </c>
      <c r="Q1046" s="32" t="s">
        <v>665</v>
      </c>
      <c r="R1046" s="32" t="s">
        <v>458</v>
      </c>
      <c r="S1046" s="30" t="s">
        <v>684</v>
      </c>
    </row>
    <row r="1047" spans="1:19" x14ac:dyDescent="0.3">
      <c r="A1047" s="29" t="s">
        <v>962</v>
      </c>
      <c r="B1047" s="30" t="s">
        <v>760</v>
      </c>
      <c r="C1047" s="30" t="s">
        <v>963</v>
      </c>
      <c r="D1047" s="30" t="s">
        <v>673</v>
      </c>
      <c r="E1047" s="30" t="s">
        <v>674</v>
      </c>
      <c r="F1047" s="30" t="s">
        <v>675</v>
      </c>
      <c r="G1047" s="30" t="s">
        <v>676</v>
      </c>
      <c r="H1047" s="30" t="s">
        <v>677</v>
      </c>
      <c r="I1047" s="30" t="s">
        <v>678</v>
      </c>
      <c r="J1047" s="30" t="s">
        <v>713</v>
      </c>
      <c r="K1047" s="30" t="s">
        <v>690</v>
      </c>
      <c r="L1047" s="30" t="s">
        <v>699</v>
      </c>
      <c r="M1047" s="30">
        <v>0.1</v>
      </c>
      <c r="N1047" s="30" t="s">
        <v>62</v>
      </c>
      <c r="O1047" s="30" t="s">
        <v>746</v>
      </c>
      <c r="P1047" s="30" t="s">
        <v>683</v>
      </c>
      <c r="Q1047" s="30" t="s">
        <v>665</v>
      </c>
      <c r="R1047" s="30" t="s">
        <v>458</v>
      </c>
      <c r="S1047" s="30" t="s">
        <v>684</v>
      </c>
    </row>
    <row r="1048" spans="1:19" x14ac:dyDescent="0.3">
      <c r="A1048" s="31" t="s">
        <v>2379</v>
      </c>
      <c r="B1048" s="32" t="s">
        <v>2380</v>
      </c>
      <c r="C1048" s="32" t="s">
        <v>2381</v>
      </c>
      <c r="D1048" s="32" t="s">
        <v>755</v>
      </c>
      <c r="E1048" s="32" t="s">
        <v>674</v>
      </c>
      <c r="F1048" s="32" t="s">
        <v>675</v>
      </c>
      <c r="G1048" s="32" t="s">
        <v>676</v>
      </c>
      <c r="H1048" s="32" t="s">
        <v>677</v>
      </c>
      <c r="I1048" s="32" t="s">
        <v>688</v>
      </c>
      <c r="J1048" s="32" t="s">
        <v>774</v>
      </c>
      <c r="K1048" s="32" t="s">
        <v>680</v>
      </c>
      <c r="L1048" s="32" t="s">
        <v>681</v>
      </c>
      <c r="M1048" s="32">
        <v>0.1</v>
      </c>
      <c r="N1048" s="32" t="s">
        <v>62</v>
      </c>
      <c r="O1048" s="32" t="s">
        <v>746</v>
      </c>
      <c r="P1048" s="32" t="s">
        <v>683</v>
      </c>
      <c r="Q1048" s="32" t="s">
        <v>665</v>
      </c>
      <c r="R1048" s="32" t="s">
        <v>458</v>
      </c>
      <c r="S1048" s="30" t="s">
        <v>684</v>
      </c>
    </row>
    <row r="1049" spans="1:19" x14ac:dyDescent="0.3">
      <c r="A1049" s="29" t="s">
        <v>694</v>
      </c>
      <c r="B1049" s="30" t="s">
        <v>695</v>
      </c>
      <c r="C1049" s="30" t="s">
        <v>696</v>
      </c>
      <c r="D1049" s="30" t="s">
        <v>673</v>
      </c>
      <c r="E1049" s="30" t="s">
        <v>674</v>
      </c>
      <c r="F1049" s="30" t="s">
        <v>675</v>
      </c>
      <c r="G1049" s="30" t="s">
        <v>676</v>
      </c>
      <c r="H1049" s="30" t="s">
        <v>677</v>
      </c>
      <c r="I1049" s="30" t="s">
        <v>697</v>
      </c>
      <c r="J1049" s="30" t="s">
        <v>698</v>
      </c>
      <c r="K1049" s="30" t="s">
        <v>690</v>
      </c>
      <c r="L1049" s="30" t="s">
        <v>699</v>
      </c>
      <c r="M1049" s="30">
        <v>0.3</v>
      </c>
      <c r="N1049" s="30" t="s">
        <v>62</v>
      </c>
      <c r="O1049" s="30" t="s">
        <v>746</v>
      </c>
      <c r="P1049" s="30" t="s">
        <v>683</v>
      </c>
      <c r="Q1049" s="30" t="s">
        <v>665</v>
      </c>
      <c r="R1049" s="30" t="s">
        <v>458</v>
      </c>
      <c r="S1049" s="30" t="s">
        <v>684</v>
      </c>
    </row>
    <row r="1050" spans="1:19" x14ac:dyDescent="0.3">
      <c r="A1050" s="31" t="s">
        <v>1408</v>
      </c>
      <c r="B1050" s="32" t="s">
        <v>1409</v>
      </c>
      <c r="C1050" s="32" t="s">
        <v>1410</v>
      </c>
      <c r="D1050" s="32" t="s">
        <v>755</v>
      </c>
      <c r="E1050" s="32" t="s">
        <v>674</v>
      </c>
      <c r="F1050" s="32" t="s">
        <v>675</v>
      </c>
      <c r="G1050" s="32" t="s">
        <v>676</v>
      </c>
      <c r="H1050" s="32" t="s">
        <v>677</v>
      </c>
      <c r="I1050" s="32" t="s">
        <v>678</v>
      </c>
      <c r="J1050" s="32" t="s">
        <v>950</v>
      </c>
      <c r="K1050" s="32" t="s">
        <v>680</v>
      </c>
      <c r="L1050" s="32" t="s">
        <v>699</v>
      </c>
      <c r="M1050" s="32">
        <v>0.2</v>
      </c>
      <c r="N1050" s="32" t="s">
        <v>37</v>
      </c>
      <c r="O1050" s="32" t="s">
        <v>746</v>
      </c>
      <c r="P1050" s="32" t="s">
        <v>683</v>
      </c>
      <c r="Q1050" s="32" t="s">
        <v>665</v>
      </c>
      <c r="R1050" s="32" t="s">
        <v>458</v>
      </c>
      <c r="S1050" s="30" t="s">
        <v>684</v>
      </c>
    </row>
    <row r="1051" spans="1:19" x14ac:dyDescent="0.3">
      <c r="A1051" s="29" t="s">
        <v>1411</v>
      </c>
      <c r="B1051" s="30" t="s">
        <v>1409</v>
      </c>
      <c r="C1051" s="30" t="s">
        <v>1412</v>
      </c>
      <c r="D1051" s="30" t="s">
        <v>755</v>
      </c>
      <c r="E1051" s="30" t="s">
        <v>674</v>
      </c>
      <c r="F1051" s="30" t="s">
        <v>675</v>
      </c>
      <c r="G1051" s="30" t="s">
        <v>676</v>
      </c>
      <c r="H1051" s="30" t="s">
        <v>677</v>
      </c>
      <c r="I1051" s="30" t="s">
        <v>678</v>
      </c>
      <c r="J1051" s="30" t="s">
        <v>950</v>
      </c>
      <c r="K1051" s="30" t="s">
        <v>680</v>
      </c>
      <c r="L1051" s="30" t="s">
        <v>699</v>
      </c>
      <c r="M1051" s="30">
        <v>0.2</v>
      </c>
      <c r="N1051" s="30" t="s">
        <v>37</v>
      </c>
      <c r="O1051" s="30" t="s">
        <v>746</v>
      </c>
      <c r="P1051" s="30" t="s">
        <v>683</v>
      </c>
      <c r="Q1051" s="30" t="s">
        <v>665</v>
      </c>
      <c r="R1051" s="30" t="s">
        <v>458</v>
      </c>
      <c r="S1051" s="30" t="s">
        <v>684</v>
      </c>
    </row>
    <row r="1052" spans="1:19" x14ac:dyDescent="0.3">
      <c r="A1052" s="31" t="s">
        <v>1416</v>
      </c>
      <c r="B1052" s="32" t="s">
        <v>1409</v>
      </c>
      <c r="C1052" s="32" t="s">
        <v>1417</v>
      </c>
      <c r="D1052" s="32" t="s">
        <v>755</v>
      </c>
      <c r="E1052" s="32" t="s">
        <v>674</v>
      </c>
      <c r="F1052" s="32" t="s">
        <v>675</v>
      </c>
      <c r="G1052" s="32" t="s">
        <v>744</v>
      </c>
      <c r="H1052" s="32" t="s">
        <v>677</v>
      </c>
      <c r="I1052" s="32" t="s">
        <v>678</v>
      </c>
      <c r="J1052" s="32" t="s">
        <v>950</v>
      </c>
      <c r="K1052" s="32" t="s">
        <v>680</v>
      </c>
      <c r="L1052" s="32" t="s">
        <v>699</v>
      </c>
      <c r="M1052" s="32">
        <v>0.2</v>
      </c>
      <c r="N1052" s="32" t="s">
        <v>37</v>
      </c>
      <c r="O1052" s="32" t="s">
        <v>746</v>
      </c>
      <c r="P1052" s="32" t="s">
        <v>683</v>
      </c>
      <c r="Q1052" s="32" t="s">
        <v>665</v>
      </c>
      <c r="R1052" s="32" t="s">
        <v>458</v>
      </c>
      <c r="S1052" s="30" t="s">
        <v>684</v>
      </c>
    </row>
    <row r="1053" spans="1:19" x14ac:dyDescent="0.3">
      <c r="A1053" s="29" t="s">
        <v>1413</v>
      </c>
      <c r="B1053" s="30" t="s">
        <v>45</v>
      </c>
      <c r="C1053" s="30" t="s">
        <v>1414</v>
      </c>
      <c r="D1053" s="30" t="s">
        <v>755</v>
      </c>
      <c r="E1053" s="30" t="s">
        <v>674</v>
      </c>
      <c r="F1053" s="30" t="s">
        <v>1415</v>
      </c>
      <c r="G1053" s="30" t="s">
        <v>1060</v>
      </c>
      <c r="H1053" s="30" t="s">
        <v>702</v>
      </c>
      <c r="I1053" s="30" t="s">
        <v>678</v>
      </c>
      <c r="J1053" s="30" t="s">
        <v>950</v>
      </c>
      <c r="K1053" s="30" t="s">
        <v>680</v>
      </c>
      <c r="L1053" s="30" t="s">
        <v>699</v>
      </c>
      <c r="M1053" s="30">
        <v>0.2</v>
      </c>
      <c r="N1053" s="30" t="s">
        <v>37</v>
      </c>
      <c r="O1053" s="30" t="s">
        <v>746</v>
      </c>
      <c r="P1053" s="30" t="s">
        <v>683</v>
      </c>
      <c r="Q1053" s="30" t="s">
        <v>665</v>
      </c>
      <c r="R1053" s="30" t="s">
        <v>458</v>
      </c>
      <c r="S1053" s="30" t="s">
        <v>684</v>
      </c>
    </row>
    <row r="1054" spans="1:19" x14ac:dyDescent="0.3">
      <c r="A1054" s="31" t="s">
        <v>1418</v>
      </c>
      <c r="B1054" s="32" t="s">
        <v>1409</v>
      </c>
      <c r="C1054" s="32" t="s">
        <v>1419</v>
      </c>
      <c r="D1054" s="32" t="s">
        <v>755</v>
      </c>
      <c r="E1054" s="32" t="s">
        <v>674</v>
      </c>
      <c r="F1054" s="32" t="s">
        <v>675</v>
      </c>
      <c r="G1054" s="32" t="s">
        <v>676</v>
      </c>
      <c r="H1054" s="32" t="s">
        <v>677</v>
      </c>
      <c r="I1054" s="32" t="s">
        <v>678</v>
      </c>
      <c r="J1054" s="32" t="s">
        <v>950</v>
      </c>
      <c r="K1054" s="32" t="s">
        <v>680</v>
      </c>
      <c r="L1054" s="32" t="s">
        <v>801</v>
      </c>
      <c r="M1054" s="32">
        <v>0.2</v>
      </c>
      <c r="N1054" s="32" t="s">
        <v>37</v>
      </c>
      <c r="O1054" s="32" t="s">
        <v>746</v>
      </c>
      <c r="P1054" s="32" t="s">
        <v>683</v>
      </c>
      <c r="Q1054" s="32" t="s">
        <v>665</v>
      </c>
      <c r="R1054" s="32" t="s">
        <v>458</v>
      </c>
      <c r="S1054" s="30" t="s">
        <v>684</v>
      </c>
    </row>
    <row r="1055" spans="1:19" x14ac:dyDescent="0.3">
      <c r="A1055" s="29" t="s">
        <v>814</v>
      </c>
      <c r="B1055" s="30" t="s">
        <v>749</v>
      </c>
      <c r="C1055" s="30" t="s">
        <v>815</v>
      </c>
      <c r="D1055" s="30" t="s">
        <v>673</v>
      </c>
      <c r="E1055" s="30" t="s">
        <v>674</v>
      </c>
      <c r="F1055" s="30" t="s">
        <v>716</v>
      </c>
      <c r="G1055" s="30" t="s">
        <v>744</v>
      </c>
      <c r="H1055" s="30" t="s">
        <v>677</v>
      </c>
      <c r="I1055" s="30" t="s">
        <v>678</v>
      </c>
      <c r="J1055" s="30" t="s">
        <v>751</v>
      </c>
      <c r="K1055" s="30" t="s">
        <v>690</v>
      </c>
      <c r="L1055" s="30" t="s">
        <v>681</v>
      </c>
      <c r="M1055" s="30">
        <v>0.7</v>
      </c>
      <c r="N1055" s="30" t="s">
        <v>207</v>
      </c>
      <c r="O1055" s="30" t="s">
        <v>746</v>
      </c>
      <c r="P1055" s="30" t="s">
        <v>683</v>
      </c>
      <c r="Q1055" s="30" t="s">
        <v>665</v>
      </c>
      <c r="R1055" s="30" t="s">
        <v>458</v>
      </c>
      <c r="S1055" s="30" t="s">
        <v>684</v>
      </c>
    </row>
    <row r="1056" spans="1:19" x14ac:dyDescent="0.3">
      <c r="A1056" s="31" t="s">
        <v>1061</v>
      </c>
      <c r="B1056" s="32" t="s">
        <v>864</v>
      </c>
      <c r="C1056" s="32" t="s">
        <v>1062</v>
      </c>
      <c r="D1056" s="32" t="s">
        <v>755</v>
      </c>
      <c r="E1056" s="32" t="s">
        <v>674</v>
      </c>
      <c r="F1056" s="32" t="s">
        <v>675</v>
      </c>
      <c r="G1056" s="32" t="s">
        <v>676</v>
      </c>
      <c r="H1056" s="32" t="s">
        <v>702</v>
      </c>
      <c r="I1056" s="32" t="s">
        <v>678</v>
      </c>
      <c r="J1056" s="32" t="s">
        <v>774</v>
      </c>
      <c r="K1056" s="32" t="s">
        <v>680</v>
      </c>
      <c r="L1056" s="32" t="s">
        <v>699</v>
      </c>
      <c r="M1056" s="32">
        <v>0.3</v>
      </c>
      <c r="N1056" s="32" t="s">
        <v>207</v>
      </c>
      <c r="O1056" s="32" t="s">
        <v>746</v>
      </c>
      <c r="P1056" s="32" t="s">
        <v>683</v>
      </c>
      <c r="Q1056" s="32" t="s">
        <v>665</v>
      </c>
      <c r="R1056" s="32" t="s">
        <v>458</v>
      </c>
      <c r="S1056" s="30" t="s">
        <v>684</v>
      </c>
    </row>
    <row r="1057" spans="1:19" x14ac:dyDescent="0.3">
      <c r="A1057" s="29" t="s">
        <v>2382</v>
      </c>
      <c r="B1057" s="30" t="s">
        <v>470</v>
      </c>
      <c r="C1057" s="30" t="s">
        <v>2383</v>
      </c>
      <c r="D1057" s="30" t="s">
        <v>684</v>
      </c>
      <c r="E1057" s="30" t="s">
        <v>674</v>
      </c>
      <c r="F1057" s="30" t="s">
        <v>675</v>
      </c>
      <c r="G1057" s="30" t="s">
        <v>676</v>
      </c>
      <c r="H1057" s="30" t="s">
        <v>702</v>
      </c>
      <c r="I1057" s="30" t="s">
        <v>736</v>
      </c>
      <c r="J1057" s="30" t="s">
        <v>745</v>
      </c>
      <c r="K1057" s="30" t="s">
        <v>738</v>
      </c>
      <c r="L1057" s="30" t="s">
        <v>699</v>
      </c>
      <c r="M1057" s="30">
        <v>0.2</v>
      </c>
      <c r="N1057" s="30" t="s">
        <v>144</v>
      </c>
      <c r="O1057" s="30" t="s">
        <v>1915</v>
      </c>
      <c r="P1057" s="30" t="s">
        <v>683</v>
      </c>
      <c r="Q1057" s="30" t="s">
        <v>767</v>
      </c>
      <c r="R1057" s="30" t="s">
        <v>458</v>
      </c>
      <c r="S1057" s="30" t="s">
        <v>684</v>
      </c>
    </row>
    <row r="1058" spans="1:19" x14ac:dyDescent="0.3">
      <c r="A1058" s="31" t="s">
        <v>2384</v>
      </c>
      <c r="B1058" s="32" t="s">
        <v>470</v>
      </c>
      <c r="C1058" s="32" t="s">
        <v>2385</v>
      </c>
      <c r="D1058" s="32" t="s">
        <v>684</v>
      </c>
      <c r="E1058" s="32" t="s">
        <v>674</v>
      </c>
      <c r="F1058" s="32" t="s">
        <v>716</v>
      </c>
      <c r="G1058" s="32" t="s">
        <v>744</v>
      </c>
      <c r="H1058" s="32" t="s">
        <v>702</v>
      </c>
      <c r="I1058" s="32" t="s">
        <v>736</v>
      </c>
      <c r="J1058" s="32" t="s">
        <v>745</v>
      </c>
      <c r="K1058" s="32" t="s">
        <v>738</v>
      </c>
      <c r="L1058" s="32" t="s">
        <v>699</v>
      </c>
      <c r="M1058" s="32">
        <v>0.1</v>
      </c>
      <c r="N1058" s="32" t="s">
        <v>412</v>
      </c>
      <c r="O1058" s="32" t="s">
        <v>746</v>
      </c>
      <c r="P1058" s="32" t="s">
        <v>683</v>
      </c>
      <c r="Q1058" s="32" t="s">
        <v>665</v>
      </c>
      <c r="R1058" s="32" t="s">
        <v>458</v>
      </c>
      <c r="S1058" s="30" t="s">
        <v>684</v>
      </c>
    </row>
    <row r="1059" spans="1:19" x14ac:dyDescent="0.3">
      <c r="A1059" s="29" t="s">
        <v>1420</v>
      </c>
      <c r="B1059" s="30" t="s">
        <v>981</v>
      </c>
      <c r="C1059" s="30" t="s">
        <v>1421</v>
      </c>
      <c r="D1059" s="30" t="s">
        <v>684</v>
      </c>
      <c r="E1059" s="30" t="s">
        <v>674</v>
      </c>
      <c r="F1059" s="30" t="s">
        <v>716</v>
      </c>
      <c r="G1059" s="30" t="s">
        <v>744</v>
      </c>
      <c r="H1059" s="30" t="s">
        <v>702</v>
      </c>
      <c r="I1059" s="30" t="s">
        <v>736</v>
      </c>
      <c r="J1059" s="30" t="s">
        <v>745</v>
      </c>
      <c r="K1059" s="30" t="s">
        <v>738</v>
      </c>
      <c r="L1059" s="30" t="s">
        <v>699</v>
      </c>
      <c r="M1059" s="30">
        <v>0.2</v>
      </c>
      <c r="N1059" s="30" t="s">
        <v>412</v>
      </c>
      <c r="O1059" s="30" t="s">
        <v>746</v>
      </c>
      <c r="P1059" s="30" t="s">
        <v>683</v>
      </c>
      <c r="Q1059" s="30" t="s">
        <v>665</v>
      </c>
      <c r="R1059" s="30" t="s">
        <v>458</v>
      </c>
      <c r="S1059" s="30" t="s">
        <v>684</v>
      </c>
    </row>
    <row r="1060" spans="1:19" x14ac:dyDescent="0.3">
      <c r="A1060" s="31" t="s">
        <v>1512</v>
      </c>
      <c r="B1060" s="32" t="s">
        <v>470</v>
      </c>
      <c r="C1060" s="32" t="s">
        <v>1513</v>
      </c>
      <c r="D1060" s="32" t="s">
        <v>684</v>
      </c>
      <c r="E1060" s="32" t="s">
        <v>674</v>
      </c>
      <c r="F1060" s="32" t="s">
        <v>716</v>
      </c>
      <c r="G1060" s="32" t="s">
        <v>744</v>
      </c>
      <c r="H1060" s="32" t="s">
        <v>702</v>
      </c>
      <c r="I1060" s="32" t="s">
        <v>736</v>
      </c>
      <c r="J1060" s="32" t="s">
        <v>745</v>
      </c>
      <c r="K1060" s="32" t="s">
        <v>738</v>
      </c>
      <c r="L1060" s="32" t="s">
        <v>699</v>
      </c>
      <c r="M1060" s="32">
        <v>0.2</v>
      </c>
      <c r="N1060" s="32" t="s">
        <v>412</v>
      </c>
      <c r="O1060" s="32" t="s">
        <v>746</v>
      </c>
      <c r="P1060" s="32" t="s">
        <v>683</v>
      </c>
      <c r="Q1060" s="32" t="s">
        <v>665</v>
      </c>
      <c r="R1060" s="32" t="s">
        <v>458</v>
      </c>
      <c r="S1060" s="30" t="s">
        <v>684</v>
      </c>
    </row>
    <row r="1061" spans="1:19" x14ac:dyDescent="0.3">
      <c r="A1061" s="29" t="s">
        <v>818</v>
      </c>
      <c r="B1061" s="30" t="s">
        <v>470</v>
      </c>
      <c r="C1061" s="30" t="s">
        <v>819</v>
      </c>
      <c r="D1061" s="30" t="s">
        <v>684</v>
      </c>
      <c r="E1061" s="30" t="s">
        <v>674</v>
      </c>
      <c r="F1061" s="30" t="s">
        <v>716</v>
      </c>
      <c r="G1061" s="30" t="s">
        <v>724</v>
      </c>
      <c r="H1061" s="30" t="s">
        <v>677</v>
      </c>
      <c r="I1061" s="30" t="s">
        <v>678</v>
      </c>
      <c r="J1061" s="30" t="s">
        <v>745</v>
      </c>
      <c r="K1061" s="30" t="s">
        <v>738</v>
      </c>
      <c r="L1061" s="30" t="s">
        <v>699</v>
      </c>
      <c r="M1061" s="30">
        <v>0.2</v>
      </c>
      <c r="N1061" s="30" t="s">
        <v>412</v>
      </c>
      <c r="O1061" s="30" t="s">
        <v>746</v>
      </c>
      <c r="P1061" s="30" t="s">
        <v>683</v>
      </c>
      <c r="Q1061" s="30" t="s">
        <v>665</v>
      </c>
      <c r="R1061" s="30" t="s">
        <v>458</v>
      </c>
      <c r="S1061" s="30" t="s">
        <v>684</v>
      </c>
    </row>
    <row r="1062" spans="1:19" x14ac:dyDescent="0.3">
      <c r="A1062" s="31" t="s">
        <v>816</v>
      </c>
      <c r="B1062" s="32" t="s">
        <v>470</v>
      </c>
      <c r="C1062" s="32" t="s">
        <v>817</v>
      </c>
      <c r="D1062" s="32" t="s">
        <v>684</v>
      </c>
      <c r="E1062" s="32" t="s">
        <v>674</v>
      </c>
      <c r="F1062" s="32" t="s">
        <v>675</v>
      </c>
      <c r="G1062" s="32" t="s">
        <v>724</v>
      </c>
      <c r="H1062" s="32" t="s">
        <v>677</v>
      </c>
      <c r="I1062" s="32" t="s">
        <v>678</v>
      </c>
      <c r="J1062" s="32" t="s">
        <v>745</v>
      </c>
      <c r="K1062" s="32" t="s">
        <v>738</v>
      </c>
      <c r="L1062" s="32" t="s">
        <v>699</v>
      </c>
      <c r="M1062" s="32">
        <v>0.1</v>
      </c>
      <c r="N1062" s="32" t="s">
        <v>412</v>
      </c>
      <c r="O1062" s="32" t="s">
        <v>746</v>
      </c>
      <c r="P1062" s="32" t="s">
        <v>683</v>
      </c>
      <c r="Q1062" s="32" t="s">
        <v>665</v>
      </c>
      <c r="R1062" s="32" t="s">
        <v>458</v>
      </c>
      <c r="S1062" s="30" t="s">
        <v>684</v>
      </c>
    </row>
    <row r="1063" spans="1:19" x14ac:dyDescent="0.3">
      <c r="A1063" s="29" t="s">
        <v>1245</v>
      </c>
      <c r="B1063" s="30" t="s">
        <v>470</v>
      </c>
      <c r="C1063" s="30" t="s">
        <v>1246</v>
      </c>
      <c r="D1063" s="30" t="s">
        <v>684</v>
      </c>
      <c r="E1063" s="30" t="s">
        <v>674</v>
      </c>
      <c r="F1063" s="30" t="s">
        <v>716</v>
      </c>
      <c r="G1063" s="30" t="s">
        <v>744</v>
      </c>
      <c r="H1063" s="30" t="s">
        <v>702</v>
      </c>
      <c r="I1063" s="30" t="s">
        <v>678</v>
      </c>
      <c r="J1063" s="30" t="s">
        <v>745</v>
      </c>
      <c r="K1063" s="30" t="s">
        <v>738</v>
      </c>
      <c r="L1063" s="30" t="s">
        <v>699</v>
      </c>
      <c r="M1063" s="30">
        <v>0.2</v>
      </c>
      <c r="N1063" s="30" t="s">
        <v>412</v>
      </c>
      <c r="O1063" s="30" t="s">
        <v>746</v>
      </c>
      <c r="P1063" s="30" t="s">
        <v>683</v>
      </c>
      <c r="Q1063" s="30" t="s">
        <v>665</v>
      </c>
      <c r="R1063" s="30" t="s">
        <v>458</v>
      </c>
      <c r="S1063" s="30" t="s">
        <v>684</v>
      </c>
    </row>
    <row r="1064" spans="1:19" x14ac:dyDescent="0.3">
      <c r="A1064" s="31" t="s">
        <v>2359</v>
      </c>
      <c r="B1064" s="32" t="s">
        <v>470</v>
      </c>
      <c r="C1064" s="32" t="s">
        <v>2360</v>
      </c>
      <c r="D1064" s="32" t="s">
        <v>684</v>
      </c>
      <c r="E1064" s="32" t="s">
        <v>674</v>
      </c>
      <c r="F1064" s="32" t="s">
        <v>716</v>
      </c>
      <c r="G1064" s="32" t="s">
        <v>724</v>
      </c>
      <c r="H1064" s="32" t="s">
        <v>702</v>
      </c>
      <c r="I1064" s="32" t="s">
        <v>736</v>
      </c>
      <c r="J1064" s="32" t="s">
        <v>745</v>
      </c>
      <c r="K1064" s="32" t="s">
        <v>738</v>
      </c>
      <c r="L1064" s="32" t="s">
        <v>699</v>
      </c>
      <c r="M1064" s="32">
        <v>0.3</v>
      </c>
      <c r="N1064" s="32" t="s">
        <v>35</v>
      </c>
      <c r="O1064" s="32" t="s">
        <v>746</v>
      </c>
      <c r="P1064" s="32" t="s">
        <v>683</v>
      </c>
      <c r="Q1064" s="32" t="s">
        <v>665</v>
      </c>
      <c r="R1064" s="32" t="s">
        <v>458</v>
      </c>
      <c r="S1064" s="30" t="s">
        <v>684</v>
      </c>
    </row>
    <row r="1065" spans="1:19" x14ac:dyDescent="0.3">
      <c r="A1065" s="29" t="s">
        <v>2367</v>
      </c>
      <c r="B1065" s="30" t="s">
        <v>470</v>
      </c>
      <c r="C1065" s="30" t="s">
        <v>2368</v>
      </c>
      <c r="D1065" s="30" t="s">
        <v>684</v>
      </c>
      <c r="E1065" s="30" t="s">
        <v>674</v>
      </c>
      <c r="F1065" s="30" t="s">
        <v>716</v>
      </c>
      <c r="G1065" s="30" t="s">
        <v>724</v>
      </c>
      <c r="H1065" s="30" t="s">
        <v>702</v>
      </c>
      <c r="I1065" s="30" t="s">
        <v>736</v>
      </c>
      <c r="J1065" s="30" t="s">
        <v>745</v>
      </c>
      <c r="K1065" s="30" t="s">
        <v>738</v>
      </c>
      <c r="L1065" s="30" t="s">
        <v>699</v>
      </c>
      <c r="M1065" s="30">
        <v>0.3</v>
      </c>
      <c r="N1065" s="30" t="s">
        <v>35</v>
      </c>
      <c r="O1065" s="30" t="s">
        <v>746</v>
      </c>
      <c r="P1065" s="30" t="s">
        <v>683</v>
      </c>
      <c r="Q1065" s="30" t="s">
        <v>665</v>
      </c>
      <c r="R1065" s="30" t="s">
        <v>458</v>
      </c>
      <c r="S1065" s="30" t="s">
        <v>684</v>
      </c>
    </row>
    <row r="1066" spans="1:19" x14ac:dyDescent="0.3">
      <c r="A1066" s="31" t="s">
        <v>2365</v>
      </c>
      <c r="B1066" s="32" t="s">
        <v>470</v>
      </c>
      <c r="C1066" s="32" t="s">
        <v>2366</v>
      </c>
      <c r="D1066" s="32" t="s">
        <v>684</v>
      </c>
      <c r="E1066" s="32" t="s">
        <v>674</v>
      </c>
      <c r="F1066" s="32" t="s">
        <v>716</v>
      </c>
      <c r="G1066" s="32" t="s">
        <v>724</v>
      </c>
      <c r="H1066" s="32" t="s">
        <v>702</v>
      </c>
      <c r="I1066" s="32" t="s">
        <v>736</v>
      </c>
      <c r="J1066" s="32" t="s">
        <v>745</v>
      </c>
      <c r="K1066" s="32" t="s">
        <v>738</v>
      </c>
      <c r="L1066" s="32" t="s">
        <v>699</v>
      </c>
      <c r="M1066" s="32">
        <v>0.4</v>
      </c>
      <c r="N1066" s="32" t="s">
        <v>35</v>
      </c>
      <c r="O1066" s="32" t="s">
        <v>746</v>
      </c>
      <c r="P1066" s="32" t="s">
        <v>683</v>
      </c>
      <c r="Q1066" s="32" t="s">
        <v>665</v>
      </c>
      <c r="R1066" s="32" t="s">
        <v>458</v>
      </c>
      <c r="S1066" s="30" t="s">
        <v>684</v>
      </c>
    </row>
    <row r="1067" spans="1:19" x14ac:dyDescent="0.3">
      <c r="A1067" s="29" t="s">
        <v>1024</v>
      </c>
      <c r="B1067" s="30" t="s">
        <v>154</v>
      </c>
      <c r="C1067" s="30" t="s">
        <v>1025</v>
      </c>
      <c r="D1067" s="30" t="s">
        <v>673</v>
      </c>
      <c r="E1067" s="30" t="s">
        <v>674</v>
      </c>
      <c r="F1067" s="30" t="s">
        <v>675</v>
      </c>
      <c r="G1067" s="30" t="s">
        <v>676</v>
      </c>
      <c r="H1067" s="30" t="s">
        <v>677</v>
      </c>
      <c r="I1067" s="30" t="s">
        <v>688</v>
      </c>
      <c r="J1067" s="30" t="s">
        <v>713</v>
      </c>
      <c r="K1067" s="30" t="s">
        <v>690</v>
      </c>
      <c r="L1067" s="30" t="s">
        <v>681</v>
      </c>
      <c r="M1067" s="30">
        <v>0.1</v>
      </c>
      <c r="N1067" s="30" t="s">
        <v>512</v>
      </c>
      <c r="O1067" s="30" t="s">
        <v>746</v>
      </c>
      <c r="P1067" s="30" t="s">
        <v>683</v>
      </c>
      <c r="Q1067" s="30" t="s">
        <v>665</v>
      </c>
      <c r="R1067" s="30" t="s">
        <v>458</v>
      </c>
      <c r="S1067" s="30" t="s">
        <v>684</v>
      </c>
    </row>
    <row r="1068" spans="1:19" x14ac:dyDescent="0.3">
      <c r="A1068" s="31" t="s">
        <v>1016</v>
      </c>
      <c r="B1068" s="32" t="s">
        <v>955</v>
      </c>
      <c r="C1068" s="32" t="s">
        <v>1017</v>
      </c>
      <c r="D1068" s="32" t="s">
        <v>673</v>
      </c>
      <c r="E1068" s="32" t="s">
        <v>674</v>
      </c>
      <c r="F1068" s="32" t="s">
        <v>675</v>
      </c>
      <c r="G1068" s="32" t="s">
        <v>676</v>
      </c>
      <c r="H1068" s="32" t="s">
        <v>677</v>
      </c>
      <c r="I1068" s="32" t="s">
        <v>688</v>
      </c>
      <c r="J1068" s="32" t="s">
        <v>713</v>
      </c>
      <c r="K1068" s="32" t="s">
        <v>690</v>
      </c>
      <c r="L1068" s="32" t="s">
        <v>699</v>
      </c>
      <c r="M1068" s="32">
        <v>0.4</v>
      </c>
      <c r="N1068" s="32" t="s">
        <v>512</v>
      </c>
      <c r="O1068" s="32" t="s">
        <v>746</v>
      </c>
      <c r="P1068" s="32" t="s">
        <v>683</v>
      </c>
      <c r="Q1068" s="32" t="s">
        <v>665</v>
      </c>
      <c r="R1068" s="32" t="s">
        <v>458</v>
      </c>
      <c r="S1068" s="30" t="s">
        <v>684</v>
      </c>
    </row>
    <row r="1069" spans="1:19" x14ac:dyDescent="0.3">
      <c r="A1069" s="29" t="s">
        <v>2379</v>
      </c>
      <c r="B1069" s="30" t="s">
        <v>2380</v>
      </c>
      <c r="C1069" s="30" t="s">
        <v>2381</v>
      </c>
      <c r="D1069" s="30" t="s">
        <v>755</v>
      </c>
      <c r="E1069" s="30" t="s">
        <v>674</v>
      </c>
      <c r="F1069" s="30" t="s">
        <v>675</v>
      </c>
      <c r="G1069" s="30" t="s">
        <v>676</v>
      </c>
      <c r="H1069" s="30" t="s">
        <v>677</v>
      </c>
      <c r="I1069" s="30" t="s">
        <v>688</v>
      </c>
      <c r="J1069" s="30" t="s">
        <v>774</v>
      </c>
      <c r="K1069" s="30" t="s">
        <v>680</v>
      </c>
      <c r="L1069" s="30" t="s">
        <v>681</v>
      </c>
      <c r="M1069" s="30">
        <v>0.1</v>
      </c>
      <c r="N1069" s="30" t="s">
        <v>512</v>
      </c>
      <c r="O1069" s="30" t="s">
        <v>746</v>
      </c>
      <c r="P1069" s="30" t="s">
        <v>683</v>
      </c>
      <c r="Q1069" s="30" t="s">
        <v>665</v>
      </c>
      <c r="R1069" s="30" t="s">
        <v>458</v>
      </c>
      <c r="S1069" s="30" t="s">
        <v>684</v>
      </c>
    </row>
    <row r="1070" spans="1:19" x14ac:dyDescent="0.3">
      <c r="A1070" s="31" t="s">
        <v>954</v>
      </c>
      <c r="B1070" s="32" t="s">
        <v>955</v>
      </c>
      <c r="C1070" s="32" t="s">
        <v>956</v>
      </c>
      <c r="D1070" s="32" t="s">
        <v>673</v>
      </c>
      <c r="E1070" s="32" t="s">
        <v>674</v>
      </c>
      <c r="F1070" s="32" t="s">
        <v>675</v>
      </c>
      <c r="G1070" s="32" t="s">
        <v>676</v>
      </c>
      <c r="H1070" s="32" t="s">
        <v>677</v>
      </c>
      <c r="I1070" s="32" t="s">
        <v>688</v>
      </c>
      <c r="J1070" s="32" t="s">
        <v>713</v>
      </c>
      <c r="K1070" s="32" t="s">
        <v>690</v>
      </c>
      <c r="L1070" s="32" t="s">
        <v>699</v>
      </c>
      <c r="M1070" s="32">
        <v>0.4</v>
      </c>
      <c r="N1070" s="32" t="s">
        <v>512</v>
      </c>
      <c r="O1070" s="32" t="s">
        <v>746</v>
      </c>
      <c r="P1070" s="32" t="s">
        <v>683</v>
      </c>
      <c r="Q1070" s="32" t="s">
        <v>665</v>
      </c>
      <c r="R1070" s="32" t="s">
        <v>458</v>
      </c>
      <c r="S1070" s="30" t="s">
        <v>684</v>
      </c>
    </row>
    <row r="1071" spans="1:19" x14ac:dyDescent="0.3">
      <c r="A1071" s="29" t="s">
        <v>1024</v>
      </c>
      <c r="B1071" s="30" t="s">
        <v>154</v>
      </c>
      <c r="C1071" s="30" t="s">
        <v>1025</v>
      </c>
      <c r="D1071" s="30" t="s">
        <v>673</v>
      </c>
      <c r="E1071" s="30" t="s">
        <v>674</v>
      </c>
      <c r="F1071" s="30" t="s">
        <v>675</v>
      </c>
      <c r="G1071" s="30" t="s">
        <v>676</v>
      </c>
      <c r="H1071" s="30" t="s">
        <v>677</v>
      </c>
      <c r="I1071" s="30" t="s">
        <v>688</v>
      </c>
      <c r="J1071" s="30" t="s">
        <v>713</v>
      </c>
      <c r="K1071" s="30" t="s">
        <v>690</v>
      </c>
      <c r="L1071" s="30" t="s">
        <v>681</v>
      </c>
      <c r="M1071" s="30">
        <v>0.2</v>
      </c>
      <c r="N1071" s="30" t="s">
        <v>637</v>
      </c>
      <c r="O1071" s="30" t="s">
        <v>746</v>
      </c>
      <c r="P1071" s="30" t="s">
        <v>683</v>
      </c>
      <c r="Q1071" s="30" t="s">
        <v>665</v>
      </c>
      <c r="R1071" s="30" t="s">
        <v>458</v>
      </c>
      <c r="S1071" s="30" t="s">
        <v>684</v>
      </c>
    </row>
    <row r="1072" spans="1:19" x14ac:dyDescent="0.3">
      <c r="A1072" s="31" t="s">
        <v>964</v>
      </c>
      <c r="B1072" s="32" t="s">
        <v>960</v>
      </c>
      <c r="C1072" s="32" t="s">
        <v>965</v>
      </c>
      <c r="D1072" s="32" t="s">
        <v>673</v>
      </c>
      <c r="E1072" s="32" t="s">
        <v>674</v>
      </c>
      <c r="F1072" s="32" t="s">
        <v>675</v>
      </c>
      <c r="G1072" s="32" t="s">
        <v>676</v>
      </c>
      <c r="H1072" s="32" t="s">
        <v>677</v>
      </c>
      <c r="I1072" s="32" t="s">
        <v>678</v>
      </c>
      <c r="J1072" s="32" t="s">
        <v>713</v>
      </c>
      <c r="K1072" s="32" t="s">
        <v>690</v>
      </c>
      <c r="L1072" s="32" t="s">
        <v>699</v>
      </c>
      <c r="M1072" s="32">
        <v>0.8</v>
      </c>
      <c r="N1072" s="32" t="s">
        <v>637</v>
      </c>
      <c r="O1072" s="32" t="s">
        <v>746</v>
      </c>
      <c r="P1072" s="32" t="s">
        <v>683</v>
      </c>
      <c r="Q1072" s="32" t="s">
        <v>665</v>
      </c>
      <c r="R1072" s="32" t="s">
        <v>458</v>
      </c>
      <c r="S1072" s="30" t="s">
        <v>684</v>
      </c>
    </row>
    <row r="1073" spans="1:19" x14ac:dyDescent="0.3">
      <c r="A1073" s="29" t="s">
        <v>756</v>
      </c>
      <c r="B1073" s="30" t="s">
        <v>753</v>
      </c>
      <c r="C1073" s="30" t="s">
        <v>756</v>
      </c>
      <c r="D1073" s="30" t="s">
        <v>755</v>
      </c>
      <c r="E1073" s="30" t="s">
        <v>674</v>
      </c>
      <c r="F1073" s="30" t="s">
        <v>716</v>
      </c>
      <c r="G1073" s="30" t="s">
        <v>744</v>
      </c>
      <c r="H1073" s="30" t="s">
        <v>702</v>
      </c>
      <c r="I1073" s="30" t="s">
        <v>678</v>
      </c>
      <c r="J1073" s="30" t="s">
        <v>679</v>
      </c>
      <c r="K1073" s="30" t="s">
        <v>680</v>
      </c>
      <c r="L1073" s="30" t="s">
        <v>681</v>
      </c>
      <c r="M1073" s="30">
        <v>1</v>
      </c>
      <c r="N1073" s="30" t="s">
        <v>813</v>
      </c>
      <c r="O1073" s="30" t="s">
        <v>746</v>
      </c>
      <c r="P1073" s="30" t="s">
        <v>683</v>
      </c>
      <c r="Q1073" s="30" t="s">
        <v>665</v>
      </c>
      <c r="R1073" s="30" t="s">
        <v>285</v>
      </c>
      <c r="S1073" s="30" t="s">
        <v>755</v>
      </c>
    </row>
    <row r="1074" spans="1:19" x14ac:dyDescent="0.3">
      <c r="A1074" s="31" t="s">
        <v>1475</v>
      </c>
      <c r="B1074" s="32" t="s">
        <v>544</v>
      </c>
      <c r="C1074" s="32" t="s">
        <v>1476</v>
      </c>
      <c r="D1074" s="32" t="s">
        <v>684</v>
      </c>
      <c r="E1074" s="32" t="s">
        <v>674</v>
      </c>
      <c r="F1074" s="32" t="s">
        <v>716</v>
      </c>
      <c r="G1074" s="32" t="s">
        <v>731</v>
      </c>
      <c r="H1074" s="32" t="s">
        <v>702</v>
      </c>
      <c r="I1074" s="32" t="s">
        <v>736</v>
      </c>
      <c r="J1074" s="32" t="s">
        <v>737</v>
      </c>
      <c r="K1074" s="32" t="s">
        <v>738</v>
      </c>
      <c r="L1074" s="32" t="s">
        <v>699</v>
      </c>
      <c r="M1074" s="32">
        <v>1</v>
      </c>
      <c r="N1074" s="32" t="s">
        <v>417</v>
      </c>
      <c r="O1074" s="32" t="s">
        <v>2171</v>
      </c>
      <c r="P1074" s="32" t="s">
        <v>683</v>
      </c>
      <c r="Q1074" s="32" t="s">
        <v>767</v>
      </c>
      <c r="R1074" s="32" t="s">
        <v>48</v>
      </c>
      <c r="S1074" s="30" t="s">
        <v>684</v>
      </c>
    </row>
    <row r="1075" spans="1:19" x14ac:dyDescent="0.3">
      <c r="A1075" s="29" t="s">
        <v>1467</v>
      </c>
      <c r="B1075" s="30" t="s">
        <v>544</v>
      </c>
      <c r="C1075" s="30" t="s">
        <v>1468</v>
      </c>
      <c r="D1075" s="30" t="s">
        <v>684</v>
      </c>
      <c r="E1075" s="30" t="s">
        <v>674</v>
      </c>
      <c r="F1075" s="30" t="s">
        <v>716</v>
      </c>
      <c r="G1075" s="30" t="s">
        <v>731</v>
      </c>
      <c r="H1075" s="30" t="s">
        <v>702</v>
      </c>
      <c r="I1075" s="30" t="s">
        <v>736</v>
      </c>
      <c r="J1075" s="30" t="s">
        <v>737</v>
      </c>
      <c r="K1075" s="30" t="s">
        <v>738</v>
      </c>
      <c r="L1075" s="30" t="s">
        <v>808</v>
      </c>
      <c r="M1075" s="30">
        <v>1</v>
      </c>
      <c r="N1075" s="30" t="s">
        <v>1469</v>
      </c>
      <c r="O1075" s="30" t="s">
        <v>2171</v>
      </c>
      <c r="P1075" s="30" t="s">
        <v>683</v>
      </c>
      <c r="Q1075" s="30" t="s">
        <v>767</v>
      </c>
      <c r="R1075" s="30" t="s">
        <v>48</v>
      </c>
      <c r="S1075" s="30" t="s">
        <v>684</v>
      </c>
    </row>
    <row r="1076" spans="1:19" x14ac:dyDescent="0.3">
      <c r="A1076" s="31" t="s">
        <v>2386</v>
      </c>
      <c r="B1076" s="32" t="s">
        <v>707</v>
      </c>
      <c r="C1076" s="32" t="s">
        <v>773</v>
      </c>
      <c r="D1076" s="32" t="s">
        <v>673</v>
      </c>
      <c r="E1076" s="32" t="s">
        <v>674</v>
      </c>
      <c r="F1076" s="32" t="s">
        <v>773</v>
      </c>
      <c r="G1076" s="32" t="s">
        <v>773</v>
      </c>
      <c r="H1076" s="32" t="s">
        <v>773</v>
      </c>
      <c r="I1076" s="32" t="s">
        <v>773</v>
      </c>
      <c r="J1076" s="32" t="s">
        <v>713</v>
      </c>
      <c r="K1076" s="32" t="s">
        <v>690</v>
      </c>
      <c r="L1076" s="32" t="s">
        <v>699</v>
      </c>
      <c r="M1076" s="32">
        <v>1</v>
      </c>
      <c r="N1076" s="32" t="s">
        <v>1841</v>
      </c>
      <c r="O1076" s="32" t="s">
        <v>746</v>
      </c>
      <c r="P1076" s="32" t="s">
        <v>683</v>
      </c>
      <c r="Q1076" s="32" t="s">
        <v>665</v>
      </c>
      <c r="R1076" s="32" t="s">
        <v>154</v>
      </c>
      <c r="S1076" s="32" t="s">
        <v>673</v>
      </c>
    </row>
    <row r="1077" spans="1:19" x14ac:dyDescent="0.3">
      <c r="A1077" s="29" t="s">
        <v>1322</v>
      </c>
      <c r="B1077" s="30" t="s">
        <v>1049</v>
      </c>
      <c r="C1077" s="30" t="s">
        <v>1323</v>
      </c>
      <c r="D1077" s="30" t="s">
        <v>673</v>
      </c>
      <c r="E1077" s="30" t="s">
        <v>674</v>
      </c>
      <c r="F1077" s="30" t="s">
        <v>935</v>
      </c>
      <c r="G1077" s="30" t="s">
        <v>744</v>
      </c>
      <c r="H1077" s="30" t="s">
        <v>677</v>
      </c>
      <c r="I1077" s="30" t="s">
        <v>688</v>
      </c>
      <c r="J1077" s="30" t="s">
        <v>710</v>
      </c>
      <c r="K1077" s="30" t="s">
        <v>690</v>
      </c>
      <c r="L1077" s="30" t="s">
        <v>681</v>
      </c>
      <c r="M1077" s="30">
        <v>0.3</v>
      </c>
      <c r="N1077" s="30" t="s">
        <v>107</v>
      </c>
      <c r="O1077" s="30" t="s">
        <v>746</v>
      </c>
      <c r="P1077" s="30" t="s">
        <v>683</v>
      </c>
      <c r="Q1077" s="30" t="s">
        <v>665</v>
      </c>
      <c r="R1077" s="30" t="s">
        <v>49</v>
      </c>
      <c r="S1077" s="32" t="s">
        <v>673</v>
      </c>
    </row>
    <row r="1078" spans="1:19" x14ac:dyDescent="0.3">
      <c r="A1078" s="31" t="s">
        <v>1190</v>
      </c>
      <c r="B1078" s="32" t="s">
        <v>154</v>
      </c>
      <c r="C1078" s="32" t="s">
        <v>1023</v>
      </c>
      <c r="D1078" s="32" t="s">
        <v>673</v>
      </c>
      <c r="E1078" s="32" t="s">
        <v>674</v>
      </c>
      <c r="F1078" s="32" t="s">
        <v>716</v>
      </c>
      <c r="G1078" s="32" t="s">
        <v>744</v>
      </c>
      <c r="H1078" s="32" t="s">
        <v>935</v>
      </c>
      <c r="I1078" s="32" t="s">
        <v>688</v>
      </c>
      <c r="J1078" s="32" t="s">
        <v>710</v>
      </c>
      <c r="K1078" s="32" t="s">
        <v>690</v>
      </c>
      <c r="L1078" s="32" t="s">
        <v>681</v>
      </c>
      <c r="M1078" s="32">
        <v>0.2</v>
      </c>
      <c r="N1078" s="32" t="s">
        <v>107</v>
      </c>
      <c r="O1078" s="32" t="s">
        <v>746</v>
      </c>
      <c r="P1078" s="32" t="s">
        <v>683</v>
      </c>
      <c r="Q1078" s="32" t="s">
        <v>665</v>
      </c>
      <c r="R1078" s="32" t="s">
        <v>49</v>
      </c>
      <c r="S1078" s="32" t="s">
        <v>673</v>
      </c>
    </row>
    <row r="1079" spans="1:19" x14ac:dyDescent="0.3">
      <c r="A1079" s="29" t="s">
        <v>2387</v>
      </c>
      <c r="B1079" s="30" t="s">
        <v>1253</v>
      </c>
      <c r="C1079" s="30" t="s">
        <v>2388</v>
      </c>
      <c r="D1079" s="30" t="s">
        <v>673</v>
      </c>
      <c r="E1079" s="30" t="s">
        <v>674</v>
      </c>
      <c r="F1079" s="30" t="s">
        <v>716</v>
      </c>
      <c r="G1079" s="30" t="s">
        <v>676</v>
      </c>
      <c r="H1079" s="30" t="s">
        <v>938</v>
      </c>
      <c r="I1079" s="30" t="s">
        <v>688</v>
      </c>
      <c r="J1079" s="30" t="s">
        <v>713</v>
      </c>
      <c r="K1079" s="30" t="s">
        <v>690</v>
      </c>
      <c r="L1079" s="30" t="s">
        <v>681</v>
      </c>
      <c r="M1079" s="30">
        <v>0.3</v>
      </c>
      <c r="N1079" s="30" t="s">
        <v>107</v>
      </c>
      <c r="O1079" s="30" t="s">
        <v>746</v>
      </c>
      <c r="P1079" s="30" t="s">
        <v>683</v>
      </c>
      <c r="Q1079" s="30" t="s">
        <v>665</v>
      </c>
      <c r="R1079" s="30" t="s">
        <v>49</v>
      </c>
      <c r="S1079" s="32" t="s">
        <v>673</v>
      </c>
    </row>
    <row r="1080" spans="1:19" x14ac:dyDescent="0.3">
      <c r="A1080" s="31" t="s">
        <v>1377</v>
      </c>
      <c r="B1080" s="32" t="s">
        <v>1253</v>
      </c>
      <c r="C1080" s="32" t="s">
        <v>1378</v>
      </c>
      <c r="D1080" s="32" t="s">
        <v>673</v>
      </c>
      <c r="E1080" s="32" t="s">
        <v>674</v>
      </c>
      <c r="F1080" s="32" t="s">
        <v>716</v>
      </c>
      <c r="G1080" s="32" t="s">
        <v>676</v>
      </c>
      <c r="H1080" s="32" t="s">
        <v>938</v>
      </c>
      <c r="I1080" s="32" t="s">
        <v>688</v>
      </c>
      <c r="J1080" s="32" t="s">
        <v>906</v>
      </c>
      <c r="K1080" s="32" t="s">
        <v>690</v>
      </c>
      <c r="L1080" s="32" t="s">
        <v>681</v>
      </c>
      <c r="M1080" s="32">
        <v>0.2</v>
      </c>
      <c r="N1080" s="32" t="s">
        <v>107</v>
      </c>
      <c r="O1080" s="32" t="s">
        <v>746</v>
      </c>
      <c r="P1080" s="32" t="s">
        <v>683</v>
      </c>
      <c r="Q1080" s="32" t="s">
        <v>665</v>
      </c>
      <c r="R1080" s="32" t="s">
        <v>49</v>
      </c>
      <c r="S1080" s="32" t="s">
        <v>673</v>
      </c>
    </row>
    <row r="1081" spans="1:19" x14ac:dyDescent="0.3">
      <c r="A1081" s="29" t="s">
        <v>1377</v>
      </c>
      <c r="B1081" s="30" t="s">
        <v>1253</v>
      </c>
      <c r="C1081" s="30" t="s">
        <v>1378</v>
      </c>
      <c r="D1081" s="30" t="s">
        <v>673</v>
      </c>
      <c r="E1081" s="30" t="s">
        <v>674</v>
      </c>
      <c r="F1081" s="30" t="s">
        <v>716</v>
      </c>
      <c r="G1081" s="30" t="s">
        <v>676</v>
      </c>
      <c r="H1081" s="30" t="s">
        <v>938</v>
      </c>
      <c r="I1081" s="30" t="s">
        <v>688</v>
      </c>
      <c r="J1081" s="30" t="s">
        <v>906</v>
      </c>
      <c r="K1081" s="30" t="s">
        <v>690</v>
      </c>
      <c r="L1081" s="30" t="s">
        <v>681</v>
      </c>
      <c r="M1081" s="30">
        <v>0.5</v>
      </c>
      <c r="N1081" s="30" t="s">
        <v>433</v>
      </c>
      <c r="O1081" s="30" t="s">
        <v>1915</v>
      </c>
      <c r="P1081" s="30" t="s">
        <v>683</v>
      </c>
      <c r="Q1081" s="30" t="s">
        <v>767</v>
      </c>
      <c r="R1081" s="30" t="s">
        <v>49</v>
      </c>
      <c r="S1081" s="32" t="s">
        <v>673</v>
      </c>
    </row>
    <row r="1082" spans="1:19" x14ac:dyDescent="0.3">
      <c r="A1082" s="31" t="s">
        <v>2387</v>
      </c>
      <c r="B1082" s="32" t="s">
        <v>1253</v>
      </c>
      <c r="C1082" s="32" t="s">
        <v>2388</v>
      </c>
      <c r="D1082" s="32" t="s">
        <v>673</v>
      </c>
      <c r="E1082" s="32" t="s">
        <v>674</v>
      </c>
      <c r="F1082" s="32" t="s">
        <v>716</v>
      </c>
      <c r="G1082" s="32" t="s">
        <v>676</v>
      </c>
      <c r="H1082" s="32" t="s">
        <v>938</v>
      </c>
      <c r="I1082" s="32" t="s">
        <v>688</v>
      </c>
      <c r="J1082" s="32" t="s">
        <v>713</v>
      </c>
      <c r="K1082" s="32" t="s">
        <v>690</v>
      </c>
      <c r="L1082" s="32" t="s">
        <v>681</v>
      </c>
      <c r="M1082" s="32">
        <v>0.5</v>
      </c>
      <c r="N1082" s="32" t="s">
        <v>433</v>
      </c>
      <c r="O1082" s="32" t="s">
        <v>1915</v>
      </c>
      <c r="P1082" s="32" t="s">
        <v>683</v>
      </c>
      <c r="Q1082" s="32" t="s">
        <v>767</v>
      </c>
      <c r="R1082" s="32" t="s">
        <v>49</v>
      </c>
      <c r="S1082" s="32" t="s">
        <v>673</v>
      </c>
    </row>
    <row r="1083" spans="1:19" x14ac:dyDescent="0.3">
      <c r="A1083" s="29" t="s">
        <v>1377</v>
      </c>
      <c r="B1083" s="30" t="s">
        <v>1253</v>
      </c>
      <c r="C1083" s="30" t="s">
        <v>1378</v>
      </c>
      <c r="D1083" s="30" t="s">
        <v>673</v>
      </c>
      <c r="E1083" s="30" t="s">
        <v>674</v>
      </c>
      <c r="F1083" s="30" t="s">
        <v>716</v>
      </c>
      <c r="G1083" s="30" t="s">
        <v>676</v>
      </c>
      <c r="H1083" s="30" t="s">
        <v>938</v>
      </c>
      <c r="I1083" s="30" t="s">
        <v>688</v>
      </c>
      <c r="J1083" s="30" t="s">
        <v>906</v>
      </c>
      <c r="K1083" s="30" t="s">
        <v>690</v>
      </c>
      <c r="L1083" s="30" t="s">
        <v>681</v>
      </c>
      <c r="M1083" s="30">
        <v>0.5</v>
      </c>
      <c r="N1083" s="30" t="s">
        <v>1652</v>
      </c>
      <c r="O1083" s="30" t="s">
        <v>746</v>
      </c>
      <c r="P1083" s="30" t="s">
        <v>683</v>
      </c>
      <c r="Q1083" s="30" t="s">
        <v>665</v>
      </c>
      <c r="R1083" s="30" t="s">
        <v>49</v>
      </c>
      <c r="S1083" s="32" t="s">
        <v>673</v>
      </c>
    </row>
    <row r="1084" spans="1:19" x14ac:dyDescent="0.3">
      <c r="A1084" s="31" t="s">
        <v>2387</v>
      </c>
      <c r="B1084" s="32" t="s">
        <v>1253</v>
      </c>
      <c r="C1084" s="32" t="s">
        <v>2388</v>
      </c>
      <c r="D1084" s="32" t="s">
        <v>673</v>
      </c>
      <c r="E1084" s="32" t="s">
        <v>674</v>
      </c>
      <c r="F1084" s="32" t="s">
        <v>716</v>
      </c>
      <c r="G1084" s="32" t="s">
        <v>676</v>
      </c>
      <c r="H1084" s="32" t="s">
        <v>938</v>
      </c>
      <c r="I1084" s="32" t="s">
        <v>688</v>
      </c>
      <c r="J1084" s="32" t="s">
        <v>713</v>
      </c>
      <c r="K1084" s="32" t="s">
        <v>690</v>
      </c>
      <c r="L1084" s="32" t="s">
        <v>681</v>
      </c>
      <c r="M1084" s="32">
        <v>0.5</v>
      </c>
      <c r="N1084" s="32" t="s">
        <v>1652</v>
      </c>
      <c r="O1084" s="32" t="s">
        <v>746</v>
      </c>
      <c r="P1084" s="32" t="s">
        <v>683</v>
      </c>
      <c r="Q1084" s="32" t="s">
        <v>665</v>
      </c>
      <c r="R1084" s="32" t="s">
        <v>49</v>
      </c>
      <c r="S1084" s="32" t="s">
        <v>673</v>
      </c>
    </row>
    <row r="1085" spans="1:19" x14ac:dyDescent="0.3">
      <c r="A1085" s="29" t="s">
        <v>1607</v>
      </c>
      <c r="B1085" s="30" t="s">
        <v>864</v>
      </c>
      <c r="C1085" s="30" t="s">
        <v>1608</v>
      </c>
      <c r="D1085" s="30" t="s">
        <v>755</v>
      </c>
      <c r="E1085" s="30" t="s">
        <v>674</v>
      </c>
      <c r="F1085" s="30" t="s">
        <v>675</v>
      </c>
      <c r="G1085" s="30" t="s">
        <v>676</v>
      </c>
      <c r="H1085" s="30" t="s">
        <v>677</v>
      </c>
      <c r="I1085" s="30" t="s">
        <v>678</v>
      </c>
      <c r="J1085" s="30" t="s">
        <v>774</v>
      </c>
      <c r="K1085" s="30" t="s">
        <v>680</v>
      </c>
      <c r="L1085" s="30" t="s">
        <v>681</v>
      </c>
      <c r="M1085" s="30">
        <v>0.1</v>
      </c>
      <c r="N1085" s="30" t="s">
        <v>391</v>
      </c>
      <c r="O1085" s="30" t="s">
        <v>746</v>
      </c>
      <c r="P1085" s="30" t="s">
        <v>683</v>
      </c>
      <c r="Q1085" s="30" t="s">
        <v>665</v>
      </c>
      <c r="R1085" s="30" t="s">
        <v>1602</v>
      </c>
      <c r="S1085" s="30" t="s">
        <v>755</v>
      </c>
    </row>
    <row r="1086" spans="1:19" x14ac:dyDescent="0.3">
      <c r="A1086" s="31" t="s">
        <v>1061</v>
      </c>
      <c r="B1086" s="32" t="s">
        <v>864</v>
      </c>
      <c r="C1086" s="32" t="s">
        <v>1062</v>
      </c>
      <c r="D1086" s="32" t="s">
        <v>755</v>
      </c>
      <c r="E1086" s="32" t="s">
        <v>674</v>
      </c>
      <c r="F1086" s="32" t="s">
        <v>675</v>
      </c>
      <c r="G1086" s="32" t="s">
        <v>676</v>
      </c>
      <c r="H1086" s="32" t="s">
        <v>702</v>
      </c>
      <c r="I1086" s="32" t="s">
        <v>678</v>
      </c>
      <c r="J1086" s="32" t="s">
        <v>774</v>
      </c>
      <c r="K1086" s="32" t="s">
        <v>680</v>
      </c>
      <c r="L1086" s="32" t="s">
        <v>699</v>
      </c>
      <c r="M1086" s="32">
        <v>0.6</v>
      </c>
      <c r="N1086" s="32" t="s">
        <v>391</v>
      </c>
      <c r="O1086" s="32" t="s">
        <v>746</v>
      </c>
      <c r="P1086" s="32" t="s">
        <v>683</v>
      </c>
      <c r="Q1086" s="32" t="s">
        <v>665</v>
      </c>
      <c r="R1086" s="32" t="s">
        <v>1602</v>
      </c>
      <c r="S1086" s="30" t="s">
        <v>755</v>
      </c>
    </row>
    <row r="1087" spans="1:19" x14ac:dyDescent="0.3">
      <c r="A1087" s="29" t="s">
        <v>863</v>
      </c>
      <c r="B1087" s="30" t="s">
        <v>864</v>
      </c>
      <c r="C1087" s="30" t="s">
        <v>865</v>
      </c>
      <c r="D1087" s="30" t="s">
        <v>755</v>
      </c>
      <c r="E1087" s="30" t="s">
        <v>674</v>
      </c>
      <c r="F1087" s="30" t="s">
        <v>675</v>
      </c>
      <c r="G1087" s="30" t="s">
        <v>676</v>
      </c>
      <c r="H1087" s="30" t="s">
        <v>677</v>
      </c>
      <c r="I1087" s="30" t="s">
        <v>678</v>
      </c>
      <c r="J1087" s="30" t="s">
        <v>774</v>
      </c>
      <c r="K1087" s="30" t="s">
        <v>680</v>
      </c>
      <c r="L1087" s="30" t="s">
        <v>801</v>
      </c>
      <c r="M1087" s="30">
        <v>0.3</v>
      </c>
      <c r="N1087" s="30" t="s">
        <v>105</v>
      </c>
      <c r="O1087" s="30" t="s">
        <v>746</v>
      </c>
      <c r="P1087" s="30" t="s">
        <v>683</v>
      </c>
      <c r="Q1087" s="30" t="s">
        <v>665</v>
      </c>
      <c r="R1087" s="30" t="s">
        <v>1602</v>
      </c>
      <c r="S1087" s="30" t="s">
        <v>755</v>
      </c>
    </row>
    <row r="1088" spans="1:19" x14ac:dyDescent="0.3">
      <c r="A1088" s="31" t="s">
        <v>1063</v>
      </c>
      <c r="B1088" s="32" t="s">
        <v>864</v>
      </c>
      <c r="C1088" s="32" t="s">
        <v>1064</v>
      </c>
      <c r="D1088" s="32" t="s">
        <v>755</v>
      </c>
      <c r="E1088" s="32" t="s">
        <v>674</v>
      </c>
      <c r="F1088" s="32" t="s">
        <v>675</v>
      </c>
      <c r="G1088" s="32" t="s">
        <v>676</v>
      </c>
      <c r="H1088" s="32" t="s">
        <v>677</v>
      </c>
      <c r="I1088" s="32" t="s">
        <v>678</v>
      </c>
      <c r="J1088" s="32" t="s">
        <v>774</v>
      </c>
      <c r="K1088" s="32" t="s">
        <v>680</v>
      </c>
      <c r="L1088" s="32" t="s">
        <v>699</v>
      </c>
      <c r="M1088" s="32">
        <v>0.25</v>
      </c>
      <c r="N1088" s="32" t="s">
        <v>105</v>
      </c>
      <c r="O1088" s="32" t="s">
        <v>746</v>
      </c>
      <c r="P1088" s="32" t="s">
        <v>683</v>
      </c>
      <c r="Q1088" s="32" t="s">
        <v>665</v>
      </c>
      <c r="R1088" s="32" t="s">
        <v>1602</v>
      </c>
      <c r="S1088" s="30" t="s">
        <v>755</v>
      </c>
    </row>
    <row r="1089" spans="1:19" x14ac:dyDescent="0.3">
      <c r="A1089" s="29" t="s">
        <v>1605</v>
      </c>
      <c r="B1089" s="30" t="s">
        <v>975</v>
      </c>
      <c r="C1089" s="30" t="s">
        <v>1606</v>
      </c>
      <c r="D1089" s="30" t="s">
        <v>755</v>
      </c>
      <c r="E1089" s="30" t="s">
        <v>674</v>
      </c>
      <c r="F1089" s="30" t="s">
        <v>716</v>
      </c>
      <c r="G1089" s="30" t="s">
        <v>744</v>
      </c>
      <c r="H1089" s="30" t="s">
        <v>677</v>
      </c>
      <c r="I1089" s="30" t="s">
        <v>678</v>
      </c>
      <c r="J1089" s="30" t="s">
        <v>774</v>
      </c>
      <c r="K1089" s="30" t="s">
        <v>680</v>
      </c>
      <c r="L1089" s="30" t="s">
        <v>739</v>
      </c>
      <c r="M1089" s="30">
        <v>0.2</v>
      </c>
      <c r="N1089" s="30" t="s">
        <v>105</v>
      </c>
      <c r="O1089" s="30" t="s">
        <v>746</v>
      </c>
      <c r="P1089" s="30" t="s">
        <v>683</v>
      </c>
      <c r="Q1089" s="30" t="s">
        <v>665</v>
      </c>
      <c r="R1089" s="30" t="s">
        <v>1602</v>
      </c>
      <c r="S1089" s="30" t="s">
        <v>755</v>
      </c>
    </row>
    <row r="1090" spans="1:19" x14ac:dyDescent="0.3">
      <c r="A1090" s="31" t="s">
        <v>1603</v>
      </c>
      <c r="B1090" s="32" t="s">
        <v>975</v>
      </c>
      <c r="C1090" s="32" t="s">
        <v>1604</v>
      </c>
      <c r="D1090" s="32" t="s">
        <v>755</v>
      </c>
      <c r="E1090" s="32" t="s">
        <v>674</v>
      </c>
      <c r="F1090" s="32" t="s">
        <v>716</v>
      </c>
      <c r="G1090" s="32" t="s">
        <v>744</v>
      </c>
      <c r="H1090" s="32" t="s">
        <v>677</v>
      </c>
      <c r="I1090" s="32" t="s">
        <v>678</v>
      </c>
      <c r="J1090" s="32" t="s">
        <v>774</v>
      </c>
      <c r="K1090" s="32" t="s">
        <v>680</v>
      </c>
      <c r="L1090" s="32" t="s">
        <v>739</v>
      </c>
      <c r="M1090" s="32">
        <v>0.25</v>
      </c>
      <c r="N1090" s="32" t="s">
        <v>105</v>
      </c>
      <c r="O1090" s="32" t="s">
        <v>746</v>
      </c>
      <c r="P1090" s="32" t="s">
        <v>683</v>
      </c>
      <c r="Q1090" s="32" t="s">
        <v>665</v>
      </c>
      <c r="R1090" s="32" t="s">
        <v>1602</v>
      </c>
      <c r="S1090" s="30" t="s">
        <v>755</v>
      </c>
    </row>
    <row r="1091" spans="1:19" x14ac:dyDescent="0.3">
      <c r="A1091" s="29" t="s">
        <v>1598</v>
      </c>
      <c r="B1091" s="30" t="s">
        <v>470</v>
      </c>
      <c r="C1091" s="30" t="s">
        <v>1598</v>
      </c>
      <c r="D1091" s="30" t="s">
        <v>684</v>
      </c>
      <c r="E1091" s="30" t="s">
        <v>674</v>
      </c>
      <c r="F1091" s="30" t="s">
        <v>716</v>
      </c>
      <c r="G1091" s="30" t="s">
        <v>717</v>
      </c>
      <c r="H1091" s="30" t="s">
        <v>717</v>
      </c>
      <c r="I1091" s="30" t="s">
        <v>736</v>
      </c>
      <c r="J1091" s="30" t="s">
        <v>745</v>
      </c>
      <c r="K1091" s="30" t="s">
        <v>738</v>
      </c>
      <c r="L1091" s="30" t="s">
        <v>699</v>
      </c>
      <c r="M1091" s="30">
        <v>1</v>
      </c>
      <c r="N1091" s="30" t="s">
        <v>315</v>
      </c>
      <c r="O1091" s="30" t="s">
        <v>1915</v>
      </c>
      <c r="P1091" s="30" t="s">
        <v>683</v>
      </c>
      <c r="Q1091" s="30" t="s">
        <v>767</v>
      </c>
      <c r="R1091" s="30" t="s">
        <v>375</v>
      </c>
      <c r="S1091" s="30" t="s">
        <v>684</v>
      </c>
    </row>
    <row r="1092" spans="1:19" x14ac:dyDescent="0.3">
      <c r="A1092" s="31" t="s">
        <v>2389</v>
      </c>
      <c r="B1092" s="32" t="s">
        <v>2364</v>
      </c>
      <c r="C1092" s="32" t="s">
        <v>2390</v>
      </c>
      <c r="D1092" s="32" t="s">
        <v>684</v>
      </c>
      <c r="E1092" s="32" t="s">
        <v>674</v>
      </c>
      <c r="F1092" s="32" t="s">
        <v>734</v>
      </c>
      <c r="G1092" s="32" t="s">
        <v>735</v>
      </c>
      <c r="H1092" s="32" t="s">
        <v>735</v>
      </c>
      <c r="I1092" s="32" t="s">
        <v>736</v>
      </c>
      <c r="J1092" s="32" t="s">
        <v>745</v>
      </c>
      <c r="K1092" s="32" t="s">
        <v>738</v>
      </c>
      <c r="L1092" s="32" t="s">
        <v>699</v>
      </c>
      <c r="M1092" s="32">
        <v>1</v>
      </c>
      <c r="N1092" s="32" t="s">
        <v>122</v>
      </c>
      <c r="O1092" s="32" t="s">
        <v>746</v>
      </c>
      <c r="P1092" s="32" t="s">
        <v>683</v>
      </c>
      <c r="Q1092" s="32" t="s">
        <v>665</v>
      </c>
      <c r="R1092" s="32" t="s">
        <v>375</v>
      </c>
      <c r="S1092" s="30" t="s">
        <v>684</v>
      </c>
    </row>
    <row r="1093" spans="1:19" x14ac:dyDescent="0.3">
      <c r="A1093" s="29" t="s">
        <v>2345</v>
      </c>
      <c r="B1093" s="30" t="s">
        <v>1510</v>
      </c>
      <c r="C1093" s="30" t="s">
        <v>2346</v>
      </c>
      <c r="D1093" s="30" t="s">
        <v>684</v>
      </c>
      <c r="E1093" s="30" t="s">
        <v>674</v>
      </c>
      <c r="F1093" s="30" t="s">
        <v>716</v>
      </c>
      <c r="G1093" s="30" t="s">
        <v>744</v>
      </c>
      <c r="H1093" s="30" t="s">
        <v>702</v>
      </c>
      <c r="I1093" s="30" t="s">
        <v>736</v>
      </c>
      <c r="J1093" s="30" t="s">
        <v>745</v>
      </c>
      <c r="K1093" s="30" t="s">
        <v>738</v>
      </c>
      <c r="L1093" s="30" t="s">
        <v>699</v>
      </c>
      <c r="M1093" s="30">
        <v>1</v>
      </c>
      <c r="N1093" s="30" t="s">
        <v>368</v>
      </c>
      <c r="O1093" s="30" t="s">
        <v>746</v>
      </c>
      <c r="P1093" s="30" t="s">
        <v>683</v>
      </c>
      <c r="Q1093" s="30" t="s">
        <v>665</v>
      </c>
      <c r="R1093" s="30" t="s">
        <v>375</v>
      </c>
      <c r="S1093" s="30" t="s">
        <v>684</v>
      </c>
    </row>
    <row r="1094" spans="1:19" x14ac:dyDescent="0.3">
      <c r="A1094" s="31" t="s">
        <v>2391</v>
      </c>
      <c r="B1094" s="32" t="s">
        <v>1510</v>
      </c>
      <c r="C1094" s="32" t="s">
        <v>2392</v>
      </c>
      <c r="D1094" s="32" t="s">
        <v>684</v>
      </c>
      <c r="E1094" s="32" t="s">
        <v>674</v>
      </c>
      <c r="F1094" s="32" t="s">
        <v>716</v>
      </c>
      <c r="G1094" s="32" t="s">
        <v>731</v>
      </c>
      <c r="H1094" s="32" t="s">
        <v>702</v>
      </c>
      <c r="I1094" s="32" t="s">
        <v>736</v>
      </c>
      <c r="J1094" s="32" t="s">
        <v>745</v>
      </c>
      <c r="K1094" s="32" t="s">
        <v>738</v>
      </c>
      <c r="L1094" s="32" t="s">
        <v>699</v>
      </c>
      <c r="M1094" s="32">
        <v>1</v>
      </c>
      <c r="N1094" s="32" t="s">
        <v>375</v>
      </c>
      <c r="O1094" s="32" t="s">
        <v>746</v>
      </c>
      <c r="P1094" s="32" t="s">
        <v>683</v>
      </c>
      <c r="Q1094" s="32" t="s">
        <v>665</v>
      </c>
      <c r="R1094" s="32" t="s">
        <v>470</v>
      </c>
      <c r="S1094" s="30" t="s">
        <v>684</v>
      </c>
    </row>
    <row r="1095" spans="1:19" x14ac:dyDescent="0.3">
      <c r="A1095" s="29" t="s">
        <v>2393</v>
      </c>
      <c r="B1095" s="30" t="s">
        <v>463</v>
      </c>
      <c r="C1095" s="30" t="s">
        <v>2394</v>
      </c>
      <c r="D1095" s="30" t="s">
        <v>755</v>
      </c>
      <c r="E1095" s="30" t="s">
        <v>674</v>
      </c>
      <c r="F1095" s="30" t="s">
        <v>675</v>
      </c>
      <c r="G1095" s="30" t="s">
        <v>724</v>
      </c>
      <c r="H1095" s="30" t="s">
        <v>702</v>
      </c>
      <c r="I1095" s="30" t="s">
        <v>678</v>
      </c>
      <c r="J1095" s="30" t="s">
        <v>774</v>
      </c>
      <c r="K1095" s="30" t="s">
        <v>680</v>
      </c>
      <c r="L1095" s="30" t="s">
        <v>699</v>
      </c>
      <c r="M1095" s="30">
        <v>0.1</v>
      </c>
      <c r="N1095" s="30" t="s">
        <v>95</v>
      </c>
      <c r="O1095" s="30" t="s">
        <v>746</v>
      </c>
      <c r="P1095" s="30" t="s">
        <v>683</v>
      </c>
      <c r="Q1095" s="30" t="s">
        <v>665</v>
      </c>
      <c r="R1095" s="30" t="s">
        <v>47</v>
      </c>
      <c r="S1095" s="30" t="s">
        <v>755</v>
      </c>
    </row>
    <row r="1096" spans="1:19" x14ac:dyDescent="0.3">
      <c r="A1096" s="31" t="s">
        <v>2395</v>
      </c>
      <c r="B1096" s="32" t="s">
        <v>463</v>
      </c>
      <c r="C1096" s="32" t="s">
        <v>2396</v>
      </c>
      <c r="D1096" s="32" t="s">
        <v>755</v>
      </c>
      <c r="E1096" s="32" t="s">
        <v>674</v>
      </c>
      <c r="F1096" s="32" t="s">
        <v>675</v>
      </c>
      <c r="G1096" s="32" t="s">
        <v>724</v>
      </c>
      <c r="H1096" s="32" t="s">
        <v>702</v>
      </c>
      <c r="I1096" s="32" t="s">
        <v>678</v>
      </c>
      <c r="J1096" s="32" t="s">
        <v>774</v>
      </c>
      <c r="K1096" s="32" t="s">
        <v>680</v>
      </c>
      <c r="L1096" s="32" t="s">
        <v>699</v>
      </c>
      <c r="M1096" s="32">
        <v>0.1</v>
      </c>
      <c r="N1096" s="32" t="s">
        <v>95</v>
      </c>
      <c r="O1096" s="32" t="s">
        <v>746</v>
      </c>
      <c r="P1096" s="32" t="s">
        <v>683</v>
      </c>
      <c r="Q1096" s="32" t="s">
        <v>665</v>
      </c>
      <c r="R1096" s="32" t="s">
        <v>47</v>
      </c>
      <c r="S1096" s="30" t="s">
        <v>755</v>
      </c>
    </row>
    <row r="1097" spans="1:19" x14ac:dyDescent="0.3">
      <c r="A1097" s="29" t="s">
        <v>2397</v>
      </c>
      <c r="B1097" s="30" t="s">
        <v>463</v>
      </c>
      <c r="C1097" s="30" t="s">
        <v>2398</v>
      </c>
      <c r="D1097" s="30" t="s">
        <v>755</v>
      </c>
      <c r="E1097" s="30" t="s">
        <v>674</v>
      </c>
      <c r="F1097" s="30" t="s">
        <v>675</v>
      </c>
      <c r="G1097" s="30" t="s">
        <v>676</v>
      </c>
      <c r="H1097" s="30" t="s">
        <v>702</v>
      </c>
      <c r="I1097" s="30" t="s">
        <v>678</v>
      </c>
      <c r="J1097" s="30" t="s">
        <v>774</v>
      </c>
      <c r="K1097" s="30" t="s">
        <v>680</v>
      </c>
      <c r="L1097" s="30" t="s">
        <v>699</v>
      </c>
      <c r="M1097" s="30">
        <v>0.3</v>
      </c>
      <c r="N1097" s="30" t="s">
        <v>95</v>
      </c>
      <c r="O1097" s="30" t="s">
        <v>746</v>
      </c>
      <c r="P1097" s="30" t="s">
        <v>683</v>
      </c>
      <c r="Q1097" s="30" t="s">
        <v>665</v>
      </c>
      <c r="R1097" s="30" t="s">
        <v>47</v>
      </c>
      <c r="S1097" s="30" t="s">
        <v>755</v>
      </c>
    </row>
    <row r="1098" spans="1:19" x14ac:dyDescent="0.3">
      <c r="A1098" s="31" t="s">
        <v>2399</v>
      </c>
      <c r="B1098" s="32" t="s">
        <v>463</v>
      </c>
      <c r="C1098" s="32" t="s">
        <v>2400</v>
      </c>
      <c r="D1098" s="32" t="s">
        <v>755</v>
      </c>
      <c r="E1098" s="32" t="s">
        <v>674</v>
      </c>
      <c r="F1098" s="32" t="s">
        <v>675</v>
      </c>
      <c r="G1098" s="32" t="s">
        <v>724</v>
      </c>
      <c r="H1098" s="32" t="s">
        <v>702</v>
      </c>
      <c r="I1098" s="32" t="s">
        <v>678</v>
      </c>
      <c r="J1098" s="32" t="s">
        <v>774</v>
      </c>
      <c r="K1098" s="32" t="s">
        <v>680</v>
      </c>
      <c r="L1098" s="32" t="s">
        <v>699</v>
      </c>
      <c r="M1098" s="32">
        <v>0.1</v>
      </c>
      <c r="N1098" s="32" t="s">
        <v>95</v>
      </c>
      <c r="O1098" s="32" t="s">
        <v>746</v>
      </c>
      <c r="P1098" s="32" t="s">
        <v>683</v>
      </c>
      <c r="Q1098" s="32" t="s">
        <v>665</v>
      </c>
      <c r="R1098" s="32" t="s">
        <v>47</v>
      </c>
      <c r="S1098" s="30" t="s">
        <v>755</v>
      </c>
    </row>
    <row r="1099" spans="1:19" x14ac:dyDescent="0.3">
      <c r="A1099" s="29" t="s">
        <v>2401</v>
      </c>
      <c r="B1099" s="30" t="s">
        <v>463</v>
      </c>
      <c r="C1099" s="30" t="s">
        <v>2402</v>
      </c>
      <c r="D1099" s="30" t="s">
        <v>755</v>
      </c>
      <c r="E1099" s="30" t="s">
        <v>674</v>
      </c>
      <c r="F1099" s="30" t="s">
        <v>675</v>
      </c>
      <c r="G1099" s="30" t="s">
        <v>724</v>
      </c>
      <c r="H1099" s="30" t="s">
        <v>702</v>
      </c>
      <c r="I1099" s="30" t="s">
        <v>678</v>
      </c>
      <c r="J1099" s="30" t="s">
        <v>774</v>
      </c>
      <c r="K1099" s="30" t="s">
        <v>680</v>
      </c>
      <c r="L1099" s="30" t="s">
        <v>699</v>
      </c>
      <c r="M1099" s="30">
        <v>0.1</v>
      </c>
      <c r="N1099" s="30" t="s">
        <v>95</v>
      </c>
      <c r="O1099" s="30" t="s">
        <v>746</v>
      </c>
      <c r="P1099" s="30" t="s">
        <v>683</v>
      </c>
      <c r="Q1099" s="30" t="s">
        <v>665</v>
      </c>
      <c r="R1099" s="30" t="s">
        <v>47</v>
      </c>
      <c r="S1099" s="30" t="s">
        <v>755</v>
      </c>
    </row>
    <row r="1100" spans="1:19" x14ac:dyDescent="0.3">
      <c r="A1100" s="31" t="s">
        <v>824</v>
      </c>
      <c r="B1100" s="32" t="s">
        <v>760</v>
      </c>
      <c r="C1100" s="32" t="s">
        <v>825</v>
      </c>
      <c r="D1100" s="32" t="s">
        <v>673</v>
      </c>
      <c r="E1100" s="32" t="s">
        <v>674</v>
      </c>
      <c r="F1100" s="32" t="s">
        <v>675</v>
      </c>
      <c r="G1100" s="32" t="s">
        <v>676</v>
      </c>
      <c r="H1100" s="32" t="s">
        <v>677</v>
      </c>
      <c r="I1100" s="32" t="s">
        <v>678</v>
      </c>
      <c r="J1100" s="32" t="s">
        <v>713</v>
      </c>
      <c r="K1100" s="32" t="s">
        <v>690</v>
      </c>
      <c r="L1100" s="32" t="s">
        <v>699</v>
      </c>
      <c r="M1100" s="32">
        <v>0.2</v>
      </c>
      <c r="N1100" s="32" t="s">
        <v>143</v>
      </c>
      <c r="O1100" s="32" t="s">
        <v>746</v>
      </c>
      <c r="P1100" s="32" t="s">
        <v>683</v>
      </c>
      <c r="Q1100" s="32" t="s">
        <v>665</v>
      </c>
      <c r="R1100" s="32" t="s">
        <v>47</v>
      </c>
      <c r="S1100" s="30" t="s">
        <v>755</v>
      </c>
    </row>
    <row r="1101" spans="1:19" x14ac:dyDescent="0.3">
      <c r="A1101" s="29" t="s">
        <v>1065</v>
      </c>
      <c r="B1101" s="30" t="s">
        <v>707</v>
      </c>
      <c r="C1101" s="30" t="s">
        <v>708</v>
      </c>
      <c r="D1101" s="30" t="s">
        <v>755</v>
      </c>
      <c r="E1101" s="30" t="s">
        <v>674</v>
      </c>
      <c r="F1101" s="30" t="s">
        <v>709</v>
      </c>
      <c r="G1101" s="30" t="s">
        <v>709</v>
      </c>
      <c r="H1101" s="30" t="s">
        <v>709</v>
      </c>
      <c r="I1101" s="30" t="s">
        <v>709</v>
      </c>
      <c r="J1101" s="30" t="s">
        <v>774</v>
      </c>
      <c r="K1101" s="30" t="s">
        <v>680</v>
      </c>
      <c r="L1101" s="30" t="s">
        <v>699</v>
      </c>
      <c r="M1101" s="30">
        <v>0.2</v>
      </c>
      <c r="N1101" s="30" t="s">
        <v>143</v>
      </c>
      <c r="O1101" s="30" t="s">
        <v>746</v>
      </c>
      <c r="P1101" s="30" t="s">
        <v>683</v>
      </c>
      <c r="Q1101" s="30" t="s">
        <v>665</v>
      </c>
      <c r="R1101" s="30" t="s">
        <v>47</v>
      </c>
      <c r="S1101" s="30" t="s">
        <v>755</v>
      </c>
    </row>
    <row r="1102" spans="1:19" x14ac:dyDescent="0.3">
      <c r="A1102" s="31" t="s">
        <v>1018</v>
      </c>
      <c r="B1102" s="32" t="s">
        <v>154</v>
      </c>
      <c r="C1102" s="32" t="s">
        <v>1019</v>
      </c>
      <c r="D1102" s="32" t="s">
        <v>673</v>
      </c>
      <c r="E1102" s="32" t="s">
        <v>674</v>
      </c>
      <c r="F1102" s="32" t="s">
        <v>716</v>
      </c>
      <c r="G1102" s="32" t="s">
        <v>744</v>
      </c>
      <c r="H1102" s="32" t="s">
        <v>935</v>
      </c>
      <c r="I1102" s="32" t="s">
        <v>678</v>
      </c>
      <c r="J1102" s="32" t="s">
        <v>713</v>
      </c>
      <c r="K1102" s="32" t="s">
        <v>690</v>
      </c>
      <c r="L1102" s="32" t="s">
        <v>681</v>
      </c>
      <c r="M1102" s="32">
        <v>0.2</v>
      </c>
      <c r="N1102" s="32" t="s">
        <v>143</v>
      </c>
      <c r="O1102" s="32" t="s">
        <v>746</v>
      </c>
      <c r="P1102" s="32" t="s">
        <v>683</v>
      </c>
      <c r="Q1102" s="32" t="s">
        <v>665</v>
      </c>
      <c r="R1102" s="32" t="s">
        <v>47</v>
      </c>
      <c r="S1102" s="30" t="s">
        <v>755</v>
      </c>
    </row>
    <row r="1103" spans="1:19" x14ac:dyDescent="0.3">
      <c r="A1103" s="29" t="s">
        <v>879</v>
      </c>
      <c r="B1103" s="30" t="s">
        <v>142</v>
      </c>
      <c r="C1103" s="30" t="s">
        <v>880</v>
      </c>
      <c r="D1103" s="30" t="s">
        <v>673</v>
      </c>
      <c r="E1103" s="30" t="s">
        <v>674</v>
      </c>
      <c r="F1103" s="30" t="s">
        <v>716</v>
      </c>
      <c r="G1103" s="30" t="s">
        <v>744</v>
      </c>
      <c r="H1103" s="30" t="s">
        <v>677</v>
      </c>
      <c r="I1103" s="30" t="s">
        <v>678</v>
      </c>
      <c r="J1103" s="30" t="s">
        <v>698</v>
      </c>
      <c r="K1103" s="30" t="s">
        <v>690</v>
      </c>
      <c r="L1103" s="30" t="s">
        <v>699</v>
      </c>
      <c r="M1103" s="30">
        <v>0.2</v>
      </c>
      <c r="N1103" s="30" t="s">
        <v>143</v>
      </c>
      <c r="O1103" s="30" t="s">
        <v>746</v>
      </c>
      <c r="P1103" s="30" t="s">
        <v>683</v>
      </c>
      <c r="Q1103" s="30" t="s">
        <v>665</v>
      </c>
      <c r="R1103" s="30" t="s">
        <v>47</v>
      </c>
      <c r="S1103" s="30" t="s">
        <v>755</v>
      </c>
    </row>
    <row r="1104" spans="1:19" x14ac:dyDescent="0.3">
      <c r="A1104" s="31" t="s">
        <v>1065</v>
      </c>
      <c r="B1104" s="32" t="s">
        <v>707</v>
      </c>
      <c r="C1104" s="32" t="s">
        <v>708</v>
      </c>
      <c r="D1104" s="32" t="s">
        <v>755</v>
      </c>
      <c r="E1104" s="32" t="s">
        <v>674</v>
      </c>
      <c r="F1104" s="32" t="s">
        <v>709</v>
      </c>
      <c r="G1104" s="32" t="s">
        <v>709</v>
      </c>
      <c r="H1104" s="32" t="s">
        <v>709</v>
      </c>
      <c r="I1104" s="32" t="s">
        <v>709</v>
      </c>
      <c r="J1104" s="32" t="s">
        <v>774</v>
      </c>
      <c r="K1104" s="32" t="s">
        <v>680</v>
      </c>
      <c r="L1104" s="32" t="s">
        <v>699</v>
      </c>
      <c r="M1104" s="32">
        <v>0.2</v>
      </c>
      <c r="N1104" s="32" t="s">
        <v>274</v>
      </c>
      <c r="O1104" s="32" t="s">
        <v>746</v>
      </c>
      <c r="P1104" s="32" t="s">
        <v>683</v>
      </c>
      <c r="Q1104" s="32" t="s">
        <v>665</v>
      </c>
      <c r="R1104" s="32" t="s">
        <v>47</v>
      </c>
      <c r="S1104" s="32" t="s">
        <v>755</v>
      </c>
    </row>
    <row r="1105" spans="1:19" x14ac:dyDescent="0.3">
      <c r="A1105" s="29" t="s">
        <v>2399</v>
      </c>
      <c r="B1105" s="30" t="s">
        <v>463</v>
      </c>
      <c r="C1105" s="30" t="s">
        <v>2400</v>
      </c>
      <c r="D1105" s="30" t="s">
        <v>755</v>
      </c>
      <c r="E1105" s="30" t="s">
        <v>674</v>
      </c>
      <c r="F1105" s="30" t="s">
        <v>675</v>
      </c>
      <c r="G1105" s="30" t="s">
        <v>724</v>
      </c>
      <c r="H1105" s="30" t="s">
        <v>702</v>
      </c>
      <c r="I1105" s="30" t="s">
        <v>678</v>
      </c>
      <c r="J1105" s="30" t="s">
        <v>774</v>
      </c>
      <c r="K1105" s="30" t="s">
        <v>680</v>
      </c>
      <c r="L1105" s="30" t="s">
        <v>699</v>
      </c>
      <c r="M1105" s="30">
        <v>0.2</v>
      </c>
      <c r="N1105" s="30" t="s">
        <v>274</v>
      </c>
      <c r="O1105" s="32" t="s">
        <v>746</v>
      </c>
      <c r="P1105" s="30" t="s">
        <v>683</v>
      </c>
      <c r="Q1105" s="32" t="s">
        <v>665</v>
      </c>
      <c r="R1105" s="32" t="s">
        <v>47</v>
      </c>
      <c r="S1105" s="32" t="s">
        <v>755</v>
      </c>
    </row>
    <row r="1106" spans="1:19" x14ac:dyDescent="0.3">
      <c r="A1106" s="31" t="s">
        <v>2393</v>
      </c>
      <c r="B1106" s="32" t="s">
        <v>463</v>
      </c>
      <c r="C1106" s="32" t="s">
        <v>2394</v>
      </c>
      <c r="D1106" s="32" t="s">
        <v>755</v>
      </c>
      <c r="E1106" s="32" t="s">
        <v>674</v>
      </c>
      <c r="F1106" s="32" t="s">
        <v>675</v>
      </c>
      <c r="G1106" s="32" t="s">
        <v>724</v>
      </c>
      <c r="H1106" s="32" t="s">
        <v>702</v>
      </c>
      <c r="I1106" s="32" t="s">
        <v>678</v>
      </c>
      <c r="J1106" s="32" t="s">
        <v>774</v>
      </c>
      <c r="K1106" s="32" t="s">
        <v>680</v>
      </c>
      <c r="L1106" s="32" t="s">
        <v>699</v>
      </c>
      <c r="M1106" s="32">
        <v>0.2</v>
      </c>
      <c r="N1106" s="32" t="s">
        <v>274</v>
      </c>
      <c r="O1106" s="32" t="s">
        <v>746</v>
      </c>
      <c r="P1106" s="32" t="s">
        <v>683</v>
      </c>
      <c r="Q1106" s="32" t="s">
        <v>665</v>
      </c>
      <c r="R1106" s="32" t="s">
        <v>47</v>
      </c>
      <c r="S1106" s="32" t="s">
        <v>755</v>
      </c>
    </row>
    <row r="1107" spans="1:19" x14ac:dyDescent="0.3">
      <c r="A1107" s="29" t="s">
        <v>2395</v>
      </c>
      <c r="B1107" s="30" t="s">
        <v>463</v>
      </c>
      <c r="C1107" s="30" t="s">
        <v>2396</v>
      </c>
      <c r="D1107" s="30" t="s">
        <v>755</v>
      </c>
      <c r="E1107" s="30" t="s">
        <v>674</v>
      </c>
      <c r="F1107" s="30" t="s">
        <v>675</v>
      </c>
      <c r="G1107" s="30" t="s">
        <v>724</v>
      </c>
      <c r="H1107" s="30" t="s">
        <v>702</v>
      </c>
      <c r="I1107" s="30" t="s">
        <v>678</v>
      </c>
      <c r="J1107" s="30" t="s">
        <v>774</v>
      </c>
      <c r="K1107" s="30" t="s">
        <v>680</v>
      </c>
      <c r="L1107" s="30" t="s">
        <v>699</v>
      </c>
      <c r="M1107" s="30">
        <v>0.2</v>
      </c>
      <c r="N1107" s="30" t="s">
        <v>274</v>
      </c>
      <c r="O1107" s="32" t="s">
        <v>746</v>
      </c>
      <c r="P1107" s="30" t="s">
        <v>683</v>
      </c>
      <c r="Q1107" s="32" t="s">
        <v>665</v>
      </c>
      <c r="R1107" s="32" t="s">
        <v>47</v>
      </c>
      <c r="S1107" s="32" t="s">
        <v>755</v>
      </c>
    </row>
    <row r="1108" spans="1:19" x14ac:dyDescent="0.3">
      <c r="A1108" s="31" t="s">
        <v>2401</v>
      </c>
      <c r="B1108" s="32" t="s">
        <v>463</v>
      </c>
      <c r="C1108" s="32" t="s">
        <v>2402</v>
      </c>
      <c r="D1108" s="32" t="s">
        <v>755</v>
      </c>
      <c r="E1108" s="32" t="s">
        <v>674</v>
      </c>
      <c r="F1108" s="32" t="s">
        <v>675</v>
      </c>
      <c r="G1108" s="32" t="s">
        <v>724</v>
      </c>
      <c r="H1108" s="32" t="s">
        <v>702</v>
      </c>
      <c r="I1108" s="32" t="s">
        <v>678</v>
      </c>
      <c r="J1108" s="32" t="s">
        <v>774</v>
      </c>
      <c r="K1108" s="32" t="s">
        <v>680</v>
      </c>
      <c r="L1108" s="32" t="s">
        <v>699</v>
      </c>
      <c r="M1108" s="32">
        <v>0.2</v>
      </c>
      <c r="N1108" s="32" t="s">
        <v>274</v>
      </c>
      <c r="O1108" s="30" t="s">
        <v>746</v>
      </c>
      <c r="P1108" s="32" t="s">
        <v>683</v>
      </c>
      <c r="Q1108" s="32" t="s">
        <v>767</v>
      </c>
      <c r="R1108" s="32" t="s">
        <v>47</v>
      </c>
      <c r="S1108" s="30" t="s">
        <v>755</v>
      </c>
    </row>
    <row r="1109" spans="1:19" x14ac:dyDescent="0.3">
      <c r="A1109" s="29" t="s">
        <v>1074</v>
      </c>
      <c r="B1109" s="30" t="s">
        <v>1075</v>
      </c>
      <c r="C1109" s="30" t="s">
        <v>1076</v>
      </c>
      <c r="D1109" s="30" t="s">
        <v>755</v>
      </c>
      <c r="E1109" s="30" t="s">
        <v>674</v>
      </c>
      <c r="F1109" s="30" t="s">
        <v>716</v>
      </c>
      <c r="G1109" s="30" t="s">
        <v>744</v>
      </c>
      <c r="H1109" s="30" t="s">
        <v>677</v>
      </c>
      <c r="I1109" s="30" t="s">
        <v>678</v>
      </c>
      <c r="J1109" s="30" t="s">
        <v>774</v>
      </c>
      <c r="K1109" s="30" t="s">
        <v>680</v>
      </c>
      <c r="L1109" s="30" t="s">
        <v>699</v>
      </c>
      <c r="M1109" s="30">
        <v>0.3</v>
      </c>
      <c r="N1109" s="30" t="s">
        <v>336</v>
      </c>
      <c r="O1109" s="30" t="s">
        <v>746</v>
      </c>
      <c r="P1109" s="30" t="s">
        <v>683</v>
      </c>
      <c r="Q1109" s="30" t="s">
        <v>665</v>
      </c>
      <c r="R1109" s="30" t="s">
        <v>47</v>
      </c>
      <c r="S1109" s="30" t="s">
        <v>755</v>
      </c>
    </row>
    <row r="1110" spans="1:19" x14ac:dyDescent="0.3">
      <c r="A1110" s="31" t="s">
        <v>974</v>
      </c>
      <c r="B1110" s="32" t="s">
        <v>975</v>
      </c>
      <c r="C1110" s="32" t="s">
        <v>976</v>
      </c>
      <c r="D1110" s="32" t="s">
        <v>755</v>
      </c>
      <c r="E1110" s="32" t="s">
        <v>674</v>
      </c>
      <c r="F1110" s="32" t="s">
        <v>716</v>
      </c>
      <c r="G1110" s="32" t="s">
        <v>744</v>
      </c>
      <c r="H1110" s="32" t="s">
        <v>677</v>
      </c>
      <c r="I1110" s="32" t="s">
        <v>678</v>
      </c>
      <c r="J1110" s="32" t="s">
        <v>774</v>
      </c>
      <c r="K1110" s="32" t="s">
        <v>680</v>
      </c>
      <c r="L1110" s="32" t="s">
        <v>801</v>
      </c>
      <c r="M1110" s="32">
        <v>0.35</v>
      </c>
      <c r="N1110" s="32" t="s">
        <v>336</v>
      </c>
      <c r="O1110" s="32" t="s">
        <v>746</v>
      </c>
      <c r="P1110" s="32" t="s">
        <v>683</v>
      </c>
      <c r="Q1110" s="32" t="s">
        <v>665</v>
      </c>
      <c r="R1110" s="32" t="s">
        <v>47</v>
      </c>
      <c r="S1110" s="30" t="s">
        <v>755</v>
      </c>
    </row>
    <row r="1111" spans="1:19" x14ac:dyDescent="0.3">
      <c r="A1111" s="29" t="s">
        <v>863</v>
      </c>
      <c r="B1111" s="30" t="s">
        <v>864</v>
      </c>
      <c r="C1111" s="30" t="s">
        <v>865</v>
      </c>
      <c r="D1111" s="30" t="s">
        <v>755</v>
      </c>
      <c r="E1111" s="30" t="s">
        <v>674</v>
      </c>
      <c r="F1111" s="30" t="s">
        <v>675</v>
      </c>
      <c r="G1111" s="30" t="s">
        <v>676</v>
      </c>
      <c r="H1111" s="30" t="s">
        <v>677</v>
      </c>
      <c r="I1111" s="30" t="s">
        <v>678</v>
      </c>
      <c r="J1111" s="30" t="s">
        <v>774</v>
      </c>
      <c r="K1111" s="30" t="s">
        <v>680</v>
      </c>
      <c r="L1111" s="30" t="s">
        <v>801</v>
      </c>
      <c r="M1111" s="30">
        <v>0.6</v>
      </c>
      <c r="N1111" s="30" t="s">
        <v>573</v>
      </c>
      <c r="O1111" s="30" t="s">
        <v>746</v>
      </c>
      <c r="P1111" s="30" t="s">
        <v>683</v>
      </c>
      <c r="Q1111" s="30" t="s">
        <v>665</v>
      </c>
      <c r="R1111" s="30" t="s">
        <v>47</v>
      </c>
      <c r="S1111" s="30" t="s">
        <v>755</v>
      </c>
    </row>
    <row r="1112" spans="1:19" x14ac:dyDescent="0.3">
      <c r="A1112" s="31" t="s">
        <v>1065</v>
      </c>
      <c r="B1112" s="32" t="s">
        <v>707</v>
      </c>
      <c r="C1112" s="32" t="s">
        <v>708</v>
      </c>
      <c r="D1112" s="32" t="s">
        <v>755</v>
      </c>
      <c r="E1112" s="32" t="s">
        <v>674</v>
      </c>
      <c r="F1112" s="32" t="s">
        <v>709</v>
      </c>
      <c r="G1112" s="32" t="s">
        <v>709</v>
      </c>
      <c r="H1112" s="32" t="s">
        <v>709</v>
      </c>
      <c r="I1112" s="32" t="s">
        <v>709</v>
      </c>
      <c r="J1112" s="32" t="s">
        <v>774</v>
      </c>
      <c r="K1112" s="32" t="s">
        <v>680</v>
      </c>
      <c r="L1112" s="32" t="s">
        <v>699</v>
      </c>
      <c r="M1112" s="32">
        <v>0.6</v>
      </c>
      <c r="N1112" s="32" t="s">
        <v>47</v>
      </c>
      <c r="O1112" s="32" t="s">
        <v>746</v>
      </c>
      <c r="P1112" s="32" t="s">
        <v>683</v>
      </c>
      <c r="Q1112" s="32" t="s">
        <v>665</v>
      </c>
      <c r="R1112" s="32" t="s">
        <v>1211</v>
      </c>
      <c r="S1112" s="30" t="s">
        <v>719</v>
      </c>
    </row>
    <row r="1113" spans="1:19" x14ac:dyDescent="0.3">
      <c r="A1113" s="29" t="s">
        <v>1061</v>
      </c>
      <c r="B1113" s="30" t="s">
        <v>864</v>
      </c>
      <c r="C1113" s="30" t="s">
        <v>1062</v>
      </c>
      <c r="D1113" s="30" t="s">
        <v>755</v>
      </c>
      <c r="E1113" s="30" t="s">
        <v>674</v>
      </c>
      <c r="F1113" s="30" t="s">
        <v>675</v>
      </c>
      <c r="G1113" s="30" t="s">
        <v>676</v>
      </c>
      <c r="H1113" s="30" t="s">
        <v>702</v>
      </c>
      <c r="I1113" s="30" t="s">
        <v>678</v>
      </c>
      <c r="J1113" s="30" t="s">
        <v>774</v>
      </c>
      <c r="K1113" s="30" t="s">
        <v>680</v>
      </c>
      <c r="L1113" s="30" t="s">
        <v>699</v>
      </c>
      <c r="M1113" s="30">
        <v>0.2</v>
      </c>
      <c r="N1113" s="30" t="s">
        <v>47</v>
      </c>
      <c r="O1113" s="30" t="s">
        <v>746</v>
      </c>
      <c r="P1113" s="30" t="s">
        <v>683</v>
      </c>
      <c r="Q1113" s="30" t="s">
        <v>665</v>
      </c>
      <c r="R1113" s="30" t="s">
        <v>1211</v>
      </c>
      <c r="S1113" s="30" t="s">
        <v>719</v>
      </c>
    </row>
    <row r="1114" spans="1:19" x14ac:dyDescent="0.3">
      <c r="A1114" s="31" t="s">
        <v>1018</v>
      </c>
      <c r="B1114" s="32" t="s">
        <v>154</v>
      </c>
      <c r="C1114" s="32" t="s">
        <v>1019</v>
      </c>
      <c r="D1114" s="32" t="s">
        <v>673</v>
      </c>
      <c r="E1114" s="32" t="s">
        <v>674</v>
      </c>
      <c r="F1114" s="32" t="s">
        <v>716</v>
      </c>
      <c r="G1114" s="32" t="s">
        <v>744</v>
      </c>
      <c r="H1114" s="32" t="s">
        <v>935</v>
      </c>
      <c r="I1114" s="32" t="s">
        <v>678</v>
      </c>
      <c r="J1114" s="32" t="s">
        <v>713</v>
      </c>
      <c r="K1114" s="32" t="s">
        <v>690</v>
      </c>
      <c r="L1114" s="32" t="s">
        <v>681</v>
      </c>
      <c r="M1114" s="32">
        <v>0.2</v>
      </c>
      <c r="N1114" s="32" t="s">
        <v>47</v>
      </c>
      <c r="O1114" s="32" t="s">
        <v>746</v>
      </c>
      <c r="P1114" s="32" t="s">
        <v>683</v>
      </c>
      <c r="Q1114" s="32" t="s">
        <v>665</v>
      </c>
      <c r="R1114" s="32" t="s">
        <v>1211</v>
      </c>
      <c r="S1114" s="30" t="s">
        <v>719</v>
      </c>
    </row>
    <row r="1115" spans="1:19" x14ac:dyDescent="0.3">
      <c r="A1115" s="29" t="s">
        <v>1054</v>
      </c>
      <c r="B1115" s="30" t="s">
        <v>760</v>
      </c>
      <c r="C1115" s="30" t="s">
        <v>1055</v>
      </c>
      <c r="D1115" s="30" t="s">
        <v>673</v>
      </c>
      <c r="E1115" s="30" t="s">
        <v>674</v>
      </c>
      <c r="F1115" s="30" t="s">
        <v>675</v>
      </c>
      <c r="G1115" s="30" t="s">
        <v>676</v>
      </c>
      <c r="H1115" s="30" t="s">
        <v>702</v>
      </c>
      <c r="I1115" s="30" t="s">
        <v>688</v>
      </c>
      <c r="J1115" s="30" t="s">
        <v>751</v>
      </c>
      <c r="K1115" s="30" t="s">
        <v>690</v>
      </c>
      <c r="L1115" s="30" t="s">
        <v>681</v>
      </c>
      <c r="M1115" s="30">
        <v>0.5</v>
      </c>
      <c r="N1115" s="30" t="s">
        <v>82</v>
      </c>
      <c r="O1115" s="30" t="s">
        <v>1915</v>
      </c>
      <c r="P1115" s="30" t="s">
        <v>683</v>
      </c>
      <c r="Q1115" s="30" t="s">
        <v>767</v>
      </c>
      <c r="R1115" s="30" t="s">
        <v>132</v>
      </c>
      <c r="S1115" s="32" t="s">
        <v>673</v>
      </c>
    </row>
    <row r="1116" spans="1:19" x14ac:dyDescent="0.3">
      <c r="A1116" s="31" t="s">
        <v>1596</v>
      </c>
      <c r="B1116" s="32" t="s">
        <v>760</v>
      </c>
      <c r="C1116" s="32" t="s">
        <v>1597</v>
      </c>
      <c r="D1116" s="32" t="s">
        <v>673</v>
      </c>
      <c r="E1116" s="32" t="s">
        <v>674</v>
      </c>
      <c r="F1116" s="32" t="s">
        <v>716</v>
      </c>
      <c r="G1116" s="32" t="s">
        <v>744</v>
      </c>
      <c r="H1116" s="32" t="s">
        <v>702</v>
      </c>
      <c r="I1116" s="32" t="s">
        <v>688</v>
      </c>
      <c r="J1116" s="32" t="s">
        <v>751</v>
      </c>
      <c r="K1116" s="32" t="s">
        <v>690</v>
      </c>
      <c r="L1116" s="32" t="s">
        <v>699</v>
      </c>
      <c r="M1116" s="32">
        <v>0.2</v>
      </c>
      <c r="N1116" s="32" t="s">
        <v>115</v>
      </c>
      <c r="O1116" s="32" t="s">
        <v>746</v>
      </c>
      <c r="P1116" s="32" t="s">
        <v>683</v>
      </c>
      <c r="Q1116" s="32" t="s">
        <v>665</v>
      </c>
      <c r="R1116" s="32" t="s">
        <v>132</v>
      </c>
      <c r="S1116" s="32" t="s">
        <v>673</v>
      </c>
    </row>
    <row r="1117" spans="1:19" x14ac:dyDescent="0.3">
      <c r="A1117" s="29" t="s">
        <v>2291</v>
      </c>
      <c r="B1117" s="30" t="s">
        <v>760</v>
      </c>
      <c r="C1117" s="30" t="s">
        <v>2292</v>
      </c>
      <c r="D1117" s="30" t="s">
        <v>673</v>
      </c>
      <c r="E1117" s="30" t="s">
        <v>674</v>
      </c>
      <c r="F1117" s="30" t="s">
        <v>716</v>
      </c>
      <c r="G1117" s="30" t="s">
        <v>744</v>
      </c>
      <c r="H1117" s="30" t="s">
        <v>702</v>
      </c>
      <c r="I1117" s="30" t="s">
        <v>688</v>
      </c>
      <c r="J1117" s="30" t="s">
        <v>751</v>
      </c>
      <c r="K1117" s="30" t="s">
        <v>690</v>
      </c>
      <c r="L1117" s="30" t="s">
        <v>699</v>
      </c>
      <c r="M1117" s="30">
        <v>0.2</v>
      </c>
      <c r="N1117" s="30" t="s">
        <v>115</v>
      </c>
      <c r="O1117" s="30" t="s">
        <v>746</v>
      </c>
      <c r="P1117" s="30" t="s">
        <v>683</v>
      </c>
      <c r="Q1117" s="30" t="s">
        <v>665</v>
      </c>
      <c r="R1117" s="30" t="s">
        <v>132</v>
      </c>
      <c r="S1117" s="32" t="s">
        <v>673</v>
      </c>
    </row>
    <row r="1118" spans="1:19" x14ac:dyDescent="0.3">
      <c r="A1118" s="31" t="s">
        <v>954</v>
      </c>
      <c r="B1118" s="32" t="s">
        <v>955</v>
      </c>
      <c r="C1118" s="32" t="s">
        <v>956</v>
      </c>
      <c r="D1118" s="32" t="s">
        <v>673</v>
      </c>
      <c r="E1118" s="32" t="s">
        <v>674</v>
      </c>
      <c r="F1118" s="32" t="s">
        <v>675</v>
      </c>
      <c r="G1118" s="32" t="s">
        <v>676</v>
      </c>
      <c r="H1118" s="32" t="s">
        <v>677</v>
      </c>
      <c r="I1118" s="32" t="s">
        <v>688</v>
      </c>
      <c r="J1118" s="32" t="s">
        <v>713</v>
      </c>
      <c r="K1118" s="32" t="s">
        <v>690</v>
      </c>
      <c r="L1118" s="32" t="s">
        <v>699</v>
      </c>
      <c r="M1118" s="32">
        <v>0.5</v>
      </c>
      <c r="N1118" s="32" t="s">
        <v>212</v>
      </c>
      <c r="O1118" s="32" t="s">
        <v>2180</v>
      </c>
      <c r="P1118" s="32" t="s">
        <v>683</v>
      </c>
      <c r="Q1118" s="32" t="s">
        <v>767</v>
      </c>
      <c r="R1118" s="32" t="s">
        <v>132</v>
      </c>
      <c r="S1118" s="32" t="s">
        <v>673</v>
      </c>
    </row>
    <row r="1119" spans="1:19" x14ac:dyDescent="0.3">
      <c r="A1119" s="29" t="s">
        <v>993</v>
      </c>
      <c r="B1119" s="30" t="s">
        <v>760</v>
      </c>
      <c r="C1119" s="30" t="s">
        <v>994</v>
      </c>
      <c r="D1119" s="30" t="s">
        <v>673</v>
      </c>
      <c r="E1119" s="30" t="s">
        <v>674</v>
      </c>
      <c r="F1119" s="30" t="s">
        <v>675</v>
      </c>
      <c r="G1119" s="30" t="s">
        <v>676</v>
      </c>
      <c r="H1119" s="30" t="s">
        <v>702</v>
      </c>
      <c r="I1119" s="30" t="s">
        <v>688</v>
      </c>
      <c r="J1119" s="30" t="s">
        <v>751</v>
      </c>
      <c r="K1119" s="30" t="s">
        <v>690</v>
      </c>
      <c r="L1119" s="30" t="s">
        <v>681</v>
      </c>
      <c r="M1119" s="30">
        <v>0.4</v>
      </c>
      <c r="N1119" s="30" t="s">
        <v>247</v>
      </c>
      <c r="O1119" s="30" t="s">
        <v>1919</v>
      </c>
      <c r="P1119" s="30" t="s">
        <v>683</v>
      </c>
      <c r="Q1119" s="30" t="s">
        <v>767</v>
      </c>
      <c r="R1119" s="30" t="s">
        <v>132</v>
      </c>
      <c r="S1119" s="32" t="s">
        <v>673</v>
      </c>
    </row>
    <row r="1120" spans="1:19" x14ac:dyDescent="0.3">
      <c r="A1120" s="31" t="s">
        <v>2291</v>
      </c>
      <c r="B1120" s="32" t="s">
        <v>760</v>
      </c>
      <c r="C1120" s="32" t="s">
        <v>2292</v>
      </c>
      <c r="D1120" s="32" t="s">
        <v>673</v>
      </c>
      <c r="E1120" s="32" t="s">
        <v>674</v>
      </c>
      <c r="F1120" s="32" t="s">
        <v>716</v>
      </c>
      <c r="G1120" s="32" t="s">
        <v>744</v>
      </c>
      <c r="H1120" s="32" t="s">
        <v>702</v>
      </c>
      <c r="I1120" s="32" t="s">
        <v>688</v>
      </c>
      <c r="J1120" s="32" t="s">
        <v>751</v>
      </c>
      <c r="K1120" s="32" t="s">
        <v>690</v>
      </c>
      <c r="L1120" s="32" t="s">
        <v>699</v>
      </c>
      <c r="M1120" s="32">
        <v>0.3</v>
      </c>
      <c r="N1120" s="32" t="s">
        <v>1657</v>
      </c>
      <c r="O1120" s="32" t="s">
        <v>1915</v>
      </c>
      <c r="P1120" s="32" t="s">
        <v>683</v>
      </c>
      <c r="Q1120" s="32" t="s">
        <v>767</v>
      </c>
      <c r="R1120" s="32" t="s">
        <v>132</v>
      </c>
      <c r="S1120" s="32" t="s">
        <v>673</v>
      </c>
    </row>
    <row r="1121" spans="1:19" x14ac:dyDescent="0.3">
      <c r="A1121" s="29" t="s">
        <v>1656</v>
      </c>
      <c r="B1121" s="30" t="s">
        <v>707</v>
      </c>
      <c r="C1121" s="30" t="s">
        <v>773</v>
      </c>
      <c r="D1121" s="30" t="s">
        <v>673</v>
      </c>
      <c r="E1121" s="30" t="s">
        <v>674</v>
      </c>
      <c r="F1121" s="30" t="s">
        <v>773</v>
      </c>
      <c r="G1121" s="30" t="s">
        <v>773</v>
      </c>
      <c r="H1121" s="30" t="s">
        <v>773</v>
      </c>
      <c r="I1121" s="30" t="s">
        <v>773</v>
      </c>
      <c r="J1121" s="30" t="s">
        <v>751</v>
      </c>
      <c r="K1121" s="30" t="s">
        <v>690</v>
      </c>
      <c r="L1121" s="30" t="s">
        <v>699</v>
      </c>
      <c r="M1121" s="30">
        <v>0.7</v>
      </c>
      <c r="N1121" s="30" t="s">
        <v>1657</v>
      </c>
      <c r="O1121" s="30" t="s">
        <v>1915</v>
      </c>
      <c r="P1121" s="30" t="s">
        <v>683</v>
      </c>
      <c r="Q1121" s="30" t="s">
        <v>767</v>
      </c>
      <c r="R1121" s="30" t="s">
        <v>132</v>
      </c>
      <c r="S1121" s="32" t="s">
        <v>673</v>
      </c>
    </row>
    <row r="1122" spans="1:19" x14ac:dyDescent="0.3">
      <c r="A1122" s="31" t="s">
        <v>995</v>
      </c>
      <c r="B1122" s="32" t="s">
        <v>753</v>
      </c>
      <c r="C1122" s="32" t="s">
        <v>996</v>
      </c>
      <c r="D1122" s="32" t="s">
        <v>755</v>
      </c>
      <c r="E1122" s="32" t="s">
        <v>674</v>
      </c>
      <c r="F1122" s="32" t="s">
        <v>716</v>
      </c>
      <c r="G1122" s="32" t="s">
        <v>744</v>
      </c>
      <c r="H1122" s="32" t="s">
        <v>702</v>
      </c>
      <c r="I1122" s="32" t="s">
        <v>2286</v>
      </c>
      <c r="J1122" s="32" t="s">
        <v>679</v>
      </c>
      <c r="K1122" s="32" t="s">
        <v>680</v>
      </c>
      <c r="L1122" s="32" t="s">
        <v>699</v>
      </c>
      <c r="M1122" s="32">
        <v>0.1</v>
      </c>
      <c r="N1122" s="32" t="s">
        <v>505</v>
      </c>
      <c r="O1122" s="32" t="s">
        <v>746</v>
      </c>
      <c r="P1122" s="32" t="s">
        <v>683</v>
      </c>
      <c r="Q1122" s="32" t="s">
        <v>665</v>
      </c>
      <c r="R1122" s="32" t="s">
        <v>132</v>
      </c>
      <c r="S1122" s="32" t="s">
        <v>673</v>
      </c>
    </row>
    <row r="1123" spans="1:19" x14ac:dyDescent="0.3">
      <c r="A1123" s="29" t="s">
        <v>1167</v>
      </c>
      <c r="B1123" s="30" t="s">
        <v>753</v>
      </c>
      <c r="C1123" s="30" t="s">
        <v>1168</v>
      </c>
      <c r="D1123" s="30" t="s">
        <v>755</v>
      </c>
      <c r="E1123" s="30" t="s">
        <v>674</v>
      </c>
      <c r="F1123" s="30" t="s">
        <v>716</v>
      </c>
      <c r="G1123" s="30" t="s">
        <v>744</v>
      </c>
      <c r="H1123" s="30" t="s">
        <v>702</v>
      </c>
      <c r="I1123" s="30" t="s">
        <v>2286</v>
      </c>
      <c r="J1123" s="30" t="s">
        <v>679</v>
      </c>
      <c r="K1123" s="30" t="s">
        <v>680</v>
      </c>
      <c r="L1123" s="30" t="s">
        <v>699</v>
      </c>
      <c r="M1123" s="30">
        <v>0.1</v>
      </c>
      <c r="N1123" s="30" t="s">
        <v>505</v>
      </c>
      <c r="O1123" s="30" t="s">
        <v>746</v>
      </c>
      <c r="P1123" s="30" t="s">
        <v>683</v>
      </c>
      <c r="Q1123" s="30" t="s">
        <v>665</v>
      </c>
      <c r="R1123" s="30" t="s">
        <v>132</v>
      </c>
      <c r="S1123" s="32" t="s">
        <v>673</v>
      </c>
    </row>
    <row r="1124" spans="1:19" x14ac:dyDescent="0.3">
      <c r="A1124" s="31" t="s">
        <v>1056</v>
      </c>
      <c r="B1124" s="32" t="s">
        <v>760</v>
      </c>
      <c r="C1124" s="32" t="s">
        <v>1057</v>
      </c>
      <c r="D1124" s="32" t="s">
        <v>673</v>
      </c>
      <c r="E1124" s="32" t="s">
        <v>674</v>
      </c>
      <c r="F1124" s="32" t="s">
        <v>716</v>
      </c>
      <c r="G1124" s="32" t="s">
        <v>744</v>
      </c>
      <c r="H1124" s="32" t="s">
        <v>702</v>
      </c>
      <c r="I1124" s="32" t="s">
        <v>688</v>
      </c>
      <c r="J1124" s="32" t="s">
        <v>751</v>
      </c>
      <c r="K1124" s="32" t="s">
        <v>690</v>
      </c>
      <c r="L1124" s="32" t="s">
        <v>699</v>
      </c>
      <c r="M1124" s="32">
        <v>0.8</v>
      </c>
      <c r="N1124" s="32" t="s">
        <v>508</v>
      </c>
      <c r="O1124" s="32" t="s">
        <v>746</v>
      </c>
      <c r="P1124" s="32" t="s">
        <v>683</v>
      </c>
      <c r="Q1124" s="32" t="s">
        <v>665</v>
      </c>
      <c r="R1124" s="32" t="s">
        <v>132</v>
      </c>
      <c r="S1124" s="32" t="s">
        <v>673</v>
      </c>
    </row>
    <row r="1125" spans="1:19" x14ac:dyDescent="0.3">
      <c r="A1125" s="29" t="s">
        <v>748</v>
      </c>
      <c r="B1125" s="30" t="s">
        <v>749</v>
      </c>
      <c r="C1125" s="30" t="s">
        <v>750</v>
      </c>
      <c r="D1125" s="30" t="s">
        <v>673</v>
      </c>
      <c r="E1125" s="30" t="s">
        <v>674</v>
      </c>
      <c r="F1125" s="30" t="s">
        <v>716</v>
      </c>
      <c r="G1125" s="30" t="s">
        <v>744</v>
      </c>
      <c r="H1125" s="30" t="s">
        <v>677</v>
      </c>
      <c r="I1125" s="30" t="s">
        <v>688</v>
      </c>
      <c r="J1125" s="30" t="s">
        <v>751</v>
      </c>
      <c r="K1125" s="30" t="s">
        <v>690</v>
      </c>
      <c r="L1125" s="30" t="s">
        <v>681</v>
      </c>
      <c r="M1125" s="30">
        <v>0.2</v>
      </c>
      <c r="N1125" s="30" t="s">
        <v>508</v>
      </c>
      <c r="O1125" s="30" t="s">
        <v>746</v>
      </c>
      <c r="P1125" s="30" t="s">
        <v>683</v>
      </c>
      <c r="Q1125" s="30" t="s">
        <v>665</v>
      </c>
      <c r="R1125" s="30" t="s">
        <v>132</v>
      </c>
      <c r="S1125" s="32" t="s">
        <v>673</v>
      </c>
    </row>
    <row r="1126" spans="1:19" x14ac:dyDescent="0.3">
      <c r="A1126" s="31" t="s">
        <v>1169</v>
      </c>
      <c r="B1126" s="32" t="s">
        <v>998</v>
      </c>
      <c r="C1126" s="32" t="s">
        <v>1170</v>
      </c>
      <c r="D1126" s="32" t="s">
        <v>673</v>
      </c>
      <c r="E1126" s="32" t="s">
        <v>674</v>
      </c>
      <c r="F1126" s="32" t="s">
        <v>716</v>
      </c>
      <c r="G1126" s="32" t="s">
        <v>744</v>
      </c>
      <c r="H1126" s="32" t="s">
        <v>677</v>
      </c>
      <c r="I1126" s="32" t="s">
        <v>688</v>
      </c>
      <c r="J1126" s="32" t="s">
        <v>679</v>
      </c>
      <c r="K1126" s="32" t="s">
        <v>680</v>
      </c>
      <c r="L1126" s="32" t="s">
        <v>681</v>
      </c>
      <c r="M1126" s="32">
        <v>0.1</v>
      </c>
      <c r="N1126" s="32" t="s">
        <v>50</v>
      </c>
      <c r="O1126" s="32" t="s">
        <v>1915</v>
      </c>
      <c r="P1126" s="32" t="s">
        <v>683</v>
      </c>
      <c r="Q1126" s="32" t="s">
        <v>767</v>
      </c>
      <c r="R1126" s="32" t="s">
        <v>132</v>
      </c>
      <c r="S1126" s="32" t="s">
        <v>673</v>
      </c>
    </row>
    <row r="1127" spans="1:19" x14ac:dyDescent="0.3">
      <c r="A1127" s="29" t="s">
        <v>1000</v>
      </c>
      <c r="B1127" s="30" t="s">
        <v>998</v>
      </c>
      <c r="C1127" s="30" t="s">
        <v>1001</v>
      </c>
      <c r="D1127" s="30" t="s">
        <v>673</v>
      </c>
      <c r="E1127" s="30" t="s">
        <v>674</v>
      </c>
      <c r="F1127" s="30" t="s">
        <v>716</v>
      </c>
      <c r="G1127" s="30" t="s">
        <v>744</v>
      </c>
      <c r="H1127" s="30" t="s">
        <v>677</v>
      </c>
      <c r="I1127" s="30" t="s">
        <v>688</v>
      </c>
      <c r="J1127" s="30" t="s">
        <v>751</v>
      </c>
      <c r="K1127" s="30" t="s">
        <v>690</v>
      </c>
      <c r="L1127" s="30" t="s">
        <v>681</v>
      </c>
      <c r="M1127" s="30">
        <v>0.2</v>
      </c>
      <c r="N1127" s="30" t="s">
        <v>50</v>
      </c>
      <c r="O1127" s="30" t="s">
        <v>1915</v>
      </c>
      <c r="P1127" s="30" t="s">
        <v>683</v>
      </c>
      <c r="Q1127" s="30" t="s">
        <v>767</v>
      </c>
      <c r="R1127" s="30" t="s">
        <v>132</v>
      </c>
      <c r="S1127" s="32" t="s">
        <v>673</v>
      </c>
    </row>
    <row r="1128" spans="1:19" x14ac:dyDescent="0.3">
      <c r="A1128" s="31" t="s">
        <v>1000</v>
      </c>
      <c r="B1128" s="32" t="s">
        <v>998</v>
      </c>
      <c r="C1128" s="32" t="s">
        <v>1001</v>
      </c>
      <c r="D1128" s="32" t="s">
        <v>673</v>
      </c>
      <c r="E1128" s="32" t="s">
        <v>674</v>
      </c>
      <c r="F1128" s="32" t="s">
        <v>716</v>
      </c>
      <c r="G1128" s="32" t="s">
        <v>744</v>
      </c>
      <c r="H1128" s="32" t="s">
        <v>677</v>
      </c>
      <c r="I1128" s="32" t="s">
        <v>688</v>
      </c>
      <c r="J1128" s="32" t="s">
        <v>751</v>
      </c>
      <c r="K1128" s="32" t="s">
        <v>690</v>
      </c>
      <c r="L1128" s="32" t="s">
        <v>681</v>
      </c>
      <c r="M1128" s="32">
        <v>0.1</v>
      </c>
      <c r="N1128" s="32" t="s">
        <v>1594</v>
      </c>
      <c r="O1128" s="32" t="s">
        <v>1915</v>
      </c>
      <c r="P1128" s="32" t="s">
        <v>683</v>
      </c>
      <c r="Q1128" s="32" t="s">
        <v>767</v>
      </c>
      <c r="R1128" s="32" t="s">
        <v>132</v>
      </c>
      <c r="S1128" s="32" t="s">
        <v>673</v>
      </c>
    </row>
    <row r="1129" spans="1:19" x14ac:dyDescent="0.3">
      <c r="A1129" s="29" t="s">
        <v>902</v>
      </c>
      <c r="B1129" s="30" t="s">
        <v>707</v>
      </c>
      <c r="C1129" s="30" t="s">
        <v>715</v>
      </c>
      <c r="D1129" s="30" t="s">
        <v>673</v>
      </c>
      <c r="E1129" s="30" t="s">
        <v>674</v>
      </c>
      <c r="F1129" s="30" t="s">
        <v>716</v>
      </c>
      <c r="G1129" s="30" t="s">
        <v>717</v>
      </c>
      <c r="H1129" s="30" t="s">
        <v>717</v>
      </c>
      <c r="I1129" s="30" t="s">
        <v>717</v>
      </c>
      <c r="J1129" s="30" t="s">
        <v>751</v>
      </c>
      <c r="K1129" s="30" t="s">
        <v>690</v>
      </c>
      <c r="L1129" s="30" t="s">
        <v>699</v>
      </c>
      <c r="M1129" s="30">
        <v>0.7</v>
      </c>
      <c r="N1129" s="30" t="s">
        <v>132</v>
      </c>
      <c r="O1129" s="30" t="s">
        <v>746</v>
      </c>
      <c r="P1129" s="30" t="s">
        <v>683</v>
      </c>
      <c r="Q1129" s="30" t="s">
        <v>665</v>
      </c>
      <c r="R1129" s="30" t="s">
        <v>269</v>
      </c>
      <c r="S1129" s="32" t="s">
        <v>673</v>
      </c>
    </row>
    <row r="1130" spans="1:19" x14ac:dyDescent="0.3">
      <c r="A1130" s="31" t="s">
        <v>841</v>
      </c>
      <c r="B1130" s="32" t="s">
        <v>707</v>
      </c>
      <c r="C1130" s="32" t="s">
        <v>715</v>
      </c>
      <c r="D1130" s="32" t="s">
        <v>673</v>
      </c>
      <c r="E1130" s="32" t="s">
        <v>674</v>
      </c>
      <c r="F1130" s="32" t="s">
        <v>716</v>
      </c>
      <c r="G1130" s="32" t="s">
        <v>717</v>
      </c>
      <c r="H1130" s="32" t="s">
        <v>717</v>
      </c>
      <c r="I1130" s="32" t="s">
        <v>717</v>
      </c>
      <c r="J1130" s="32" t="s">
        <v>713</v>
      </c>
      <c r="K1130" s="32" t="s">
        <v>690</v>
      </c>
      <c r="L1130" s="32" t="s">
        <v>699</v>
      </c>
      <c r="M1130" s="32">
        <v>0.3</v>
      </c>
      <c r="N1130" s="32" t="s">
        <v>132</v>
      </c>
      <c r="O1130" s="32" t="s">
        <v>746</v>
      </c>
      <c r="P1130" s="32" t="s">
        <v>683</v>
      </c>
      <c r="Q1130" s="32" t="s">
        <v>665</v>
      </c>
      <c r="R1130" s="32" t="s">
        <v>269</v>
      </c>
      <c r="S1130" s="32" t="s">
        <v>673</v>
      </c>
    </row>
    <row r="1131" spans="1:19" x14ac:dyDescent="0.3">
      <c r="A1131" s="29" t="s">
        <v>2357</v>
      </c>
      <c r="B1131" s="30" t="s">
        <v>1510</v>
      </c>
      <c r="C1131" s="30" t="s">
        <v>2358</v>
      </c>
      <c r="D1131" s="30" t="s">
        <v>684</v>
      </c>
      <c r="E1131" s="30" t="s">
        <v>674</v>
      </c>
      <c r="F1131" s="30" t="s">
        <v>716</v>
      </c>
      <c r="G1131" s="30" t="s">
        <v>676</v>
      </c>
      <c r="H1131" s="30" t="s">
        <v>702</v>
      </c>
      <c r="I1131" s="30" t="s">
        <v>736</v>
      </c>
      <c r="J1131" s="30" t="s">
        <v>745</v>
      </c>
      <c r="K1131" s="30" t="s">
        <v>738</v>
      </c>
      <c r="L1131" s="30" t="s">
        <v>699</v>
      </c>
      <c r="M1131" s="30">
        <v>1</v>
      </c>
      <c r="N1131" s="30" t="s">
        <v>500</v>
      </c>
      <c r="O1131" s="30" t="s">
        <v>746</v>
      </c>
      <c r="P1131" s="30" t="s">
        <v>683</v>
      </c>
      <c r="Q1131" s="30" t="s">
        <v>665</v>
      </c>
      <c r="R1131" s="30" t="s">
        <v>375</v>
      </c>
      <c r="S1131" s="30" t="s">
        <v>684</v>
      </c>
    </row>
    <row r="1132" spans="1:19" x14ac:dyDescent="0.3">
      <c r="A1132" s="31" t="s">
        <v>1599</v>
      </c>
      <c r="B1132" s="32" t="s">
        <v>470</v>
      </c>
      <c r="C1132" s="32" t="s">
        <v>1600</v>
      </c>
      <c r="D1132" s="32" t="s">
        <v>684</v>
      </c>
      <c r="E1132" s="32" t="s">
        <v>674</v>
      </c>
      <c r="F1132" s="32" t="s">
        <v>716</v>
      </c>
      <c r="G1132" s="32" t="s">
        <v>744</v>
      </c>
      <c r="H1132" s="32" t="s">
        <v>702</v>
      </c>
      <c r="I1132" s="32" t="s">
        <v>736</v>
      </c>
      <c r="J1132" s="32" t="s">
        <v>745</v>
      </c>
      <c r="K1132" s="32" t="s">
        <v>738</v>
      </c>
      <c r="L1132" s="32" t="s">
        <v>739</v>
      </c>
      <c r="M1132" s="32">
        <v>0.5</v>
      </c>
      <c r="N1132" s="32" t="s">
        <v>139</v>
      </c>
      <c r="O1132" s="32" t="s">
        <v>746</v>
      </c>
      <c r="P1132" s="32" t="s">
        <v>683</v>
      </c>
      <c r="Q1132" s="32" t="s">
        <v>665</v>
      </c>
      <c r="R1132" s="32" t="s">
        <v>375</v>
      </c>
      <c r="S1132" s="32" t="s">
        <v>684</v>
      </c>
    </row>
    <row r="1133" spans="1:19" x14ac:dyDescent="0.3">
      <c r="A1133" s="29" t="s">
        <v>756</v>
      </c>
      <c r="B1133" s="30" t="s">
        <v>753</v>
      </c>
      <c r="C1133" s="30" t="s">
        <v>756</v>
      </c>
      <c r="D1133" s="30" t="s">
        <v>755</v>
      </c>
      <c r="E1133" s="30" t="s">
        <v>674</v>
      </c>
      <c r="F1133" s="30" t="s">
        <v>716</v>
      </c>
      <c r="G1133" s="30" t="s">
        <v>744</v>
      </c>
      <c r="H1133" s="30" t="s">
        <v>702</v>
      </c>
      <c r="I1133" s="30" t="s">
        <v>678</v>
      </c>
      <c r="J1133" s="30" t="s">
        <v>679</v>
      </c>
      <c r="K1133" s="30" t="s">
        <v>680</v>
      </c>
      <c r="L1133" s="30" t="s">
        <v>681</v>
      </c>
      <c r="M1133" s="30">
        <v>0.5</v>
      </c>
      <c r="N1133" s="30" t="s">
        <v>298</v>
      </c>
      <c r="O1133" s="30" t="s">
        <v>746</v>
      </c>
      <c r="P1133" s="30" t="s">
        <v>683</v>
      </c>
      <c r="Q1133" s="30" t="s">
        <v>665</v>
      </c>
      <c r="R1133" s="30" t="s">
        <v>34</v>
      </c>
      <c r="S1133" s="30" t="s">
        <v>719</v>
      </c>
    </row>
    <row r="1134" spans="1:19" x14ac:dyDescent="0.3">
      <c r="A1134" s="31" t="s">
        <v>1190</v>
      </c>
      <c r="B1134" s="32" t="s">
        <v>154</v>
      </c>
      <c r="C1134" s="32" t="s">
        <v>1023</v>
      </c>
      <c r="D1134" s="32" t="s">
        <v>673</v>
      </c>
      <c r="E1134" s="32" t="s">
        <v>674</v>
      </c>
      <c r="F1134" s="32" t="s">
        <v>716</v>
      </c>
      <c r="G1134" s="32" t="s">
        <v>744</v>
      </c>
      <c r="H1134" s="32" t="s">
        <v>935</v>
      </c>
      <c r="I1134" s="32" t="s">
        <v>688</v>
      </c>
      <c r="J1134" s="32" t="s">
        <v>710</v>
      </c>
      <c r="K1134" s="32" t="s">
        <v>690</v>
      </c>
      <c r="L1134" s="32" t="s">
        <v>681</v>
      </c>
      <c r="M1134" s="32">
        <v>0.1</v>
      </c>
      <c r="N1134" s="32" t="s">
        <v>549</v>
      </c>
      <c r="O1134" s="32" t="s">
        <v>746</v>
      </c>
      <c r="P1134" s="32" t="s">
        <v>683</v>
      </c>
      <c r="Q1134" s="32" t="s">
        <v>665</v>
      </c>
      <c r="R1134" s="32" t="s">
        <v>269</v>
      </c>
      <c r="S1134" s="32" t="s">
        <v>673</v>
      </c>
    </row>
    <row r="1135" spans="1:19" x14ac:dyDescent="0.3">
      <c r="A1135" s="29" t="s">
        <v>1209</v>
      </c>
      <c r="B1135" s="30" t="s">
        <v>707</v>
      </c>
      <c r="C1135" s="30" t="s">
        <v>715</v>
      </c>
      <c r="D1135" s="30" t="s">
        <v>755</v>
      </c>
      <c r="E1135" s="30" t="s">
        <v>674</v>
      </c>
      <c r="F1135" s="30" t="s">
        <v>716</v>
      </c>
      <c r="G1135" s="30" t="s">
        <v>717</v>
      </c>
      <c r="H1135" s="30" t="s">
        <v>717</v>
      </c>
      <c r="I1135" s="30" t="s">
        <v>717</v>
      </c>
      <c r="J1135" s="30" t="s">
        <v>679</v>
      </c>
      <c r="K1135" s="30" t="s">
        <v>680</v>
      </c>
      <c r="L1135" s="30" t="s">
        <v>699</v>
      </c>
      <c r="M1135" s="30">
        <v>1</v>
      </c>
      <c r="N1135" s="30" t="s">
        <v>285</v>
      </c>
      <c r="O1135" s="30" t="s">
        <v>746</v>
      </c>
      <c r="P1135" s="30" t="s">
        <v>683</v>
      </c>
      <c r="Q1135" s="30" t="s">
        <v>665</v>
      </c>
      <c r="R1135" s="30" t="s">
        <v>1211</v>
      </c>
      <c r="S1135" s="30" t="s">
        <v>719</v>
      </c>
    </row>
    <row r="1136" spans="1:19" x14ac:dyDescent="0.3">
      <c r="A1136" s="31" t="s">
        <v>1209</v>
      </c>
      <c r="B1136" s="32" t="s">
        <v>707</v>
      </c>
      <c r="C1136" s="32" t="s">
        <v>715</v>
      </c>
      <c r="D1136" s="32" t="s">
        <v>755</v>
      </c>
      <c r="E1136" s="32" t="s">
        <v>674</v>
      </c>
      <c r="F1136" s="32" t="s">
        <v>716</v>
      </c>
      <c r="G1136" s="32" t="s">
        <v>717</v>
      </c>
      <c r="H1136" s="32" t="s">
        <v>717</v>
      </c>
      <c r="I1136" s="32" t="s">
        <v>717</v>
      </c>
      <c r="J1136" s="32" t="s">
        <v>679</v>
      </c>
      <c r="K1136" s="32" t="s">
        <v>680</v>
      </c>
      <c r="L1136" s="32" t="s">
        <v>699</v>
      </c>
      <c r="M1136" s="32">
        <v>1</v>
      </c>
      <c r="N1136" s="32" t="s">
        <v>463</v>
      </c>
      <c r="O1136" s="32" t="s">
        <v>1584</v>
      </c>
      <c r="P1136" s="32" t="s">
        <v>683</v>
      </c>
      <c r="Q1136" s="32" t="s">
        <v>665</v>
      </c>
      <c r="R1136" s="32" t="s">
        <v>1211</v>
      </c>
      <c r="S1136" s="30" t="s">
        <v>719</v>
      </c>
    </row>
    <row r="1137" spans="1:19" x14ac:dyDescent="0.3">
      <c r="A1137" s="29" t="s">
        <v>949</v>
      </c>
      <c r="B1137" s="30" t="s">
        <v>707</v>
      </c>
      <c r="C1137" s="30" t="s">
        <v>715</v>
      </c>
      <c r="D1137" s="30" t="s">
        <v>755</v>
      </c>
      <c r="E1137" s="30" t="s">
        <v>674</v>
      </c>
      <c r="F1137" s="30" t="s">
        <v>716</v>
      </c>
      <c r="G1137" s="30" t="s">
        <v>717</v>
      </c>
      <c r="H1137" s="30" t="s">
        <v>717</v>
      </c>
      <c r="I1137" s="30" t="s">
        <v>717</v>
      </c>
      <c r="J1137" s="30" t="s">
        <v>950</v>
      </c>
      <c r="K1137" s="30" t="s">
        <v>680</v>
      </c>
      <c r="L1137" s="30" t="s">
        <v>699</v>
      </c>
      <c r="M1137" s="30">
        <v>0.35</v>
      </c>
      <c r="N1137" s="30" t="s">
        <v>293</v>
      </c>
      <c r="O1137" s="30" t="s">
        <v>746</v>
      </c>
      <c r="P1137" s="30" t="s">
        <v>683</v>
      </c>
      <c r="Q1137" s="30" t="s">
        <v>665</v>
      </c>
      <c r="R1137" s="30" t="s">
        <v>1211</v>
      </c>
      <c r="S1137" s="30" t="s">
        <v>719</v>
      </c>
    </row>
    <row r="1138" spans="1:19" x14ac:dyDescent="0.3">
      <c r="A1138" s="31" t="s">
        <v>1209</v>
      </c>
      <c r="B1138" s="32" t="s">
        <v>707</v>
      </c>
      <c r="C1138" s="32" t="s">
        <v>715</v>
      </c>
      <c r="D1138" s="32" t="s">
        <v>755</v>
      </c>
      <c r="E1138" s="32" t="s">
        <v>674</v>
      </c>
      <c r="F1138" s="32" t="s">
        <v>716</v>
      </c>
      <c r="G1138" s="32" t="s">
        <v>717</v>
      </c>
      <c r="H1138" s="32" t="s">
        <v>717</v>
      </c>
      <c r="I1138" s="32" t="s">
        <v>717</v>
      </c>
      <c r="J1138" s="32" t="s">
        <v>679</v>
      </c>
      <c r="K1138" s="32" t="s">
        <v>680</v>
      </c>
      <c r="L1138" s="32" t="s">
        <v>699</v>
      </c>
      <c r="M1138" s="32">
        <v>0.65</v>
      </c>
      <c r="N1138" s="32" t="s">
        <v>293</v>
      </c>
      <c r="O1138" s="32" t="s">
        <v>746</v>
      </c>
      <c r="P1138" s="32" t="s">
        <v>683</v>
      </c>
      <c r="Q1138" s="32" t="s">
        <v>665</v>
      </c>
      <c r="R1138" s="32" t="s">
        <v>1211</v>
      </c>
      <c r="S1138" s="30" t="s">
        <v>719</v>
      </c>
    </row>
    <row r="1139" spans="1:19" x14ac:dyDescent="0.3">
      <c r="A1139" s="29" t="s">
        <v>949</v>
      </c>
      <c r="B1139" s="30" t="s">
        <v>707</v>
      </c>
      <c r="C1139" s="30" t="s">
        <v>715</v>
      </c>
      <c r="D1139" s="30" t="s">
        <v>755</v>
      </c>
      <c r="E1139" s="30" t="s">
        <v>674</v>
      </c>
      <c r="F1139" s="30" t="s">
        <v>716</v>
      </c>
      <c r="G1139" s="30" t="s">
        <v>717</v>
      </c>
      <c r="H1139" s="30" t="s">
        <v>717</v>
      </c>
      <c r="I1139" s="30" t="s">
        <v>717</v>
      </c>
      <c r="J1139" s="30" t="s">
        <v>950</v>
      </c>
      <c r="K1139" s="30" t="s">
        <v>680</v>
      </c>
      <c r="L1139" s="30" t="s">
        <v>699</v>
      </c>
      <c r="M1139" s="30">
        <v>1</v>
      </c>
      <c r="N1139" s="30" t="s">
        <v>309</v>
      </c>
      <c r="O1139" s="30" t="s">
        <v>746</v>
      </c>
      <c r="P1139" s="30" t="s">
        <v>683</v>
      </c>
      <c r="Q1139" s="30" t="s">
        <v>665</v>
      </c>
      <c r="R1139" s="30" t="s">
        <v>1211</v>
      </c>
      <c r="S1139" s="30" t="s">
        <v>719</v>
      </c>
    </row>
    <row r="1140" spans="1:19" x14ac:dyDescent="0.3">
      <c r="A1140" s="31" t="s">
        <v>1209</v>
      </c>
      <c r="B1140" s="32" t="s">
        <v>707</v>
      </c>
      <c r="C1140" s="32" t="s">
        <v>715</v>
      </c>
      <c r="D1140" s="32" t="s">
        <v>755</v>
      </c>
      <c r="E1140" s="32" t="s">
        <v>674</v>
      </c>
      <c r="F1140" s="32" t="s">
        <v>716</v>
      </c>
      <c r="G1140" s="32" t="s">
        <v>717</v>
      </c>
      <c r="H1140" s="32" t="s">
        <v>717</v>
      </c>
      <c r="I1140" s="32" t="s">
        <v>717</v>
      </c>
      <c r="J1140" s="32" t="s">
        <v>679</v>
      </c>
      <c r="K1140" s="32" t="s">
        <v>680</v>
      </c>
      <c r="L1140" s="32" t="s">
        <v>699</v>
      </c>
      <c r="M1140" s="32">
        <v>0.75</v>
      </c>
      <c r="N1140" s="32" t="s">
        <v>34</v>
      </c>
      <c r="O1140" s="32" t="s">
        <v>746</v>
      </c>
      <c r="P1140" s="32" t="s">
        <v>683</v>
      </c>
      <c r="Q1140" s="32" t="s">
        <v>665</v>
      </c>
      <c r="R1140" s="32" t="s">
        <v>1211</v>
      </c>
      <c r="S1140" s="30" t="s">
        <v>719</v>
      </c>
    </row>
    <row r="1141" spans="1:19" x14ac:dyDescent="0.3">
      <c r="A1141" s="29" t="s">
        <v>1614</v>
      </c>
      <c r="B1141" s="30" t="s">
        <v>45</v>
      </c>
      <c r="C1141" s="30" t="s">
        <v>1615</v>
      </c>
      <c r="D1141" s="30" t="s">
        <v>755</v>
      </c>
      <c r="E1141" s="30" t="s">
        <v>674</v>
      </c>
      <c r="F1141" s="30" t="s">
        <v>675</v>
      </c>
      <c r="G1141" s="30" t="s">
        <v>676</v>
      </c>
      <c r="H1141" s="30" t="s">
        <v>677</v>
      </c>
      <c r="I1141" s="30" t="s">
        <v>678</v>
      </c>
      <c r="J1141" s="30" t="s">
        <v>950</v>
      </c>
      <c r="K1141" s="30" t="s">
        <v>680</v>
      </c>
      <c r="L1141" s="30" t="s">
        <v>699</v>
      </c>
      <c r="M1141" s="30">
        <v>0.2</v>
      </c>
      <c r="N1141" s="30" t="s">
        <v>45</v>
      </c>
      <c r="O1141" s="30" t="s">
        <v>746</v>
      </c>
      <c r="P1141" s="30" t="s">
        <v>683</v>
      </c>
      <c r="Q1141" s="30" t="s">
        <v>665</v>
      </c>
      <c r="R1141" s="30" t="s">
        <v>1211</v>
      </c>
      <c r="S1141" s="30" t="s">
        <v>719</v>
      </c>
    </row>
    <row r="1142" spans="1:19" x14ac:dyDescent="0.3">
      <c r="A1142" s="31" t="s">
        <v>1616</v>
      </c>
      <c r="B1142" s="32" t="s">
        <v>1617</v>
      </c>
      <c r="C1142" s="32" t="s">
        <v>1618</v>
      </c>
      <c r="D1142" s="32" t="s">
        <v>755</v>
      </c>
      <c r="E1142" s="32" t="s">
        <v>674</v>
      </c>
      <c r="F1142" s="32" t="s">
        <v>675</v>
      </c>
      <c r="G1142" s="32" t="s">
        <v>676</v>
      </c>
      <c r="H1142" s="32" t="s">
        <v>677</v>
      </c>
      <c r="I1142" s="32" t="s">
        <v>678</v>
      </c>
      <c r="J1142" s="32" t="s">
        <v>950</v>
      </c>
      <c r="K1142" s="32" t="s">
        <v>680</v>
      </c>
      <c r="L1142" s="32" t="s">
        <v>808</v>
      </c>
      <c r="M1142" s="32">
        <v>0.2</v>
      </c>
      <c r="N1142" s="32" t="s">
        <v>45</v>
      </c>
      <c r="O1142" s="32" t="s">
        <v>746</v>
      </c>
      <c r="P1142" s="32" t="s">
        <v>683</v>
      </c>
      <c r="Q1142" s="32" t="s">
        <v>665</v>
      </c>
      <c r="R1142" s="32" t="s">
        <v>1211</v>
      </c>
      <c r="S1142" s="30" t="s">
        <v>719</v>
      </c>
    </row>
    <row r="1143" spans="1:19" x14ac:dyDescent="0.3">
      <c r="A1143" s="29" t="s">
        <v>1385</v>
      </c>
      <c r="B1143" s="30" t="s">
        <v>1258</v>
      </c>
      <c r="C1143" s="30" t="s">
        <v>1386</v>
      </c>
      <c r="D1143" s="30" t="s">
        <v>755</v>
      </c>
      <c r="E1143" s="30" t="s">
        <v>674</v>
      </c>
      <c r="F1143" s="30" t="s">
        <v>716</v>
      </c>
      <c r="G1143" s="30" t="s">
        <v>744</v>
      </c>
      <c r="H1143" s="30" t="s">
        <v>677</v>
      </c>
      <c r="I1143" s="30" t="s">
        <v>688</v>
      </c>
      <c r="J1143" s="30" t="s">
        <v>950</v>
      </c>
      <c r="K1143" s="30" t="s">
        <v>680</v>
      </c>
      <c r="L1143" s="30" t="s">
        <v>699</v>
      </c>
      <c r="M1143" s="30">
        <v>0.6</v>
      </c>
      <c r="N1143" s="30" t="s">
        <v>45</v>
      </c>
      <c r="O1143" s="30" t="s">
        <v>746</v>
      </c>
      <c r="P1143" s="30" t="s">
        <v>683</v>
      </c>
      <c r="Q1143" s="30" t="s">
        <v>665</v>
      </c>
      <c r="R1143" s="30" t="s">
        <v>1211</v>
      </c>
      <c r="S1143" s="30" t="s">
        <v>719</v>
      </c>
    </row>
    <row r="1144" spans="1:19" x14ac:dyDescent="0.3">
      <c r="A1144" s="31" t="s">
        <v>997</v>
      </c>
      <c r="B1144" s="32" t="s">
        <v>998</v>
      </c>
      <c r="C1144" s="32" t="s">
        <v>999</v>
      </c>
      <c r="D1144" s="32" t="s">
        <v>673</v>
      </c>
      <c r="E1144" s="32" t="s">
        <v>674</v>
      </c>
      <c r="F1144" s="32" t="s">
        <v>716</v>
      </c>
      <c r="G1144" s="32" t="s">
        <v>744</v>
      </c>
      <c r="H1144" s="32" t="s">
        <v>677</v>
      </c>
      <c r="I1144" s="32" t="s">
        <v>678</v>
      </c>
      <c r="J1144" s="32" t="s">
        <v>751</v>
      </c>
      <c r="K1144" s="32" t="s">
        <v>690</v>
      </c>
      <c r="L1144" s="32" t="s">
        <v>681</v>
      </c>
      <c r="M1144" s="32">
        <v>0.3</v>
      </c>
      <c r="N1144" s="32" t="s">
        <v>278</v>
      </c>
      <c r="O1144" s="32" t="s">
        <v>746</v>
      </c>
      <c r="P1144" s="32" t="s">
        <v>683</v>
      </c>
      <c r="Q1144" s="32" t="s">
        <v>665</v>
      </c>
      <c r="R1144" s="32" t="s">
        <v>269</v>
      </c>
      <c r="S1144" s="32" t="s">
        <v>673</v>
      </c>
    </row>
    <row r="1145" spans="1:19" x14ac:dyDescent="0.3">
      <c r="A1145" s="29" t="s">
        <v>1000</v>
      </c>
      <c r="B1145" s="30" t="s">
        <v>998</v>
      </c>
      <c r="C1145" s="30" t="s">
        <v>1001</v>
      </c>
      <c r="D1145" s="30" t="s">
        <v>673</v>
      </c>
      <c r="E1145" s="30" t="s">
        <v>674</v>
      </c>
      <c r="F1145" s="30" t="s">
        <v>716</v>
      </c>
      <c r="G1145" s="30" t="s">
        <v>744</v>
      </c>
      <c r="H1145" s="30" t="s">
        <v>677</v>
      </c>
      <c r="I1145" s="30" t="s">
        <v>688</v>
      </c>
      <c r="J1145" s="30" t="s">
        <v>751</v>
      </c>
      <c r="K1145" s="30" t="s">
        <v>690</v>
      </c>
      <c r="L1145" s="30" t="s">
        <v>681</v>
      </c>
      <c r="M1145" s="30">
        <v>0.3</v>
      </c>
      <c r="N1145" s="30" t="s">
        <v>278</v>
      </c>
      <c r="O1145" s="30" t="s">
        <v>746</v>
      </c>
      <c r="P1145" s="30" t="s">
        <v>683</v>
      </c>
      <c r="Q1145" s="30" t="s">
        <v>665</v>
      </c>
      <c r="R1145" s="30" t="s">
        <v>269</v>
      </c>
      <c r="S1145" s="32" t="s">
        <v>673</v>
      </c>
    </row>
    <row r="1146" spans="1:19" x14ac:dyDescent="0.3">
      <c r="A1146" s="31" t="s">
        <v>902</v>
      </c>
      <c r="B1146" s="32" t="s">
        <v>707</v>
      </c>
      <c r="C1146" s="32" t="s">
        <v>715</v>
      </c>
      <c r="D1146" s="32" t="s">
        <v>673</v>
      </c>
      <c r="E1146" s="32" t="s">
        <v>674</v>
      </c>
      <c r="F1146" s="32" t="s">
        <v>716</v>
      </c>
      <c r="G1146" s="32" t="s">
        <v>717</v>
      </c>
      <c r="H1146" s="32" t="s">
        <v>717</v>
      </c>
      <c r="I1146" s="32" t="s">
        <v>717</v>
      </c>
      <c r="J1146" s="32" t="s">
        <v>751</v>
      </c>
      <c r="K1146" s="32" t="s">
        <v>690</v>
      </c>
      <c r="L1146" s="32" t="s">
        <v>699</v>
      </c>
      <c r="M1146" s="32">
        <v>0.4</v>
      </c>
      <c r="N1146" s="32" t="s">
        <v>278</v>
      </c>
      <c r="O1146" s="32" t="s">
        <v>746</v>
      </c>
      <c r="P1146" s="32" t="s">
        <v>683</v>
      </c>
      <c r="Q1146" s="32" t="s">
        <v>665</v>
      </c>
      <c r="R1146" s="32" t="s">
        <v>269</v>
      </c>
      <c r="S1146" s="32" t="s">
        <v>673</v>
      </c>
    </row>
    <row r="1147" spans="1:19" x14ac:dyDescent="0.3">
      <c r="A1147" s="29" t="s">
        <v>1036</v>
      </c>
      <c r="B1147" s="30" t="s">
        <v>707</v>
      </c>
      <c r="C1147" s="30" t="s">
        <v>910</v>
      </c>
      <c r="D1147" s="30" t="s">
        <v>755</v>
      </c>
      <c r="E1147" s="30" t="s">
        <v>674</v>
      </c>
      <c r="F1147" s="30" t="s">
        <v>12</v>
      </c>
      <c r="G1147" s="30" t="s">
        <v>12</v>
      </c>
      <c r="H1147" s="30" t="s">
        <v>12</v>
      </c>
      <c r="I1147" s="30" t="s">
        <v>12</v>
      </c>
      <c r="J1147" s="30" t="s">
        <v>679</v>
      </c>
      <c r="K1147" s="30" t="s">
        <v>680</v>
      </c>
      <c r="L1147" s="30" t="s">
        <v>699</v>
      </c>
      <c r="M1147" s="30">
        <v>1</v>
      </c>
      <c r="N1147" s="30" t="s">
        <v>1390</v>
      </c>
      <c r="O1147" s="30" t="s">
        <v>746</v>
      </c>
      <c r="P1147" s="30" t="s">
        <v>683</v>
      </c>
      <c r="Q1147" s="30" t="s">
        <v>665</v>
      </c>
      <c r="R1147" s="30" t="s">
        <v>309</v>
      </c>
      <c r="S1147" s="30" t="s">
        <v>755</v>
      </c>
    </row>
    <row r="1148" spans="1:19" x14ac:dyDescent="0.3">
      <c r="A1148" s="31" t="s">
        <v>1002</v>
      </c>
      <c r="B1148" s="32" t="s">
        <v>998</v>
      </c>
      <c r="C1148" s="32" t="s">
        <v>1003</v>
      </c>
      <c r="D1148" s="32" t="s">
        <v>673</v>
      </c>
      <c r="E1148" s="32" t="s">
        <v>674</v>
      </c>
      <c r="F1148" s="32" t="s">
        <v>716</v>
      </c>
      <c r="G1148" s="32" t="s">
        <v>744</v>
      </c>
      <c r="H1148" s="32" t="s">
        <v>677</v>
      </c>
      <c r="I1148" s="32" t="s">
        <v>678</v>
      </c>
      <c r="J1148" s="32" t="s">
        <v>751</v>
      </c>
      <c r="K1148" s="32" t="s">
        <v>690</v>
      </c>
      <c r="L1148" s="32" t="s">
        <v>681</v>
      </c>
      <c r="M1148" s="32">
        <v>1</v>
      </c>
      <c r="N1148" s="32" t="s">
        <v>2403</v>
      </c>
      <c r="O1148" s="32" t="s">
        <v>746</v>
      </c>
      <c r="P1148" s="32" t="s">
        <v>683</v>
      </c>
      <c r="Q1148" s="32" t="s">
        <v>767</v>
      </c>
      <c r="R1148" s="32" t="s">
        <v>278</v>
      </c>
      <c r="S1148" s="32" t="s">
        <v>673</v>
      </c>
    </row>
    <row r="1149" spans="1:19" x14ac:dyDescent="0.3">
      <c r="A1149" s="29" t="s">
        <v>1009</v>
      </c>
      <c r="B1149" s="30" t="s">
        <v>707</v>
      </c>
      <c r="C1149" s="30" t="s">
        <v>715</v>
      </c>
      <c r="D1149" s="30" t="s">
        <v>684</v>
      </c>
      <c r="E1149" s="30" t="s">
        <v>674</v>
      </c>
      <c r="F1149" s="30" t="s">
        <v>716</v>
      </c>
      <c r="G1149" s="30" t="s">
        <v>717</v>
      </c>
      <c r="H1149" s="30" t="s">
        <v>717</v>
      </c>
      <c r="I1149" s="30" t="s">
        <v>717</v>
      </c>
      <c r="J1149" s="30" t="s">
        <v>737</v>
      </c>
      <c r="K1149" s="30" t="s">
        <v>738</v>
      </c>
      <c r="L1149" s="30" t="s">
        <v>699</v>
      </c>
      <c r="M1149" s="30">
        <v>0.35</v>
      </c>
      <c r="N1149" s="30" t="s">
        <v>567</v>
      </c>
      <c r="O1149" s="30" t="s">
        <v>711</v>
      </c>
      <c r="P1149" s="30" t="s">
        <v>683</v>
      </c>
      <c r="Q1149" s="30" t="s">
        <v>665</v>
      </c>
      <c r="R1149" s="30" t="s">
        <v>718</v>
      </c>
      <c r="S1149" s="30" t="s">
        <v>719</v>
      </c>
    </row>
    <row r="1150" spans="1:19" x14ac:dyDescent="0.3">
      <c r="A1150" s="31" t="s">
        <v>1009</v>
      </c>
      <c r="B1150" s="32" t="s">
        <v>707</v>
      </c>
      <c r="C1150" s="32" t="s">
        <v>715</v>
      </c>
      <c r="D1150" s="32" t="s">
        <v>684</v>
      </c>
      <c r="E1150" s="32" t="s">
        <v>674</v>
      </c>
      <c r="F1150" s="32" t="s">
        <v>716</v>
      </c>
      <c r="G1150" s="32" t="s">
        <v>717</v>
      </c>
      <c r="H1150" s="32" t="s">
        <v>717</v>
      </c>
      <c r="I1150" s="32" t="s">
        <v>717</v>
      </c>
      <c r="J1150" s="32" t="s">
        <v>737</v>
      </c>
      <c r="K1150" s="32" t="s">
        <v>738</v>
      </c>
      <c r="L1150" s="32" t="s">
        <v>699</v>
      </c>
      <c r="M1150" s="32">
        <v>0.25</v>
      </c>
      <c r="N1150" s="32" t="s">
        <v>567</v>
      </c>
      <c r="O1150" s="32" t="s">
        <v>711</v>
      </c>
      <c r="P1150" s="32" t="s">
        <v>683</v>
      </c>
      <c r="Q1150" s="32" t="s">
        <v>665</v>
      </c>
      <c r="R1150" s="32" t="s">
        <v>718</v>
      </c>
      <c r="S1150" s="30" t="s">
        <v>719</v>
      </c>
    </row>
    <row r="1151" spans="1:19" x14ac:dyDescent="0.3">
      <c r="A1151" s="29" t="s">
        <v>1586</v>
      </c>
      <c r="B1151" s="30" t="s">
        <v>707</v>
      </c>
      <c r="C1151" s="30" t="s">
        <v>715</v>
      </c>
      <c r="D1151" s="30" t="s">
        <v>684</v>
      </c>
      <c r="E1151" s="30" t="s">
        <v>674</v>
      </c>
      <c r="F1151" s="30" t="s">
        <v>716</v>
      </c>
      <c r="G1151" s="30" t="s">
        <v>717</v>
      </c>
      <c r="H1151" s="30" t="s">
        <v>717</v>
      </c>
      <c r="I1151" s="30" t="s">
        <v>717</v>
      </c>
      <c r="J1151" s="30" t="s">
        <v>1551</v>
      </c>
      <c r="K1151" s="30" t="s">
        <v>738</v>
      </c>
      <c r="L1151" s="30" t="s">
        <v>699</v>
      </c>
      <c r="M1151" s="30">
        <v>0.15</v>
      </c>
      <c r="N1151" s="30" t="s">
        <v>567</v>
      </c>
      <c r="O1151" s="30" t="s">
        <v>711</v>
      </c>
      <c r="P1151" s="30" t="s">
        <v>683</v>
      </c>
      <c r="Q1151" s="30" t="s">
        <v>665</v>
      </c>
      <c r="R1151" s="30" t="s">
        <v>718</v>
      </c>
      <c r="S1151" s="30" t="s">
        <v>719</v>
      </c>
    </row>
    <row r="1152" spans="1:19" x14ac:dyDescent="0.3">
      <c r="A1152" s="31" t="s">
        <v>1035</v>
      </c>
      <c r="B1152" s="32" t="s">
        <v>707</v>
      </c>
      <c r="C1152" s="32" t="s">
        <v>715</v>
      </c>
      <c r="D1152" s="32" t="s">
        <v>684</v>
      </c>
      <c r="E1152" s="32" t="s">
        <v>674</v>
      </c>
      <c r="F1152" s="32" t="s">
        <v>716</v>
      </c>
      <c r="G1152" s="32" t="s">
        <v>717</v>
      </c>
      <c r="H1152" s="32" t="s">
        <v>717</v>
      </c>
      <c r="I1152" s="32" t="s">
        <v>717</v>
      </c>
      <c r="J1152" s="32" t="s">
        <v>745</v>
      </c>
      <c r="K1152" s="32" t="s">
        <v>738</v>
      </c>
      <c r="L1152" s="32" t="s">
        <v>699</v>
      </c>
      <c r="M1152" s="32">
        <v>0.25</v>
      </c>
      <c r="N1152" s="32" t="s">
        <v>567</v>
      </c>
      <c r="O1152" s="32" t="s">
        <v>711</v>
      </c>
      <c r="P1152" s="32" t="s">
        <v>683</v>
      </c>
      <c r="Q1152" s="32" t="s">
        <v>665</v>
      </c>
      <c r="R1152" s="32" t="s">
        <v>718</v>
      </c>
      <c r="S1152" s="30" t="s">
        <v>719</v>
      </c>
    </row>
    <row r="1153" spans="1:19" x14ac:dyDescent="0.3">
      <c r="A1153" s="29" t="s">
        <v>949</v>
      </c>
      <c r="B1153" s="30" t="s">
        <v>707</v>
      </c>
      <c r="C1153" s="30" t="s">
        <v>715</v>
      </c>
      <c r="D1153" s="30" t="s">
        <v>755</v>
      </c>
      <c r="E1153" s="30" t="s">
        <v>674</v>
      </c>
      <c r="F1153" s="30" t="s">
        <v>716</v>
      </c>
      <c r="G1153" s="30" t="s">
        <v>717</v>
      </c>
      <c r="H1153" s="30" t="s">
        <v>717</v>
      </c>
      <c r="I1153" s="30" t="s">
        <v>717</v>
      </c>
      <c r="J1153" s="30" t="s">
        <v>950</v>
      </c>
      <c r="K1153" s="30" t="s">
        <v>680</v>
      </c>
      <c r="L1153" s="30" t="s">
        <v>699</v>
      </c>
      <c r="M1153" s="30">
        <v>0.2</v>
      </c>
      <c r="N1153" s="30" t="s">
        <v>367</v>
      </c>
      <c r="O1153" s="30" t="s">
        <v>746</v>
      </c>
      <c r="P1153" s="30" t="s">
        <v>683</v>
      </c>
      <c r="Q1153" s="30" t="s">
        <v>665</v>
      </c>
      <c r="R1153" s="30" t="s">
        <v>718</v>
      </c>
      <c r="S1153" s="30" t="s">
        <v>719</v>
      </c>
    </row>
    <row r="1154" spans="1:19" x14ac:dyDescent="0.3">
      <c r="A1154" s="31" t="s">
        <v>1209</v>
      </c>
      <c r="B1154" s="32" t="s">
        <v>707</v>
      </c>
      <c r="C1154" s="32" t="s">
        <v>715</v>
      </c>
      <c r="D1154" s="32" t="s">
        <v>755</v>
      </c>
      <c r="E1154" s="32" t="s">
        <v>674</v>
      </c>
      <c r="F1154" s="32" t="s">
        <v>716</v>
      </c>
      <c r="G1154" s="32" t="s">
        <v>717</v>
      </c>
      <c r="H1154" s="32" t="s">
        <v>717</v>
      </c>
      <c r="I1154" s="32" t="s">
        <v>717</v>
      </c>
      <c r="J1154" s="32" t="s">
        <v>679</v>
      </c>
      <c r="K1154" s="32" t="s">
        <v>680</v>
      </c>
      <c r="L1154" s="32" t="s">
        <v>699</v>
      </c>
      <c r="M1154" s="32">
        <v>0.6</v>
      </c>
      <c r="N1154" s="32" t="s">
        <v>367</v>
      </c>
      <c r="O1154" s="32" t="s">
        <v>746</v>
      </c>
      <c r="P1154" s="32" t="s">
        <v>683</v>
      </c>
      <c r="Q1154" s="32" t="s">
        <v>665</v>
      </c>
      <c r="R1154" s="32" t="s">
        <v>718</v>
      </c>
      <c r="S1154" s="30" t="s">
        <v>719</v>
      </c>
    </row>
    <row r="1155" spans="1:19" x14ac:dyDescent="0.3">
      <c r="A1155" s="29" t="s">
        <v>1010</v>
      </c>
      <c r="B1155" s="30" t="s">
        <v>707</v>
      </c>
      <c r="C1155" s="30" t="s">
        <v>715</v>
      </c>
      <c r="D1155" s="30" t="s">
        <v>755</v>
      </c>
      <c r="E1155" s="30" t="s">
        <v>674</v>
      </c>
      <c r="F1155" s="30" t="s">
        <v>716</v>
      </c>
      <c r="G1155" s="30" t="s">
        <v>717</v>
      </c>
      <c r="H1155" s="30" t="s">
        <v>717</v>
      </c>
      <c r="I1155" s="30" t="s">
        <v>717</v>
      </c>
      <c r="J1155" s="30" t="s">
        <v>774</v>
      </c>
      <c r="K1155" s="30" t="s">
        <v>680</v>
      </c>
      <c r="L1155" s="30" t="s">
        <v>699</v>
      </c>
      <c r="M1155" s="30">
        <v>0.2</v>
      </c>
      <c r="N1155" s="30" t="s">
        <v>367</v>
      </c>
      <c r="O1155" s="30" t="s">
        <v>746</v>
      </c>
      <c r="P1155" s="30" t="s">
        <v>683</v>
      </c>
      <c r="Q1155" s="30" t="s">
        <v>665</v>
      </c>
      <c r="R1155" s="30" t="s">
        <v>718</v>
      </c>
      <c r="S1155" s="30" t="s">
        <v>719</v>
      </c>
    </row>
    <row r="1156" spans="1:19" x14ac:dyDescent="0.3">
      <c r="A1156" s="31" t="s">
        <v>997</v>
      </c>
      <c r="B1156" s="32" t="s">
        <v>998</v>
      </c>
      <c r="C1156" s="32" t="s">
        <v>999</v>
      </c>
      <c r="D1156" s="32" t="s">
        <v>673</v>
      </c>
      <c r="E1156" s="32" t="s">
        <v>674</v>
      </c>
      <c r="F1156" s="32" t="s">
        <v>716</v>
      </c>
      <c r="G1156" s="32" t="s">
        <v>744</v>
      </c>
      <c r="H1156" s="32" t="s">
        <v>677</v>
      </c>
      <c r="I1156" s="32" t="s">
        <v>678</v>
      </c>
      <c r="J1156" s="32" t="s">
        <v>751</v>
      </c>
      <c r="K1156" s="32" t="s">
        <v>690</v>
      </c>
      <c r="L1156" s="32" t="s">
        <v>681</v>
      </c>
      <c r="M1156" s="32">
        <v>1</v>
      </c>
      <c r="N1156" s="32" t="s">
        <v>373</v>
      </c>
      <c r="O1156" s="32" t="s">
        <v>1915</v>
      </c>
      <c r="P1156" s="32" t="s">
        <v>683</v>
      </c>
      <c r="Q1156" s="32" t="s">
        <v>767</v>
      </c>
      <c r="R1156" s="32" t="s">
        <v>278</v>
      </c>
      <c r="S1156" s="32" t="s">
        <v>673</v>
      </c>
    </row>
    <row r="1157" spans="1:19" x14ac:dyDescent="0.3">
      <c r="A1157" s="29" t="s">
        <v>1002</v>
      </c>
      <c r="B1157" s="30" t="s">
        <v>998</v>
      </c>
      <c r="C1157" s="30" t="s">
        <v>1003</v>
      </c>
      <c r="D1157" s="30" t="s">
        <v>673</v>
      </c>
      <c r="E1157" s="30" t="s">
        <v>674</v>
      </c>
      <c r="F1157" s="30" t="s">
        <v>716</v>
      </c>
      <c r="G1157" s="30" t="s">
        <v>744</v>
      </c>
      <c r="H1157" s="30" t="s">
        <v>677</v>
      </c>
      <c r="I1157" s="30" t="s">
        <v>678</v>
      </c>
      <c r="J1157" s="30" t="s">
        <v>751</v>
      </c>
      <c r="K1157" s="30" t="s">
        <v>690</v>
      </c>
      <c r="L1157" s="30" t="s">
        <v>681</v>
      </c>
      <c r="M1157" s="30">
        <v>1</v>
      </c>
      <c r="N1157" s="30" t="s">
        <v>439</v>
      </c>
      <c r="O1157" s="30" t="s">
        <v>746</v>
      </c>
      <c r="P1157" s="30" t="s">
        <v>683</v>
      </c>
      <c r="Q1157" s="30" t="s">
        <v>665</v>
      </c>
      <c r="R1157" s="30" t="s">
        <v>278</v>
      </c>
      <c r="S1157" s="32" t="s">
        <v>673</v>
      </c>
    </row>
    <row r="1158" spans="1:19" x14ac:dyDescent="0.3">
      <c r="A1158" s="31" t="s">
        <v>841</v>
      </c>
      <c r="B1158" s="32" t="s">
        <v>707</v>
      </c>
      <c r="C1158" s="32" t="s">
        <v>715</v>
      </c>
      <c r="D1158" s="32" t="s">
        <v>673</v>
      </c>
      <c r="E1158" s="32" t="s">
        <v>674</v>
      </c>
      <c r="F1158" s="32" t="s">
        <v>716</v>
      </c>
      <c r="G1158" s="32" t="s">
        <v>717</v>
      </c>
      <c r="H1158" s="32" t="s">
        <v>717</v>
      </c>
      <c r="I1158" s="32" t="s">
        <v>717</v>
      </c>
      <c r="J1158" s="32" t="s">
        <v>713</v>
      </c>
      <c r="K1158" s="32" t="s">
        <v>690</v>
      </c>
      <c r="L1158" s="32" t="s">
        <v>699</v>
      </c>
      <c r="M1158" s="32">
        <v>0.3</v>
      </c>
      <c r="N1158" s="32" t="s">
        <v>269</v>
      </c>
      <c r="O1158" s="32" t="s">
        <v>746</v>
      </c>
      <c r="P1158" s="32" t="s">
        <v>683</v>
      </c>
      <c r="Q1158" s="32" t="s">
        <v>665</v>
      </c>
      <c r="R1158" s="32" t="s">
        <v>366</v>
      </c>
      <c r="S1158" s="30" t="s">
        <v>719</v>
      </c>
    </row>
    <row r="1159" spans="1:19" x14ac:dyDescent="0.3">
      <c r="A1159" s="29" t="s">
        <v>714</v>
      </c>
      <c r="B1159" s="30" t="s">
        <v>707</v>
      </c>
      <c r="C1159" s="30" t="s">
        <v>715</v>
      </c>
      <c r="D1159" s="30" t="s">
        <v>673</v>
      </c>
      <c r="E1159" s="30" t="s">
        <v>674</v>
      </c>
      <c r="F1159" s="30" t="s">
        <v>716</v>
      </c>
      <c r="G1159" s="30" t="s">
        <v>717</v>
      </c>
      <c r="H1159" s="30" t="s">
        <v>717</v>
      </c>
      <c r="I1159" s="30" t="s">
        <v>717</v>
      </c>
      <c r="J1159" s="30" t="s">
        <v>710</v>
      </c>
      <c r="K1159" s="30" t="s">
        <v>690</v>
      </c>
      <c r="L1159" s="30" t="s">
        <v>699</v>
      </c>
      <c r="M1159" s="30">
        <v>0.2</v>
      </c>
      <c r="N1159" s="30" t="s">
        <v>269</v>
      </c>
      <c r="O1159" s="30" t="s">
        <v>746</v>
      </c>
      <c r="P1159" s="30" t="s">
        <v>683</v>
      </c>
      <c r="Q1159" s="30" t="s">
        <v>665</v>
      </c>
      <c r="R1159" s="30" t="s">
        <v>366</v>
      </c>
      <c r="S1159" s="30" t="s">
        <v>719</v>
      </c>
    </row>
    <row r="1160" spans="1:19" x14ac:dyDescent="0.3">
      <c r="A1160" s="31" t="s">
        <v>902</v>
      </c>
      <c r="B1160" s="32" t="s">
        <v>707</v>
      </c>
      <c r="C1160" s="32" t="s">
        <v>715</v>
      </c>
      <c r="D1160" s="32" t="s">
        <v>673</v>
      </c>
      <c r="E1160" s="32" t="s">
        <v>674</v>
      </c>
      <c r="F1160" s="32" t="s">
        <v>716</v>
      </c>
      <c r="G1160" s="32" t="s">
        <v>717</v>
      </c>
      <c r="H1160" s="32" t="s">
        <v>717</v>
      </c>
      <c r="I1160" s="32" t="s">
        <v>717</v>
      </c>
      <c r="J1160" s="32" t="s">
        <v>751</v>
      </c>
      <c r="K1160" s="32" t="s">
        <v>690</v>
      </c>
      <c r="L1160" s="32" t="s">
        <v>699</v>
      </c>
      <c r="M1160" s="32">
        <v>0.2</v>
      </c>
      <c r="N1160" s="32" t="s">
        <v>269</v>
      </c>
      <c r="O1160" s="32" t="s">
        <v>746</v>
      </c>
      <c r="P1160" s="32" t="s">
        <v>683</v>
      </c>
      <c r="Q1160" s="32" t="s">
        <v>665</v>
      </c>
      <c r="R1160" s="32" t="s">
        <v>366</v>
      </c>
      <c r="S1160" s="30" t="s">
        <v>719</v>
      </c>
    </row>
    <row r="1161" spans="1:19" x14ac:dyDescent="0.3">
      <c r="A1161" s="29" t="s">
        <v>903</v>
      </c>
      <c r="B1161" s="30" t="s">
        <v>904</v>
      </c>
      <c r="C1161" s="30" t="s">
        <v>905</v>
      </c>
      <c r="D1161" s="30" t="s">
        <v>673</v>
      </c>
      <c r="E1161" s="30" t="s">
        <v>674</v>
      </c>
      <c r="F1161" s="30" t="s">
        <v>716</v>
      </c>
      <c r="G1161" s="30" t="s">
        <v>717</v>
      </c>
      <c r="H1161" s="30" t="s">
        <v>717</v>
      </c>
      <c r="I1161" s="30" t="s">
        <v>716</v>
      </c>
      <c r="J1161" s="30" t="s">
        <v>906</v>
      </c>
      <c r="K1161" s="30" t="s">
        <v>690</v>
      </c>
      <c r="L1161" s="30" t="s">
        <v>699</v>
      </c>
      <c r="M1161" s="30">
        <v>0.3</v>
      </c>
      <c r="N1161" s="30" t="s">
        <v>269</v>
      </c>
      <c r="O1161" s="30" t="s">
        <v>746</v>
      </c>
      <c r="P1161" s="30" t="s">
        <v>683</v>
      </c>
      <c r="Q1161" s="30" t="s">
        <v>665</v>
      </c>
      <c r="R1161" s="30" t="s">
        <v>366</v>
      </c>
      <c r="S1161" s="30" t="s">
        <v>719</v>
      </c>
    </row>
    <row r="1162" spans="1:19" x14ac:dyDescent="0.3">
      <c r="A1162" s="31" t="s">
        <v>941</v>
      </c>
      <c r="B1162" s="32" t="s">
        <v>154</v>
      </c>
      <c r="C1162" s="32" t="s">
        <v>942</v>
      </c>
      <c r="D1162" s="32" t="s">
        <v>673</v>
      </c>
      <c r="E1162" s="32" t="s">
        <v>674</v>
      </c>
      <c r="F1162" s="32" t="s">
        <v>716</v>
      </c>
      <c r="G1162" s="32" t="s">
        <v>744</v>
      </c>
      <c r="H1162" s="32" t="s">
        <v>935</v>
      </c>
      <c r="I1162" s="32" t="s">
        <v>678</v>
      </c>
      <c r="J1162" s="32" t="s">
        <v>713</v>
      </c>
      <c r="K1162" s="32" t="s">
        <v>690</v>
      </c>
      <c r="L1162" s="32" t="s">
        <v>681</v>
      </c>
      <c r="M1162" s="32">
        <v>0.5</v>
      </c>
      <c r="N1162" s="32" t="s">
        <v>2404</v>
      </c>
      <c r="O1162" s="32" t="s">
        <v>1915</v>
      </c>
      <c r="P1162" s="32" t="s">
        <v>683</v>
      </c>
      <c r="Q1162" s="32" t="s">
        <v>767</v>
      </c>
      <c r="R1162" s="32" t="s">
        <v>258</v>
      </c>
      <c r="S1162" s="32" t="s">
        <v>673</v>
      </c>
    </row>
    <row r="1163" spans="1:19" x14ac:dyDescent="0.3">
      <c r="A1163" s="29" t="s">
        <v>1653</v>
      </c>
      <c r="B1163" s="30" t="s">
        <v>528</v>
      </c>
      <c r="C1163" s="30" t="s">
        <v>1654</v>
      </c>
      <c r="D1163" s="30" t="s">
        <v>673</v>
      </c>
      <c r="E1163" s="30" t="s">
        <v>674</v>
      </c>
      <c r="F1163" s="30" t="s">
        <v>675</v>
      </c>
      <c r="G1163" s="30" t="s">
        <v>676</v>
      </c>
      <c r="H1163" s="30" t="s">
        <v>677</v>
      </c>
      <c r="I1163" s="30" t="s">
        <v>688</v>
      </c>
      <c r="J1163" s="30" t="s">
        <v>1422</v>
      </c>
      <c r="K1163" s="30" t="s">
        <v>861</v>
      </c>
      <c r="L1163" s="30" t="s">
        <v>681</v>
      </c>
      <c r="M1163" s="30">
        <v>0.5</v>
      </c>
      <c r="N1163" s="30" t="s">
        <v>528</v>
      </c>
      <c r="O1163" s="30" t="s">
        <v>711</v>
      </c>
      <c r="P1163" s="30" t="s">
        <v>683</v>
      </c>
      <c r="Q1163" s="30" t="s">
        <v>665</v>
      </c>
      <c r="R1163" s="30" t="s">
        <v>366</v>
      </c>
      <c r="S1163" s="30" t="s">
        <v>719</v>
      </c>
    </row>
    <row r="1164" spans="1:19" x14ac:dyDescent="0.3">
      <c r="A1164" s="31" t="s">
        <v>1655</v>
      </c>
      <c r="B1164" s="32" t="s">
        <v>528</v>
      </c>
      <c r="C1164" s="32" t="s">
        <v>1655</v>
      </c>
      <c r="D1164" s="32" t="s">
        <v>673</v>
      </c>
      <c r="E1164" s="32" t="s">
        <v>674</v>
      </c>
      <c r="F1164" s="32" t="s">
        <v>675</v>
      </c>
      <c r="G1164" s="32" t="s">
        <v>676</v>
      </c>
      <c r="H1164" s="32" t="s">
        <v>677</v>
      </c>
      <c r="I1164" s="32" t="s">
        <v>688</v>
      </c>
      <c r="J1164" s="32" t="s">
        <v>689</v>
      </c>
      <c r="K1164" s="32" t="s">
        <v>690</v>
      </c>
      <c r="L1164" s="32" t="s">
        <v>681</v>
      </c>
      <c r="M1164" s="32">
        <v>0.5</v>
      </c>
      <c r="N1164" s="32" t="s">
        <v>528</v>
      </c>
      <c r="O1164" s="32" t="s">
        <v>711</v>
      </c>
      <c r="P1164" s="32" t="s">
        <v>683</v>
      </c>
      <c r="Q1164" s="32" t="s">
        <v>665</v>
      </c>
      <c r="R1164" s="32" t="s">
        <v>366</v>
      </c>
      <c r="S1164" s="30" t="s">
        <v>719</v>
      </c>
    </row>
    <row r="1165" spans="1:19" x14ac:dyDescent="0.3">
      <c r="A1165" s="29" t="s">
        <v>2386</v>
      </c>
      <c r="B1165" s="30" t="s">
        <v>707</v>
      </c>
      <c r="C1165" s="30" t="s">
        <v>773</v>
      </c>
      <c r="D1165" s="30" t="s">
        <v>673</v>
      </c>
      <c r="E1165" s="30" t="s">
        <v>674</v>
      </c>
      <c r="F1165" s="30" t="s">
        <v>773</v>
      </c>
      <c r="G1165" s="30" t="s">
        <v>773</v>
      </c>
      <c r="H1165" s="30" t="s">
        <v>773</v>
      </c>
      <c r="I1165" s="30" t="s">
        <v>773</v>
      </c>
      <c r="J1165" s="30" t="s">
        <v>713</v>
      </c>
      <c r="K1165" s="30" t="s">
        <v>690</v>
      </c>
      <c r="L1165" s="30" t="s">
        <v>699</v>
      </c>
      <c r="M1165" s="30">
        <v>0.3</v>
      </c>
      <c r="N1165" s="30" t="s">
        <v>2404</v>
      </c>
      <c r="O1165" s="30" t="s">
        <v>1915</v>
      </c>
      <c r="P1165" s="30" t="s">
        <v>683</v>
      </c>
      <c r="Q1165" s="30" t="s">
        <v>767</v>
      </c>
      <c r="R1165" s="30" t="s">
        <v>258</v>
      </c>
      <c r="S1165" s="32" t="s">
        <v>673</v>
      </c>
    </row>
    <row r="1166" spans="1:19" x14ac:dyDescent="0.3">
      <c r="A1166" s="31" t="s">
        <v>941</v>
      </c>
      <c r="B1166" s="32" t="s">
        <v>154</v>
      </c>
      <c r="C1166" s="32" t="s">
        <v>942</v>
      </c>
      <c r="D1166" s="32" t="s">
        <v>673</v>
      </c>
      <c r="E1166" s="32" t="s">
        <v>674</v>
      </c>
      <c r="F1166" s="32" t="s">
        <v>716</v>
      </c>
      <c r="G1166" s="32" t="s">
        <v>744</v>
      </c>
      <c r="H1166" s="32" t="s">
        <v>935</v>
      </c>
      <c r="I1166" s="32" t="s">
        <v>678</v>
      </c>
      <c r="J1166" s="32" t="s">
        <v>713</v>
      </c>
      <c r="K1166" s="32" t="s">
        <v>690</v>
      </c>
      <c r="L1166" s="32" t="s">
        <v>681</v>
      </c>
      <c r="M1166" s="32">
        <v>0.2</v>
      </c>
      <c r="N1166" s="32" t="s">
        <v>650</v>
      </c>
      <c r="O1166" s="32" t="s">
        <v>746</v>
      </c>
      <c r="P1166" s="32" t="s">
        <v>683</v>
      </c>
      <c r="Q1166" s="32" t="s">
        <v>665</v>
      </c>
      <c r="R1166" s="32" t="s">
        <v>258</v>
      </c>
      <c r="S1166" s="32" t="s">
        <v>673</v>
      </c>
    </row>
    <row r="1167" spans="1:19" x14ac:dyDescent="0.3">
      <c r="A1167" s="29" t="s">
        <v>1074</v>
      </c>
      <c r="B1167" s="30" t="s">
        <v>1075</v>
      </c>
      <c r="C1167" s="30" t="s">
        <v>1076</v>
      </c>
      <c r="D1167" s="30" t="s">
        <v>755</v>
      </c>
      <c r="E1167" s="30" t="s">
        <v>674</v>
      </c>
      <c r="F1167" s="30" t="s">
        <v>716</v>
      </c>
      <c r="G1167" s="30" t="s">
        <v>744</v>
      </c>
      <c r="H1167" s="30" t="s">
        <v>677</v>
      </c>
      <c r="I1167" s="30" t="s">
        <v>678</v>
      </c>
      <c r="J1167" s="30" t="s">
        <v>774</v>
      </c>
      <c r="K1167" s="30" t="s">
        <v>680</v>
      </c>
      <c r="L1167" s="30" t="s">
        <v>699</v>
      </c>
      <c r="M1167" s="30">
        <v>0.4</v>
      </c>
      <c r="N1167" s="30" t="s">
        <v>573</v>
      </c>
      <c r="O1167" s="30" t="s">
        <v>746</v>
      </c>
      <c r="P1167" s="30" t="s">
        <v>683</v>
      </c>
      <c r="Q1167" s="30" t="s">
        <v>665</v>
      </c>
      <c r="R1167" s="30" t="s">
        <v>47</v>
      </c>
      <c r="S1167" s="30" t="s">
        <v>755</v>
      </c>
    </row>
    <row r="1168" spans="1:19" x14ac:dyDescent="0.3">
      <c r="A1168" s="31" t="s">
        <v>1634</v>
      </c>
      <c r="B1168" s="32" t="s">
        <v>228</v>
      </c>
      <c r="C1168" s="32" t="s">
        <v>1635</v>
      </c>
      <c r="D1168" s="32" t="s">
        <v>684</v>
      </c>
      <c r="E1168" s="32" t="s">
        <v>674</v>
      </c>
      <c r="F1168" s="32" t="s">
        <v>716</v>
      </c>
      <c r="G1168" s="32" t="s">
        <v>744</v>
      </c>
      <c r="H1168" s="32" t="s">
        <v>677</v>
      </c>
      <c r="I1168" s="32" t="s">
        <v>678</v>
      </c>
      <c r="J1168" s="32" t="s">
        <v>860</v>
      </c>
      <c r="K1168" s="32" t="s">
        <v>861</v>
      </c>
      <c r="L1168" s="32" t="s">
        <v>808</v>
      </c>
      <c r="M1168" s="32">
        <v>0.8</v>
      </c>
      <c r="N1168" s="32" t="s">
        <v>300</v>
      </c>
      <c r="O1168" s="32" t="s">
        <v>746</v>
      </c>
      <c r="P1168" s="32" t="s">
        <v>683</v>
      </c>
      <c r="Q1168" s="32" t="s">
        <v>665</v>
      </c>
      <c r="R1168" s="32" t="s">
        <v>567</v>
      </c>
      <c r="S1168" s="30" t="s">
        <v>719</v>
      </c>
    </row>
    <row r="1169" spans="1:19" x14ac:dyDescent="0.3">
      <c r="A1169" s="29" t="s">
        <v>1636</v>
      </c>
      <c r="B1169" s="30" t="s">
        <v>228</v>
      </c>
      <c r="C1169" s="30" t="s">
        <v>1637</v>
      </c>
      <c r="D1169" s="30" t="s">
        <v>673</v>
      </c>
      <c r="E1169" s="30" t="s">
        <v>674</v>
      </c>
      <c r="F1169" s="30" t="s">
        <v>716</v>
      </c>
      <c r="G1169" s="30" t="s">
        <v>744</v>
      </c>
      <c r="H1169" s="30" t="s">
        <v>677</v>
      </c>
      <c r="I1169" s="30" t="s">
        <v>678</v>
      </c>
      <c r="J1169" s="30" t="s">
        <v>1422</v>
      </c>
      <c r="K1169" s="30" t="s">
        <v>861</v>
      </c>
      <c r="L1169" s="30" t="s">
        <v>681</v>
      </c>
      <c r="M1169" s="30">
        <v>0.1</v>
      </c>
      <c r="N1169" s="30" t="s">
        <v>300</v>
      </c>
      <c r="O1169" s="30" t="s">
        <v>746</v>
      </c>
      <c r="P1169" s="30" t="s">
        <v>683</v>
      </c>
      <c r="Q1169" s="30" t="s">
        <v>665</v>
      </c>
      <c r="R1169" s="30" t="s">
        <v>567</v>
      </c>
      <c r="S1169" s="30" t="s">
        <v>719</v>
      </c>
    </row>
    <row r="1170" spans="1:19" x14ac:dyDescent="0.3">
      <c r="A1170" s="31" t="s">
        <v>1638</v>
      </c>
      <c r="B1170" s="32" t="s">
        <v>228</v>
      </c>
      <c r="C1170" s="32" t="s">
        <v>1639</v>
      </c>
      <c r="D1170" s="32" t="s">
        <v>673</v>
      </c>
      <c r="E1170" s="32" t="s">
        <v>674</v>
      </c>
      <c r="F1170" s="32" t="s">
        <v>716</v>
      </c>
      <c r="G1170" s="32" t="s">
        <v>744</v>
      </c>
      <c r="H1170" s="32" t="s">
        <v>677</v>
      </c>
      <c r="I1170" s="32" t="s">
        <v>678</v>
      </c>
      <c r="J1170" s="32" t="s">
        <v>698</v>
      </c>
      <c r="K1170" s="32" t="s">
        <v>690</v>
      </c>
      <c r="L1170" s="32" t="s">
        <v>681</v>
      </c>
      <c r="M1170" s="32">
        <v>0.1</v>
      </c>
      <c r="N1170" s="32" t="s">
        <v>300</v>
      </c>
      <c r="O1170" s="32" t="s">
        <v>746</v>
      </c>
      <c r="P1170" s="32" t="s">
        <v>683</v>
      </c>
      <c r="Q1170" s="32" t="s">
        <v>665</v>
      </c>
      <c r="R1170" s="32" t="s">
        <v>567</v>
      </c>
      <c r="S1170" s="30" t="s">
        <v>719</v>
      </c>
    </row>
    <row r="1171" spans="1:19" x14ac:dyDescent="0.3">
      <c r="A1171" s="29" t="s">
        <v>841</v>
      </c>
      <c r="B1171" s="30" t="s">
        <v>707</v>
      </c>
      <c r="C1171" s="30" t="s">
        <v>715</v>
      </c>
      <c r="D1171" s="30" t="s">
        <v>673</v>
      </c>
      <c r="E1171" s="30" t="s">
        <v>674</v>
      </c>
      <c r="F1171" s="30" t="s">
        <v>716</v>
      </c>
      <c r="G1171" s="30" t="s">
        <v>717</v>
      </c>
      <c r="H1171" s="30" t="s">
        <v>717</v>
      </c>
      <c r="I1171" s="30" t="s">
        <v>717</v>
      </c>
      <c r="J1171" s="30" t="s">
        <v>713</v>
      </c>
      <c r="K1171" s="30" t="s">
        <v>690</v>
      </c>
      <c r="L1171" s="30" t="s">
        <v>699</v>
      </c>
      <c r="M1171" s="30">
        <v>0.1</v>
      </c>
      <c r="N1171" s="30" t="s">
        <v>89</v>
      </c>
      <c r="O1171" s="30" t="s">
        <v>746</v>
      </c>
      <c r="P1171" s="30" t="s">
        <v>683</v>
      </c>
      <c r="Q1171" s="30" t="s">
        <v>665</v>
      </c>
      <c r="R1171" s="30" t="s">
        <v>567</v>
      </c>
      <c r="S1171" s="30" t="s">
        <v>719</v>
      </c>
    </row>
    <row r="1172" spans="1:19" x14ac:dyDescent="0.3">
      <c r="A1172" s="31" t="s">
        <v>1209</v>
      </c>
      <c r="B1172" s="32" t="s">
        <v>707</v>
      </c>
      <c r="C1172" s="32" t="s">
        <v>715</v>
      </c>
      <c r="D1172" s="32" t="s">
        <v>755</v>
      </c>
      <c r="E1172" s="32" t="s">
        <v>674</v>
      </c>
      <c r="F1172" s="32" t="s">
        <v>716</v>
      </c>
      <c r="G1172" s="32" t="s">
        <v>717</v>
      </c>
      <c r="H1172" s="32" t="s">
        <v>717</v>
      </c>
      <c r="I1172" s="32" t="s">
        <v>717</v>
      </c>
      <c r="J1172" s="32" t="s">
        <v>679</v>
      </c>
      <c r="K1172" s="32" t="s">
        <v>680</v>
      </c>
      <c r="L1172" s="32" t="s">
        <v>699</v>
      </c>
      <c r="M1172" s="32">
        <v>0.1</v>
      </c>
      <c r="N1172" s="32" t="s">
        <v>89</v>
      </c>
      <c r="O1172" s="32" t="s">
        <v>746</v>
      </c>
      <c r="P1172" s="32" t="s">
        <v>683</v>
      </c>
      <c r="Q1172" s="32" t="s">
        <v>665</v>
      </c>
      <c r="R1172" s="32" t="s">
        <v>567</v>
      </c>
      <c r="S1172" s="30" t="s">
        <v>719</v>
      </c>
    </row>
    <row r="1173" spans="1:19" x14ac:dyDescent="0.3">
      <c r="A1173" s="29" t="s">
        <v>1009</v>
      </c>
      <c r="B1173" s="30" t="s">
        <v>707</v>
      </c>
      <c r="C1173" s="30" t="s">
        <v>715</v>
      </c>
      <c r="D1173" s="30" t="s">
        <v>684</v>
      </c>
      <c r="E1173" s="30" t="s">
        <v>674</v>
      </c>
      <c r="F1173" s="30" t="s">
        <v>716</v>
      </c>
      <c r="G1173" s="30" t="s">
        <v>717</v>
      </c>
      <c r="H1173" s="30" t="s">
        <v>717</v>
      </c>
      <c r="I1173" s="30" t="s">
        <v>717</v>
      </c>
      <c r="J1173" s="30" t="s">
        <v>737</v>
      </c>
      <c r="K1173" s="30" t="s">
        <v>738</v>
      </c>
      <c r="L1173" s="30" t="s">
        <v>699</v>
      </c>
      <c r="M1173" s="30">
        <v>0.2</v>
      </c>
      <c r="N1173" s="30" t="s">
        <v>89</v>
      </c>
      <c r="O1173" s="30" t="s">
        <v>746</v>
      </c>
      <c r="P1173" s="30" t="s">
        <v>683</v>
      </c>
      <c r="Q1173" s="30" t="s">
        <v>665</v>
      </c>
      <c r="R1173" s="30" t="s">
        <v>567</v>
      </c>
      <c r="S1173" s="30" t="s">
        <v>719</v>
      </c>
    </row>
    <row r="1174" spans="1:19" x14ac:dyDescent="0.3">
      <c r="A1174" s="31" t="s">
        <v>902</v>
      </c>
      <c r="B1174" s="32" t="s">
        <v>707</v>
      </c>
      <c r="C1174" s="32" t="s">
        <v>715</v>
      </c>
      <c r="D1174" s="32" t="s">
        <v>673</v>
      </c>
      <c r="E1174" s="32" t="s">
        <v>674</v>
      </c>
      <c r="F1174" s="32" t="s">
        <v>716</v>
      </c>
      <c r="G1174" s="32" t="s">
        <v>717</v>
      </c>
      <c r="H1174" s="32" t="s">
        <v>717</v>
      </c>
      <c r="I1174" s="32" t="s">
        <v>717</v>
      </c>
      <c r="J1174" s="32" t="s">
        <v>751</v>
      </c>
      <c r="K1174" s="32" t="s">
        <v>690</v>
      </c>
      <c r="L1174" s="32" t="s">
        <v>699</v>
      </c>
      <c r="M1174" s="32">
        <v>0.1</v>
      </c>
      <c r="N1174" s="32" t="s">
        <v>89</v>
      </c>
      <c r="O1174" s="32" t="s">
        <v>746</v>
      </c>
      <c r="P1174" s="32" t="s">
        <v>683</v>
      </c>
      <c r="Q1174" s="32" t="s">
        <v>665</v>
      </c>
      <c r="R1174" s="32" t="s">
        <v>567</v>
      </c>
      <c r="S1174" s="30" t="s">
        <v>719</v>
      </c>
    </row>
    <row r="1175" spans="1:19" x14ac:dyDescent="0.3">
      <c r="A1175" s="29" t="s">
        <v>714</v>
      </c>
      <c r="B1175" s="30" t="s">
        <v>707</v>
      </c>
      <c r="C1175" s="30" t="s">
        <v>715</v>
      </c>
      <c r="D1175" s="30" t="s">
        <v>673</v>
      </c>
      <c r="E1175" s="30" t="s">
        <v>674</v>
      </c>
      <c r="F1175" s="30" t="s">
        <v>716</v>
      </c>
      <c r="G1175" s="30" t="s">
        <v>717</v>
      </c>
      <c r="H1175" s="30" t="s">
        <v>717</v>
      </c>
      <c r="I1175" s="30" t="s">
        <v>717</v>
      </c>
      <c r="J1175" s="30" t="s">
        <v>710</v>
      </c>
      <c r="K1175" s="30" t="s">
        <v>690</v>
      </c>
      <c r="L1175" s="30" t="s">
        <v>699</v>
      </c>
      <c r="M1175" s="30">
        <v>0.1</v>
      </c>
      <c r="N1175" s="30" t="s">
        <v>89</v>
      </c>
      <c r="O1175" s="30" t="s">
        <v>746</v>
      </c>
      <c r="P1175" s="30" t="s">
        <v>683</v>
      </c>
      <c r="Q1175" s="30" t="s">
        <v>665</v>
      </c>
      <c r="R1175" s="30" t="s">
        <v>567</v>
      </c>
      <c r="S1175" s="30" t="s">
        <v>719</v>
      </c>
    </row>
    <row r="1176" spans="1:19" x14ac:dyDescent="0.3">
      <c r="A1176" s="31" t="s">
        <v>1009</v>
      </c>
      <c r="B1176" s="32" t="s">
        <v>707</v>
      </c>
      <c r="C1176" s="32" t="s">
        <v>715</v>
      </c>
      <c r="D1176" s="32" t="s">
        <v>684</v>
      </c>
      <c r="E1176" s="32" t="s">
        <v>674</v>
      </c>
      <c r="F1176" s="32" t="s">
        <v>716</v>
      </c>
      <c r="G1176" s="32" t="s">
        <v>717</v>
      </c>
      <c r="H1176" s="32" t="s">
        <v>717</v>
      </c>
      <c r="I1176" s="32" t="s">
        <v>717</v>
      </c>
      <c r="J1176" s="32" t="s">
        <v>737</v>
      </c>
      <c r="K1176" s="32" t="s">
        <v>738</v>
      </c>
      <c r="L1176" s="32" t="s">
        <v>699</v>
      </c>
      <c r="M1176" s="32">
        <v>1</v>
      </c>
      <c r="N1176" s="32" t="s">
        <v>48</v>
      </c>
      <c r="O1176" s="32" t="s">
        <v>1584</v>
      </c>
      <c r="P1176" s="32" t="s">
        <v>683</v>
      </c>
      <c r="Q1176" s="32" t="s">
        <v>665</v>
      </c>
      <c r="R1176" s="32" t="s">
        <v>567</v>
      </c>
      <c r="S1176" s="30" t="s">
        <v>719</v>
      </c>
    </row>
    <row r="1177" spans="1:19" x14ac:dyDescent="0.3">
      <c r="A1177" s="29" t="s">
        <v>1549</v>
      </c>
      <c r="B1177" s="30" t="s">
        <v>542</v>
      </c>
      <c r="C1177" s="30" t="s">
        <v>1550</v>
      </c>
      <c r="D1177" s="30" t="s">
        <v>684</v>
      </c>
      <c r="E1177" s="30" t="s">
        <v>674</v>
      </c>
      <c r="F1177" s="30" t="s">
        <v>716</v>
      </c>
      <c r="G1177" s="30" t="s">
        <v>744</v>
      </c>
      <c r="H1177" s="30" t="s">
        <v>702</v>
      </c>
      <c r="I1177" s="30" t="s">
        <v>736</v>
      </c>
      <c r="J1177" s="30" t="s">
        <v>1551</v>
      </c>
      <c r="K1177" s="30" t="s">
        <v>738</v>
      </c>
      <c r="L1177" s="30" t="s">
        <v>739</v>
      </c>
      <c r="M1177" s="30">
        <v>0.1</v>
      </c>
      <c r="N1177" s="30" t="s">
        <v>96</v>
      </c>
      <c r="O1177" s="30" t="s">
        <v>746</v>
      </c>
      <c r="P1177" s="30" t="s">
        <v>683</v>
      </c>
      <c r="Q1177" s="30" t="s">
        <v>665</v>
      </c>
      <c r="R1177" s="30" t="s">
        <v>567</v>
      </c>
      <c r="S1177" s="30" t="s">
        <v>719</v>
      </c>
    </row>
    <row r="1178" spans="1:19" x14ac:dyDescent="0.3">
      <c r="A1178" s="31" t="s">
        <v>1552</v>
      </c>
      <c r="B1178" s="32" t="s">
        <v>542</v>
      </c>
      <c r="C1178" s="32" t="s">
        <v>1553</v>
      </c>
      <c r="D1178" s="32" t="s">
        <v>684</v>
      </c>
      <c r="E1178" s="32" t="s">
        <v>674</v>
      </c>
      <c r="F1178" s="32" t="s">
        <v>734</v>
      </c>
      <c r="G1178" s="32" t="s">
        <v>735</v>
      </c>
      <c r="H1178" s="32" t="s">
        <v>735</v>
      </c>
      <c r="I1178" s="32" t="s">
        <v>736</v>
      </c>
      <c r="J1178" s="32" t="s">
        <v>1551</v>
      </c>
      <c r="K1178" s="32" t="s">
        <v>738</v>
      </c>
      <c r="L1178" s="32" t="s">
        <v>699</v>
      </c>
      <c r="M1178" s="32">
        <v>0.2</v>
      </c>
      <c r="N1178" s="32" t="s">
        <v>96</v>
      </c>
      <c r="O1178" s="32" t="s">
        <v>746</v>
      </c>
      <c r="P1178" s="32" t="s">
        <v>683</v>
      </c>
      <c r="Q1178" s="32" t="s">
        <v>665</v>
      </c>
      <c r="R1178" s="32" t="s">
        <v>567</v>
      </c>
      <c r="S1178" s="30" t="s">
        <v>719</v>
      </c>
    </row>
    <row r="1179" spans="1:19" x14ac:dyDescent="0.3">
      <c r="A1179" s="29" t="s">
        <v>1554</v>
      </c>
      <c r="B1179" s="30" t="s">
        <v>542</v>
      </c>
      <c r="C1179" s="30" t="s">
        <v>1555</v>
      </c>
      <c r="D1179" s="30" t="s">
        <v>684</v>
      </c>
      <c r="E1179" s="30" t="s">
        <v>674</v>
      </c>
      <c r="F1179" s="30" t="s">
        <v>734</v>
      </c>
      <c r="G1179" s="30" t="s">
        <v>735</v>
      </c>
      <c r="H1179" s="30" t="s">
        <v>735</v>
      </c>
      <c r="I1179" s="30" t="s">
        <v>736</v>
      </c>
      <c r="J1179" s="30" t="s">
        <v>1551</v>
      </c>
      <c r="K1179" s="30" t="s">
        <v>738</v>
      </c>
      <c r="L1179" s="30" t="s">
        <v>739</v>
      </c>
      <c r="M1179" s="30">
        <v>0.1</v>
      </c>
      <c r="N1179" s="30" t="s">
        <v>96</v>
      </c>
      <c r="O1179" s="30" t="s">
        <v>746</v>
      </c>
      <c r="P1179" s="30" t="s">
        <v>683</v>
      </c>
      <c r="Q1179" s="30" t="s">
        <v>665</v>
      </c>
      <c r="R1179" s="30" t="s">
        <v>567</v>
      </c>
      <c r="S1179" s="30" t="s">
        <v>719</v>
      </c>
    </row>
    <row r="1180" spans="1:19" x14ac:dyDescent="0.3">
      <c r="A1180" s="31" t="s">
        <v>1556</v>
      </c>
      <c r="B1180" s="32" t="s">
        <v>542</v>
      </c>
      <c r="C1180" s="32" t="s">
        <v>1557</v>
      </c>
      <c r="D1180" s="32" t="s">
        <v>684</v>
      </c>
      <c r="E1180" s="32" t="s">
        <v>674</v>
      </c>
      <c r="F1180" s="32" t="s">
        <v>716</v>
      </c>
      <c r="G1180" s="32" t="s">
        <v>744</v>
      </c>
      <c r="H1180" s="32" t="s">
        <v>702</v>
      </c>
      <c r="I1180" s="32" t="s">
        <v>736</v>
      </c>
      <c r="J1180" s="32" t="s">
        <v>1551</v>
      </c>
      <c r="K1180" s="32" t="s">
        <v>738</v>
      </c>
      <c r="L1180" s="32" t="s">
        <v>681</v>
      </c>
      <c r="M1180" s="32">
        <v>0.1</v>
      </c>
      <c r="N1180" s="32" t="s">
        <v>96</v>
      </c>
      <c r="O1180" s="32" t="s">
        <v>746</v>
      </c>
      <c r="P1180" s="32" t="s">
        <v>683</v>
      </c>
      <c r="Q1180" s="32" t="s">
        <v>665</v>
      </c>
      <c r="R1180" s="32" t="s">
        <v>567</v>
      </c>
      <c r="S1180" s="30" t="s">
        <v>719</v>
      </c>
    </row>
    <row r="1181" spans="1:19" x14ac:dyDescent="0.3">
      <c r="A1181" s="29" t="s">
        <v>1558</v>
      </c>
      <c r="B1181" s="30" t="s">
        <v>542</v>
      </c>
      <c r="C1181" s="30" t="s">
        <v>1559</v>
      </c>
      <c r="D1181" s="30" t="s">
        <v>684</v>
      </c>
      <c r="E1181" s="30" t="s">
        <v>674</v>
      </c>
      <c r="F1181" s="30" t="s">
        <v>716</v>
      </c>
      <c r="G1181" s="30" t="s">
        <v>744</v>
      </c>
      <c r="H1181" s="30" t="s">
        <v>702</v>
      </c>
      <c r="I1181" s="30" t="s">
        <v>736</v>
      </c>
      <c r="J1181" s="30" t="s">
        <v>1551</v>
      </c>
      <c r="K1181" s="30" t="s">
        <v>738</v>
      </c>
      <c r="L1181" s="30" t="s">
        <v>808</v>
      </c>
      <c r="M1181" s="30">
        <v>0.15</v>
      </c>
      <c r="N1181" s="30" t="s">
        <v>96</v>
      </c>
      <c r="O1181" s="30" t="s">
        <v>746</v>
      </c>
      <c r="P1181" s="30" t="s">
        <v>683</v>
      </c>
      <c r="Q1181" s="30" t="s">
        <v>665</v>
      </c>
      <c r="R1181" s="30" t="s">
        <v>567</v>
      </c>
      <c r="S1181" s="30" t="s">
        <v>719</v>
      </c>
    </row>
    <row r="1182" spans="1:19" x14ac:dyDescent="0.3">
      <c r="A1182" s="31" t="s">
        <v>1560</v>
      </c>
      <c r="B1182" s="32" t="s">
        <v>542</v>
      </c>
      <c r="C1182" s="32" t="s">
        <v>1559</v>
      </c>
      <c r="D1182" s="32" t="s">
        <v>684</v>
      </c>
      <c r="E1182" s="32" t="s">
        <v>674</v>
      </c>
      <c r="F1182" s="32" t="s">
        <v>716</v>
      </c>
      <c r="G1182" s="32" t="s">
        <v>744</v>
      </c>
      <c r="H1182" s="32" t="s">
        <v>702</v>
      </c>
      <c r="I1182" s="32" t="s">
        <v>736</v>
      </c>
      <c r="J1182" s="32" t="s">
        <v>1551</v>
      </c>
      <c r="K1182" s="32" t="s">
        <v>738</v>
      </c>
      <c r="L1182" s="32" t="s">
        <v>739</v>
      </c>
      <c r="M1182" s="32">
        <v>0.15</v>
      </c>
      <c r="N1182" s="32" t="s">
        <v>96</v>
      </c>
      <c r="O1182" s="32" t="s">
        <v>746</v>
      </c>
      <c r="P1182" s="32" t="s">
        <v>683</v>
      </c>
      <c r="Q1182" s="32" t="s">
        <v>665</v>
      </c>
      <c r="R1182" s="32" t="s">
        <v>567</v>
      </c>
      <c r="S1182" s="30" t="s">
        <v>719</v>
      </c>
    </row>
    <row r="1183" spans="1:19" x14ac:dyDescent="0.3">
      <c r="A1183" s="29" t="s">
        <v>1552</v>
      </c>
      <c r="B1183" s="30" t="s">
        <v>542</v>
      </c>
      <c r="C1183" s="30" t="s">
        <v>1553</v>
      </c>
      <c r="D1183" s="30" t="s">
        <v>684</v>
      </c>
      <c r="E1183" s="30" t="s">
        <v>674</v>
      </c>
      <c r="F1183" s="30" t="s">
        <v>734</v>
      </c>
      <c r="G1183" s="30" t="s">
        <v>735</v>
      </c>
      <c r="H1183" s="30" t="s">
        <v>735</v>
      </c>
      <c r="I1183" s="30" t="s">
        <v>736</v>
      </c>
      <c r="J1183" s="30" t="s">
        <v>1551</v>
      </c>
      <c r="K1183" s="30" t="s">
        <v>738</v>
      </c>
      <c r="L1183" s="30" t="s">
        <v>699</v>
      </c>
      <c r="M1183" s="30">
        <v>0.2</v>
      </c>
      <c r="N1183" s="30" t="s">
        <v>96</v>
      </c>
      <c r="O1183" s="30" t="s">
        <v>746</v>
      </c>
      <c r="P1183" s="30" t="s">
        <v>683</v>
      </c>
      <c r="Q1183" s="30" t="s">
        <v>665</v>
      </c>
      <c r="R1183" s="30" t="s">
        <v>567</v>
      </c>
      <c r="S1183" s="30" t="s">
        <v>719</v>
      </c>
    </row>
    <row r="1184" spans="1:19" x14ac:dyDescent="0.3">
      <c r="A1184" s="31" t="s">
        <v>1561</v>
      </c>
      <c r="B1184" s="32" t="s">
        <v>542</v>
      </c>
      <c r="C1184" s="32" t="s">
        <v>1562</v>
      </c>
      <c r="D1184" s="32" t="s">
        <v>684</v>
      </c>
      <c r="E1184" s="32" t="s">
        <v>674</v>
      </c>
      <c r="F1184" s="32" t="s">
        <v>734</v>
      </c>
      <c r="G1184" s="32" t="s">
        <v>735</v>
      </c>
      <c r="H1184" s="32" t="s">
        <v>735</v>
      </c>
      <c r="I1184" s="32" t="s">
        <v>736</v>
      </c>
      <c r="J1184" s="32" t="s">
        <v>1551</v>
      </c>
      <c r="K1184" s="32" t="s">
        <v>738</v>
      </c>
      <c r="L1184" s="32" t="s">
        <v>699</v>
      </c>
      <c r="M1184" s="32">
        <v>0.5</v>
      </c>
      <c r="N1184" s="32" t="s">
        <v>1563</v>
      </c>
      <c r="O1184" s="32" t="s">
        <v>746</v>
      </c>
      <c r="P1184" s="32" t="s">
        <v>683</v>
      </c>
      <c r="Q1184" s="32" t="s">
        <v>665</v>
      </c>
      <c r="R1184" s="32" t="s">
        <v>567</v>
      </c>
      <c r="S1184" s="30" t="s">
        <v>719</v>
      </c>
    </row>
    <row r="1185" spans="1:19" x14ac:dyDescent="0.3">
      <c r="A1185" s="29" t="s">
        <v>1564</v>
      </c>
      <c r="B1185" s="30" t="s">
        <v>542</v>
      </c>
      <c r="C1185" s="30" t="s">
        <v>1565</v>
      </c>
      <c r="D1185" s="30" t="s">
        <v>684</v>
      </c>
      <c r="E1185" s="30" t="s">
        <v>674</v>
      </c>
      <c r="F1185" s="30" t="s">
        <v>716</v>
      </c>
      <c r="G1185" s="30" t="s">
        <v>744</v>
      </c>
      <c r="H1185" s="30" t="s">
        <v>702</v>
      </c>
      <c r="I1185" s="30" t="s">
        <v>736</v>
      </c>
      <c r="J1185" s="30" t="s">
        <v>1551</v>
      </c>
      <c r="K1185" s="30" t="s">
        <v>738</v>
      </c>
      <c r="L1185" s="30" t="s">
        <v>699</v>
      </c>
      <c r="M1185" s="30">
        <v>0.5</v>
      </c>
      <c r="N1185" s="30" t="s">
        <v>1563</v>
      </c>
      <c r="O1185" s="30" t="s">
        <v>746</v>
      </c>
      <c r="P1185" s="30" t="s">
        <v>683</v>
      </c>
      <c r="Q1185" s="30" t="s">
        <v>665</v>
      </c>
      <c r="R1185" s="30" t="s">
        <v>567</v>
      </c>
      <c r="S1185" s="30" t="s">
        <v>719</v>
      </c>
    </row>
    <row r="1186" spans="1:19" x14ac:dyDescent="0.3">
      <c r="A1186" s="31" t="s">
        <v>1566</v>
      </c>
      <c r="B1186" s="32" t="s">
        <v>542</v>
      </c>
      <c r="C1186" s="32" t="s">
        <v>1567</v>
      </c>
      <c r="D1186" s="32" t="s">
        <v>684</v>
      </c>
      <c r="E1186" s="32" t="s">
        <v>674</v>
      </c>
      <c r="F1186" s="32" t="s">
        <v>675</v>
      </c>
      <c r="G1186" s="32" t="s">
        <v>676</v>
      </c>
      <c r="H1186" s="32" t="s">
        <v>702</v>
      </c>
      <c r="I1186" s="32" t="s">
        <v>678</v>
      </c>
      <c r="J1186" s="32" t="s">
        <v>1551</v>
      </c>
      <c r="K1186" s="32" t="s">
        <v>738</v>
      </c>
      <c r="L1186" s="32" t="s">
        <v>801</v>
      </c>
      <c r="M1186" s="32">
        <v>0.15</v>
      </c>
      <c r="N1186" s="32" t="s">
        <v>159</v>
      </c>
      <c r="O1186" s="32" t="s">
        <v>746</v>
      </c>
      <c r="P1186" s="32" t="s">
        <v>683</v>
      </c>
      <c r="Q1186" s="32" t="s">
        <v>665</v>
      </c>
      <c r="R1186" s="32" t="s">
        <v>567</v>
      </c>
      <c r="S1186" s="30" t="s">
        <v>719</v>
      </c>
    </row>
    <row r="1187" spans="1:19" x14ac:dyDescent="0.3">
      <c r="A1187" s="29" t="s">
        <v>1568</v>
      </c>
      <c r="B1187" s="30" t="s">
        <v>542</v>
      </c>
      <c r="C1187" s="30" t="s">
        <v>1569</v>
      </c>
      <c r="D1187" s="30" t="s">
        <v>684</v>
      </c>
      <c r="E1187" s="30" t="s">
        <v>674</v>
      </c>
      <c r="F1187" s="30" t="s">
        <v>716</v>
      </c>
      <c r="G1187" s="30" t="s">
        <v>744</v>
      </c>
      <c r="H1187" s="30" t="s">
        <v>702</v>
      </c>
      <c r="I1187" s="30" t="s">
        <v>736</v>
      </c>
      <c r="J1187" s="30" t="s">
        <v>1551</v>
      </c>
      <c r="K1187" s="30" t="s">
        <v>738</v>
      </c>
      <c r="L1187" s="30" t="s">
        <v>739</v>
      </c>
      <c r="M1187" s="30">
        <v>0.1</v>
      </c>
      <c r="N1187" s="30" t="s">
        <v>159</v>
      </c>
      <c r="O1187" s="30" t="s">
        <v>746</v>
      </c>
      <c r="P1187" s="30" t="s">
        <v>683</v>
      </c>
      <c r="Q1187" s="30" t="s">
        <v>665</v>
      </c>
      <c r="R1187" s="30" t="s">
        <v>567</v>
      </c>
      <c r="S1187" s="30" t="s">
        <v>719</v>
      </c>
    </row>
    <row r="1188" spans="1:19" x14ac:dyDescent="0.3">
      <c r="A1188" s="31" t="s">
        <v>1570</v>
      </c>
      <c r="B1188" s="32" t="s">
        <v>542</v>
      </c>
      <c r="C1188" s="32" t="s">
        <v>1571</v>
      </c>
      <c r="D1188" s="32" t="s">
        <v>684</v>
      </c>
      <c r="E1188" s="32" t="s">
        <v>674</v>
      </c>
      <c r="F1188" s="32" t="s">
        <v>734</v>
      </c>
      <c r="G1188" s="32" t="s">
        <v>735</v>
      </c>
      <c r="H1188" s="32" t="s">
        <v>735</v>
      </c>
      <c r="I1188" s="32" t="s">
        <v>736</v>
      </c>
      <c r="J1188" s="32" t="s">
        <v>1551</v>
      </c>
      <c r="K1188" s="32" t="s">
        <v>738</v>
      </c>
      <c r="L1188" s="32" t="s">
        <v>808</v>
      </c>
      <c r="M1188" s="32">
        <v>0.2</v>
      </c>
      <c r="N1188" s="32" t="s">
        <v>159</v>
      </c>
      <c r="O1188" s="32" t="s">
        <v>746</v>
      </c>
      <c r="P1188" s="32" t="s">
        <v>683</v>
      </c>
      <c r="Q1188" s="32" t="s">
        <v>665</v>
      </c>
      <c r="R1188" s="32" t="s">
        <v>567</v>
      </c>
      <c r="S1188" s="30" t="s">
        <v>719</v>
      </c>
    </row>
    <row r="1189" spans="1:19" x14ac:dyDescent="0.3">
      <c r="A1189" s="29" t="s">
        <v>1566</v>
      </c>
      <c r="B1189" s="30" t="s">
        <v>542</v>
      </c>
      <c r="C1189" s="30" t="s">
        <v>1567</v>
      </c>
      <c r="D1189" s="30" t="s">
        <v>684</v>
      </c>
      <c r="E1189" s="30" t="s">
        <v>674</v>
      </c>
      <c r="F1189" s="30" t="s">
        <v>675</v>
      </c>
      <c r="G1189" s="30" t="s">
        <v>676</v>
      </c>
      <c r="H1189" s="30" t="s">
        <v>702</v>
      </c>
      <c r="I1189" s="30" t="s">
        <v>678</v>
      </c>
      <c r="J1189" s="30" t="s">
        <v>1551</v>
      </c>
      <c r="K1189" s="30" t="s">
        <v>738</v>
      </c>
      <c r="L1189" s="30" t="s">
        <v>801</v>
      </c>
      <c r="M1189" s="30">
        <v>0.15</v>
      </c>
      <c r="N1189" s="30" t="s">
        <v>159</v>
      </c>
      <c r="O1189" s="30" t="s">
        <v>746</v>
      </c>
      <c r="P1189" s="30" t="s">
        <v>683</v>
      </c>
      <c r="Q1189" s="30" t="s">
        <v>665</v>
      </c>
      <c r="R1189" s="30" t="s">
        <v>567</v>
      </c>
      <c r="S1189" s="30" t="s">
        <v>719</v>
      </c>
    </row>
    <row r="1190" spans="1:19" x14ac:dyDescent="0.3">
      <c r="A1190" s="31" t="s">
        <v>1568</v>
      </c>
      <c r="B1190" s="32" t="s">
        <v>542</v>
      </c>
      <c r="C1190" s="32" t="s">
        <v>1569</v>
      </c>
      <c r="D1190" s="32" t="s">
        <v>684</v>
      </c>
      <c r="E1190" s="32" t="s">
        <v>674</v>
      </c>
      <c r="F1190" s="32" t="s">
        <v>716</v>
      </c>
      <c r="G1190" s="32" t="s">
        <v>744</v>
      </c>
      <c r="H1190" s="32" t="s">
        <v>702</v>
      </c>
      <c r="I1190" s="32" t="s">
        <v>736</v>
      </c>
      <c r="J1190" s="32" t="s">
        <v>1551</v>
      </c>
      <c r="K1190" s="32" t="s">
        <v>738</v>
      </c>
      <c r="L1190" s="32" t="s">
        <v>739</v>
      </c>
      <c r="M1190" s="32">
        <v>0.1</v>
      </c>
      <c r="N1190" s="32" t="s">
        <v>159</v>
      </c>
      <c r="O1190" s="32" t="s">
        <v>746</v>
      </c>
      <c r="P1190" s="32" t="s">
        <v>683</v>
      </c>
      <c r="Q1190" s="32" t="s">
        <v>665</v>
      </c>
      <c r="R1190" s="32" t="s">
        <v>567</v>
      </c>
      <c r="S1190" s="30" t="s">
        <v>719</v>
      </c>
    </row>
    <row r="1191" spans="1:19" x14ac:dyDescent="0.3">
      <c r="A1191" s="29" t="s">
        <v>1570</v>
      </c>
      <c r="B1191" s="30" t="s">
        <v>542</v>
      </c>
      <c r="C1191" s="30" t="s">
        <v>1571</v>
      </c>
      <c r="D1191" s="30" t="s">
        <v>684</v>
      </c>
      <c r="E1191" s="30" t="s">
        <v>674</v>
      </c>
      <c r="F1191" s="30" t="s">
        <v>734</v>
      </c>
      <c r="G1191" s="30" t="s">
        <v>735</v>
      </c>
      <c r="H1191" s="30" t="s">
        <v>735</v>
      </c>
      <c r="I1191" s="30" t="s">
        <v>736</v>
      </c>
      <c r="J1191" s="30" t="s">
        <v>1551</v>
      </c>
      <c r="K1191" s="30" t="s">
        <v>738</v>
      </c>
      <c r="L1191" s="30" t="s">
        <v>808</v>
      </c>
      <c r="M1191" s="30">
        <v>0.2</v>
      </c>
      <c r="N1191" s="30" t="s">
        <v>159</v>
      </c>
      <c r="O1191" s="30" t="s">
        <v>746</v>
      </c>
      <c r="P1191" s="30" t="s">
        <v>683</v>
      </c>
      <c r="Q1191" s="30" t="s">
        <v>665</v>
      </c>
      <c r="R1191" s="30" t="s">
        <v>567</v>
      </c>
      <c r="S1191" s="30" t="s">
        <v>719</v>
      </c>
    </row>
    <row r="1192" spans="1:19" x14ac:dyDescent="0.3">
      <c r="A1192" s="31" t="s">
        <v>1572</v>
      </c>
      <c r="B1192" s="32" t="s">
        <v>542</v>
      </c>
      <c r="C1192" s="32" t="s">
        <v>1573</v>
      </c>
      <c r="D1192" s="32" t="s">
        <v>684</v>
      </c>
      <c r="E1192" s="32" t="s">
        <v>674</v>
      </c>
      <c r="F1192" s="32" t="s">
        <v>716</v>
      </c>
      <c r="G1192" s="32" t="s">
        <v>744</v>
      </c>
      <c r="H1192" s="32" t="s">
        <v>702</v>
      </c>
      <c r="I1192" s="32" t="s">
        <v>736</v>
      </c>
      <c r="J1192" s="32" t="s">
        <v>1551</v>
      </c>
      <c r="K1192" s="32" t="s">
        <v>738</v>
      </c>
      <c r="L1192" s="32" t="s">
        <v>739</v>
      </c>
      <c r="M1192" s="32">
        <v>0.05</v>
      </c>
      <c r="N1192" s="32" t="s">
        <v>159</v>
      </c>
      <c r="O1192" s="32" t="s">
        <v>746</v>
      </c>
      <c r="P1192" s="32" t="s">
        <v>683</v>
      </c>
      <c r="Q1192" s="32" t="s">
        <v>665</v>
      </c>
      <c r="R1192" s="32" t="s">
        <v>567</v>
      </c>
      <c r="S1192" s="30" t="s">
        <v>719</v>
      </c>
    </row>
    <row r="1193" spans="1:19" x14ac:dyDescent="0.3">
      <c r="A1193" s="29" t="s">
        <v>1574</v>
      </c>
      <c r="B1193" s="30" t="s">
        <v>542</v>
      </c>
      <c r="C1193" s="30" t="s">
        <v>1575</v>
      </c>
      <c r="D1193" s="30" t="s">
        <v>684</v>
      </c>
      <c r="E1193" s="30" t="s">
        <v>674</v>
      </c>
      <c r="F1193" s="30" t="s">
        <v>716</v>
      </c>
      <c r="G1193" s="30" t="s">
        <v>724</v>
      </c>
      <c r="H1193" s="30" t="s">
        <v>677</v>
      </c>
      <c r="I1193" s="30" t="s">
        <v>736</v>
      </c>
      <c r="J1193" s="30" t="s">
        <v>1551</v>
      </c>
      <c r="K1193" s="30" t="s">
        <v>738</v>
      </c>
      <c r="L1193" s="30" t="s">
        <v>808</v>
      </c>
      <c r="M1193" s="30">
        <v>0.05</v>
      </c>
      <c r="N1193" s="30" t="s">
        <v>159</v>
      </c>
      <c r="O1193" s="30" t="s">
        <v>746</v>
      </c>
      <c r="P1193" s="30" t="s">
        <v>683</v>
      </c>
      <c r="Q1193" s="30" t="s">
        <v>665</v>
      </c>
      <c r="R1193" s="30" t="s">
        <v>567</v>
      </c>
      <c r="S1193" s="30" t="s">
        <v>719</v>
      </c>
    </row>
    <row r="1194" spans="1:19" x14ac:dyDescent="0.3">
      <c r="A1194" s="31" t="s">
        <v>1576</v>
      </c>
      <c r="B1194" s="32" t="s">
        <v>542</v>
      </c>
      <c r="C1194" s="32" t="s">
        <v>1577</v>
      </c>
      <c r="D1194" s="32" t="s">
        <v>684</v>
      </c>
      <c r="E1194" s="32" t="s">
        <v>674</v>
      </c>
      <c r="F1194" s="32" t="s">
        <v>716</v>
      </c>
      <c r="G1194" s="32" t="s">
        <v>744</v>
      </c>
      <c r="H1194" s="32" t="s">
        <v>702</v>
      </c>
      <c r="I1194" s="32" t="s">
        <v>736</v>
      </c>
      <c r="J1194" s="32" t="s">
        <v>1551</v>
      </c>
      <c r="K1194" s="32" t="s">
        <v>738</v>
      </c>
      <c r="L1194" s="32" t="s">
        <v>739</v>
      </c>
      <c r="M1194" s="32">
        <v>0.2</v>
      </c>
      <c r="N1194" s="32" t="s">
        <v>219</v>
      </c>
      <c r="O1194" s="32" t="s">
        <v>746</v>
      </c>
      <c r="P1194" s="32" t="s">
        <v>683</v>
      </c>
      <c r="Q1194" s="32" t="s">
        <v>665</v>
      </c>
      <c r="R1194" s="32" t="s">
        <v>567</v>
      </c>
      <c r="S1194" s="30" t="s">
        <v>719</v>
      </c>
    </row>
    <row r="1195" spans="1:19" x14ac:dyDescent="0.3">
      <c r="A1195" s="29" t="s">
        <v>1578</v>
      </c>
      <c r="B1195" s="30" t="s">
        <v>542</v>
      </c>
      <c r="C1195" s="30" t="s">
        <v>1579</v>
      </c>
      <c r="D1195" s="30" t="s">
        <v>684</v>
      </c>
      <c r="E1195" s="30" t="s">
        <v>674</v>
      </c>
      <c r="F1195" s="30" t="s">
        <v>716</v>
      </c>
      <c r="G1195" s="30" t="s">
        <v>744</v>
      </c>
      <c r="H1195" s="30" t="s">
        <v>702</v>
      </c>
      <c r="I1195" s="30" t="s">
        <v>736</v>
      </c>
      <c r="J1195" s="30" t="s">
        <v>1551</v>
      </c>
      <c r="K1195" s="30" t="s">
        <v>738</v>
      </c>
      <c r="L1195" s="30" t="s">
        <v>739</v>
      </c>
      <c r="M1195" s="30">
        <v>0.2</v>
      </c>
      <c r="N1195" s="30" t="s">
        <v>219</v>
      </c>
      <c r="O1195" s="30" t="s">
        <v>746</v>
      </c>
      <c r="P1195" s="30" t="s">
        <v>683</v>
      </c>
      <c r="Q1195" s="30" t="s">
        <v>665</v>
      </c>
      <c r="R1195" s="30" t="s">
        <v>567</v>
      </c>
      <c r="S1195" s="30" t="s">
        <v>719</v>
      </c>
    </row>
    <row r="1196" spans="1:19" x14ac:dyDescent="0.3">
      <c r="A1196" s="31" t="s">
        <v>1580</v>
      </c>
      <c r="B1196" s="32" t="s">
        <v>542</v>
      </c>
      <c r="C1196" s="32" t="s">
        <v>1581</v>
      </c>
      <c r="D1196" s="32" t="s">
        <v>684</v>
      </c>
      <c r="E1196" s="32" t="s">
        <v>674</v>
      </c>
      <c r="F1196" s="32" t="s">
        <v>716</v>
      </c>
      <c r="G1196" s="32" t="s">
        <v>744</v>
      </c>
      <c r="H1196" s="32" t="s">
        <v>702</v>
      </c>
      <c r="I1196" s="32" t="s">
        <v>736</v>
      </c>
      <c r="J1196" s="32" t="s">
        <v>1551</v>
      </c>
      <c r="K1196" s="32" t="s">
        <v>738</v>
      </c>
      <c r="L1196" s="32" t="s">
        <v>699</v>
      </c>
      <c r="M1196" s="32">
        <v>0.2</v>
      </c>
      <c r="N1196" s="32" t="s">
        <v>219</v>
      </c>
      <c r="O1196" s="32" t="s">
        <v>746</v>
      </c>
      <c r="P1196" s="32" t="s">
        <v>683</v>
      </c>
      <c r="Q1196" s="32" t="s">
        <v>665</v>
      </c>
      <c r="R1196" s="32" t="s">
        <v>567</v>
      </c>
      <c r="S1196" s="30" t="s">
        <v>719</v>
      </c>
    </row>
    <row r="1197" spans="1:19" x14ac:dyDescent="0.3">
      <c r="A1197" s="29" t="s">
        <v>1582</v>
      </c>
      <c r="B1197" s="30" t="s">
        <v>542</v>
      </c>
      <c r="C1197" s="30" t="s">
        <v>1583</v>
      </c>
      <c r="D1197" s="30" t="s">
        <v>684</v>
      </c>
      <c r="E1197" s="30" t="s">
        <v>674</v>
      </c>
      <c r="F1197" s="30" t="s">
        <v>716</v>
      </c>
      <c r="G1197" s="30" t="s">
        <v>744</v>
      </c>
      <c r="H1197" s="30" t="s">
        <v>677</v>
      </c>
      <c r="I1197" s="30" t="s">
        <v>736</v>
      </c>
      <c r="J1197" s="30" t="s">
        <v>1551</v>
      </c>
      <c r="K1197" s="30" t="s">
        <v>738</v>
      </c>
      <c r="L1197" s="30" t="s">
        <v>739</v>
      </c>
      <c r="M1197" s="30">
        <v>0.2</v>
      </c>
      <c r="N1197" s="30" t="s">
        <v>219</v>
      </c>
      <c r="O1197" s="30" t="s">
        <v>746</v>
      </c>
      <c r="P1197" s="30" t="s">
        <v>683</v>
      </c>
      <c r="Q1197" s="30" t="s">
        <v>665</v>
      </c>
      <c r="R1197" s="30" t="s">
        <v>567</v>
      </c>
      <c r="S1197" s="30" t="s">
        <v>719</v>
      </c>
    </row>
    <row r="1198" spans="1:19" x14ac:dyDescent="0.3">
      <c r="A1198" s="31" t="s">
        <v>1576</v>
      </c>
      <c r="B1198" s="32" t="s">
        <v>542</v>
      </c>
      <c r="C1198" s="32" t="s">
        <v>1577</v>
      </c>
      <c r="D1198" s="32" t="s">
        <v>684</v>
      </c>
      <c r="E1198" s="32" t="s">
        <v>674</v>
      </c>
      <c r="F1198" s="32" t="s">
        <v>716</v>
      </c>
      <c r="G1198" s="32" t="s">
        <v>744</v>
      </c>
      <c r="H1198" s="32" t="s">
        <v>702</v>
      </c>
      <c r="I1198" s="32" t="s">
        <v>736</v>
      </c>
      <c r="J1198" s="32" t="s">
        <v>1551</v>
      </c>
      <c r="K1198" s="32" t="s">
        <v>738</v>
      </c>
      <c r="L1198" s="32" t="s">
        <v>739</v>
      </c>
      <c r="M1198" s="32">
        <v>0.2</v>
      </c>
      <c r="N1198" s="32" t="s">
        <v>219</v>
      </c>
      <c r="O1198" s="32" t="s">
        <v>746</v>
      </c>
      <c r="P1198" s="32" t="s">
        <v>683</v>
      </c>
      <c r="Q1198" s="32" t="s">
        <v>665</v>
      </c>
      <c r="R1198" s="32" t="s">
        <v>567</v>
      </c>
      <c r="S1198" s="30" t="s">
        <v>719</v>
      </c>
    </row>
    <row r="1199" spans="1:19" x14ac:dyDescent="0.3">
      <c r="A1199" s="29" t="s">
        <v>1627</v>
      </c>
      <c r="B1199" s="30" t="s">
        <v>542</v>
      </c>
      <c r="C1199" s="30" t="s">
        <v>1628</v>
      </c>
      <c r="D1199" s="30" t="s">
        <v>684</v>
      </c>
      <c r="E1199" s="30" t="s">
        <v>674</v>
      </c>
      <c r="F1199" s="30" t="s">
        <v>716</v>
      </c>
      <c r="G1199" s="30" t="s">
        <v>744</v>
      </c>
      <c r="H1199" s="30" t="s">
        <v>702</v>
      </c>
      <c r="I1199" s="30" t="s">
        <v>736</v>
      </c>
      <c r="J1199" s="30" t="s">
        <v>1551</v>
      </c>
      <c r="K1199" s="30" t="s">
        <v>738</v>
      </c>
      <c r="L1199" s="30" t="s">
        <v>681</v>
      </c>
      <c r="M1199" s="30">
        <v>0.5</v>
      </c>
      <c r="N1199" s="30" t="s">
        <v>43</v>
      </c>
      <c r="O1199" s="30" t="s">
        <v>746</v>
      </c>
      <c r="P1199" s="30" t="s">
        <v>683</v>
      </c>
      <c r="Q1199" s="30" t="s">
        <v>665</v>
      </c>
      <c r="R1199" s="30" t="s">
        <v>567</v>
      </c>
      <c r="S1199" s="30" t="s">
        <v>719</v>
      </c>
    </row>
    <row r="1200" spans="1:19" x14ac:dyDescent="0.3">
      <c r="A1200" s="31" t="s">
        <v>1629</v>
      </c>
      <c r="B1200" s="32" t="s">
        <v>542</v>
      </c>
      <c r="C1200" s="32" t="s">
        <v>1630</v>
      </c>
      <c r="D1200" s="32" t="s">
        <v>684</v>
      </c>
      <c r="E1200" s="32" t="s">
        <v>674</v>
      </c>
      <c r="F1200" s="32" t="s">
        <v>716</v>
      </c>
      <c r="G1200" s="32" t="s">
        <v>744</v>
      </c>
      <c r="H1200" s="32" t="s">
        <v>702</v>
      </c>
      <c r="I1200" s="32" t="s">
        <v>736</v>
      </c>
      <c r="J1200" s="32" t="s">
        <v>1551</v>
      </c>
      <c r="K1200" s="32" t="s">
        <v>738</v>
      </c>
      <c r="L1200" s="32" t="s">
        <v>681</v>
      </c>
      <c r="M1200" s="32">
        <v>0.5</v>
      </c>
      <c r="N1200" s="32" t="s">
        <v>43</v>
      </c>
      <c r="O1200" s="32" t="s">
        <v>746</v>
      </c>
      <c r="P1200" s="32" t="s">
        <v>683</v>
      </c>
      <c r="Q1200" s="32" t="s">
        <v>665</v>
      </c>
      <c r="R1200" s="32" t="s">
        <v>567</v>
      </c>
      <c r="S1200" s="30" t="s">
        <v>719</v>
      </c>
    </row>
    <row r="1201" spans="1:19" x14ac:dyDescent="0.3">
      <c r="A1201" s="29" t="s">
        <v>694</v>
      </c>
      <c r="B1201" s="30" t="s">
        <v>695</v>
      </c>
      <c r="C1201" s="30" t="s">
        <v>696</v>
      </c>
      <c r="D1201" s="30" t="s">
        <v>673</v>
      </c>
      <c r="E1201" s="30" t="s">
        <v>674</v>
      </c>
      <c r="F1201" s="30" t="s">
        <v>675</v>
      </c>
      <c r="G1201" s="30" t="s">
        <v>676</v>
      </c>
      <c r="H1201" s="30" t="s">
        <v>677</v>
      </c>
      <c r="I1201" s="30" t="s">
        <v>697</v>
      </c>
      <c r="J1201" s="30" t="s">
        <v>698</v>
      </c>
      <c r="K1201" s="30" t="s">
        <v>690</v>
      </c>
      <c r="L1201" s="30" t="s">
        <v>699</v>
      </c>
      <c r="M1201" s="30">
        <v>1</v>
      </c>
      <c r="N1201" s="30" t="s">
        <v>563</v>
      </c>
      <c r="O1201" s="30" t="s">
        <v>1915</v>
      </c>
      <c r="P1201" s="30" t="s">
        <v>683</v>
      </c>
      <c r="Q1201" s="30" t="s">
        <v>767</v>
      </c>
      <c r="R1201" s="30" t="s">
        <v>169</v>
      </c>
      <c r="S1201" s="32" t="s">
        <v>673</v>
      </c>
    </row>
    <row r="1202" spans="1:19" x14ac:dyDescent="0.3">
      <c r="A1202" s="31" t="s">
        <v>1377</v>
      </c>
      <c r="B1202" s="32" t="s">
        <v>1253</v>
      </c>
      <c r="C1202" s="32" t="s">
        <v>1378</v>
      </c>
      <c r="D1202" s="32" t="s">
        <v>673</v>
      </c>
      <c r="E1202" s="32" t="s">
        <v>674</v>
      </c>
      <c r="F1202" s="32" t="s">
        <v>716</v>
      </c>
      <c r="G1202" s="32" t="s">
        <v>676</v>
      </c>
      <c r="H1202" s="32" t="s">
        <v>938</v>
      </c>
      <c r="I1202" s="32" t="s">
        <v>688</v>
      </c>
      <c r="J1202" s="32" t="s">
        <v>906</v>
      </c>
      <c r="K1202" s="32" t="s">
        <v>690</v>
      </c>
      <c r="L1202" s="32" t="s">
        <v>681</v>
      </c>
      <c r="M1202" s="32">
        <v>1</v>
      </c>
      <c r="N1202" s="32" t="s">
        <v>1623</v>
      </c>
      <c r="O1202" s="32" t="s">
        <v>1915</v>
      </c>
      <c r="P1202" s="32" t="s">
        <v>683</v>
      </c>
      <c r="Q1202" s="32" t="s">
        <v>767</v>
      </c>
      <c r="R1202" s="32" t="s">
        <v>169</v>
      </c>
      <c r="S1202" s="32" t="s">
        <v>673</v>
      </c>
    </row>
    <row r="1203" spans="1:19" x14ac:dyDescent="0.3">
      <c r="A1203" s="29" t="s">
        <v>1000</v>
      </c>
      <c r="B1203" s="30" t="s">
        <v>998</v>
      </c>
      <c r="C1203" s="30" t="s">
        <v>1001</v>
      </c>
      <c r="D1203" s="30" t="s">
        <v>673</v>
      </c>
      <c r="E1203" s="30" t="s">
        <v>674</v>
      </c>
      <c r="F1203" s="30" t="s">
        <v>716</v>
      </c>
      <c r="G1203" s="30" t="s">
        <v>744</v>
      </c>
      <c r="H1203" s="30" t="s">
        <v>677</v>
      </c>
      <c r="I1203" s="30" t="s">
        <v>688</v>
      </c>
      <c r="J1203" s="30" t="s">
        <v>751</v>
      </c>
      <c r="K1203" s="30" t="s">
        <v>690</v>
      </c>
      <c r="L1203" s="30" t="s">
        <v>681</v>
      </c>
      <c r="M1203" s="30">
        <v>1</v>
      </c>
      <c r="N1203" s="30" t="s">
        <v>1624</v>
      </c>
      <c r="O1203" s="30" t="s">
        <v>1915</v>
      </c>
      <c r="P1203" s="30" t="s">
        <v>683</v>
      </c>
      <c r="Q1203" s="30" t="s">
        <v>767</v>
      </c>
      <c r="R1203" s="30" t="s">
        <v>169</v>
      </c>
      <c r="S1203" s="32" t="s">
        <v>673</v>
      </c>
    </row>
    <row r="1204" spans="1:19" x14ac:dyDescent="0.3">
      <c r="A1204" s="31" t="s">
        <v>694</v>
      </c>
      <c r="B1204" s="32" t="s">
        <v>695</v>
      </c>
      <c r="C1204" s="32" t="s">
        <v>696</v>
      </c>
      <c r="D1204" s="32" t="s">
        <v>673</v>
      </c>
      <c r="E1204" s="32" t="s">
        <v>674</v>
      </c>
      <c r="F1204" s="32" t="s">
        <v>675</v>
      </c>
      <c r="G1204" s="32" t="s">
        <v>676</v>
      </c>
      <c r="H1204" s="32" t="s">
        <v>677</v>
      </c>
      <c r="I1204" s="32" t="s">
        <v>697</v>
      </c>
      <c r="J1204" s="32" t="s">
        <v>698</v>
      </c>
      <c r="K1204" s="32" t="s">
        <v>690</v>
      </c>
      <c r="L1204" s="32" t="s">
        <v>699</v>
      </c>
      <c r="M1204" s="32">
        <v>1</v>
      </c>
      <c r="N1204" s="32" t="s">
        <v>502</v>
      </c>
      <c r="O1204" s="32" t="s">
        <v>1915</v>
      </c>
      <c r="P1204" s="32" t="s">
        <v>683</v>
      </c>
      <c r="Q1204" s="32" t="s">
        <v>767</v>
      </c>
      <c r="R1204" s="32" t="s">
        <v>169</v>
      </c>
      <c r="S1204" s="32" t="s">
        <v>673</v>
      </c>
    </row>
    <row r="1205" spans="1:19" x14ac:dyDescent="0.3">
      <c r="A1205" s="29" t="s">
        <v>812</v>
      </c>
      <c r="B1205" s="30" t="s">
        <v>707</v>
      </c>
      <c r="C1205" s="30" t="s">
        <v>708</v>
      </c>
      <c r="D1205" s="30" t="s">
        <v>673</v>
      </c>
      <c r="E1205" s="30" t="s">
        <v>674</v>
      </c>
      <c r="F1205" s="30" t="s">
        <v>709</v>
      </c>
      <c r="G1205" s="30" t="s">
        <v>709</v>
      </c>
      <c r="H1205" s="30" t="s">
        <v>709</v>
      </c>
      <c r="I1205" s="30" t="s">
        <v>709</v>
      </c>
      <c r="J1205" s="30" t="s">
        <v>751</v>
      </c>
      <c r="K1205" s="30" t="s">
        <v>690</v>
      </c>
      <c r="L1205" s="30" t="s">
        <v>699</v>
      </c>
      <c r="M1205" s="30">
        <v>0.5</v>
      </c>
      <c r="N1205" s="30" t="s">
        <v>1840</v>
      </c>
      <c r="O1205" s="30" t="s">
        <v>746</v>
      </c>
      <c r="P1205" s="30" t="s">
        <v>683</v>
      </c>
      <c r="Q1205" s="30" t="s">
        <v>665</v>
      </c>
      <c r="R1205" s="30" t="s">
        <v>242</v>
      </c>
      <c r="S1205" s="32" t="s">
        <v>673</v>
      </c>
    </row>
    <row r="1206" spans="1:19" x14ac:dyDescent="0.3">
      <c r="A1206" s="31" t="s">
        <v>1656</v>
      </c>
      <c r="B1206" s="32" t="s">
        <v>707</v>
      </c>
      <c r="C1206" s="32" t="s">
        <v>773</v>
      </c>
      <c r="D1206" s="32" t="s">
        <v>673</v>
      </c>
      <c r="E1206" s="32" t="s">
        <v>674</v>
      </c>
      <c r="F1206" s="32" t="s">
        <v>773</v>
      </c>
      <c r="G1206" s="32" t="s">
        <v>773</v>
      </c>
      <c r="H1206" s="32" t="s">
        <v>773</v>
      </c>
      <c r="I1206" s="32" t="s">
        <v>773</v>
      </c>
      <c r="J1206" s="32" t="s">
        <v>751</v>
      </c>
      <c r="K1206" s="32" t="s">
        <v>690</v>
      </c>
      <c r="L1206" s="32" t="s">
        <v>699</v>
      </c>
      <c r="M1206" s="32">
        <v>0.5</v>
      </c>
      <c r="N1206" s="32" t="s">
        <v>1840</v>
      </c>
      <c r="O1206" s="32" t="s">
        <v>746</v>
      </c>
      <c r="P1206" s="32" t="s">
        <v>683</v>
      </c>
      <c r="Q1206" s="32" t="s">
        <v>665</v>
      </c>
      <c r="R1206" s="32" t="s">
        <v>242</v>
      </c>
      <c r="S1206" s="32" t="s">
        <v>673</v>
      </c>
    </row>
    <row r="1207" spans="1:19" x14ac:dyDescent="0.3">
      <c r="A1207" s="29" t="s">
        <v>1656</v>
      </c>
      <c r="B1207" s="30" t="s">
        <v>707</v>
      </c>
      <c r="C1207" s="30" t="s">
        <v>773</v>
      </c>
      <c r="D1207" s="30" t="s">
        <v>673</v>
      </c>
      <c r="E1207" s="30" t="s">
        <v>674</v>
      </c>
      <c r="F1207" s="30" t="s">
        <v>773</v>
      </c>
      <c r="G1207" s="30" t="s">
        <v>773</v>
      </c>
      <c r="H1207" s="30" t="s">
        <v>773</v>
      </c>
      <c r="I1207" s="30" t="s">
        <v>773</v>
      </c>
      <c r="J1207" s="30" t="s">
        <v>751</v>
      </c>
      <c r="K1207" s="30" t="s">
        <v>690</v>
      </c>
      <c r="L1207" s="30" t="s">
        <v>699</v>
      </c>
      <c r="M1207" s="30">
        <v>0.5</v>
      </c>
      <c r="N1207" s="30" t="s">
        <v>1835</v>
      </c>
      <c r="O1207" s="30" t="s">
        <v>746</v>
      </c>
      <c r="P1207" s="30" t="s">
        <v>683</v>
      </c>
      <c r="Q1207" s="30" t="s">
        <v>665</v>
      </c>
      <c r="R1207" s="30" t="s">
        <v>242</v>
      </c>
      <c r="S1207" s="32" t="s">
        <v>673</v>
      </c>
    </row>
    <row r="1208" spans="1:19" x14ac:dyDescent="0.3">
      <c r="A1208" s="31" t="s">
        <v>812</v>
      </c>
      <c r="B1208" s="32" t="s">
        <v>707</v>
      </c>
      <c r="C1208" s="32" t="s">
        <v>708</v>
      </c>
      <c r="D1208" s="32" t="s">
        <v>673</v>
      </c>
      <c r="E1208" s="32" t="s">
        <v>674</v>
      </c>
      <c r="F1208" s="32" t="s">
        <v>709</v>
      </c>
      <c r="G1208" s="32" t="s">
        <v>709</v>
      </c>
      <c r="H1208" s="32" t="s">
        <v>709</v>
      </c>
      <c r="I1208" s="32" t="s">
        <v>709</v>
      </c>
      <c r="J1208" s="32" t="s">
        <v>751</v>
      </c>
      <c r="K1208" s="32" t="s">
        <v>690</v>
      </c>
      <c r="L1208" s="32" t="s">
        <v>699</v>
      </c>
      <c r="M1208" s="32">
        <v>0.5</v>
      </c>
      <c r="N1208" s="32" t="s">
        <v>1835</v>
      </c>
      <c r="O1208" s="32" t="s">
        <v>746</v>
      </c>
      <c r="P1208" s="32" t="s">
        <v>683</v>
      </c>
      <c r="Q1208" s="32" t="s">
        <v>665</v>
      </c>
      <c r="R1208" s="32" t="s">
        <v>242</v>
      </c>
      <c r="S1208" s="32" t="s">
        <v>673</v>
      </c>
    </row>
    <row r="1209" spans="1:19" x14ac:dyDescent="0.3">
      <c r="A1209" s="29" t="s">
        <v>2386</v>
      </c>
      <c r="B1209" s="30" t="s">
        <v>707</v>
      </c>
      <c r="C1209" s="30" t="s">
        <v>773</v>
      </c>
      <c r="D1209" s="30" t="s">
        <v>673</v>
      </c>
      <c r="E1209" s="30" t="s">
        <v>674</v>
      </c>
      <c r="F1209" s="30" t="s">
        <v>773</v>
      </c>
      <c r="G1209" s="30" t="s">
        <v>773</v>
      </c>
      <c r="H1209" s="30" t="s">
        <v>773</v>
      </c>
      <c r="I1209" s="30" t="s">
        <v>773</v>
      </c>
      <c r="J1209" s="30" t="s">
        <v>713</v>
      </c>
      <c r="K1209" s="30" t="s">
        <v>690</v>
      </c>
      <c r="L1209" s="30" t="s">
        <v>699</v>
      </c>
      <c r="M1209" s="30">
        <v>1</v>
      </c>
      <c r="N1209" s="30" t="s">
        <v>1834</v>
      </c>
      <c r="O1209" s="30" t="s">
        <v>746</v>
      </c>
      <c r="P1209" s="30" t="s">
        <v>683</v>
      </c>
      <c r="Q1209" s="30" t="s">
        <v>665</v>
      </c>
      <c r="R1209" s="30" t="s">
        <v>123</v>
      </c>
      <c r="S1209" s="32" t="s">
        <v>673</v>
      </c>
    </row>
    <row r="1210" spans="1:19" x14ac:dyDescent="0.3">
      <c r="A1210" s="31" t="s">
        <v>1035</v>
      </c>
      <c r="B1210" s="32" t="s">
        <v>707</v>
      </c>
      <c r="C1210" s="32" t="s">
        <v>715</v>
      </c>
      <c r="D1210" s="32" t="s">
        <v>684</v>
      </c>
      <c r="E1210" s="32" t="s">
        <v>674</v>
      </c>
      <c r="F1210" s="32" t="s">
        <v>716</v>
      </c>
      <c r="G1210" s="32" t="s">
        <v>717</v>
      </c>
      <c r="H1210" s="32" t="s">
        <v>717</v>
      </c>
      <c r="I1210" s="32" t="s">
        <v>717</v>
      </c>
      <c r="J1210" s="32" t="s">
        <v>745</v>
      </c>
      <c r="K1210" s="32" t="s">
        <v>738</v>
      </c>
      <c r="L1210" s="32" t="s">
        <v>699</v>
      </c>
      <c r="M1210" s="32">
        <v>1</v>
      </c>
      <c r="N1210" s="32" t="s">
        <v>470</v>
      </c>
      <c r="O1210" s="32" t="s">
        <v>746</v>
      </c>
      <c r="P1210" s="32" t="s">
        <v>683</v>
      </c>
      <c r="Q1210" s="32" t="s">
        <v>665</v>
      </c>
      <c r="R1210" s="32" t="s">
        <v>567</v>
      </c>
      <c r="S1210" s="30" t="s">
        <v>719</v>
      </c>
    </row>
    <row r="1211" spans="1:19" x14ac:dyDescent="0.3">
      <c r="A1211" s="29" t="s">
        <v>1009</v>
      </c>
      <c r="B1211" s="30" t="s">
        <v>707</v>
      </c>
      <c r="C1211" s="30" t="s">
        <v>715</v>
      </c>
      <c r="D1211" s="30" t="s">
        <v>684</v>
      </c>
      <c r="E1211" s="30" t="s">
        <v>674</v>
      </c>
      <c r="F1211" s="30" t="s">
        <v>716</v>
      </c>
      <c r="G1211" s="30" t="s">
        <v>717</v>
      </c>
      <c r="H1211" s="30" t="s">
        <v>717</v>
      </c>
      <c r="I1211" s="30" t="s">
        <v>717</v>
      </c>
      <c r="J1211" s="30" t="s">
        <v>737</v>
      </c>
      <c r="K1211" s="30" t="s">
        <v>738</v>
      </c>
      <c r="L1211" s="30" t="s">
        <v>699</v>
      </c>
      <c r="M1211" s="30">
        <v>1</v>
      </c>
      <c r="N1211" s="30" t="s">
        <v>544</v>
      </c>
      <c r="O1211" s="30" t="s">
        <v>746</v>
      </c>
      <c r="P1211" s="30" t="s">
        <v>683</v>
      </c>
      <c r="Q1211" s="30" t="s">
        <v>665</v>
      </c>
      <c r="R1211" s="30" t="s">
        <v>567</v>
      </c>
      <c r="S1211" s="30" t="s">
        <v>719</v>
      </c>
    </row>
    <row r="1212" spans="1:19" x14ac:dyDescent="0.3">
      <c r="A1212" s="31" t="s">
        <v>1631</v>
      </c>
      <c r="B1212" s="32" t="s">
        <v>707</v>
      </c>
      <c r="C1212" s="32" t="s">
        <v>910</v>
      </c>
      <c r="D1212" s="32" t="s">
        <v>684</v>
      </c>
      <c r="E1212" s="32" t="s">
        <v>674</v>
      </c>
      <c r="F1212" s="32" t="s">
        <v>12</v>
      </c>
      <c r="G1212" s="32" t="s">
        <v>12</v>
      </c>
      <c r="H1212" s="32" t="s">
        <v>12</v>
      </c>
      <c r="I1212" s="32" t="s">
        <v>12</v>
      </c>
      <c r="J1212" s="32" t="s">
        <v>1551</v>
      </c>
      <c r="K1212" s="32" t="s">
        <v>738</v>
      </c>
      <c r="L1212" s="32" t="s">
        <v>699</v>
      </c>
      <c r="M1212" s="32">
        <v>1</v>
      </c>
      <c r="N1212" s="32" t="s">
        <v>459</v>
      </c>
      <c r="O1212" s="32" t="s">
        <v>746</v>
      </c>
      <c r="P1212" s="32" t="s">
        <v>683</v>
      </c>
      <c r="Q1212" s="32" t="s">
        <v>665</v>
      </c>
      <c r="R1212" s="32" t="s">
        <v>567</v>
      </c>
      <c r="S1212" s="30" t="s">
        <v>719</v>
      </c>
    </row>
    <row r="1213" spans="1:19" x14ac:dyDescent="0.3">
      <c r="A1213" s="29" t="s">
        <v>1035</v>
      </c>
      <c r="B1213" s="30" t="s">
        <v>707</v>
      </c>
      <c r="C1213" s="30" t="s">
        <v>715</v>
      </c>
      <c r="D1213" s="30" t="s">
        <v>684</v>
      </c>
      <c r="E1213" s="30" t="s">
        <v>674</v>
      </c>
      <c r="F1213" s="30" t="s">
        <v>716</v>
      </c>
      <c r="G1213" s="30" t="s">
        <v>717</v>
      </c>
      <c r="H1213" s="30" t="s">
        <v>717</v>
      </c>
      <c r="I1213" s="30" t="s">
        <v>717</v>
      </c>
      <c r="J1213" s="30" t="s">
        <v>745</v>
      </c>
      <c r="K1213" s="30" t="s">
        <v>738</v>
      </c>
      <c r="L1213" s="30" t="s">
        <v>699</v>
      </c>
      <c r="M1213" s="30">
        <v>0.1</v>
      </c>
      <c r="N1213" s="30" t="s">
        <v>89</v>
      </c>
      <c r="O1213" s="30" t="s">
        <v>746</v>
      </c>
      <c r="P1213" s="30" t="s">
        <v>683</v>
      </c>
      <c r="Q1213" s="30" t="s">
        <v>665</v>
      </c>
      <c r="R1213" s="30" t="s">
        <v>567</v>
      </c>
      <c r="S1213" s="30" t="s">
        <v>719</v>
      </c>
    </row>
    <row r="1214" spans="1:19" x14ac:dyDescent="0.3">
      <c r="A1214" s="31" t="s">
        <v>1010</v>
      </c>
      <c r="B1214" s="32" t="s">
        <v>707</v>
      </c>
      <c r="C1214" s="32" t="s">
        <v>715</v>
      </c>
      <c r="D1214" s="32" t="s">
        <v>755</v>
      </c>
      <c r="E1214" s="32" t="s">
        <v>674</v>
      </c>
      <c r="F1214" s="32" t="s">
        <v>716</v>
      </c>
      <c r="G1214" s="32" t="s">
        <v>717</v>
      </c>
      <c r="H1214" s="32" t="s">
        <v>717</v>
      </c>
      <c r="I1214" s="32" t="s">
        <v>717</v>
      </c>
      <c r="J1214" s="32" t="s">
        <v>774</v>
      </c>
      <c r="K1214" s="32" t="s">
        <v>680</v>
      </c>
      <c r="L1214" s="32" t="s">
        <v>699</v>
      </c>
      <c r="M1214" s="32">
        <v>0.1</v>
      </c>
      <c r="N1214" s="32" t="s">
        <v>89</v>
      </c>
      <c r="O1214" s="32" t="s">
        <v>746</v>
      </c>
      <c r="P1214" s="32" t="s">
        <v>683</v>
      </c>
      <c r="Q1214" s="32" t="s">
        <v>665</v>
      </c>
      <c r="R1214" s="32" t="s">
        <v>567</v>
      </c>
      <c r="S1214" s="30" t="s">
        <v>719</v>
      </c>
    </row>
    <row r="1215" spans="1:19" x14ac:dyDescent="0.3">
      <c r="A1215" s="29" t="s">
        <v>1585</v>
      </c>
      <c r="B1215" s="30" t="s">
        <v>707</v>
      </c>
      <c r="C1215" s="30" t="s">
        <v>715</v>
      </c>
      <c r="D1215" s="30" t="s">
        <v>684</v>
      </c>
      <c r="E1215" s="30" t="s">
        <v>674</v>
      </c>
      <c r="F1215" s="30" t="s">
        <v>716</v>
      </c>
      <c r="G1215" s="30" t="s">
        <v>717</v>
      </c>
      <c r="H1215" s="30" t="s">
        <v>717</v>
      </c>
      <c r="I1215" s="30" t="s">
        <v>717</v>
      </c>
      <c r="J1215" s="30" t="s">
        <v>860</v>
      </c>
      <c r="K1215" s="30" t="s">
        <v>861</v>
      </c>
      <c r="L1215" s="30" t="s">
        <v>699</v>
      </c>
      <c r="M1215" s="30">
        <v>0.1</v>
      </c>
      <c r="N1215" s="30" t="s">
        <v>89</v>
      </c>
      <c r="O1215" s="30" t="s">
        <v>746</v>
      </c>
      <c r="P1215" s="30" t="s">
        <v>683</v>
      </c>
      <c r="Q1215" s="30" t="s">
        <v>665</v>
      </c>
      <c r="R1215" s="30" t="s">
        <v>567</v>
      </c>
      <c r="S1215" s="30" t="s">
        <v>719</v>
      </c>
    </row>
    <row r="1216" spans="1:19" x14ac:dyDescent="0.3">
      <c r="A1216" s="31" t="s">
        <v>1209</v>
      </c>
      <c r="B1216" s="32" t="s">
        <v>707</v>
      </c>
      <c r="C1216" s="32" t="s">
        <v>715</v>
      </c>
      <c r="D1216" s="32" t="s">
        <v>755</v>
      </c>
      <c r="E1216" s="32" t="s">
        <v>674</v>
      </c>
      <c r="F1216" s="32" t="s">
        <v>716</v>
      </c>
      <c r="G1216" s="32" t="s">
        <v>717</v>
      </c>
      <c r="H1216" s="32" t="s">
        <v>717</v>
      </c>
      <c r="I1216" s="32" t="s">
        <v>717</v>
      </c>
      <c r="J1216" s="32" t="s">
        <v>679</v>
      </c>
      <c r="K1216" s="32" t="s">
        <v>680</v>
      </c>
      <c r="L1216" s="32" t="s">
        <v>699</v>
      </c>
      <c r="M1216" s="32">
        <v>0.1</v>
      </c>
      <c r="N1216" s="32" t="s">
        <v>89</v>
      </c>
      <c r="O1216" s="32" t="s">
        <v>746</v>
      </c>
      <c r="P1216" s="32" t="s">
        <v>683</v>
      </c>
      <c r="Q1216" s="32" t="s">
        <v>665</v>
      </c>
      <c r="R1216" s="32" t="s">
        <v>567</v>
      </c>
      <c r="S1216" s="30" t="s">
        <v>719</v>
      </c>
    </row>
    <row r="1217" spans="1:20" x14ac:dyDescent="0.3">
      <c r="A1217" s="29" t="s">
        <v>1662</v>
      </c>
      <c r="B1217" s="30" t="s">
        <v>707</v>
      </c>
      <c r="C1217" s="30" t="s">
        <v>773</v>
      </c>
      <c r="D1217" s="30" t="s">
        <v>755</v>
      </c>
      <c r="E1217" s="30" t="s">
        <v>674</v>
      </c>
      <c r="F1217" s="30" t="s">
        <v>773</v>
      </c>
      <c r="G1217" s="30" t="s">
        <v>773</v>
      </c>
      <c r="H1217" s="30" t="s">
        <v>773</v>
      </c>
      <c r="I1217" s="30" t="s">
        <v>773</v>
      </c>
      <c r="J1217" s="30" t="s">
        <v>679</v>
      </c>
      <c r="K1217" s="30" t="s">
        <v>680</v>
      </c>
      <c r="L1217" s="30" t="s">
        <v>699</v>
      </c>
      <c r="M1217" s="30">
        <v>1</v>
      </c>
      <c r="N1217" s="30" t="s">
        <v>1664</v>
      </c>
      <c r="O1217" s="30" t="s">
        <v>746</v>
      </c>
      <c r="P1217" s="30" t="s">
        <v>683</v>
      </c>
      <c r="Q1217" s="30" t="s">
        <v>665</v>
      </c>
      <c r="R1217" s="30" t="s">
        <v>34</v>
      </c>
      <c r="S1217" s="30" t="s">
        <v>755</v>
      </c>
    </row>
    <row r="1218" spans="1:20" x14ac:dyDescent="0.3">
      <c r="A1218" s="31" t="s">
        <v>1077</v>
      </c>
      <c r="B1218" s="32" t="s">
        <v>975</v>
      </c>
      <c r="C1218" s="32" t="s">
        <v>1078</v>
      </c>
      <c r="D1218" s="32" t="s">
        <v>755</v>
      </c>
      <c r="E1218" s="32" t="s">
        <v>674</v>
      </c>
      <c r="F1218" s="32" t="s">
        <v>716</v>
      </c>
      <c r="G1218" s="32" t="s">
        <v>744</v>
      </c>
      <c r="H1218" s="32" t="s">
        <v>677</v>
      </c>
      <c r="I1218" s="32" t="s">
        <v>678</v>
      </c>
      <c r="J1218" s="32" t="s">
        <v>774</v>
      </c>
      <c r="K1218" s="32" t="s">
        <v>680</v>
      </c>
      <c r="L1218" s="32" t="s">
        <v>801</v>
      </c>
      <c r="M1218" s="32">
        <v>0.3</v>
      </c>
      <c r="N1218" s="32" t="s">
        <v>481</v>
      </c>
      <c r="O1218" s="32" t="s">
        <v>746</v>
      </c>
      <c r="P1218" s="32" t="s">
        <v>683</v>
      </c>
      <c r="Q1218" s="32" t="s">
        <v>665</v>
      </c>
      <c r="R1218" s="32" t="s">
        <v>47</v>
      </c>
      <c r="S1218" s="30" t="s">
        <v>755</v>
      </c>
    </row>
    <row r="1219" spans="1:20" x14ac:dyDescent="0.3">
      <c r="A1219" s="29" t="s">
        <v>1632</v>
      </c>
      <c r="B1219" s="30" t="s">
        <v>975</v>
      </c>
      <c r="C1219" s="30" t="s">
        <v>1633</v>
      </c>
      <c r="D1219" s="30" t="s">
        <v>755</v>
      </c>
      <c r="E1219" s="30" t="s">
        <v>674</v>
      </c>
      <c r="F1219" s="30" t="s">
        <v>716</v>
      </c>
      <c r="G1219" s="30" t="s">
        <v>744</v>
      </c>
      <c r="H1219" s="30" t="s">
        <v>677</v>
      </c>
      <c r="I1219" s="30" t="s">
        <v>678</v>
      </c>
      <c r="J1219" s="30" t="s">
        <v>774</v>
      </c>
      <c r="K1219" s="30" t="s">
        <v>680</v>
      </c>
      <c r="L1219" s="30" t="s">
        <v>699</v>
      </c>
      <c r="M1219" s="30">
        <v>0.2</v>
      </c>
      <c r="N1219" s="30" t="s">
        <v>481</v>
      </c>
      <c r="O1219" s="30" t="s">
        <v>746</v>
      </c>
      <c r="P1219" s="30" t="s">
        <v>683</v>
      </c>
      <c r="Q1219" s="30" t="s">
        <v>665</v>
      </c>
      <c r="R1219" s="30" t="s">
        <v>47</v>
      </c>
      <c r="S1219" s="30" t="s">
        <v>755</v>
      </c>
    </row>
    <row r="1220" spans="1:20" x14ac:dyDescent="0.3">
      <c r="A1220" s="31" t="s">
        <v>1063</v>
      </c>
      <c r="B1220" s="32" t="s">
        <v>864</v>
      </c>
      <c r="C1220" s="32" t="s">
        <v>1064</v>
      </c>
      <c r="D1220" s="32" t="s">
        <v>755</v>
      </c>
      <c r="E1220" s="32" t="s">
        <v>674</v>
      </c>
      <c r="F1220" s="32" t="s">
        <v>675</v>
      </c>
      <c r="G1220" s="32" t="s">
        <v>676</v>
      </c>
      <c r="H1220" s="32" t="s">
        <v>677</v>
      </c>
      <c r="I1220" s="32" t="s">
        <v>678</v>
      </c>
      <c r="J1220" s="32" t="s">
        <v>774</v>
      </c>
      <c r="K1220" s="32" t="s">
        <v>680</v>
      </c>
      <c r="L1220" s="32" t="s">
        <v>699</v>
      </c>
      <c r="M1220" s="32">
        <v>0.5</v>
      </c>
      <c r="N1220" s="32" t="s">
        <v>572</v>
      </c>
      <c r="O1220" s="32" t="s">
        <v>746</v>
      </c>
      <c r="P1220" s="32" t="s">
        <v>683</v>
      </c>
      <c r="Q1220" s="32" t="s">
        <v>665</v>
      </c>
      <c r="R1220" s="32" t="s">
        <v>1211</v>
      </c>
      <c r="S1220" s="30" t="s">
        <v>719</v>
      </c>
    </row>
    <row r="1221" spans="1:20" x14ac:dyDescent="0.3">
      <c r="A1221" s="29" t="s">
        <v>1402</v>
      </c>
      <c r="B1221" s="30" t="s">
        <v>1403</v>
      </c>
      <c r="C1221" s="30" t="s">
        <v>773</v>
      </c>
      <c r="D1221" s="30" t="s">
        <v>684</v>
      </c>
      <c r="E1221" s="30" t="s">
        <v>674</v>
      </c>
      <c r="F1221" s="30" t="s">
        <v>773</v>
      </c>
      <c r="G1221" s="30" t="s">
        <v>773</v>
      </c>
      <c r="H1221" s="30" t="s">
        <v>773</v>
      </c>
      <c r="I1221" s="30" t="s">
        <v>773</v>
      </c>
      <c r="J1221" s="30" t="s">
        <v>745</v>
      </c>
      <c r="K1221" s="30" t="s">
        <v>738</v>
      </c>
      <c r="L1221" s="30" t="s">
        <v>699</v>
      </c>
      <c r="M1221" s="30">
        <v>1</v>
      </c>
      <c r="N1221" s="30" t="s">
        <v>1836</v>
      </c>
      <c r="O1221" s="30" t="s">
        <v>746</v>
      </c>
      <c r="P1221" s="30" t="s">
        <v>683</v>
      </c>
      <c r="Q1221" s="30" t="s">
        <v>665</v>
      </c>
      <c r="R1221" s="30" t="s">
        <v>470</v>
      </c>
      <c r="S1221" s="30" t="s">
        <v>684</v>
      </c>
      <c r="T1221" s="32"/>
    </row>
    <row r="1222" spans="1:20" x14ac:dyDescent="0.3">
      <c r="A1222" s="29" t="s">
        <v>1402</v>
      </c>
      <c r="B1222" s="30" t="s">
        <v>1403</v>
      </c>
      <c r="C1222" s="30" t="s">
        <v>773</v>
      </c>
      <c r="D1222" s="30" t="s">
        <v>684</v>
      </c>
      <c r="E1222" s="30" t="s">
        <v>674</v>
      </c>
      <c r="F1222" s="30" t="s">
        <v>773</v>
      </c>
      <c r="G1222" s="30" t="s">
        <v>773</v>
      </c>
      <c r="H1222" s="30" t="s">
        <v>773</v>
      </c>
      <c r="I1222" s="30" t="s">
        <v>773</v>
      </c>
      <c r="J1222" s="30" t="s">
        <v>745</v>
      </c>
      <c r="K1222" s="30" t="s">
        <v>738</v>
      </c>
      <c r="L1222" s="30" t="s">
        <v>699</v>
      </c>
      <c r="M1222" s="30">
        <v>1</v>
      </c>
      <c r="N1222" s="7" t="s">
        <v>1845</v>
      </c>
      <c r="O1222" s="30" t="s">
        <v>746</v>
      </c>
      <c r="P1222" s="30" t="s">
        <v>683</v>
      </c>
      <c r="Q1222" s="30" t="s">
        <v>665</v>
      </c>
      <c r="R1222" s="30" t="s">
        <v>470</v>
      </c>
      <c r="S1222" s="30" t="s">
        <v>684</v>
      </c>
    </row>
    <row r="1223" spans="1:20" x14ac:dyDescent="0.3">
      <c r="A1223" s="29" t="s">
        <v>714</v>
      </c>
      <c r="B1223" s="30" t="s">
        <v>707</v>
      </c>
      <c r="C1223" s="30" t="s">
        <v>715</v>
      </c>
      <c r="D1223" s="30" t="s">
        <v>673</v>
      </c>
      <c r="E1223" s="30" t="s">
        <v>674</v>
      </c>
      <c r="F1223" s="30" t="s">
        <v>716</v>
      </c>
      <c r="G1223" s="30" t="s">
        <v>717</v>
      </c>
      <c r="H1223" s="30" t="s">
        <v>717</v>
      </c>
      <c r="I1223" s="30" t="s">
        <v>717</v>
      </c>
      <c r="J1223" s="30" t="s">
        <v>710</v>
      </c>
      <c r="K1223" s="30" t="s">
        <v>690</v>
      </c>
      <c r="L1223" s="30" t="s">
        <v>699</v>
      </c>
      <c r="M1223" s="30">
        <v>0.3</v>
      </c>
      <c r="N1223" s="30" t="s">
        <v>366</v>
      </c>
      <c r="O1223" s="30" t="s">
        <v>746</v>
      </c>
      <c r="P1223" s="30" t="s">
        <v>683</v>
      </c>
      <c r="Q1223" s="30" t="s">
        <v>665</v>
      </c>
      <c r="R1223" s="30" t="s">
        <v>719</v>
      </c>
      <c r="S1223" s="30" t="s">
        <v>719</v>
      </c>
    </row>
    <row r="1224" spans="1:20" x14ac:dyDescent="0.3">
      <c r="A1224" s="31" t="s">
        <v>841</v>
      </c>
      <c r="B1224" s="32" t="s">
        <v>707</v>
      </c>
      <c r="C1224" s="32" t="s">
        <v>715</v>
      </c>
      <c r="D1224" s="32" t="s">
        <v>673</v>
      </c>
      <c r="E1224" s="32" t="s">
        <v>674</v>
      </c>
      <c r="F1224" s="32" t="s">
        <v>716</v>
      </c>
      <c r="G1224" s="32" t="s">
        <v>717</v>
      </c>
      <c r="H1224" s="32" t="s">
        <v>717</v>
      </c>
      <c r="I1224" s="32" t="s">
        <v>717</v>
      </c>
      <c r="J1224" s="32" t="s">
        <v>713</v>
      </c>
      <c r="K1224" s="32" t="s">
        <v>690</v>
      </c>
      <c r="L1224" s="32" t="s">
        <v>699</v>
      </c>
      <c r="M1224" s="30">
        <v>0.3</v>
      </c>
      <c r="N1224" s="30" t="s">
        <v>366</v>
      </c>
      <c r="O1224" s="32" t="s">
        <v>746</v>
      </c>
      <c r="P1224" s="32" t="s">
        <v>683</v>
      </c>
      <c r="Q1224" s="32" t="s">
        <v>665</v>
      </c>
      <c r="R1224" s="30" t="s">
        <v>719</v>
      </c>
      <c r="S1224" s="30" t="s">
        <v>719</v>
      </c>
    </row>
    <row r="1225" spans="1:20" x14ac:dyDescent="0.3">
      <c r="A1225" s="20" t="s">
        <v>1191</v>
      </c>
      <c r="B1225" s="32" t="s">
        <v>707</v>
      </c>
      <c r="C1225" s="32" t="s">
        <v>715</v>
      </c>
      <c r="D1225" s="32" t="s">
        <v>673</v>
      </c>
      <c r="F1225" s="32" t="s">
        <v>716</v>
      </c>
      <c r="G1225" s="32" t="s">
        <v>717</v>
      </c>
      <c r="H1225" s="32" t="s">
        <v>717</v>
      </c>
      <c r="I1225" s="32" t="s">
        <v>717</v>
      </c>
      <c r="J1225" s="7" t="s">
        <v>698</v>
      </c>
      <c r="K1225" s="32" t="s">
        <v>690</v>
      </c>
      <c r="L1225" s="32" t="s">
        <v>699</v>
      </c>
      <c r="M1225" s="30">
        <v>0.4</v>
      </c>
      <c r="N1225" s="30" t="s">
        <v>366</v>
      </c>
      <c r="O1225" s="32" t="s">
        <v>746</v>
      </c>
      <c r="P1225" s="32" t="s">
        <v>683</v>
      </c>
      <c r="Q1225" s="32" t="s">
        <v>665</v>
      </c>
      <c r="R1225" s="30" t="s">
        <v>719</v>
      </c>
      <c r="S1225" s="30" t="s">
        <v>719</v>
      </c>
    </row>
    <row r="1226" spans="1:20" x14ac:dyDescent="0.3">
      <c r="A1226" s="20" t="s">
        <v>1308</v>
      </c>
      <c r="B1226" s="7" t="s">
        <v>154</v>
      </c>
      <c r="C1226" s="7" t="s">
        <v>1309</v>
      </c>
      <c r="D1226" s="32" t="s">
        <v>673</v>
      </c>
      <c r="F1226" s="32" t="s">
        <v>675</v>
      </c>
      <c r="G1226" s="32" t="s">
        <v>676</v>
      </c>
      <c r="H1226" s="7" t="s">
        <v>702</v>
      </c>
      <c r="I1226" s="7" t="s">
        <v>697</v>
      </c>
      <c r="J1226" s="30" t="s">
        <v>713</v>
      </c>
      <c r="K1226" s="30" t="s">
        <v>690</v>
      </c>
      <c r="L1226" s="32" t="s">
        <v>739</v>
      </c>
      <c r="M1226" s="32">
        <v>0.5</v>
      </c>
      <c r="N1226" s="7" t="s">
        <v>1310</v>
      </c>
      <c r="O1226" s="32" t="s">
        <v>746</v>
      </c>
      <c r="P1226" s="32" t="s">
        <v>683</v>
      </c>
      <c r="Q1226" s="32" t="s">
        <v>665</v>
      </c>
      <c r="R1226" s="7" t="s">
        <v>633</v>
      </c>
      <c r="S1226" s="30" t="s">
        <v>755</v>
      </c>
    </row>
    <row r="1227" spans="1:20" x14ac:dyDescent="0.3">
      <c r="A1227" s="20" t="s">
        <v>1314</v>
      </c>
      <c r="B1227" s="7" t="s">
        <v>154</v>
      </c>
      <c r="C1227" s="7" t="s">
        <v>1315</v>
      </c>
      <c r="D1227" s="32" t="s">
        <v>673</v>
      </c>
      <c r="F1227" s="32" t="s">
        <v>675</v>
      </c>
      <c r="G1227" s="32" t="s">
        <v>676</v>
      </c>
      <c r="H1227" s="7" t="s">
        <v>702</v>
      </c>
      <c r="I1227" s="7" t="s">
        <v>697</v>
      </c>
      <c r="J1227" s="30" t="s">
        <v>713</v>
      </c>
      <c r="K1227" s="30" t="s">
        <v>690</v>
      </c>
      <c r="L1227" s="32" t="s">
        <v>691</v>
      </c>
      <c r="M1227" s="32">
        <v>0.5</v>
      </c>
      <c r="N1227" s="7" t="s">
        <v>1310</v>
      </c>
      <c r="O1227" s="32" t="s">
        <v>746</v>
      </c>
      <c r="P1227" s="32" t="s">
        <v>683</v>
      </c>
      <c r="Q1227" s="32" t="s">
        <v>665</v>
      </c>
      <c r="R1227" s="7" t="s">
        <v>633</v>
      </c>
      <c r="S1227" s="30" t="s">
        <v>755</v>
      </c>
    </row>
    <row r="1228" spans="1:20" x14ac:dyDescent="0.3">
      <c r="A1228" s="29" t="s">
        <v>1506</v>
      </c>
      <c r="B1228" s="30" t="s">
        <v>544</v>
      </c>
      <c r="C1228" s="30" t="s">
        <v>1500</v>
      </c>
      <c r="D1228" s="30" t="s">
        <v>684</v>
      </c>
      <c r="E1228" s="30" t="s">
        <v>674</v>
      </c>
      <c r="F1228" s="30" t="s">
        <v>716</v>
      </c>
      <c r="G1228" s="30" t="s">
        <v>717</v>
      </c>
      <c r="H1228" s="30" t="s">
        <v>717</v>
      </c>
      <c r="I1228" s="30" t="s">
        <v>736</v>
      </c>
      <c r="J1228" s="30" t="s">
        <v>737</v>
      </c>
      <c r="K1228" s="30" t="s">
        <v>738</v>
      </c>
      <c r="L1228" s="30" t="s">
        <v>699</v>
      </c>
      <c r="M1228" s="30">
        <v>1</v>
      </c>
      <c r="N1228" s="30" t="s">
        <v>203</v>
      </c>
      <c r="O1228" s="30" t="s">
        <v>746</v>
      </c>
      <c r="P1228" s="30" t="s">
        <v>683</v>
      </c>
      <c r="Q1228" s="30" t="s">
        <v>665</v>
      </c>
      <c r="R1228" s="30" t="s">
        <v>544</v>
      </c>
      <c r="S1228" s="30" t="s">
        <v>684</v>
      </c>
    </row>
    <row r="1229" spans="1:20" x14ac:dyDescent="0.3">
      <c r="A1229" s="29" t="s">
        <v>706</v>
      </c>
      <c r="B1229" s="30" t="s">
        <v>707</v>
      </c>
      <c r="C1229" s="32" t="s">
        <v>708</v>
      </c>
      <c r="D1229" s="30" t="s">
        <v>673</v>
      </c>
      <c r="E1229" s="30" t="s">
        <v>674</v>
      </c>
      <c r="F1229" s="32" t="s">
        <v>709</v>
      </c>
      <c r="G1229" s="32" t="s">
        <v>709</v>
      </c>
      <c r="H1229" s="32" t="s">
        <v>709</v>
      </c>
      <c r="I1229" s="32" t="s">
        <v>709</v>
      </c>
      <c r="J1229" s="30" t="s">
        <v>710</v>
      </c>
      <c r="K1229" s="30" t="s">
        <v>690</v>
      </c>
      <c r="L1229" s="30" t="s">
        <v>699</v>
      </c>
      <c r="M1229" s="30">
        <v>0.1</v>
      </c>
      <c r="N1229" s="30" t="s">
        <v>56</v>
      </c>
      <c r="O1229" s="49" t="s">
        <v>711</v>
      </c>
      <c r="P1229" s="30" t="s">
        <v>683</v>
      </c>
      <c r="Q1229" s="30" t="s">
        <v>665</v>
      </c>
      <c r="R1229" s="30" t="s">
        <v>366</v>
      </c>
      <c r="S1229" s="30" t="s">
        <v>719</v>
      </c>
    </row>
    <row r="1230" spans="1:20" x14ac:dyDescent="0.3">
      <c r="A1230" s="31" t="s">
        <v>712</v>
      </c>
      <c r="B1230" s="32" t="s">
        <v>707</v>
      </c>
      <c r="C1230" s="32" t="s">
        <v>708</v>
      </c>
      <c r="D1230" s="32" t="s">
        <v>673</v>
      </c>
      <c r="E1230" s="32" t="s">
        <v>674</v>
      </c>
      <c r="F1230" s="32" t="s">
        <v>709</v>
      </c>
      <c r="G1230" s="32" t="s">
        <v>709</v>
      </c>
      <c r="H1230" s="32" t="s">
        <v>709</v>
      </c>
      <c r="I1230" s="32" t="s">
        <v>709</v>
      </c>
      <c r="J1230" s="32" t="s">
        <v>713</v>
      </c>
      <c r="K1230" s="32" t="s">
        <v>690</v>
      </c>
      <c r="L1230" s="32" t="s">
        <v>699</v>
      </c>
      <c r="M1230" s="30">
        <v>0.1</v>
      </c>
      <c r="N1230" s="30" t="s">
        <v>56</v>
      </c>
      <c r="O1230" s="49" t="s">
        <v>711</v>
      </c>
      <c r="P1230" s="32" t="s">
        <v>683</v>
      </c>
      <c r="Q1230" s="32" t="s">
        <v>665</v>
      </c>
      <c r="R1230" s="30" t="s">
        <v>366</v>
      </c>
      <c r="S1230" s="30" t="s">
        <v>719</v>
      </c>
    </row>
    <row r="1231" spans="1:20" x14ac:dyDescent="0.3">
      <c r="A1231" s="31" t="s">
        <v>812</v>
      </c>
      <c r="B1231" s="32" t="s">
        <v>707</v>
      </c>
      <c r="C1231" s="32" t="s">
        <v>708</v>
      </c>
      <c r="D1231" s="32" t="s">
        <v>673</v>
      </c>
      <c r="E1231" s="32" t="s">
        <v>674</v>
      </c>
      <c r="F1231" s="32" t="s">
        <v>709</v>
      </c>
      <c r="G1231" s="32" t="s">
        <v>709</v>
      </c>
      <c r="H1231" s="32" t="s">
        <v>709</v>
      </c>
      <c r="I1231" s="32" t="s">
        <v>709</v>
      </c>
      <c r="J1231" s="32" t="s">
        <v>751</v>
      </c>
      <c r="K1231" s="32" t="s">
        <v>690</v>
      </c>
      <c r="L1231" s="32" t="s">
        <v>699</v>
      </c>
      <c r="M1231" s="32">
        <v>0.1</v>
      </c>
      <c r="N1231" s="32" t="s">
        <v>56</v>
      </c>
      <c r="O1231" s="49" t="s">
        <v>711</v>
      </c>
      <c r="P1231" s="32" t="s">
        <v>683</v>
      </c>
      <c r="Q1231" s="32" t="s">
        <v>665</v>
      </c>
      <c r="R1231" s="32" t="s">
        <v>366</v>
      </c>
      <c r="S1231" s="30" t="s">
        <v>719</v>
      </c>
    </row>
    <row r="1232" spans="1:20" x14ac:dyDescent="0.3">
      <c r="A1232" s="20" t="s">
        <v>907</v>
      </c>
      <c r="B1232" s="7" t="s">
        <v>908</v>
      </c>
      <c r="C1232" s="7" t="s">
        <v>2448</v>
      </c>
      <c r="D1232" s="32" t="s">
        <v>673</v>
      </c>
      <c r="F1232" s="32" t="s">
        <v>675</v>
      </c>
      <c r="G1232" s="32" t="s">
        <v>676</v>
      </c>
      <c r="H1232" s="7" t="s">
        <v>702</v>
      </c>
      <c r="I1232" s="7" t="s">
        <v>688</v>
      </c>
      <c r="J1232" s="7" t="s">
        <v>689</v>
      </c>
      <c r="K1232" s="32" t="s">
        <v>690</v>
      </c>
      <c r="L1232" s="32" t="s">
        <v>681</v>
      </c>
      <c r="M1232" s="32">
        <v>0.2</v>
      </c>
      <c r="N1232" s="32" t="s">
        <v>56</v>
      </c>
      <c r="O1232" s="49" t="s">
        <v>711</v>
      </c>
      <c r="P1232" s="32" t="s">
        <v>683</v>
      </c>
      <c r="Q1232" s="32" t="s">
        <v>665</v>
      </c>
      <c r="R1232" s="32" t="s">
        <v>366</v>
      </c>
      <c r="S1232" s="30" t="s">
        <v>719</v>
      </c>
    </row>
    <row r="1233" spans="1:19" x14ac:dyDescent="0.3">
      <c r="A1233" s="20" t="s">
        <v>2445</v>
      </c>
      <c r="B1233" s="7" t="s">
        <v>908</v>
      </c>
      <c r="C1233" s="7" t="s">
        <v>2449</v>
      </c>
      <c r="D1233" s="32" t="s">
        <v>673</v>
      </c>
      <c r="F1233" s="32" t="s">
        <v>675</v>
      </c>
      <c r="G1233" s="32" t="s">
        <v>676</v>
      </c>
      <c r="H1233" s="32" t="s">
        <v>677</v>
      </c>
      <c r="I1233" s="32" t="s">
        <v>678</v>
      </c>
      <c r="J1233" s="7" t="s">
        <v>689</v>
      </c>
      <c r="K1233" s="32" t="s">
        <v>690</v>
      </c>
      <c r="L1233" s="32" t="s">
        <v>691</v>
      </c>
      <c r="M1233" s="32">
        <v>0.2</v>
      </c>
      <c r="N1233" s="32" t="s">
        <v>56</v>
      </c>
      <c r="O1233" s="49" t="s">
        <v>711</v>
      </c>
      <c r="P1233" s="32" t="s">
        <v>683</v>
      </c>
      <c r="Q1233" s="32" t="s">
        <v>665</v>
      </c>
      <c r="R1233" s="32" t="s">
        <v>366</v>
      </c>
      <c r="S1233" s="30" t="s">
        <v>719</v>
      </c>
    </row>
    <row r="1234" spans="1:19" x14ac:dyDescent="0.3">
      <c r="A1234" s="20" t="s">
        <v>2446</v>
      </c>
      <c r="B1234" s="32" t="s">
        <v>56</v>
      </c>
      <c r="C1234" s="7" t="s">
        <v>2450</v>
      </c>
      <c r="D1234" s="32" t="s">
        <v>673</v>
      </c>
      <c r="F1234" s="32" t="s">
        <v>675</v>
      </c>
      <c r="G1234" s="32" t="s">
        <v>676</v>
      </c>
      <c r="H1234" s="32" t="s">
        <v>677</v>
      </c>
      <c r="I1234" s="32" t="s">
        <v>678</v>
      </c>
      <c r="J1234" s="7" t="s">
        <v>689</v>
      </c>
      <c r="K1234" s="32" t="s">
        <v>690</v>
      </c>
      <c r="L1234" s="32" t="s">
        <v>681</v>
      </c>
      <c r="M1234" s="32">
        <v>0.1</v>
      </c>
      <c r="N1234" s="32" t="s">
        <v>56</v>
      </c>
      <c r="O1234" s="49" t="s">
        <v>711</v>
      </c>
      <c r="P1234" s="32" t="s">
        <v>683</v>
      </c>
      <c r="Q1234" s="32" t="s">
        <v>665</v>
      </c>
      <c r="R1234" s="32" t="s">
        <v>366</v>
      </c>
      <c r="S1234" s="30" t="s">
        <v>719</v>
      </c>
    </row>
    <row r="1235" spans="1:19" x14ac:dyDescent="0.3">
      <c r="A1235" s="20" t="s">
        <v>2447</v>
      </c>
      <c r="B1235" s="32" t="s">
        <v>56</v>
      </c>
      <c r="C1235" s="7" t="s">
        <v>2451</v>
      </c>
      <c r="D1235" s="32" t="s">
        <v>673</v>
      </c>
      <c r="F1235" s="32" t="s">
        <v>675</v>
      </c>
      <c r="G1235" s="32" t="s">
        <v>676</v>
      </c>
      <c r="H1235" s="7" t="s">
        <v>935</v>
      </c>
      <c r="I1235" s="32" t="s">
        <v>678</v>
      </c>
      <c r="J1235" s="7" t="s">
        <v>689</v>
      </c>
      <c r="K1235" s="32" t="s">
        <v>690</v>
      </c>
      <c r="L1235" s="32" t="s">
        <v>681</v>
      </c>
      <c r="M1235" s="32">
        <v>0.1</v>
      </c>
      <c r="N1235" s="32" t="s">
        <v>56</v>
      </c>
      <c r="O1235" s="49" t="s">
        <v>711</v>
      </c>
      <c r="P1235" s="32" t="s">
        <v>683</v>
      </c>
      <c r="Q1235" s="32" t="s">
        <v>665</v>
      </c>
      <c r="R1235" s="32" t="s">
        <v>366</v>
      </c>
      <c r="S1235" s="30" t="s">
        <v>719</v>
      </c>
    </row>
    <row r="1236" spans="1:19" x14ac:dyDescent="0.3">
      <c r="A1236" s="29" t="s">
        <v>1402</v>
      </c>
      <c r="B1236" s="30" t="s">
        <v>1403</v>
      </c>
      <c r="C1236" s="30" t="s">
        <v>773</v>
      </c>
      <c r="D1236" s="30" t="s">
        <v>684</v>
      </c>
      <c r="E1236" s="30" t="s">
        <v>674</v>
      </c>
      <c r="F1236" s="30" t="s">
        <v>773</v>
      </c>
      <c r="G1236" s="30" t="s">
        <v>773</v>
      </c>
      <c r="H1236" s="30" t="s">
        <v>773</v>
      </c>
      <c r="I1236" s="30" t="s">
        <v>773</v>
      </c>
      <c r="J1236" s="30" t="s">
        <v>745</v>
      </c>
      <c r="K1236" s="30" t="s">
        <v>738</v>
      </c>
      <c r="L1236" s="30" t="s">
        <v>699</v>
      </c>
      <c r="M1236" s="30">
        <v>1</v>
      </c>
      <c r="N1236" s="7" t="s">
        <v>2408</v>
      </c>
      <c r="O1236" s="30" t="s">
        <v>746</v>
      </c>
      <c r="P1236" s="30" t="s">
        <v>683</v>
      </c>
      <c r="Q1236" s="30" t="s">
        <v>665</v>
      </c>
      <c r="R1236" s="30" t="s">
        <v>375</v>
      </c>
      <c r="S1236" s="30" t="s">
        <v>684</v>
      </c>
    </row>
    <row r="1237" spans="1:19" x14ac:dyDescent="0.3">
      <c r="A1237" s="20" t="s">
        <v>1308</v>
      </c>
      <c r="B1237" s="7" t="s">
        <v>154</v>
      </c>
      <c r="C1237" s="7" t="s">
        <v>1309</v>
      </c>
      <c r="D1237" s="32" t="s">
        <v>673</v>
      </c>
      <c r="F1237" s="32" t="s">
        <v>675</v>
      </c>
      <c r="G1237" s="32" t="s">
        <v>676</v>
      </c>
      <c r="H1237" s="7" t="s">
        <v>702</v>
      </c>
      <c r="I1237" s="7" t="s">
        <v>697</v>
      </c>
      <c r="J1237" s="30" t="s">
        <v>713</v>
      </c>
      <c r="K1237" s="30" t="s">
        <v>690</v>
      </c>
      <c r="L1237" s="32" t="s">
        <v>739</v>
      </c>
      <c r="M1237" s="32">
        <v>0.5</v>
      </c>
      <c r="N1237" s="7" t="s">
        <v>1316</v>
      </c>
      <c r="O1237" s="32" t="s">
        <v>746</v>
      </c>
      <c r="P1237" s="32" t="s">
        <v>683</v>
      </c>
      <c r="Q1237" s="32" t="s">
        <v>665</v>
      </c>
      <c r="R1237" s="7" t="s">
        <v>633</v>
      </c>
      <c r="S1237" s="30" t="s">
        <v>755</v>
      </c>
    </row>
    <row r="1238" spans="1:19" x14ac:dyDescent="0.3">
      <c r="A1238" s="20" t="s">
        <v>1314</v>
      </c>
      <c r="B1238" s="7" t="s">
        <v>154</v>
      </c>
      <c r="C1238" s="7" t="s">
        <v>1315</v>
      </c>
      <c r="D1238" s="32" t="s">
        <v>673</v>
      </c>
      <c r="F1238" s="32" t="s">
        <v>675</v>
      </c>
      <c r="G1238" s="32" t="s">
        <v>676</v>
      </c>
      <c r="H1238" s="7" t="s">
        <v>702</v>
      </c>
      <c r="I1238" s="7" t="s">
        <v>697</v>
      </c>
      <c r="J1238" s="30" t="s">
        <v>713</v>
      </c>
      <c r="K1238" s="30" t="s">
        <v>690</v>
      </c>
      <c r="L1238" s="32" t="s">
        <v>691</v>
      </c>
      <c r="M1238" s="32">
        <v>0.5</v>
      </c>
      <c r="N1238" s="7" t="s">
        <v>1316</v>
      </c>
      <c r="O1238" s="32" t="s">
        <v>746</v>
      </c>
      <c r="P1238" s="32" t="s">
        <v>683</v>
      </c>
      <c r="Q1238" s="32" t="s">
        <v>665</v>
      </c>
      <c r="R1238" s="7" t="s">
        <v>633</v>
      </c>
      <c r="S1238" s="30" t="s">
        <v>755</v>
      </c>
    </row>
    <row r="1239" spans="1:19" x14ac:dyDescent="0.3">
      <c r="A1239" s="20" t="s">
        <v>2452</v>
      </c>
      <c r="B1239" s="7" t="s">
        <v>43</v>
      </c>
      <c r="C1239" s="30" t="s">
        <v>773</v>
      </c>
      <c r="D1239" s="30" t="s">
        <v>684</v>
      </c>
      <c r="F1239" s="30" t="s">
        <v>773</v>
      </c>
      <c r="G1239" s="30" t="s">
        <v>773</v>
      </c>
      <c r="H1239" s="30" t="s">
        <v>773</v>
      </c>
      <c r="I1239" s="30" t="s">
        <v>773</v>
      </c>
      <c r="J1239" s="7" t="s">
        <v>1551</v>
      </c>
      <c r="K1239" s="7" t="s">
        <v>738</v>
      </c>
      <c r="L1239" s="30" t="s">
        <v>699</v>
      </c>
      <c r="M1239" s="32">
        <v>0.5</v>
      </c>
      <c r="N1239" s="7" t="s">
        <v>1831</v>
      </c>
      <c r="O1239" s="32" t="s">
        <v>746</v>
      </c>
      <c r="P1239" s="32" t="s">
        <v>683</v>
      </c>
      <c r="Q1239" s="32" t="s">
        <v>665</v>
      </c>
      <c r="R1239" s="7" t="s">
        <v>89</v>
      </c>
      <c r="S1239" s="30" t="s">
        <v>684</v>
      </c>
    </row>
    <row r="1240" spans="1:19" x14ac:dyDescent="0.3">
      <c r="A1240" s="20" t="s">
        <v>2453</v>
      </c>
      <c r="B1240" s="7" t="s">
        <v>43</v>
      </c>
      <c r="C1240" s="30" t="s">
        <v>773</v>
      </c>
      <c r="D1240" s="30" t="s">
        <v>684</v>
      </c>
      <c r="F1240" s="30" t="s">
        <v>773</v>
      </c>
      <c r="G1240" s="30" t="s">
        <v>773</v>
      </c>
      <c r="H1240" s="30" t="s">
        <v>773</v>
      </c>
      <c r="I1240" s="30" t="s">
        <v>773</v>
      </c>
      <c r="J1240" s="7" t="s">
        <v>1551</v>
      </c>
      <c r="K1240" s="7" t="s">
        <v>738</v>
      </c>
      <c r="L1240" s="30" t="s">
        <v>699</v>
      </c>
      <c r="M1240" s="32">
        <v>0.5</v>
      </c>
      <c r="N1240" s="7" t="s">
        <v>1831</v>
      </c>
      <c r="O1240" s="32" t="s">
        <v>746</v>
      </c>
      <c r="P1240" s="32" t="s">
        <v>683</v>
      </c>
      <c r="Q1240" s="32" t="s">
        <v>665</v>
      </c>
      <c r="R1240" s="7" t="s">
        <v>89</v>
      </c>
      <c r="S1240" s="30" t="s">
        <v>684</v>
      </c>
    </row>
    <row r="1048117" spans="10:10" x14ac:dyDescent="0.3">
      <c r="J1048117" s="7" t="s">
        <v>1551</v>
      </c>
    </row>
  </sheetData>
  <phoneticPr fontId="7" type="noConversion"/>
  <conditionalFormatting sqref="A119">
    <cfRule type="duplicateValues" dxfId="12" priority="9"/>
  </conditionalFormatting>
  <conditionalFormatting sqref="A245">
    <cfRule type="duplicateValues" dxfId="11" priority="8"/>
  </conditionalFormatting>
  <conditionalFormatting sqref="A249">
    <cfRule type="duplicateValues" dxfId="10" priority="7"/>
  </conditionalFormatting>
  <conditionalFormatting sqref="A255">
    <cfRule type="duplicateValues" dxfId="9" priority="6"/>
  </conditionalFormatting>
  <conditionalFormatting sqref="A413">
    <cfRule type="duplicateValues" dxfId="8" priority="5"/>
  </conditionalFormatting>
  <conditionalFormatting sqref="A414">
    <cfRule type="duplicateValues" dxfId="7" priority="4"/>
  </conditionalFormatting>
  <conditionalFormatting sqref="A703">
    <cfRule type="duplicateValues" dxfId="6" priority="3"/>
  </conditionalFormatting>
  <conditionalFormatting sqref="A704">
    <cfRule type="duplicateValues" dxfId="5" priority="2"/>
  </conditionalFormatting>
  <conditionalFormatting sqref="A2:S2">
    <cfRule type="expression" dxfId="4" priority="19">
      <formula>#REF!="NOT FOUND"</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AD308-CCD3-47A1-8C79-3F225FB5FE86}">
  <dimension ref="A1:A153"/>
  <sheetViews>
    <sheetView workbookViewId="0">
      <selection sqref="A1:A1048576"/>
    </sheetView>
  </sheetViews>
  <sheetFormatPr defaultRowHeight="14.4" x14ac:dyDescent="0.3"/>
  <cols>
    <col min="1" max="1" width="255.5546875" bestFit="1" customWidth="1"/>
  </cols>
  <sheetData>
    <row r="1" spans="1:1" x14ac:dyDescent="0.3">
      <c r="A1" s="24" t="s">
        <v>654</v>
      </c>
    </row>
    <row r="2" spans="1:1" x14ac:dyDescent="0.3">
      <c r="A2" s="27" t="s">
        <v>794</v>
      </c>
    </row>
    <row r="3" spans="1:1" x14ac:dyDescent="0.3">
      <c r="A3" s="27" t="s">
        <v>1677</v>
      </c>
    </row>
    <row r="4" spans="1:1" x14ac:dyDescent="0.3">
      <c r="A4" s="27" t="s">
        <v>1678</v>
      </c>
    </row>
    <row r="5" spans="1:1" x14ac:dyDescent="0.3">
      <c r="A5" s="27" t="s">
        <v>1679</v>
      </c>
    </row>
    <row r="6" spans="1:1" x14ac:dyDescent="0.3">
      <c r="A6" s="27" t="s">
        <v>1680</v>
      </c>
    </row>
    <row r="7" spans="1:1" x14ac:dyDescent="0.3">
      <c r="A7" s="27" t="s">
        <v>1215</v>
      </c>
    </row>
    <row r="8" spans="1:1" x14ac:dyDescent="0.3">
      <c r="A8" s="27" t="s">
        <v>1681</v>
      </c>
    </row>
    <row r="9" spans="1:1" x14ac:dyDescent="0.3">
      <c r="A9" s="27" t="s">
        <v>1682</v>
      </c>
    </row>
    <row r="10" spans="1:1" x14ac:dyDescent="0.3">
      <c r="A10" s="27" t="s">
        <v>1214</v>
      </c>
    </row>
    <row r="11" spans="1:1" x14ac:dyDescent="0.3">
      <c r="A11" s="27" t="s">
        <v>1683</v>
      </c>
    </row>
    <row r="12" spans="1:1" x14ac:dyDescent="0.3">
      <c r="A12" s="27" t="s">
        <v>847</v>
      </c>
    </row>
    <row r="13" spans="1:1" x14ac:dyDescent="0.3">
      <c r="A13" s="27" t="s">
        <v>1684</v>
      </c>
    </row>
    <row r="14" spans="1:1" x14ac:dyDescent="0.3">
      <c r="A14" s="27" t="s">
        <v>1685</v>
      </c>
    </row>
    <row r="15" spans="1:1" x14ac:dyDescent="0.3">
      <c r="A15" s="27" t="s">
        <v>1686</v>
      </c>
    </row>
    <row r="16" spans="1:1" x14ac:dyDescent="0.3">
      <c r="A16" s="27" t="s">
        <v>1687</v>
      </c>
    </row>
    <row r="17" spans="1:1" x14ac:dyDescent="0.3">
      <c r="A17" s="27" t="s">
        <v>963</v>
      </c>
    </row>
    <row r="18" spans="1:1" x14ac:dyDescent="0.3">
      <c r="A18" s="27" t="s">
        <v>1688</v>
      </c>
    </row>
    <row r="19" spans="1:1" x14ac:dyDescent="0.3">
      <c r="A19" s="27" t="s">
        <v>1689</v>
      </c>
    </row>
    <row r="20" spans="1:1" x14ac:dyDescent="0.3">
      <c r="A20" s="27" t="s">
        <v>1690</v>
      </c>
    </row>
    <row r="21" spans="1:1" x14ac:dyDescent="0.3">
      <c r="A21" s="27" t="s">
        <v>1691</v>
      </c>
    </row>
    <row r="22" spans="1:1" x14ac:dyDescent="0.3">
      <c r="A22" s="27" t="s">
        <v>1692</v>
      </c>
    </row>
    <row r="23" spans="1:1" x14ac:dyDescent="0.3">
      <c r="A23" s="27" t="s">
        <v>1693</v>
      </c>
    </row>
    <row r="24" spans="1:1" x14ac:dyDescent="0.3">
      <c r="A24" s="27" t="s">
        <v>1694</v>
      </c>
    </row>
    <row r="25" spans="1:1" x14ac:dyDescent="0.3">
      <c r="A25" s="27" t="s">
        <v>1695</v>
      </c>
    </row>
    <row r="26" spans="1:1" x14ac:dyDescent="0.3">
      <c r="A26" s="27" t="s">
        <v>1696</v>
      </c>
    </row>
    <row r="27" spans="1:1" x14ac:dyDescent="0.3">
      <c r="A27" s="27" t="s">
        <v>1697</v>
      </c>
    </row>
    <row r="28" spans="1:1" x14ac:dyDescent="0.3">
      <c r="A28" s="27" t="s">
        <v>1698</v>
      </c>
    </row>
    <row r="29" spans="1:1" x14ac:dyDescent="0.3">
      <c r="A29" s="27" t="s">
        <v>1699</v>
      </c>
    </row>
    <row r="30" spans="1:1" x14ac:dyDescent="0.3">
      <c r="A30" s="27" t="s">
        <v>961</v>
      </c>
    </row>
    <row r="31" spans="1:1" x14ac:dyDescent="0.3">
      <c r="A31" s="27" t="s">
        <v>821</v>
      </c>
    </row>
    <row r="32" spans="1:1" x14ac:dyDescent="0.3">
      <c r="A32" s="27" t="s">
        <v>1700</v>
      </c>
    </row>
    <row r="33" spans="1:1" x14ac:dyDescent="0.3">
      <c r="A33" s="27" t="s">
        <v>1701</v>
      </c>
    </row>
    <row r="34" spans="1:1" x14ac:dyDescent="0.3">
      <c r="A34" s="27" t="s">
        <v>1702</v>
      </c>
    </row>
    <row r="35" spans="1:1" x14ac:dyDescent="0.3">
      <c r="A35" s="27" t="s">
        <v>1703</v>
      </c>
    </row>
    <row r="36" spans="1:1" x14ac:dyDescent="0.3">
      <c r="A36" s="27" t="s">
        <v>1017</v>
      </c>
    </row>
    <row r="37" spans="1:1" x14ac:dyDescent="0.3">
      <c r="A37" s="27" t="s">
        <v>1704</v>
      </c>
    </row>
    <row r="38" spans="1:1" x14ac:dyDescent="0.3">
      <c r="A38" s="27" t="s">
        <v>956</v>
      </c>
    </row>
    <row r="39" spans="1:1" x14ac:dyDescent="0.3">
      <c r="A39" s="27" t="s">
        <v>1705</v>
      </c>
    </row>
    <row r="40" spans="1:1" x14ac:dyDescent="0.3">
      <c r="A40" s="27" t="s">
        <v>823</v>
      </c>
    </row>
    <row r="41" spans="1:1" x14ac:dyDescent="0.3">
      <c r="A41" s="27" t="s">
        <v>1706</v>
      </c>
    </row>
    <row r="42" spans="1:1" x14ac:dyDescent="0.3">
      <c r="A42" s="27" t="s">
        <v>1707</v>
      </c>
    </row>
    <row r="43" spans="1:1" x14ac:dyDescent="0.3">
      <c r="A43" s="27" t="s">
        <v>1708</v>
      </c>
    </row>
    <row r="44" spans="1:1" x14ac:dyDescent="0.3">
      <c r="A44" s="27" t="s">
        <v>1709</v>
      </c>
    </row>
    <row r="45" spans="1:1" x14ac:dyDescent="0.3">
      <c r="A45" s="27" t="s">
        <v>1710</v>
      </c>
    </row>
    <row r="46" spans="1:1" x14ac:dyDescent="0.3">
      <c r="A46" s="27" t="s">
        <v>1711</v>
      </c>
    </row>
    <row r="47" spans="1:1" x14ac:dyDescent="0.3">
      <c r="A47" s="27" t="s">
        <v>1712</v>
      </c>
    </row>
    <row r="48" spans="1:1" x14ac:dyDescent="0.3">
      <c r="A48" s="27" t="s">
        <v>1713</v>
      </c>
    </row>
    <row r="49" spans="1:1" x14ac:dyDescent="0.3">
      <c r="A49" s="27" t="s">
        <v>1714</v>
      </c>
    </row>
    <row r="50" spans="1:1" x14ac:dyDescent="0.3">
      <c r="A50" s="27" t="s">
        <v>1715</v>
      </c>
    </row>
    <row r="51" spans="1:1" x14ac:dyDescent="0.3">
      <c r="A51" s="27" t="s">
        <v>1716</v>
      </c>
    </row>
    <row r="52" spans="1:1" x14ac:dyDescent="0.3">
      <c r="A52" s="27" t="s">
        <v>1717</v>
      </c>
    </row>
    <row r="53" spans="1:1" x14ac:dyDescent="0.3">
      <c r="A53" s="27" t="s">
        <v>1718</v>
      </c>
    </row>
    <row r="54" spans="1:1" x14ac:dyDescent="0.3">
      <c r="A54" s="27" t="s">
        <v>1719</v>
      </c>
    </row>
    <row r="55" spans="1:1" x14ac:dyDescent="0.3">
      <c r="A55" s="27" t="s">
        <v>1720</v>
      </c>
    </row>
    <row r="56" spans="1:1" x14ac:dyDescent="0.3">
      <c r="A56" s="27" t="s">
        <v>1721</v>
      </c>
    </row>
    <row r="57" spans="1:1" x14ac:dyDescent="0.3">
      <c r="A57" s="27" t="s">
        <v>1722</v>
      </c>
    </row>
    <row r="58" spans="1:1" x14ac:dyDescent="0.3">
      <c r="A58" s="27" t="s">
        <v>1723</v>
      </c>
    </row>
    <row r="59" spans="1:1" x14ac:dyDescent="0.3">
      <c r="A59" s="27" t="s">
        <v>1724</v>
      </c>
    </row>
    <row r="60" spans="1:1" x14ac:dyDescent="0.3">
      <c r="A60" s="27" t="s">
        <v>1725</v>
      </c>
    </row>
    <row r="61" spans="1:1" x14ac:dyDescent="0.3">
      <c r="A61" s="27" t="s">
        <v>1726</v>
      </c>
    </row>
    <row r="62" spans="1:1" x14ac:dyDescent="0.3">
      <c r="A62" s="27" t="s">
        <v>1727</v>
      </c>
    </row>
    <row r="63" spans="1:1" x14ac:dyDescent="0.3">
      <c r="A63" s="27" t="s">
        <v>1728</v>
      </c>
    </row>
    <row r="64" spans="1:1" x14ac:dyDescent="0.3">
      <c r="A64" s="27" t="s">
        <v>1729</v>
      </c>
    </row>
    <row r="65" spans="1:1" x14ac:dyDescent="0.3">
      <c r="A65" s="27" t="s">
        <v>1730</v>
      </c>
    </row>
    <row r="66" spans="1:1" x14ac:dyDescent="0.3">
      <c r="A66" s="27" t="s">
        <v>825</v>
      </c>
    </row>
    <row r="67" spans="1:1" x14ac:dyDescent="0.3">
      <c r="A67" s="27" t="s">
        <v>1731</v>
      </c>
    </row>
    <row r="68" spans="1:1" x14ac:dyDescent="0.3">
      <c r="A68" s="27" t="s">
        <v>1732</v>
      </c>
    </row>
    <row r="69" spans="1:1" x14ac:dyDescent="0.3">
      <c r="A69" s="27" t="s">
        <v>1733</v>
      </c>
    </row>
    <row r="70" spans="1:1" x14ac:dyDescent="0.3">
      <c r="A70" s="27" t="s">
        <v>1734</v>
      </c>
    </row>
    <row r="71" spans="1:1" x14ac:dyDescent="0.3">
      <c r="A71" s="27" t="s">
        <v>1735</v>
      </c>
    </row>
    <row r="72" spans="1:1" x14ac:dyDescent="0.3">
      <c r="A72" s="27" t="s">
        <v>1736</v>
      </c>
    </row>
    <row r="73" spans="1:1" x14ac:dyDescent="0.3">
      <c r="A73" s="27" t="s">
        <v>1737</v>
      </c>
    </row>
    <row r="74" spans="1:1" x14ac:dyDescent="0.3">
      <c r="A74" s="27" t="s">
        <v>1738</v>
      </c>
    </row>
    <row r="75" spans="1:1" x14ac:dyDescent="0.3">
      <c r="A75" s="27" t="s">
        <v>1739</v>
      </c>
    </row>
    <row r="76" spans="1:1" x14ac:dyDescent="0.3">
      <c r="A76" s="27" t="s">
        <v>1740</v>
      </c>
    </row>
    <row r="77" spans="1:1" x14ac:dyDescent="0.3">
      <c r="A77" s="27" t="s">
        <v>965</v>
      </c>
    </row>
    <row r="78" spans="1:1" x14ac:dyDescent="0.3">
      <c r="A78" s="27" t="s">
        <v>1595</v>
      </c>
    </row>
    <row r="79" spans="1:1" x14ac:dyDescent="0.3">
      <c r="A79" s="27" t="s">
        <v>1741</v>
      </c>
    </row>
    <row r="80" spans="1:1" x14ac:dyDescent="0.3">
      <c r="A80" s="27" t="s">
        <v>1742</v>
      </c>
    </row>
    <row r="81" spans="1:1" x14ac:dyDescent="0.3">
      <c r="A81" s="27" t="s">
        <v>1743</v>
      </c>
    </row>
    <row r="82" spans="1:1" x14ac:dyDescent="0.3">
      <c r="A82" s="27" t="s">
        <v>1744</v>
      </c>
    </row>
    <row r="83" spans="1:1" x14ac:dyDescent="0.3">
      <c r="A83" s="27" t="s">
        <v>1745</v>
      </c>
    </row>
    <row r="84" spans="1:1" x14ac:dyDescent="0.3">
      <c r="A84" s="27" t="s">
        <v>1746</v>
      </c>
    </row>
    <row r="85" spans="1:1" x14ac:dyDescent="0.3">
      <c r="A85" s="27" t="s">
        <v>1747</v>
      </c>
    </row>
    <row r="86" spans="1:1" x14ac:dyDescent="0.3">
      <c r="A86" s="27" t="s">
        <v>1748</v>
      </c>
    </row>
    <row r="87" spans="1:1" x14ac:dyDescent="0.3">
      <c r="A87" s="27" t="s">
        <v>1749</v>
      </c>
    </row>
    <row r="88" spans="1:1" x14ac:dyDescent="0.3">
      <c r="A88" s="27" t="s">
        <v>1750</v>
      </c>
    </row>
    <row r="89" spans="1:1" x14ac:dyDescent="0.3">
      <c r="A89" s="27" t="s">
        <v>1751</v>
      </c>
    </row>
    <row r="90" spans="1:1" x14ac:dyDescent="0.3">
      <c r="A90" s="27" t="s">
        <v>1752</v>
      </c>
    </row>
    <row r="91" spans="1:1" x14ac:dyDescent="0.3">
      <c r="A91" s="27" t="s">
        <v>1753</v>
      </c>
    </row>
    <row r="92" spans="1:1" x14ac:dyDescent="0.3">
      <c r="A92" s="27" t="s">
        <v>1754</v>
      </c>
    </row>
    <row r="93" spans="1:1" x14ac:dyDescent="0.3">
      <c r="A93" s="27" t="s">
        <v>1755</v>
      </c>
    </row>
    <row r="94" spans="1:1" x14ac:dyDescent="0.3">
      <c r="A94" s="27" t="s">
        <v>1756</v>
      </c>
    </row>
    <row r="95" spans="1:1" x14ac:dyDescent="0.3">
      <c r="A95" s="27" t="s">
        <v>1757</v>
      </c>
    </row>
    <row r="96" spans="1:1" x14ac:dyDescent="0.3">
      <c r="A96" s="27" t="s">
        <v>1758</v>
      </c>
    </row>
    <row r="97" spans="1:1" x14ac:dyDescent="0.3">
      <c r="A97" s="27" t="s">
        <v>1759</v>
      </c>
    </row>
    <row r="98" spans="1:1" x14ac:dyDescent="0.3">
      <c r="A98" s="27" t="s">
        <v>1760</v>
      </c>
    </row>
    <row r="99" spans="1:1" x14ac:dyDescent="0.3">
      <c r="A99" s="27" t="s">
        <v>1761</v>
      </c>
    </row>
    <row r="100" spans="1:1" x14ac:dyDescent="0.3">
      <c r="A100" s="27" t="s">
        <v>1762</v>
      </c>
    </row>
    <row r="101" spans="1:1" x14ac:dyDescent="0.3">
      <c r="A101" s="27" t="s">
        <v>1763</v>
      </c>
    </row>
    <row r="102" spans="1:1" x14ac:dyDescent="0.3">
      <c r="A102" s="27" t="s">
        <v>1764</v>
      </c>
    </row>
    <row r="103" spans="1:1" x14ac:dyDescent="0.3">
      <c r="A103" s="27" t="s">
        <v>1765</v>
      </c>
    </row>
    <row r="104" spans="1:1" x14ac:dyDescent="0.3">
      <c r="A104" s="27" t="s">
        <v>1766</v>
      </c>
    </row>
    <row r="105" spans="1:1" x14ac:dyDescent="0.3">
      <c r="A105" s="27" t="s">
        <v>1767</v>
      </c>
    </row>
    <row r="106" spans="1:1" x14ac:dyDescent="0.3">
      <c r="A106" s="27" t="s">
        <v>1768</v>
      </c>
    </row>
    <row r="107" spans="1:1" x14ac:dyDescent="0.3">
      <c r="A107" s="27" t="s">
        <v>1769</v>
      </c>
    </row>
    <row r="108" spans="1:1" x14ac:dyDescent="0.3">
      <c r="A108" s="27" t="s">
        <v>1770</v>
      </c>
    </row>
    <row r="109" spans="1:1" x14ac:dyDescent="0.3">
      <c r="A109" s="27" t="s">
        <v>1771</v>
      </c>
    </row>
    <row r="110" spans="1:1" x14ac:dyDescent="0.3">
      <c r="A110" s="27" t="s">
        <v>1772</v>
      </c>
    </row>
    <row r="111" spans="1:1" x14ac:dyDescent="0.3">
      <c r="A111" s="27" t="s">
        <v>1773</v>
      </c>
    </row>
    <row r="112" spans="1:1" x14ac:dyDescent="0.3">
      <c r="A112" s="27" t="s">
        <v>1774</v>
      </c>
    </row>
    <row r="113" spans="1:1" x14ac:dyDescent="0.3">
      <c r="A113" s="27" t="s">
        <v>1775</v>
      </c>
    </row>
    <row r="114" spans="1:1" x14ac:dyDescent="0.3">
      <c r="A114" s="27" t="s">
        <v>1776</v>
      </c>
    </row>
    <row r="115" spans="1:1" x14ac:dyDescent="0.3">
      <c r="A115" s="27" t="s">
        <v>1777</v>
      </c>
    </row>
    <row r="116" spans="1:1" x14ac:dyDescent="0.3">
      <c r="A116" s="27" t="s">
        <v>1778</v>
      </c>
    </row>
    <row r="117" spans="1:1" x14ac:dyDescent="0.3">
      <c r="A117" s="27" t="s">
        <v>1779</v>
      </c>
    </row>
    <row r="118" spans="1:1" x14ac:dyDescent="0.3">
      <c r="A118" s="27" t="s">
        <v>1780</v>
      </c>
    </row>
    <row r="119" spans="1:1" x14ac:dyDescent="0.3">
      <c r="A119" s="27" t="s">
        <v>1781</v>
      </c>
    </row>
    <row r="120" spans="1:1" x14ac:dyDescent="0.3">
      <c r="A120" s="27" t="s">
        <v>1782</v>
      </c>
    </row>
    <row r="121" spans="1:1" x14ac:dyDescent="0.3">
      <c r="A121" s="27" t="s">
        <v>1783</v>
      </c>
    </row>
    <row r="122" spans="1:1" x14ac:dyDescent="0.3">
      <c r="A122" s="27" t="s">
        <v>1784</v>
      </c>
    </row>
    <row r="123" spans="1:1" x14ac:dyDescent="0.3">
      <c r="A123" s="27" t="s">
        <v>1785</v>
      </c>
    </row>
    <row r="124" spans="1:1" x14ac:dyDescent="0.3">
      <c r="A124" s="27" t="s">
        <v>1786</v>
      </c>
    </row>
    <row r="125" spans="1:1" x14ac:dyDescent="0.3">
      <c r="A125" s="27" t="s">
        <v>1787</v>
      </c>
    </row>
    <row r="126" spans="1:1" x14ac:dyDescent="0.3">
      <c r="A126" s="27" t="s">
        <v>1788</v>
      </c>
    </row>
    <row r="127" spans="1:1" x14ac:dyDescent="0.3">
      <c r="A127" s="27" t="s">
        <v>1789</v>
      </c>
    </row>
    <row r="128" spans="1:1" x14ac:dyDescent="0.3">
      <c r="A128" s="27" t="s">
        <v>1790</v>
      </c>
    </row>
    <row r="129" spans="1:1" x14ac:dyDescent="0.3">
      <c r="A129" s="27" t="s">
        <v>1791</v>
      </c>
    </row>
    <row r="130" spans="1:1" x14ac:dyDescent="0.3">
      <c r="A130" s="26" t="s">
        <v>1792</v>
      </c>
    </row>
    <row r="131" spans="1:1" x14ac:dyDescent="0.3">
      <c r="A131" s="26" t="s">
        <v>1793</v>
      </c>
    </row>
    <row r="132" spans="1:1" x14ac:dyDescent="0.3">
      <c r="A132" s="26" t="s">
        <v>1794</v>
      </c>
    </row>
    <row r="133" spans="1:1" x14ac:dyDescent="0.3">
      <c r="A133" s="26" t="s">
        <v>1795</v>
      </c>
    </row>
    <row r="134" spans="1:1" x14ac:dyDescent="0.3">
      <c r="A134" s="26" t="s">
        <v>1796</v>
      </c>
    </row>
    <row r="135" spans="1:1" x14ac:dyDescent="0.3">
      <c r="A135" s="26" t="s">
        <v>1797</v>
      </c>
    </row>
    <row r="136" spans="1:1" x14ac:dyDescent="0.3">
      <c r="A136" s="26" t="s">
        <v>1798</v>
      </c>
    </row>
    <row r="137" spans="1:1" x14ac:dyDescent="0.3">
      <c r="A137" s="26" t="s">
        <v>1799</v>
      </c>
    </row>
    <row r="138" spans="1:1" x14ac:dyDescent="0.3">
      <c r="A138" s="26" t="s">
        <v>1800</v>
      </c>
    </row>
    <row r="139" spans="1:1" x14ac:dyDescent="0.3">
      <c r="A139" s="26" t="s">
        <v>1801</v>
      </c>
    </row>
    <row r="140" spans="1:1" x14ac:dyDescent="0.3">
      <c r="A140" s="26" t="s">
        <v>1802</v>
      </c>
    </row>
    <row r="141" spans="1:1" x14ac:dyDescent="0.3">
      <c r="A141" s="26" t="s">
        <v>1803</v>
      </c>
    </row>
    <row r="142" spans="1:1" x14ac:dyDescent="0.3">
      <c r="A142" s="26" t="s">
        <v>1804</v>
      </c>
    </row>
    <row r="143" spans="1:1" x14ac:dyDescent="0.3">
      <c r="A143" s="26" t="s">
        <v>1805</v>
      </c>
    </row>
    <row r="144" spans="1:1" x14ac:dyDescent="0.3">
      <c r="A144" s="26" t="s">
        <v>1806</v>
      </c>
    </row>
    <row r="145" spans="1:1" x14ac:dyDescent="0.3">
      <c r="A145" s="26" t="s">
        <v>1807</v>
      </c>
    </row>
    <row r="146" spans="1:1" x14ac:dyDescent="0.3">
      <c r="A146" s="26" t="s">
        <v>1808</v>
      </c>
    </row>
    <row r="147" spans="1:1" x14ac:dyDescent="0.3">
      <c r="A147" s="26" t="s">
        <v>1809</v>
      </c>
    </row>
    <row r="148" spans="1:1" x14ac:dyDescent="0.3">
      <c r="A148" s="26" t="s">
        <v>1810</v>
      </c>
    </row>
    <row r="149" spans="1:1" x14ac:dyDescent="0.3">
      <c r="A149" s="26" t="s">
        <v>1811</v>
      </c>
    </row>
    <row r="150" spans="1:1" x14ac:dyDescent="0.3">
      <c r="A150" s="26" t="s">
        <v>1812</v>
      </c>
    </row>
    <row r="151" spans="1:1" x14ac:dyDescent="0.3">
      <c r="A151" s="26" t="s">
        <v>1813</v>
      </c>
    </row>
    <row r="152" spans="1:1" x14ac:dyDescent="0.3">
      <c r="A152" s="26" t="s">
        <v>1814</v>
      </c>
    </row>
    <row r="153" spans="1:1" x14ac:dyDescent="0.3">
      <c r="A153" s="26"/>
    </row>
  </sheetData>
  <autoFilter ref="A1:A270" xr:uid="{C67AD308-CCD3-47A1-8C79-3F225FB5FE86}"/>
  <conditionalFormatting sqref="A1">
    <cfRule type="expression" dxfId="3" priority="1">
      <formula>#REF!="NOT FOUND"</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783A6-79B0-44BB-B53F-B95473A4B344}">
  <dimension ref="A1:V1265"/>
  <sheetViews>
    <sheetView tabSelected="1" topLeftCell="I1" zoomScale="90" zoomScaleNormal="90" workbookViewId="0">
      <pane ySplit="1" topLeftCell="A122" activePane="bottomLeft" state="frozen"/>
      <selection activeCell="D15" sqref="D15"/>
      <selection pane="bottomLeft" activeCell="N134" sqref="N134"/>
    </sheetView>
  </sheetViews>
  <sheetFormatPr defaultRowHeight="14.4" x14ac:dyDescent="0.3"/>
  <cols>
    <col min="1" max="1" width="23.44140625" customWidth="1"/>
    <col min="2" max="2" width="19.44140625" customWidth="1"/>
    <col min="3" max="3" width="46" customWidth="1"/>
    <col min="4" max="4" width="12.88671875" bestFit="1" customWidth="1"/>
    <col min="5" max="5" width="14.44140625" customWidth="1"/>
    <col min="6" max="6" width="15.5546875" customWidth="1"/>
    <col min="7" max="8" width="15.33203125" customWidth="1"/>
    <col min="9" max="9" width="28.88671875" bestFit="1" customWidth="1"/>
    <col min="10" max="10" width="14.44140625" customWidth="1"/>
    <col min="11" max="11" width="16.33203125" customWidth="1"/>
    <col min="12" max="12" width="15.44140625" customWidth="1"/>
    <col min="13" max="13" width="19.6640625" customWidth="1"/>
    <col min="14" max="14" width="31.44140625" bestFit="1" customWidth="1"/>
    <col min="15" max="15" width="19.6640625" style="28" bestFit="1" customWidth="1"/>
    <col min="16" max="16" width="18.6640625" style="28" customWidth="1"/>
    <col min="17" max="17" width="13.5546875" style="28" customWidth="1"/>
    <col min="18" max="18" width="25.109375" customWidth="1"/>
    <col min="19" max="19" width="13.33203125" customWidth="1"/>
    <col min="20" max="20" width="16.33203125" customWidth="1"/>
    <col min="21" max="21" width="17" customWidth="1"/>
    <col min="22" max="22" width="16.44140625" customWidth="1"/>
  </cols>
  <sheetData>
    <row r="1" spans="1:22" x14ac:dyDescent="0.3">
      <c r="A1" s="3" t="s">
        <v>652</v>
      </c>
      <c r="B1" s="1" t="s">
        <v>653</v>
      </c>
      <c r="C1" s="1" t="s">
        <v>654</v>
      </c>
      <c r="D1" s="1" t="s">
        <v>655</v>
      </c>
      <c r="E1" s="1" t="s">
        <v>656</v>
      </c>
      <c r="F1" s="1" t="s">
        <v>657</v>
      </c>
      <c r="G1" s="1" t="s">
        <v>658</v>
      </c>
      <c r="H1" s="1" t="s">
        <v>659</v>
      </c>
      <c r="I1" s="1" t="s">
        <v>660</v>
      </c>
      <c r="J1" s="1" t="s">
        <v>661</v>
      </c>
      <c r="K1" s="1" t="s">
        <v>662</v>
      </c>
      <c r="L1" s="1" t="s">
        <v>663</v>
      </c>
      <c r="M1" s="1" t="s">
        <v>664</v>
      </c>
      <c r="N1" s="1" t="s">
        <v>665</v>
      </c>
      <c r="O1" s="1" t="s">
        <v>668</v>
      </c>
      <c r="P1" s="1" t="s">
        <v>666</v>
      </c>
      <c r="Q1" s="1" t="s">
        <v>667</v>
      </c>
      <c r="R1" s="1" t="s">
        <v>669</v>
      </c>
      <c r="S1" s="1" t="s">
        <v>670</v>
      </c>
      <c r="T1" s="1" t="s">
        <v>1815</v>
      </c>
      <c r="U1" s="1" t="s">
        <v>1816</v>
      </c>
      <c r="V1" s="1" t="s">
        <v>1817</v>
      </c>
    </row>
    <row r="2" spans="1:22" x14ac:dyDescent="0.3">
      <c r="A2" s="48" t="s">
        <v>671</v>
      </c>
      <c r="B2" s="49" t="s">
        <v>178</v>
      </c>
      <c r="C2" s="49" t="s">
        <v>672</v>
      </c>
      <c r="D2" s="49" t="s">
        <v>673</v>
      </c>
      <c r="E2" s="49" t="s">
        <v>674</v>
      </c>
      <c r="F2" s="49" t="s">
        <v>675</v>
      </c>
      <c r="G2" s="49" t="s">
        <v>676</v>
      </c>
      <c r="H2" s="49" t="s">
        <v>677</v>
      </c>
      <c r="I2" s="49" t="s">
        <v>678</v>
      </c>
      <c r="J2" s="49" t="s">
        <v>679</v>
      </c>
      <c r="K2" s="49" t="s">
        <v>680</v>
      </c>
      <c r="L2" s="49" t="s">
        <v>681</v>
      </c>
      <c r="M2" s="49">
        <v>0.8</v>
      </c>
      <c r="N2" s="49" t="s">
        <v>206</v>
      </c>
      <c r="O2" s="49" t="s">
        <v>665</v>
      </c>
      <c r="P2" s="49" t="s">
        <v>682</v>
      </c>
      <c r="Q2" s="49" t="s">
        <v>683</v>
      </c>
      <c r="R2" s="49" t="s">
        <v>217</v>
      </c>
      <c r="S2" s="49" t="s">
        <v>684</v>
      </c>
      <c r="T2" s="49" t="s">
        <v>1821</v>
      </c>
      <c r="U2" s="49" t="s">
        <v>1824</v>
      </c>
      <c r="V2" s="50" t="s">
        <v>1823</v>
      </c>
    </row>
    <row r="3" spans="1:22" x14ac:dyDescent="0.3">
      <c r="A3" s="51" t="s">
        <v>692</v>
      </c>
      <c r="B3" s="52" t="s">
        <v>178</v>
      </c>
      <c r="C3" s="52" t="s">
        <v>693</v>
      </c>
      <c r="D3" s="52" t="s">
        <v>673</v>
      </c>
      <c r="E3" s="52" t="s">
        <v>674</v>
      </c>
      <c r="F3" s="52" t="s">
        <v>675</v>
      </c>
      <c r="G3" s="52" t="s">
        <v>676</v>
      </c>
      <c r="H3" s="52" t="s">
        <v>677</v>
      </c>
      <c r="I3" s="49" t="s">
        <v>678</v>
      </c>
      <c r="J3" s="52" t="s">
        <v>679</v>
      </c>
      <c r="K3" s="52" t="s">
        <v>680</v>
      </c>
      <c r="L3" s="52" t="s">
        <v>681</v>
      </c>
      <c r="M3" s="52">
        <v>0.3</v>
      </c>
      <c r="N3" s="52" t="s">
        <v>176</v>
      </c>
      <c r="O3" s="52" t="s">
        <v>665</v>
      </c>
      <c r="P3" s="52" t="s">
        <v>682</v>
      </c>
      <c r="Q3" s="52" t="s">
        <v>683</v>
      </c>
      <c r="R3" s="52" t="s">
        <v>217</v>
      </c>
      <c r="S3" s="49" t="s">
        <v>684</v>
      </c>
      <c r="T3" s="52" t="s">
        <v>1821</v>
      </c>
      <c r="U3" s="52" t="s">
        <v>1824</v>
      </c>
      <c r="V3" s="50" t="s">
        <v>1823</v>
      </c>
    </row>
    <row r="4" spans="1:22" x14ac:dyDescent="0.3">
      <c r="A4" s="48" t="s">
        <v>694</v>
      </c>
      <c r="B4" s="49" t="s">
        <v>695</v>
      </c>
      <c r="C4" s="49" t="s">
        <v>696</v>
      </c>
      <c r="D4" s="49" t="s">
        <v>673</v>
      </c>
      <c r="E4" s="49" t="s">
        <v>674</v>
      </c>
      <c r="F4" s="49" t="s">
        <v>675</v>
      </c>
      <c r="G4" s="49" t="s">
        <v>676</v>
      </c>
      <c r="H4" s="49" t="s">
        <v>677</v>
      </c>
      <c r="I4" s="49" t="s">
        <v>697</v>
      </c>
      <c r="J4" s="49" t="s">
        <v>698</v>
      </c>
      <c r="K4" s="49" t="s">
        <v>690</v>
      </c>
      <c r="L4" s="49" t="s">
        <v>699</v>
      </c>
      <c r="M4" s="49">
        <v>0.8</v>
      </c>
      <c r="N4" s="49" t="s">
        <v>177</v>
      </c>
      <c r="O4" s="49" t="s">
        <v>665</v>
      </c>
      <c r="P4" s="49" t="s">
        <v>682</v>
      </c>
      <c r="Q4" s="49" t="s">
        <v>683</v>
      </c>
      <c r="R4" s="49" t="s">
        <v>217</v>
      </c>
      <c r="S4" s="49" t="s">
        <v>684</v>
      </c>
      <c r="T4" s="49" t="s">
        <v>1821</v>
      </c>
      <c r="U4" s="49" t="s">
        <v>1824</v>
      </c>
      <c r="V4" s="50" t="s">
        <v>1823</v>
      </c>
    </row>
    <row r="5" spans="1:22" x14ac:dyDescent="0.3">
      <c r="A5" s="51" t="s">
        <v>700</v>
      </c>
      <c r="B5" s="52" t="s">
        <v>142</v>
      </c>
      <c r="C5" s="52" t="s">
        <v>701</v>
      </c>
      <c r="D5" s="52" t="s">
        <v>673</v>
      </c>
      <c r="E5" s="52" t="s">
        <v>674</v>
      </c>
      <c r="F5" s="52" t="s">
        <v>675</v>
      </c>
      <c r="G5" s="52" t="s">
        <v>676</v>
      </c>
      <c r="H5" s="52" t="s">
        <v>702</v>
      </c>
      <c r="I5" s="49" t="s">
        <v>678</v>
      </c>
      <c r="J5" s="52" t="s">
        <v>698</v>
      </c>
      <c r="K5" s="52" t="s">
        <v>690</v>
      </c>
      <c r="L5" s="52" t="s">
        <v>699</v>
      </c>
      <c r="M5" s="52">
        <v>0.1</v>
      </c>
      <c r="N5" s="52" t="s">
        <v>177</v>
      </c>
      <c r="O5" s="52" t="s">
        <v>665</v>
      </c>
      <c r="P5" s="52" t="s">
        <v>682</v>
      </c>
      <c r="Q5" s="52" t="s">
        <v>683</v>
      </c>
      <c r="R5" s="52" t="s">
        <v>217</v>
      </c>
      <c r="S5" s="49" t="s">
        <v>684</v>
      </c>
      <c r="T5" s="52" t="s">
        <v>1821</v>
      </c>
      <c r="U5" s="52" t="s">
        <v>1824</v>
      </c>
      <c r="V5" s="50" t="s">
        <v>1823</v>
      </c>
    </row>
    <row r="6" spans="1:22" x14ac:dyDescent="0.3">
      <c r="A6" s="48" t="s">
        <v>703</v>
      </c>
      <c r="B6" s="49" t="s">
        <v>704</v>
      </c>
      <c r="C6" s="49" t="s">
        <v>705</v>
      </c>
      <c r="D6" s="49" t="s">
        <v>673</v>
      </c>
      <c r="E6" s="49" t="s">
        <v>674</v>
      </c>
      <c r="F6" s="49" t="s">
        <v>675</v>
      </c>
      <c r="G6" s="49" t="s">
        <v>676</v>
      </c>
      <c r="H6" s="49" t="s">
        <v>677</v>
      </c>
      <c r="I6" s="49" t="s">
        <v>678</v>
      </c>
      <c r="J6" s="49" t="s">
        <v>679</v>
      </c>
      <c r="K6" s="49" t="s">
        <v>680</v>
      </c>
      <c r="L6" s="49" t="s">
        <v>681</v>
      </c>
      <c r="M6" s="49">
        <v>0.3</v>
      </c>
      <c r="N6" s="49" t="s">
        <v>249</v>
      </c>
      <c r="O6" s="49" t="s">
        <v>665</v>
      </c>
      <c r="P6" s="49" t="s">
        <v>682</v>
      </c>
      <c r="Q6" s="49" t="s">
        <v>683</v>
      </c>
      <c r="R6" s="49" t="s">
        <v>217</v>
      </c>
      <c r="S6" s="49" t="s">
        <v>684</v>
      </c>
      <c r="T6" s="49" t="s">
        <v>1821</v>
      </c>
      <c r="U6" s="49" t="s">
        <v>1824</v>
      </c>
      <c r="V6" s="50" t="s">
        <v>1823</v>
      </c>
    </row>
    <row r="7" spans="1:22" x14ac:dyDescent="0.3">
      <c r="A7" s="51" t="s">
        <v>2276</v>
      </c>
      <c r="B7" s="52" t="s">
        <v>544</v>
      </c>
      <c r="C7" s="52" t="s">
        <v>2277</v>
      </c>
      <c r="D7" s="52" t="s">
        <v>684</v>
      </c>
      <c r="E7" s="52" t="s">
        <v>674</v>
      </c>
      <c r="F7" s="52" t="s">
        <v>716</v>
      </c>
      <c r="G7" s="52" t="s">
        <v>744</v>
      </c>
      <c r="H7" s="52" t="s">
        <v>702</v>
      </c>
      <c r="I7" s="52" t="s">
        <v>736</v>
      </c>
      <c r="J7" s="52" t="s">
        <v>737</v>
      </c>
      <c r="K7" s="52" t="s">
        <v>738</v>
      </c>
      <c r="L7" s="52" t="s">
        <v>699</v>
      </c>
      <c r="M7" s="52">
        <v>0.1</v>
      </c>
      <c r="N7" s="52" t="s">
        <v>41</v>
      </c>
      <c r="O7" s="52" t="s">
        <v>665</v>
      </c>
      <c r="P7" s="52" t="s">
        <v>682</v>
      </c>
      <c r="Q7" s="52" t="s">
        <v>683</v>
      </c>
      <c r="R7" s="52" t="s">
        <v>217</v>
      </c>
      <c r="S7" s="49" t="s">
        <v>684</v>
      </c>
      <c r="T7" s="52" t="s">
        <v>1821</v>
      </c>
      <c r="U7" s="52" t="s">
        <v>1824</v>
      </c>
      <c r="V7" s="50" t="s">
        <v>1823</v>
      </c>
    </row>
    <row r="8" spans="1:22" x14ac:dyDescent="0.3">
      <c r="A8" s="48" t="s">
        <v>2278</v>
      </c>
      <c r="B8" s="49" t="s">
        <v>544</v>
      </c>
      <c r="C8" s="49" t="s">
        <v>2279</v>
      </c>
      <c r="D8" s="49" t="s">
        <v>684</v>
      </c>
      <c r="E8" s="49" t="s">
        <v>674</v>
      </c>
      <c r="F8" s="49" t="s">
        <v>716</v>
      </c>
      <c r="G8" s="49" t="s">
        <v>744</v>
      </c>
      <c r="H8" s="49" t="s">
        <v>702</v>
      </c>
      <c r="I8" s="49" t="s">
        <v>736</v>
      </c>
      <c r="J8" s="49" t="s">
        <v>737</v>
      </c>
      <c r="K8" s="49" t="s">
        <v>738</v>
      </c>
      <c r="L8" s="49" t="s">
        <v>699</v>
      </c>
      <c r="M8" s="49">
        <v>0.1</v>
      </c>
      <c r="N8" s="49" t="s">
        <v>41</v>
      </c>
      <c r="O8" s="49" t="s">
        <v>665</v>
      </c>
      <c r="P8" s="49" t="s">
        <v>682</v>
      </c>
      <c r="Q8" s="49" t="s">
        <v>683</v>
      </c>
      <c r="R8" s="49" t="s">
        <v>217</v>
      </c>
      <c r="S8" s="49" t="s">
        <v>684</v>
      </c>
      <c r="T8" s="49" t="s">
        <v>1821</v>
      </c>
      <c r="U8" s="49" t="s">
        <v>1824</v>
      </c>
      <c r="V8" s="50" t="s">
        <v>1823</v>
      </c>
    </row>
    <row r="9" spans="1:22" x14ac:dyDescent="0.3">
      <c r="A9" s="51" t="s">
        <v>685</v>
      </c>
      <c r="B9" s="52" t="s">
        <v>686</v>
      </c>
      <c r="C9" s="52" t="s">
        <v>687</v>
      </c>
      <c r="D9" s="52" t="s">
        <v>673</v>
      </c>
      <c r="E9" s="52" t="s">
        <v>674</v>
      </c>
      <c r="F9" s="52" t="s">
        <v>675</v>
      </c>
      <c r="G9" s="52" t="s">
        <v>676</v>
      </c>
      <c r="H9" s="52" t="s">
        <v>677</v>
      </c>
      <c r="I9" s="52" t="s">
        <v>688</v>
      </c>
      <c r="J9" s="52" t="s">
        <v>689</v>
      </c>
      <c r="K9" s="52" t="s">
        <v>690</v>
      </c>
      <c r="L9" s="52" t="s">
        <v>691</v>
      </c>
      <c r="M9" s="52">
        <v>0.3</v>
      </c>
      <c r="N9" s="52" t="s">
        <v>197</v>
      </c>
      <c r="O9" s="52" t="s">
        <v>665</v>
      </c>
      <c r="P9" s="52" t="s">
        <v>682</v>
      </c>
      <c r="Q9" s="52" t="s">
        <v>683</v>
      </c>
      <c r="R9" s="52" t="s">
        <v>217</v>
      </c>
      <c r="S9" s="49" t="s">
        <v>684</v>
      </c>
      <c r="T9" s="52" t="s">
        <v>1821</v>
      </c>
      <c r="U9" s="52" t="s">
        <v>1824</v>
      </c>
      <c r="V9" s="50" t="s">
        <v>1823</v>
      </c>
    </row>
    <row r="10" spans="1:22" x14ac:dyDescent="0.3">
      <c r="A10" s="48" t="s">
        <v>725</v>
      </c>
      <c r="B10" s="49" t="s">
        <v>142</v>
      </c>
      <c r="C10" s="49" t="s">
        <v>726</v>
      </c>
      <c r="D10" s="49" t="s">
        <v>673</v>
      </c>
      <c r="E10" s="49" t="s">
        <v>674</v>
      </c>
      <c r="F10" s="49" t="s">
        <v>675</v>
      </c>
      <c r="G10" s="49" t="s">
        <v>676</v>
      </c>
      <c r="H10" s="49" t="s">
        <v>702</v>
      </c>
      <c r="I10" s="49" t="s">
        <v>678</v>
      </c>
      <c r="J10" s="49" t="s">
        <v>698</v>
      </c>
      <c r="K10" s="49" t="s">
        <v>690</v>
      </c>
      <c r="L10" s="49" t="s">
        <v>699</v>
      </c>
      <c r="M10" s="49">
        <v>0.2</v>
      </c>
      <c r="N10" s="49" t="s">
        <v>197</v>
      </c>
      <c r="O10" s="49" t="s">
        <v>665</v>
      </c>
      <c r="P10" s="49" t="s">
        <v>682</v>
      </c>
      <c r="Q10" s="49" t="s">
        <v>683</v>
      </c>
      <c r="R10" s="49" t="s">
        <v>217</v>
      </c>
      <c r="S10" s="49" t="s">
        <v>684</v>
      </c>
      <c r="T10" s="49" t="s">
        <v>1821</v>
      </c>
      <c r="U10" s="49" t="s">
        <v>1824</v>
      </c>
      <c r="V10" s="50" t="s">
        <v>1823</v>
      </c>
    </row>
    <row r="11" spans="1:22" x14ac:dyDescent="0.3">
      <c r="A11" s="51" t="s">
        <v>727</v>
      </c>
      <c r="B11" s="52" t="s">
        <v>704</v>
      </c>
      <c r="C11" s="52" t="s">
        <v>728</v>
      </c>
      <c r="D11" s="52" t="s">
        <v>673</v>
      </c>
      <c r="E11" s="52" t="s">
        <v>674</v>
      </c>
      <c r="F11" s="52" t="s">
        <v>675</v>
      </c>
      <c r="G11" s="52" t="s">
        <v>676</v>
      </c>
      <c r="H11" s="52" t="s">
        <v>677</v>
      </c>
      <c r="I11" s="49" t="s">
        <v>678</v>
      </c>
      <c r="J11" s="52" t="s">
        <v>679</v>
      </c>
      <c r="K11" s="52" t="s">
        <v>680</v>
      </c>
      <c r="L11" s="52" t="s">
        <v>681</v>
      </c>
      <c r="M11" s="52">
        <v>0.3</v>
      </c>
      <c r="N11" s="52" t="s">
        <v>248</v>
      </c>
      <c r="O11" s="52" t="s">
        <v>665</v>
      </c>
      <c r="P11" s="52" t="s">
        <v>682</v>
      </c>
      <c r="Q11" s="52" t="s">
        <v>683</v>
      </c>
      <c r="R11" s="52" t="s">
        <v>217</v>
      </c>
      <c r="S11" s="49" t="s">
        <v>684</v>
      </c>
      <c r="T11" s="52" t="s">
        <v>1821</v>
      </c>
      <c r="U11" s="52" t="s">
        <v>1824</v>
      </c>
      <c r="V11" s="50" t="s">
        <v>1823</v>
      </c>
    </row>
    <row r="12" spans="1:22" x14ac:dyDescent="0.3">
      <c r="A12" s="48" t="s">
        <v>727</v>
      </c>
      <c r="B12" s="49" t="s">
        <v>704</v>
      </c>
      <c r="C12" s="49" t="s">
        <v>728</v>
      </c>
      <c r="D12" s="49" t="s">
        <v>673</v>
      </c>
      <c r="E12" s="49" t="s">
        <v>674</v>
      </c>
      <c r="F12" s="49" t="s">
        <v>675</v>
      </c>
      <c r="G12" s="49" t="s">
        <v>676</v>
      </c>
      <c r="H12" s="49" t="s">
        <v>677</v>
      </c>
      <c r="I12" s="49" t="s">
        <v>678</v>
      </c>
      <c r="J12" s="49" t="s">
        <v>679</v>
      </c>
      <c r="K12" s="49" t="s">
        <v>680</v>
      </c>
      <c r="L12" s="49" t="s">
        <v>681</v>
      </c>
      <c r="M12" s="49">
        <v>1</v>
      </c>
      <c r="N12" s="49" t="s">
        <v>626</v>
      </c>
      <c r="O12" s="49" t="s">
        <v>665</v>
      </c>
      <c r="P12" s="49" t="s">
        <v>682</v>
      </c>
      <c r="Q12" s="49" t="s">
        <v>683</v>
      </c>
      <c r="R12" s="49" t="s">
        <v>447</v>
      </c>
      <c r="S12" s="52" t="s">
        <v>673</v>
      </c>
      <c r="T12" s="49" t="s">
        <v>1821</v>
      </c>
      <c r="U12" s="49" t="s">
        <v>1824</v>
      </c>
      <c r="V12" s="50" t="s">
        <v>1823</v>
      </c>
    </row>
    <row r="13" spans="1:22" x14ac:dyDescent="0.3">
      <c r="A13" s="51" t="s">
        <v>729</v>
      </c>
      <c r="B13" s="52" t="s">
        <v>704</v>
      </c>
      <c r="C13" s="52" t="s">
        <v>730</v>
      </c>
      <c r="D13" s="52" t="s">
        <v>673</v>
      </c>
      <c r="E13" s="52" t="s">
        <v>674</v>
      </c>
      <c r="F13" s="52" t="s">
        <v>675</v>
      </c>
      <c r="G13" s="52" t="s">
        <v>731</v>
      </c>
      <c r="H13" s="52" t="s">
        <v>702</v>
      </c>
      <c r="I13" s="52" t="s">
        <v>688</v>
      </c>
      <c r="J13" s="52" t="s">
        <v>713</v>
      </c>
      <c r="K13" s="52" t="s">
        <v>690</v>
      </c>
      <c r="L13" s="52" t="s">
        <v>681</v>
      </c>
      <c r="M13" s="52">
        <v>1</v>
      </c>
      <c r="N13" s="52" t="s">
        <v>622</v>
      </c>
      <c r="O13" s="52" t="s">
        <v>665</v>
      </c>
      <c r="P13" s="52" t="s">
        <v>682</v>
      </c>
      <c r="Q13" s="52" t="s">
        <v>683</v>
      </c>
      <c r="R13" s="52" t="s">
        <v>447</v>
      </c>
      <c r="S13" s="52" t="s">
        <v>673</v>
      </c>
      <c r="T13" s="52" t="s">
        <v>1821</v>
      </c>
      <c r="U13" s="52" t="s">
        <v>1824</v>
      </c>
      <c r="V13" s="50" t="s">
        <v>1823</v>
      </c>
    </row>
    <row r="14" spans="1:22" x14ac:dyDescent="0.3">
      <c r="A14" s="48" t="s">
        <v>671</v>
      </c>
      <c r="B14" s="49" t="s">
        <v>178</v>
      </c>
      <c r="C14" s="49" t="s">
        <v>672</v>
      </c>
      <c r="D14" s="49" t="s">
        <v>673</v>
      </c>
      <c r="E14" s="49" t="s">
        <v>674</v>
      </c>
      <c r="F14" s="49" t="s">
        <v>675</v>
      </c>
      <c r="G14" s="49" t="s">
        <v>676</v>
      </c>
      <c r="H14" s="49" t="s">
        <v>677</v>
      </c>
      <c r="I14" s="49" t="s">
        <v>678</v>
      </c>
      <c r="J14" s="49" t="s">
        <v>679</v>
      </c>
      <c r="K14" s="49" t="s">
        <v>680</v>
      </c>
      <c r="L14" s="49" t="s">
        <v>681</v>
      </c>
      <c r="M14" s="49">
        <v>1</v>
      </c>
      <c r="N14" s="49" t="s">
        <v>627</v>
      </c>
      <c r="O14" s="49" t="s">
        <v>665</v>
      </c>
      <c r="P14" s="49" t="s">
        <v>682</v>
      </c>
      <c r="Q14" s="49" t="s">
        <v>683</v>
      </c>
      <c r="R14" s="49" t="s">
        <v>447</v>
      </c>
      <c r="S14" s="52" t="s">
        <v>673</v>
      </c>
      <c r="T14" s="49" t="s">
        <v>1821</v>
      </c>
      <c r="U14" s="49" t="s">
        <v>1824</v>
      </c>
      <c r="V14" s="50" t="s">
        <v>1823</v>
      </c>
    </row>
    <row r="15" spans="1:22" x14ac:dyDescent="0.3">
      <c r="A15" s="51" t="s">
        <v>729</v>
      </c>
      <c r="B15" s="52" t="s">
        <v>704</v>
      </c>
      <c r="C15" s="52" t="s">
        <v>730</v>
      </c>
      <c r="D15" s="52" t="s">
        <v>673</v>
      </c>
      <c r="E15" s="52" t="s">
        <v>674</v>
      </c>
      <c r="F15" s="52" t="s">
        <v>675</v>
      </c>
      <c r="G15" s="52" t="s">
        <v>731</v>
      </c>
      <c r="H15" s="52" t="s">
        <v>702</v>
      </c>
      <c r="I15" s="52" t="s">
        <v>688</v>
      </c>
      <c r="J15" s="52" t="s">
        <v>713</v>
      </c>
      <c r="K15" s="52" t="s">
        <v>690</v>
      </c>
      <c r="L15" s="52" t="s">
        <v>681</v>
      </c>
      <c r="M15" s="52">
        <v>1</v>
      </c>
      <c r="N15" s="52" t="s">
        <v>616</v>
      </c>
      <c r="O15" s="52" t="s">
        <v>665</v>
      </c>
      <c r="P15" s="52" t="s">
        <v>682</v>
      </c>
      <c r="Q15" s="52" t="s">
        <v>683</v>
      </c>
      <c r="R15" s="52" t="s">
        <v>447</v>
      </c>
      <c r="S15" s="52" t="s">
        <v>673</v>
      </c>
      <c r="T15" s="52" t="s">
        <v>1821</v>
      </c>
      <c r="U15" s="52" t="s">
        <v>1824</v>
      </c>
      <c r="V15" s="50" t="s">
        <v>1823</v>
      </c>
    </row>
    <row r="16" spans="1:22" x14ac:dyDescent="0.3">
      <c r="A16" s="48" t="s">
        <v>848</v>
      </c>
      <c r="B16" s="49" t="s">
        <v>849</v>
      </c>
      <c r="C16" s="49" t="s">
        <v>850</v>
      </c>
      <c r="D16" s="49" t="s">
        <v>673</v>
      </c>
      <c r="E16" s="49" t="s">
        <v>674</v>
      </c>
      <c r="F16" s="49" t="s">
        <v>675</v>
      </c>
      <c r="G16" s="49" t="s">
        <v>731</v>
      </c>
      <c r="H16" s="49" t="s">
        <v>702</v>
      </c>
      <c r="I16" s="49" t="s">
        <v>811</v>
      </c>
      <c r="J16" s="49" t="s">
        <v>713</v>
      </c>
      <c r="K16" s="49" t="s">
        <v>690</v>
      </c>
      <c r="L16" s="49" t="s">
        <v>681</v>
      </c>
      <c r="M16" s="49">
        <v>0.5</v>
      </c>
      <c r="N16" s="49" t="s">
        <v>649</v>
      </c>
      <c r="O16" s="49" t="s">
        <v>665</v>
      </c>
      <c r="P16" s="49" t="s">
        <v>682</v>
      </c>
      <c r="Q16" s="49" t="s">
        <v>683</v>
      </c>
      <c r="R16" s="49" t="s">
        <v>447</v>
      </c>
      <c r="S16" s="52" t="s">
        <v>673</v>
      </c>
      <c r="T16" s="49" t="s">
        <v>1821</v>
      </c>
      <c r="U16" s="49" t="s">
        <v>1824</v>
      </c>
      <c r="V16" s="50" t="s">
        <v>1823</v>
      </c>
    </row>
    <row r="17" spans="1:22" x14ac:dyDescent="0.3">
      <c r="A17" s="51" t="s">
        <v>851</v>
      </c>
      <c r="B17" s="52" t="s">
        <v>849</v>
      </c>
      <c r="C17" s="52" t="s">
        <v>852</v>
      </c>
      <c r="D17" s="52" t="s">
        <v>673</v>
      </c>
      <c r="E17" s="52" t="s">
        <v>674</v>
      </c>
      <c r="F17" s="52" t="s">
        <v>675</v>
      </c>
      <c r="G17" s="52" t="s">
        <v>731</v>
      </c>
      <c r="H17" s="52" t="s">
        <v>702</v>
      </c>
      <c r="I17" s="52" t="s">
        <v>688</v>
      </c>
      <c r="J17" s="52" t="s">
        <v>713</v>
      </c>
      <c r="K17" s="52" t="s">
        <v>690</v>
      </c>
      <c r="L17" s="52" t="s">
        <v>681</v>
      </c>
      <c r="M17" s="52">
        <v>0.5</v>
      </c>
      <c r="N17" s="52" t="s">
        <v>649</v>
      </c>
      <c r="O17" s="52" t="s">
        <v>665</v>
      </c>
      <c r="P17" s="52" t="s">
        <v>682</v>
      </c>
      <c r="Q17" s="52" t="s">
        <v>683</v>
      </c>
      <c r="R17" s="52" t="s">
        <v>447</v>
      </c>
      <c r="S17" s="52" t="s">
        <v>673</v>
      </c>
      <c r="T17" s="52" t="s">
        <v>1821</v>
      </c>
      <c r="U17" s="52" t="s">
        <v>1824</v>
      </c>
      <c r="V17" s="50" t="s">
        <v>1823</v>
      </c>
    </row>
    <row r="18" spans="1:22" x14ac:dyDescent="0.3">
      <c r="A18" s="48" t="s">
        <v>729</v>
      </c>
      <c r="B18" s="49" t="s">
        <v>704</v>
      </c>
      <c r="C18" s="49" t="s">
        <v>730</v>
      </c>
      <c r="D18" s="49" t="s">
        <v>673</v>
      </c>
      <c r="E18" s="49" t="s">
        <v>674</v>
      </c>
      <c r="F18" s="49" t="s">
        <v>675</v>
      </c>
      <c r="G18" s="49" t="s">
        <v>731</v>
      </c>
      <c r="H18" s="49" t="s">
        <v>702</v>
      </c>
      <c r="I18" s="49" t="s">
        <v>688</v>
      </c>
      <c r="J18" s="49" t="s">
        <v>713</v>
      </c>
      <c r="K18" s="49" t="s">
        <v>690</v>
      </c>
      <c r="L18" s="49" t="s">
        <v>681</v>
      </c>
      <c r="M18" s="49">
        <v>1</v>
      </c>
      <c r="N18" s="49" t="s">
        <v>559</v>
      </c>
      <c r="O18" s="49" t="s">
        <v>665</v>
      </c>
      <c r="P18" s="49" t="s">
        <v>682</v>
      </c>
      <c r="Q18" s="49" t="s">
        <v>683</v>
      </c>
      <c r="R18" s="49" t="s">
        <v>447</v>
      </c>
      <c r="S18" s="52" t="s">
        <v>673</v>
      </c>
      <c r="T18" s="49" t="s">
        <v>1821</v>
      </c>
      <c r="U18" s="49" t="s">
        <v>1824</v>
      </c>
      <c r="V18" s="50" t="s">
        <v>1823</v>
      </c>
    </row>
    <row r="19" spans="1:22" x14ac:dyDescent="0.3">
      <c r="A19" s="51" t="s">
        <v>2280</v>
      </c>
      <c r="B19" s="52" t="s">
        <v>544</v>
      </c>
      <c r="C19" s="52" t="s">
        <v>2281</v>
      </c>
      <c r="D19" s="52" t="s">
        <v>684</v>
      </c>
      <c r="E19" s="52" t="s">
        <v>674</v>
      </c>
      <c r="F19" s="52" t="s">
        <v>716</v>
      </c>
      <c r="G19" s="52" t="s">
        <v>744</v>
      </c>
      <c r="H19" s="52" t="s">
        <v>702</v>
      </c>
      <c r="I19" s="52" t="s">
        <v>736</v>
      </c>
      <c r="J19" s="52" t="s">
        <v>737</v>
      </c>
      <c r="K19" s="52" t="s">
        <v>738</v>
      </c>
      <c r="L19" s="52" t="s">
        <v>699</v>
      </c>
      <c r="M19" s="52">
        <v>0.1</v>
      </c>
      <c r="N19" s="52" t="s">
        <v>41</v>
      </c>
      <c r="O19" s="52" t="s">
        <v>665</v>
      </c>
      <c r="P19" s="52" t="s">
        <v>682</v>
      </c>
      <c r="Q19" s="52" t="s">
        <v>683</v>
      </c>
      <c r="R19" s="52" t="s">
        <v>217</v>
      </c>
      <c r="S19" s="49" t="s">
        <v>684</v>
      </c>
      <c r="T19" s="52" t="s">
        <v>1821</v>
      </c>
      <c r="U19" s="52" t="s">
        <v>1824</v>
      </c>
      <c r="V19" s="50" t="s">
        <v>1823</v>
      </c>
    </row>
    <row r="20" spans="1:22" x14ac:dyDescent="0.3">
      <c r="A20" s="48" t="s">
        <v>2282</v>
      </c>
      <c r="B20" s="49" t="s">
        <v>544</v>
      </c>
      <c r="C20" s="49" t="s">
        <v>2283</v>
      </c>
      <c r="D20" s="49" t="s">
        <v>684</v>
      </c>
      <c r="E20" s="49" t="s">
        <v>674</v>
      </c>
      <c r="F20" s="49" t="s">
        <v>716</v>
      </c>
      <c r="G20" s="49" t="s">
        <v>744</v>
      </c>
      <c r="H20" s="49" t="s">
        <v>702</v>
      </c>
      <c r="I20" s="49" t="s">
        <v>736</v>
      </c>
      <c r="J20" s="49" t="s">
        <v>737</v>
      </c>
      <c r="K20" s="49" t="s">
        <v>738</v>
      </c>
      <c r="L20" s="49" t="s">
        <v>699</v>
      </c>
      <c r="M20" s="49">
        <v>0.1</v>
      </c>
      <c r="N20" s="49" t="s">
        <v>41</v>
      </c>
      <c r="O20" s="49" t="s">
        <v>665</v>
      </c>
      <c r="P20" s="49" t="s">
        <v>682</v>
      </c>
      <c r="Q20" s="49" t="s">
        <v>683</v>
      </c>
      <c r="R20" s="49" t="s">
        <v>217</v>
      </c>
      <c r="S20" s="49" t="s">
        <v>684</v>
      </c>
      <c r="T20" s="49" t="s">
        <v>1821</v>
      </c>
      <c r="U20" s="49" t="s">
        <v>1824</v>
      </c>
      <c r="V20" s="50" t="s">
        <v>1823</v>
      </c>
    </row>
    <row r="21" spans="1:22" x14ac:dyDescent="0.3">
      <c r="A21" s="51" t="s">
        <v>2284</v>
      </c>
      <c r="B21" s="52" t="s">
        <v>544</v>
      </c>
      <c r="C21" s="52" t="s">
        <v>2285</v>
      </c>
      <c r="D21" s="52" t="s">
        <v>684</v>
      </c>
      <c r="E21" s="52" t="s">
        <v>674</v>
      </c>
      <c r="F21" s="52" t="s">
        <v>716</v>
      </c>
      <c r="G21" s="52" t="s">
        <v>744</v>
      </c>
      <c r="H21" s="52" t="s">
        <v>702</v>
      </c>
      <c r="I21" s="52" t="s">
        <v>736</v>
      </c>
      <c r="J21" s="52" t="s">
        <v>737</v>
      </c>
      <c r="K21" s="52" t="s">
        <v>738</v>
      </c>
      <c r="L21" s="52" t="s">
        <v>699</v>
      </c>
      <c r="M21" s="52">
        <v>0.1</v>
      </c>
      <c r="N21" s="52" t="s">
        <v>41</v>
      </c>
      <c r="O21" s="52" t="s">
        <v>665</v>
      </c>
      <c r="P21" s="52" t="s">
        <v>682</v>
      </c>
      <c r="Q21" s="52" t="s">
        <v>683</v>
      </c>
      <c r="R21" s="52" t="s">
        <v>217</v>
      </c>
      <c r="S21" s="49" t="s">
        <v>684</v>
      </c>
      <c r="T21" s="52" t="s">
        <v>1821</v>
      </c>
      <c r="U21" s="52" t="s">
        <v>1824</v>
      </c>
      <c r="V21" s="50" t="s">
        <v>1823</v>
      </c>
    </row>
    <row r="22" spans="1:22" x14ac:dyDescent="0.3">
      <c r="A22" s="48" t="s">
        <v>742</v>
      </c>
      <c r="B22" s="49" t="s">
        <v>470</v>
      </c>
      <c r="C22" s="49" t="s">
        <v>743</v>
      </c>
      <c r="D22" s="49" t="s">
        <v>684</v>
      </c>
      <c r="E22" s="49" t="s">
        <v>674</v>
      </c>
      <c r="F22" s="49" t="s">
        <v>716</v>
      </c>
      <c r="G22" s="49" t="s">
        <v>744</v>
      </c>
      <c r="H22" s="49" t="s">
        <v>702</v>
      </c>
      <c r="I22" s="49" t="s">
        <v>736</v>
      </c>
      <c r="J22" s="49" t="s">
        <v>745</v>
      </c>
      <c r="K22" s="49" t="s">
        <v>738</v>
      </c>
      <c r="L22" s="49" t="s">
        <v>699</v>
      </c>
      <c r="M22" s="49">
        <v>0.3</v>
      </c>
      <c r="N22" s="49" t="s">
        <v>635</v>
      </c>
      <c r="O22" s="49" t="s">
        <v>665</v>
      </c>
      <c r="P22" s="49" t="s">
        <v>746</v>
      </c>
      <c r="Q22" s="49" t="s">
        <v>683</v>
      </c>
      <c r="R22" s="49" t="s">
        <v>324</v>
      </c>
      <c r="S22" s="49" t="s">
        <v>684</v>
      </c>
      <c r="T22" s="49" t="s">
        <v>1821</v>
      </c>
      <c r="U22" s="49" t="s">
        <v>1824</v>
      </c>
      <c r="V22" s="50" t="s">
        <v>1823</v>
      </c>
    </row>
    <row r="23" spans="1:22" x14ac:dyDescent="0.3">
      <c r="A23" s="51" t="s">
        <v>747</v>
      </c>
      <c r="B23" s="52" t="s">
        <v>470</v>
      </c>
      <c r="C23" s="52" t="s">
        <v>747</v>
      </c>
      <c r="D23" s="52" t="s">
        <v>684</v>
      </c>
      <c r="E23" s="52" t="s">
        <v>674</v>
      </c>
      <c r="F23" s="52" t="s">
        <v>716</v>
      </c>
      <c r="G23" s="52" t="s">
        <v>744</v>
      </c>
      <c r="H23" s="52" t="s">
        <v>702</v>
      </c>
      <c r="I23" s="52" t="s">
        <v>736</v>
      </c>
      <c r="J23" s="52" t="s">
        <v>745</v>
      </c>
      <c r="K23" s="52" t="s">
        <v>738</v>
      </c>
      <c r="L23" s="52" t="s">
        <v>699</v>
      </c>
      <c r="M23" s="52">
        <v>0.3</v>
      </c>
      <c r="N23" s="52" t="s">
        <v>557</v>
      </c>
      <c r="O23" s="52" t="s">
        <v>665</v>
      </c>
      <c r="P23" s="52" t="s">
        <v>746</v>
      </c>
      <c r="Q23" s="52" t="s">
        <v>683</v>
      </c>
      <c r="R23" s="52" t="s">
        <v>324</v>
      </c>
      <c r="S23" s="49" t="s">
        <v>684</v>
      </c>
      <c r="T23" s="52" t="s">
        <v>1821</v>
      </c>
      <c r="U23" s="52" t="s">
        <v>1824</v>
      </c>
      <c r="V23" s="50" t="s">
        <v>1823</v>
      </c>
    </row>
    <row r="24" spans="1:22" x14ac:dyDescent="0.3">
      <c r="A24" s="48" t="s">
        <v>988</v>
      </c>
      <c r="B24" s="49" t="s">
        <v>753</v>
      </c>
      <c r="C24" s="49" t="s">
        <v>989</v>
      </c>
      <c r="D24" s="49" t="s">
        <v>755</v>
      </c>
      <c r="E24" s="49" t="s">
        <v>674</v>
      </c>
      <c r="F24" s="49" t="s">
        <v>675</v>
      </c>
      <c r="G24" s="49" t="s">
        <v>676</v>
      </c>
      <c r="H24" s="49" t="s">
        <v>677</v>
      </c>
      <c r="I24" s="49" t="s">
        <v>678</v>
      </c>
      <c r="J24" s="49" t="s">
        <v>679</v>
      </c>
      <c r="K24" s="49" t="s">
        <v>680</v>
      </c>
      <c r="L24" s="49" t="s">
        <v>699</v>
      </c>
      <c r="M24" s="49">
        <v>0.4</v>
      </c>
      <c r="N24" s="49" t="s">
        <v>304</v>
      </c>
      <c r="O24" s="49" t="s">
        <v>665</v>
      </c>
      <c r="P24" s="49" t="s">
        <v>682</v>
      </c>
      <c r="Q24" s="49" t="s">
        <v>683</v>
      </c>
      <c r="R24" s="49" t="s">
        <v>447</v>
      </c>
      <c r="S24" s="52" t="s">
        <v>673</v>
      </c>
      <c r="T24" s="49" t="s">
        <v>1821</v>
      </c>
      <c r="U24" s="49" t="s">
        <v>1824</v>
      </c>
      <c r="V24" s="50" t="s">
        <v>1823</v>
      </c>
    </row>
    <row r="25" spans="1:22" x14ac:dyDescent="0.3">
      <c r="A25" s="51" t="s">
        <v>986</v>
      </c>
      <c r="B25" s="52" t="s">
        <v>753</v>
      </c>
      <c r="C25" s="52" t="s">
        <v>987</v>
      </c>
      <c r="D25" s="52" t="s">
        <v>755</v>
      </c>
      <c r="E25" s="52" t="s">
        <v>674</v>
      </c>
      <c r="F25" s="52" t="s">
        <v>675</v>
      </c>
      <c r="G25" s="52" t="s">
        <v>676</v>
      </c>
      <c r="H25" s="52" t="s">
        <v>677</v>
      </c>
      <c r="I25" s="49" t="s">
        <v>678</v>
      </c>
      <c r="J25" s="52" t="s">
        <v>679</v>
      </c>
      <c r="K25" s="52" t="s">
        <v>680</v>
      </c>
      <c r="L25" s="52" t="s">
        <v>801</v>
      </c>
      <c r="M25" s="52">
        <v>0.2</v>
      </c>
      <c r="N25" s="52" t="s">
        <v>304</v>
      </c>
      <c r="O25" s="52" t="s">
        <v>665</v>
      </c>
      <c r="P25" s="52" t="s">
        <v>682</v>
      </c>
      <c r="Q25" s="52" t="s">
        <v>683</v>
      </c>
      <c r="R25" s="52" t="s">
        <v>447</v>
      </c>
      <c r="S25" s="52" t="s">
        <v>673</v>
      </c>
      <c r="T25" s="52" t="s">
        <v>1821</v>
      </c>
      <c r="U25" s="52" t="s">
        <v>1824</v>
      </c>
      <c r="V25" s="50" t="s">
        <v>1823</v>
      </c>
    </row>
    <row r="26" spans="1:22" x14ac:dyDescent="0.3">
      <c r="A26" s="48" t="s">
        <v>732</v>
      </c>
      <c r="B26" s="49" t="s">
        <v>178</v>
      </c>
      <c r="C26" s="49" t="s">
        <v>733</v>
      </c>
      <c r="D26" s="49" t="s">
        <v>673</v>
      </c>
      <c r="E26" s="49" t="s">
        <v>674</v>
      </c>
      <c r="F26" s="49" t="s">
        <v>675</v>
      </c>
      <c r="G26" s="49" t="s">
        <v>676</v>
      </c>
      <c r="H26" s="49" t="s">
        <v>677</v>
      </c>
      <c r="I26" s="49" t="s">
        <v>678</v>
      </c>
      <c r="J26" s="49" t="s">
        <v>679</v>
      </c>
      <c r="K26" s="49" t="s">
        <v>680</v>
      </c>
      <c r="L26" s="49" t="s">
        <v>699</v>
      </c>
      <c r="M26" s="49">
        <v>0.5</v>
      </c>
      <c r="N26" s="49" t="s">
        <v>629</v>
      </c>
      <c r="O26" s="49" t="s">
        <v>665</v>
      </c>
      <c r="P26" s="49" t="s">
        <v>682</v>
      </c>
      <c r="Q26" s="49" t="s">
        <v>683</v>
      </c>
      <c r="R26" s="49" t="s">
        <v>447</v>
      </c>
      <c r="S26" s="52" t="s">
        <v>673</v>
      </c>
      <c r="T26" s="49" t="s">
        <v>1821</v>
      </c>
      <c r="U26" s="49" t="s">
        <v>1824</v>
      </c>
      <c r="V26" s="50" t="s">
        <v>1823</v>
      </c>
    </row>
    <row r="27" spans="1:22" x14ac:dyDescent="0.3">
      <c r="A27" s="51" t="s">
        <v>804</v>
      </c>
      <c r="B27" s="52" t="s">
        <v>704</v>
      </c>
      <c r="C27" s="52" t="s">
        <v>805</v>
      </c>
      <c r="D27" s="52" t="s">
        <v>673</v>
      </c>
      <c r="E27" s="52" t="s">
        <v>674</v>
      </c>
      <c r="F27" s="52" t="s">
        <v>675</v>
      </c>
      <c r="G27" s="52" t="s">
        <v>676</v>
      </c>
      <c r="H27" s="52" t="s">
        <v>677</v>
      </c>
      <c r="I27" s="49" t="s">
        <v>678</v>
      </c>
      <c r="J27" s="52" t="s">
        <v>679</v>
      </c>
      <c r="K27" s="52" t="s">
        <v>680</v>
      </c>
      <c r="L27" s="52" t="s">
        <v>681</v>
      </c>
      <c r="M27" s="52">
        <v>1</v>
      </c>
      <c r="N27" s="52" t="s">
        <v>236</v>
      </c>
      <c r="O27" s="52" t="s">
        <v>665</v>
      </c>
      <c r="P27" s="52" t="s">
        <v>682</v>
      </c>
      <c r="Q27" s="52" t="s">
        <v>683</v>
      </c>
      <c r="R27" s="52" t="s">
        <v>447</v>
      </c>
      <c r="S27" s="52" t="s">
        <v>673</v>
      </c>
      <c r="T27" s="52" t="s">
        <v>1821</v>
      </c>
      <c r="U27" s="52" t="s">
        <v>1824</v>
      </c>
      <c r="V27" s="50" t="s">
        <v>1823</v>
      </c>
    </row>
    <row r="28" spans="1:22" x14ac:dyDescent="0.3">
      <c r="A28" s="48" t="s">
        <v>752</v>
      </c>
      <c r="B28" s="49" t="s">
        <v>753</v>
      </c>
      <c r="C28" s="49" t="s">
        <v>754</v>
      </c>
      <c r="D28" s="49" t="s">
        <v>755</v>
      </c>
      <c r="E28" s="49" t="s">
        <v>674</v>
      </c>
      <c r="F28" s="49" t="s">
        <v>716</v>
      </c>
      <c r="G28" s="49" t="s">
        <v>744</v>
      </c>
      <c r="H28" s="49" t="s">
        <v>677</v>
      </c>
      <c r="I28" s="49" t="s">
        <v>678</v>
      </c>
      <c r="J28" s="49" t="s">
        <v>679</v>
      </c>
      <c r="K28" s="49" t="s">
        <v>680</v>
      </c>
      <c r="L28" s="49" t="s">
        <v>699</v>
      </c>
      <c r="M28" s="49">
        <v>1</v>
      </c>
      <c r="N28" s="49" t="s">
        <v>29</v>
      </c>
      <c r="O28" s="49" t="s">
        <v>665</v>
      </c>
      <c r="P28" s="49" t="s">
        <v>746</v>
      </c>
      <c r="Q28" s="49" t="s">
        <v>683</v>
      </c>
      <c r="R28" s="49" t="s">
        <v>285</v>
      </c>
      <c r="S28" s="49" t="s">
        <v>755</v>
      </c>
      <c r="T28" s="49" t="s">
        <v>1821</v>
      </c>
      <c r="U28" s="49" t="s">
        <v>1824</v>
      </c>
      <c r="V28" s="50" t="s">
        <v>1823</v>
      </c>
    </row>
    <row r="29" spans="1:22" x14ac:dyDescent="0.3">
      <c r="A29" s="51" t="s">
        <v>757</v>
      </c>
      <c r="B29" s="52" t="s">
        <v>753</v>
      </c>
      <c r="C29" s="52" t="s">
        <v>758</v>
      </c>
      <c r="D29" s="52" t="s">
        <v>755</v>
      </c>
      <c r="E29" s="52" t="s">
        <v>674</v>
      </c>
      <c r="F29" s="52" t="s">
        <v>675</v>
      </c>
      <c r="G29" s="52" t="s">
        <v>676</v>
      </c>
      <c r="H29" s="52" t="s">
        <v>677</v>
      </c>
      <c r="I29" s="49" t="s">
        <v>678</v>
      </c>
      <c r="J29" s="52" t="s">
        <v>679</v>
      </c>
      <c r="K29" s="52" t="s">
        <v>680</v>
      </c>
      <c r="L29" s="52" t="s">
        <v>699</v>
      </c>
      <c r="M29" s="52">
        <v>0.5</v>
      </c>
      <c r="N29" s="52" t="s">
        <v>314</v>
      </c>
      <c r="O29" s="52" t="s">
        <v>665</v>
      </c>
      <c r="P29" s="52" t="s">
        <v>746</v>
      </c>
      <c r="Q29" s="52" t="s">
        <v>683</v>
      </c>
      <c r="R29" s="52" t="s">
        <v>285</v>
      </c>
      <c r="S29" s="49" t="s">
        <v>755</v>
      </c>
      <c r="T29" s="52" t="s">
        <v>1821</v>
      </c>
      <c r="U29" s="52" t="s">
        <v>1824</v>
      </c>
      <c r="V29" s="50" t="s">
        <v>1823</v>
      </c>
    </row>
    <row r="30" spans="1:22" x14ac:dyDescent="0.3">
      <c r="A30" s="48" t="s">
        <v>759</v>
      </c>
      <c r="B30" s="49" t="s">
        <v>760</v>
      </c>
      <c r="C30" s="49" t="s">
        <v>761</v>
      </c>
      <c r="D30" s="49" t="s">
        <v>755</v>
      </c>
      <c r="E30" s="49" t="s">
        <v>674</v>
      </c>
      <c r="F30" s="49" t="s">
        <v>716</v>
      </c>
      <c r="G30" s="49" t="s">
        <v>744</v>
      </c>
      <c r="H30" s="49" t="s">
        <v>677</v>
      </c>
      <c r="I30" s="49" t="s">
        <v>678</v>
      </c>
      <c r="J30" s="49" t="s">
        <v>679</v>
      </c>
      <c r="K30" s="49" t="s">
        <v>680</v>
      </c>
      <c r="L30" s="49" t="s">
        <v>699</v>
      </c>
      <c r="M30" s="49">
        <v>0.5</v>
      </c>
      <c r="N30" s="49" t="s">
        <v>314</v>
      </c>
      <c r="O30" s="49" t="s">
        <v>665</v>
      </c>
      <c r="P30" s="49" t="s">
        <v>746</v>
      </c>
      <c r="Q30" s="49" t="s">
        <v>683</v>
      </c>
      <c r="R30" s="49" t="s">
        <v>285</v>
      </c>
      <c r="S30" s="49" t="s">
        <v>755</v>
      </c>
      <c r="T30" s="49" t="s">
        <v>1821</v>
      </c>
      <c r="U30" s="49" t="s">
        <v>1824</v>
      </c>
      <c r="V30" s="50" t="s">
        <v>1823</v>
      </c>
    </row>
    <row r="31" spans="1:22" x14ac:dyDescent="0.3">
      <c r="A31" s="51" t="s">
        <v>759</v>
      </c>
      <c r="B31" s="52" t="s">
        <v>760</v>
      </c>
      <c r="C31" s="52" t="s">
        <v>761</v>
      </c>
      <c r="D31" s="52" t="s">
        <v>755</v>
      </c>
      <c r="E31" s="52" t="s">
        <v>674</v>
      </c>
      <c r="F31" s="52" t="s">
        <v>716</v>
      </c>
      <c r="G31" s="52" t="s">
        <v>744</v>
      </c>
      <c r="H31" s="52" t="s">
        <v>677</v>
      </c>
      <c r="I31" s="49" t="s">
        <v>678</v>
      </c>
      <c r="J31" s="52" t="s">
        <v>679</v>
      </c>
      <c r="K31" s="52" t="s">
        <v>680</v>
      </c>
      <c r="L31" s="52" t="s">
        <v>699</v>
      </c>
      <c r="M31" s="52">
        <v>1</v>
      </c>
      <c r="N31" s="52" t="s">
        <v>184</v>
      </c>
      <c r="O31" s="52" t="s">
        <v>665</v>
      </c>
      <c r="P31" s="52" t="s">
        <v>746</v>
      </c>
      <c r="Q31" s="52" t="s">
        <v>683</v>
      </c>
      <c r="R31" s="52" t="s">
        <v>285</v>
      </c>
      <c r="S31" s="49" t="s">
        <v>755</v>
      </c>
      <c r="T31" s="52" t="s">
        <v>1821</v>
      </c>
      <c r="U31" s="52" t="s">
        <v>1824</v>
      </c>
      <c r="V31" s="50" t="s">
        <v>1823</v>
      </c>
    </row>
    <row r="32" spans="1:22" x14ac:dyDescent="0.3">
      <c r="A32" s="48" t="s">
        <v>759</v>
      </c>
      <c r="B32" s="49" t="s">
        <v>760</v>
      </c>
      <c r="C32" s="49" t="s">
        <v>761</v>
      </c>
      <c r="D32" s="49" t="s">
        <v>755</v>
      </c>
      <c r="E32" s="49" t="s">
        <v>674</v>
      </c>
      <c r="F32" s="49" t="s">
        <v>716</v>
      </c>
      <c r="G32" s="49" t="s">
        <v>744</v>
      </c>
      <c r="H32" s="49" t="s">
        <v>677</v>
      </c>
      <c r="I32" s="49" t="s">
        <v>678</v>
      </c>
      <c r="J32" s="49" t="s">
        <v>679</v>
      </c>
      <c r="K32" s="49" t="s">
        <v>680</v>
      </c>
      <c r="L32" s="49" t="s">
        <v>699</v>
      </c>
      <c r="M32" s="49">
        <v>1</v>
      </c>
      <c r="N32" s="49" t="s">
        <v>583</v>
      </c>
      <c r="O32" s="49" t="s">
        <v>665</v>
      </c>
      <c r="P32" s="49" t="s">
        <v>746</v>
      </c>
      <c r="Q32" s="49" t="s">
        <v>683</v>
      </c>
      <c r="R32" s="49" t="s">
        <v>285</v>
      </c>
      <c r="S32" s="49" t="s">
        <v>755</v>
      </c>
      <c r="T32" s="49" t="s">
        <v>1821</v>
      </c>
      <c r="U32" s="49" t="s">
        <v>1824</v>
      </c>
      <c r="V32" s="50" t="s">
        <v>1823</v>
      </c>
    </row>
    <row r="33" spans="1:22" x14ac:dyDescent="0.3">
      <c r="A33" s="51" t="s">
        <v>762</v>
      </c>
      <c r="B33" s="52" t="s">
        <v>760</v>
      </c>
      <c r="C33" s="52" t="s">
        <v>763</v>
      </c>
      <c r="D33" s="52" t="s">
        <v>755</v>
      </c>
      <c r="E33" s="52" t="s">
        <v>674</v>
      </c>
      <c r="F33" s="52" t="s">
        <v>716</v>
      </c>
      <c r="G33" s="52" t="s">
        <v>744</v>
      </c>
      <c r="H33" s="52" t="s">
        <v>677</v>
      </c>
      <c r="I33" s="49" t="s">
        <v>678</v>
      </c>
      <c r="J33" s="52" t="s">
        <v>679</v>
      </c>
      <c r="K33" s="52" t="s">
        <v>680</v>
      </c>
      <c r="L33" s="52" t="s">
        <v>699</v>
      </c>
      <c r="M33" s="52">
        <v>1</v>
      </c>
      <c r="N33" s="52" t="s">
        <v>231</v>
      </c>
      <c r="O33" s="52" t="s">
        <v>665</v>
      </c>
      <c r="P33" s="52" t="s">
        <v>746</v>
      </c>
      <c r="Q33" s="52" t="s">
        <v>683</v>
      </c>
      <c r="R33" s="52" t="s">
        <v>285</v>
      </c>
      <c r="S33" s="49" t="s">
        <v>755</v>
      </c>
      <c r="T33" s="52" t="s">
        <v>1821</v>
      </c>
      <c r="U33" s="52" t="s">
        <v>1824</v>
      </c>
      <c r="V33" s="50" t="s">
        <v>1823</v>
      </c>
    </row>
    <row r="34" spans="1:22" x14ac:dyDescent="0.3">
      <c r="A34" s="48" t="s">
        <v>759</v>
      </c>
      <c r="B34" s="49" t="s">
        <v>760</v>
      </c>
      <c r="C34" s="49" t="s">
        <v>761</v>
      </c>
      <c r="D34" s="49" t="s">
        <v>755</v>
      </c>
      <c r="E34" s="49" t="s">
        <v>674</v>
      </c>
      <c r="F34" s="49" t="s">
        <v>716</v>
      </c>
      <c r="G34" s="49" t="s">
        <v>744</v>
      </c>
      <c r="H34" s="49" t="s">
        <v>677</v>
      </c>
      <c r="I34" s="49" t="s">
        <v>678</v>
      </c>
      <c r="J34" s="49" t="s">
        <v>679</v>
      </c>
      <c r="K34" s="49" t="s">
        <v>680</v>
      </c>
      <c r="L34" s="49" t="s">
        <v>699</v>
      </c>
      <c r="M34" s="49">
        <v>0.7</v>
      </c>
      <c r="N34" s="49" t="s">
        <v>240</v>
      </c>
      <c r="O34" s="49" t="s">
        <v>665</v>
      </c>
      <c r="P34" s="49" t="s">
        <v>746</v>
      </c>
      <c r="Q34" s="49" t="s">
        <v>683</v>
      </c>
      <c r="R34" s="49" t="s">
        <v>285</v>
      </c>
      <c r="S34" s="49" t="s">
        <v>755</v>
      </c>
      <c r="T34" s="49" t="s">
        <v>1821</v>
      </c>
      <c r="U34" s="49" t="s">
        <v>1824</v>
      </c>
      <c r="V34" s="50" t="s">
        <v>1823</v>
      </c>
    </row>
    <row r="35" spans="1:22" x14ac:dyDescent="0.3">
      <c r="A35" s="51" t="s">
        <v>764</v>
      </c>
      <c r="B35" s="52" t="s">
        <v>753</v>
      </c>
      <c r="C35" s="52" t="s">
        <v>765</v>
      </c>
      <c r="D35" s="52" t="s">
        <v>755</v>
      </c>
      <c r="E35" s="52" t="s">
        <v>674</v>
      </c>
      <c r="F35" s="52" t="s">
        <v>716</v>
      </c>
      <c r="G35" s="52" t="s">
        <v>744</v>
      </c>
      <c r="H35" s="52" t="s">
        <v>702</v>
      </c>
      <c r="I35" s="49" t="s">
        <v>678</v>
      </c>
      <c r="J35" s="52" t="s">
        <v>679</v>
      </c>
      <c r="K35" s="52" t="s">
        <v>680</v>
      </c>
      <c r="L35" s="52" t="s">
        <v>766</v>
      </c>
      <c r="M35" s="52">
        <v>0.3</v>
      </c>
      <c r="N35" s="52" t="s">
        <v>240</v>
      </c>
      <c r="O35" s="52" t="s">
        <v>665</v>
      </c>
      <c r="P35" s="52" t="s">
        <v>746</v>
      </c>
      <c r="Q35" s="52" t="s">
        <v>683</v>
      </c>
      <c r="R35" s="52" t="s">
        <v>285</v>
      </c>
      <c r="S35" s="49" t="s">
        <v>755</v>
      </c>
      <c r="T35" s="52" t="s">
        <v>1821</v>
      </c>
      <c r="U35" s="52" t="s">
        <v>1824</v>
      </c>
      <c r="V35" s="50" t="s">
        <v>1823</v>
      </c>
    </row>
    <row r="36" spans="1:22" x14ac:dyDescent="0.3">
      <c r="A36" s="48" t="s">
        <v>762</v>
      </c>
      <c r="B36" s="49" t="s">
        <v>760</v>
      </c>
      <c r="C36" s="49" t="s">
        <v>763</v>
      </c>
      <c r="D36" s="49" t="s">
        <v>755</v>
      </c>
      <c r="E36" s="49" t="s">
        <v>674</v>
      </c>
      <c r="F36" s="49" t="s">
        <v>716</v>
      </c>
      <c r="G36" s="49" t="s">
        <v>744</v>
      </c>
      <c r="H36" s="49" t="s">
        <v>677</v>
      </c>
      <c r="I36" s="49" t="s">
        <v>678</v>
      </c>
      <c r="J36" s="49" t="s">
        <v>679</v>
      </c>
      <c r="K36" s="49" t="s">
        <v>680</v>
      </c>
      <c r="L36" s="49" t="s">
        <v>699</v>
      </c>
      <c r="M36" s="49">
        <v>1</v>
      </c>
      <c r="N36" s="49" t="s">
        <v>282</v>
      </c>
      <c r="O36" s="49" t="s">
        <v>665</v>
      </c>
      <c r="P36" s="49" t="s">
        <v>746</v>
      </c>
      <c r="Q36" s="49" t="s">
        <v>683</v>
      </c>
      <c r="R36" s="49" t="s">
        <v>285</v>
      </c>
      <c r="S36" s="49" t="s">
        <v>755</v>
      </c>
      <c r="T36" s="49" t="s">
        <v>1821</v>
      </c>
      <c r="U36" s="49" t="s">
        <v>1824</v>
      </c>
      <c r="V36" s="50" t="s">
        <v>1823</v>
      </c>
    </row>
    <row r="37" spans="1:22" x14ac:dyDescent="0.3">
      <c r="A37" s="51" t="s">
        <v>759</v>
      </c>
      <c r="B37" s="52" t="s">
        <v>760</v>
      </c>
      <c r="C37" s="52" t="s">
        <v>761</v>
      </c>
      <c r="D37" s="52" t="s">
        <v>755</v>
      </c>
      <c r="E37" s="52" t="s">
        <v>674</v>
      </c>
      <c r="F37" s="52" t="s">
        <v>716</v>
      </c>
      <c r="G37" s="52" t="s">
        <v>744</v>
      </c>
      <c r="H37" s="52" t="s">
        <v>677</v>
      </c>
      <c r="I37" s="49" t="s">
        <v>678</v>
      </c>
      <c r="J37" s="52" t="s">
        <v>679</v>
      </c>
      <c r="K37" s="52" t="s">
        <v>680</v>
      </c>
      <c r="L37" s="52" t="s">
        <v>699</v>
      </c>
      <c r="M37" s="52">
        <v>1</v>
      </c>
      <c r="N37" s="52" t="s">
        <v>403</v>
      </c>
      <c r="O37" s="52" t="s">
        <v>665</v>
      </c>
      <c r="P37" s="52" t="s">
        <v>746</v>
      </c>
      <c r="Q37" s="52" t="s">
        <v>683</v>
      </c>
      <c r="R37" s="52" t="s">
        <v>285</v>
      </c>
      <c r="S37" s="49" t="s">
        <v>755</v>
      </c>
      <c r="T37" s="52" t="s">
        <v>1821</v>
      </c>
      <c r="U37" s="52" t="s">
        <v>1824</v>
      </c>
      <c r="V37" s="50" t="s">
        <v>1823</v>
      </c>
    </row>
    <row r="38" spans="1:22" x14ac:dyDescent="0.3">
      <c r="A38" s="48" t="s">
        <v>759</v>
      </c>
      <c r="B38" s="49" t="s">
        <v>760</v>
      </c>
      <c r="C38" s="49" t="s">
        <v>761</v>
      </c>
      <c r="D38" s="49" t="s">
        <v>755</v>
      </c>
      <c r="E38" s="49" t="s">
        <v>674</v>
      </c>
      <c r="F38" s="49" t="s">
        <v>716</v>
      </c>
      <c r="G38" s="49" t="s">
        <v>744</v>
      </c>
      <c r="H38" s="49" t="s">
        <v>677</v>
      </c>
      <c r="I38" s="49" t="s">
        <v>678</v>
      </c>
      <c r="J38" s="49" t="s">
        <v>679</v>
      </c>
      <c r="K38" s="49" t="s">
        <v>680</v>
      </c>
      <c r="L38" s="49" t="s">
        <v>699</v>
      </c>
      <c r="M38" s="49">
        <v>1</v>
      </c>
      <c r="N38" s="49" t="s">
        <v>434</v>
      </c>
      <c r="O38" s="49" t="s">
        <v>665</v>
      </c>
      <c r="P38" s="49" t="s">
        <v>746</v>
      </c>
      <c r="Q38" s="49" t="s">
        <v>683</v>
      </c>
      <c r="R38" s="49" t="s">
        <v>285</v>
      </c>
      <c r="S38" s="49" t="s">
        <v>755</v>
      </c>
      <c r="T38" s="49" t="s">
        <v>1821</v>
      </c>
      <c r="U38" s="49" t="s">
        <v>1824</v>
      </c>
      <c r="V38" s="50" t="s">
        <v>1823</v>
      </c>
    </row>
    <row r="39" spans="1:22" x14ac:dyDescent="0.3">
      <c r="A39" s="51" t="s">
        <v>759</v>
      </c>
      <c r="B39" s="52" t="s">
        <v>760</v>
      </c>
      <c r="C39" s="52" t="s">
        <v>761</v>
      </c>
      <c r="D39" s="52" t="s">
        <v>755</v>
      </c>
      <c r="E39" s="52" t="s">
        <v>674</v>
      </c>
      <c r="F39" s="52" t="s">
        <v>716</v>
      </c>
      <c r="G39" s="52" t="s">
        <v>744</v>
      </c>
      <c r="H39" s="52" t="s">
        <v>677</v>
      </c>
      <c r="I39" s="49" t="s">
        <v>678</v>
      </c>
      <c r="J39" s="52" t="s">
        <v>679</v>
      </c>
      <c r="K39" s="52" t="s">
        <v>680</v>
      </c>
      <c r="L39" s="52" t="s">
        <v>699</v>
      </c>
      <c r="M39" s="52">
        <v>1</v>
      </c>
      <c r="N39" s="52" t="s">
        <v>385</v>
      </c>
      <c r="O39" s="52" t="s">
        <v>767</v>
      </c>
      <c r="P39" s="52" t="s">
        <v>746</v>
      </c>
      <c r="Q39" s="52" t="s">
        <v>683</v>
      </c>
      <c r="R39" s="52" t="s">
        <v>285</v>
      </c>
      <c r="S39" s="49" t="s">
        <v>755</v>
      </c>
      <c r="T39" s="52" t="s">
        <v>1821</v>
      </c>
      <c r="U39" s="52" t="s">
        <v>1824</v>
      </c>
      <c r="V39" s="50" t="s">
        <v>1823</v>
      </c>
    </row>
    <row r="40" spans="1:22" x14ac:dyDescent="0.3">
      <c r="A40" s="48" t="s">
        <v>762</v>
      </c>
      <c r="B40" s="49" t="s">
        <v>760</v>
      </c>
      <c r="C40" s="49" t="s">
        <v>763</v>
      </c>
      <c r="D40" s="49" t="s">
        <v>755</v>
      </c>
      <c r="E40" s="49" t="s">
        <v>674</v>
      </c>
      <c r="F40" s="49" t="s">
        <v>716</v>
      </c>
      <c r="G40" s="49" t="s">
        <v>744</v>
      </c>
      <c r="H40" s="49" t="s">
        <v>677</v>
      </c>
      <c r="I40" s="49" t="s">
        <v>678</v>
      </c>
      <c r="J40" s="49" t="s">
        <v>679</v>
      </c>
      <c r="K40" s="49" t="s">
        <v>680</v>
      </c>
      <c r="L40" s="49" t="s">
        <v>699</v>
      </c>
      <c r="M40" s="49">
        <v>1</v>
      </c>
      <c r="N40" s="49" t="s">
        <v>553</v>
      </c>
      <c r="O40" s="49" t="s">
        <v>767</v>
      </c>
      <c r="P40" s="52" t="s">
        <v>746</v>
      </c>
      <c r="Q40" s="49" t="s">
        <v>683</v>
      </c>
      <c r="R40" s="49" t="s">
        <v>285</v>
      </c>
      <c r="S40" s="49" t="s">
        <v>755</v>
      </c>
      <c r="T40" s="49" t="s">
        <v>1821</v>
      </c>
      <c r="U40" s="49" t="s">
        <v>1824</v>
      </c>
      <c r="V40" s="50" t="s">
        <v>1823</v>
      </c>
    </row>
    <row r="41" spans="1:22" x14ac:dyDescent="0.3">
      <c r="A41" s="51" t="s">
        <v>759</v>
      </c>
      <c r="B41" s="52" t="s">
        <v>760</v>
      </c>
      <c r="C41" s="52" t="s">
        <v>761</v>
      </c>
      <c r="D41" s="52" t="s">
        <v>755</v>
      </c>
      <c r="E41" s="52" t="s">
        <v>674</v>
      </c>
      <c r="F41" s="52" t="s">
        <v>716</v>
      </c>
      <c r="G41" s="52" t="s">
        <v>744</v>
      </c>
      <c r="H41" s="52" t="s">
        <v>677</v>
      </c>
      <c r="I41" s="49" t="s">
        <v>678</v>
      </c>
      <c r="J41" s="52" t="s">
        <v>679</v>
      </c>
      <c r="K41" s="52" t="s">
        <v>680</v>
      </c>
      <c r="L41" s="52" t="s">
        <v>699</v>
      </c>
      <c r="M41" s="52">
        <v>1</v>
      </c>
      <c r="N41" s="52" t="s">
        <v>424</v>
      </c>
      <c r="O41" s="52" t="s">
        <v>767</v>
      </c>
      <c r="P41" s="52" t="s">
        <v>746</v>
      </c>
      <c r="Q41" s="52" t="s">
        <v>683</v>
      </c>
      <c r="R41" s="52" t="s">
        <v>285</v>
      </c>
      <c r="S41" s="49" t="s">
        <v>755</v>
      </c>
      <c r="T41" s="52" t="s">
        <v>1821</v>
      </c>
      <c r="U41" s="52" t="s">
        <v>1824</v>
      </c>
      <c r="V41" s="50" t="s">
        <v>1823</v>
      </c>
    </row>
    <row r="42" spans="1:22" x14ac:dyDescent="0.3">
      <c r="A42" s="48" t="s">
        <v>759</v>
      </c>
      <c r="B42" s="49" t="s">
        <v>760</v>
      </c>
      <c r="C42" s="49" t="s">
        <v>761</v>
      </c>
      <c r="D42" s="49" t="s">
        <v>755</v>
      </c>
      <c r="E42" s="49" t="s">
        <v>674</v>
      </c>
      <c r="F42" s="49" t="s">
        <v>716</v>
      </c>
      <c r="G42" s="49" t="s">
        <v>744</v>
      </c>
      <c r="H42" s="49" t="s">
        <v>677</v>
      </c>
      <c r="I42" s="49" t="s">
        <v>678</v>
      </c>
      <c r="J42" s="49" t="s">
        <v>679</v>
      </c>
      <c r="K42" s="49" t="s">
        <v>680</v>
      </c>
      <c r="L42" s="49" t="s">
        <v>699</v>
      </c>
      <c r="M42" s="49">
        <v>1</v>
      </c>
      <c r="N42" s="49" t="s">
        <v>402</v>
      </c>
      <c r="O42" s="49" t="s">
        <v>767</v>
      </c>
      <c r="P42" s="52" t="s">
        <v>746</v>
      </c>
      <c r="Q42" s="49" t="s">
        <v>683</v>
      </c>
      <c r="R42" s="49" t="s">
        <v>285</v>
      </c>
      <c r="S42" s="49" t="s">
        <v>755</v>
      </c>
      <c r="T42" s="49" t="s">
        <v>1821</v>
      </c>
      <c r="U42" s="49" t="s">
        <v>1824</v>
      </c>
      <c r="V42" s="50" t="s">
        <v>1823</v>
      </c>
    </row>
    <row r="43" spans="1:22" x14ac:dyDescent="0.3">
      <c r="A43" s="51" t="s">
        <v>752</v>
      </c>
      <c r="B43" s="52" t="s">
        <v>753</v>
      </c>
      <c r="C43" s="52" t="s">
        <v>754</v>
      </c>
      <c r="D43" s="52" t="s">
        <v>755</v>
      </c>
      <c r="E43" s="52" t="s">
        <v>674</v>
      </c>
      <c r="F43" s="52" t="s">
        <v>716</v>
      </c>
      <c r="G43" s="52" t="s">
        <v>744</v>
      </c>
      <c r="H43" s="52" t="s">
        <v>677</v>
      </c>
      <c r="I43" s="49" t="s">
        <v>678</v>
      </c>
      <c r="J43" s="52" t="s">
        <v>679</v>
      </c>
      <c r="K43" s="52" t="s">
        <v>680</v>
      </c>
      <c r="L43" s="52" t="s">
        <v>699</v>
      </c>
      <c r="M43" s="52">
        <v>1</v>
      </c>
      <c r="N43" s="52" t="s">
        <v>537</v>
      </c>
      <c r="O43" s="52" t="s">
        <v>767</v>
      </c>
      <c r="P43" s="52" t="s">
        <v>746</v>
      </c>
      <c r="Q43" s="52" t="s">
        <v>683</v>
      </c>
      <c r="R43" s="52" t="s">
        <v>285</v>
      </c>
      <c r="S43" s="49" t="s">
        <v>755</v>
      </c>
      <c r="T43" s="52" t="s">
        <v>1821</v>
      </c>
      <c r="U43" s="52" t="s">
        <v>1824</v>
      </c>
      <c r="V43" s="50" t="s">
        <v>1823</v>
      </c>
    </row>
    <row r="44" spans="1:22" x14ac:dyDescent="0.3">
      <c r="A44" s="48" t="s">
        <v>768</v>
      </c>
      <c r="B44" s="49" t="s">
        <v>753</v>
      </c>
      <c r="C44" s="49" t="s">
        <v>769</v>
      </c>
      <c r="D44" s="49" t="s">
        <v>755</v>
      </c>
      <c r="E44" s="49" t="s">
        <v>674</v>
      </c>
      <c r="F44" s="49" t="s">
        <v>716</v>
      </c>
      <c r="G44" s="49" t="s">
        <v>744</v>
      </c>
      <c r="H44" s="49" t="s">
        <v>677</v>
      </c>
      <c r="I44" s="49" t="s">
        <v>688</v>
      </c>
      <c r="J44" s="49" t="s">
        <v>679</v>
      </c>
      <c r="K44" s="49" t="s">
        <v>680</v>
      </c>
      <c r="L44" s="49" t="s">
        <v>739</v>
      </c>
      <c r="M44" s="49">
        <v>0.7</v>
      </c>
      <c r="N44" s="49" t="s">
        <v>532</v>
      </c>
      <c r="O44" s="49" t="s">
        <v>665</v>
      </c>
      <c r="P44" s="49" t="s">
        <v>746</v>
      </c>
      <c r="Q44" s="49" t="s">
        <v>683</v>
      </c>
      <c r="R44" s="49" t="s">
        <v>293</v>
      </c>
      <c r="S44" s="49" t="s">
        <v>755</v>
      </c>
      <c r="T44" s="49" t="s">
        <v>1821</v>
      </c>
      <c r="U44" s="49" t="s">
        <v>1824</v>
      </c>
      <c r="V44" s="50" t="s">
        <v>1823</v>
      </c>
    </row>
    <row r="45" spans="1:22" x14ac:dyDescent="0.3">
      <c r="A45" s="51" t="s">
        <v>770</v>
      </c>
      <c r="B45" s="52" t="s">
        <v>753</v>
      </c>
      <c r="C45" s="52" t="s">
        <v>771</v>
      </c>
      <c r="D45" s="52" t="s">
        <v>755</v>
      </c>
      <c r="E45" s="52" t="s">
        <v>674</v>
      </c>
      <c r="F45" s="52" t="s">
        <v>716</v>
      </c>
      <c r="G45" s="52" t="s">
        <v>744</v>
      </c>
      <c r="H45" s="52" t="s">
        <v>677</v>
      </c>
      <c r="I45" s="49" t="s">
        <v>688</v>
      </c>
      <c r="J45" s="52" t="s">
        <v>679</v>
      </c>
      <c r="K45" s="52" t="s">
        <v>680</v>
      </c>
      <c r="L45" s="52" t="s">
        <v>691</v>
      </c>
      <c r="M45" s="52">
        <v>0.3</v>
      </c>
      <c r="N45" s="52" t="s">
        <v>532</v>
      </c>
      <c r="O45" s="52" t="s">
        <v>665</v>
      </c>
      <c r="P45" s="52" t="s">
        <v>746</v>
      </c>
      <c r="Q45" s="52" t="s">
        <v>683</v>
      </c>
      <c r="R45" s="52" t="s">
        <v>293</v>
      </c>
      <c r="S45" s="49" t="s">
        <v>755</v>
      </c>
      <c r="T45" s="52" t="s">
        <v>1821</v>
      </c>
      <c r="U45" s="52" t="s">
        <v>1824</v>
      </c>
      <c r="V45" s="50" t="s">
        <v>1823</v>
      </c>
    </row>
    <row r="46" spans="1:22" x14ac:dyDescent="0.3">
      <c r="A46" s="48" t="s">
        <v>762</v>
      </c>
      <c r="B46" s="49" t="s">
        <v>760</v>
      </c>
      <c r="C46" s="49" t="s">
        <v>763</v>
      </c>
      <c r="D46" s="49" t="s">
        <v>755</v>
      </c>
      <c r="E46" s="49" t="s">
        <v>674</v>
      </c>
      <c r="F46" s="49" t="s">
        <v>716</v>
      </c>
      <c r="G46" s="49" t="s">
        <v>744</v>
      </c>
      <c r="H46" s="49" t="s">
        <v>677</v>
      </c>
      <c r="I46" s="49" t="s">
        <v>678</v>
      </c>
      <c r="J46" s="49" t="s">
        <v>679</v>
      </c>
      <c r="K46" s="49" t="s">
        <v>680</v>
      </c>
      <c r="L46" s="49" t="s">
        <v>699</v>
      </c>
      <c r="M46" s="49">
        <v>1</v>
      </c>
      <c r="N46" s="49" t="s">
        <v>44</v>
      </c>
      <c r="O46" s="49" t="s">
        <v>665</v>
      </c>
      <c r="P46" s="49" t="s">
        <v>746</v>
      </c>
      <c r="Q46" s="49" t="s">
        <v>683</v>
      </c>
      <c r="R46" s="49" t="s">
        <v>293</v>
      </c>
      <c r="S46" s="49" t="s">
        <v>755</v>
      </c>
      <c r="T46" s="49" t="s">
        <v>1821</v>
      </c>
      <c r="U46" s="49" t="s">
        <v>1824</v>
      </c>
      <c r="V46" s="50" t="s">
        <v>1823</v>
      </c>
    </row>
    <row r="47" spans="1:22" x14ac:dyDescent="0.3">
      <c r="A47" s="51" t="s">
        <v>762</v>
      </c>
      <c r="B47" s="52" t="s">
        <v>760</v>
      </c>
      <c r="C47" s="52" t="s">
        <v>763</v>
      </c>
      <c r="D47" s="52" t="s">
        <v>755</v>
      </c>
      <c r="E47" s="52" t="s">
        <v>674</v>
      </c>
      <c r="F47" s="52" t="s">
        <v>716</v>
      </c>
      <c r="G47" s="52" t="s">
        <v>744</v>
      </c>
      <c r="H47" s="52" t="s">
        <v>677</v>
      </c>
      <c r="I47" s="49" t="s">
        <v>678</v>
      </c>
      <c r="J47" s="52" t="s">
        <v>679</v>
      </c>
      <c r="K47" s="52" t="s">
        <v>680</v>
      </c>
      <c r="L47" s="52" t="s">
        <v>699</v>
      </c>
      <c r="M47" s="52">
        <v>1</v>
      </c>
      <c r="N47" s="52" t="s">
        <v>58</v>
      </c>
      <c r="O47" s="52" t="s">
        <v>665</v>
      </c>
      <c r="P47" s="52" t="s">
        <v>746</v>
      </c>
      <c r="Q47" s="52" t="s">
        <v>683</v>
      </c>
      <c r="R47" s="52" t="s">
        <v>293</v>
      </c>
      <c r="S47" s="49" t="s">
        <v>755</v>
      </c>
      <c r="T47" s="52" t="s">
        <v>1821</v>
      </c>
      <c r="U47" s="52" t="s">
        <v>1824</v>
      </c>
      <c r="V47" s="50" t="s">
        <v>1823</v>
      </c>
    </row>
    <row r="48" spans="1:22" x14ac:dyDescent="0.3">
      <c r="A48" s="48" t="s">
        <v>762</v>
      </c>
      <c r="B48" s="49" t="s">
        <v>760</v>
      </c>
      <c r="C48" s="49" t="s">
        <v>763</v>
      </c>
      <c r="D48" s="49" t="s">
        <v>755</v>
      </c>
      <c r="E48" s="49" t="s">
        <v>674</v>
      </c>
      <c r="F48" s="49" t="s">
        <v>716</v>
      </c>
      <c r="G48" s="49" t="s">
        <v>744</v>
      </c>
      <c r="H48" s="49" t="s">
        <v>677</v>
      </c>
      <c r="I48" s="49" t="s">
        <v>678</v>
      </c>
      <c r="J48" s="49" t="s">
        <v>679</v>
      </c>
      <c r="K48" s="49" t="s">
        <v>680</v>
      </c>
      <c r="L48" s="49" t="s">
        <v>699</v>
      </c>
      <c r="M48" s="49">
        <v>1</v>
      </c>
      <c r="N48" s="49" t="s">
        <v>562</v>
      </c>
      <c r="O48" s="49" t="s">
        <v>665</v>
      </c>
      <c r="P48" s="49" t="s">
        <v>746</v>
      </c>
      <c r="Q48" s="49" t="s">
        <v>683</v>
      </c>
      <c r="R48" s="49" t="s">
        <v>293</v>
      </c>
      <c r="S48" s="49" t="s">
        <v>755</v>
      </c>
      <c r="T48" s="49" t="s">
        <v>1821</v>
      </c>
      <c r="U48" s="49" t="s">
        <v>1824</v>
      </c>
      <c r="V48" s="50" t="s">
        <v>1823</v>
      </c>
    </row>
    <row r="49" spans="1:22" x14ac:dyDescent="0.3">
      <c r="A49" s="51" t="s">
        <v>762</v>
      </c>
      <c r="B49" s="52" t="s">
        <v>760</v>
      </c>
      <c r="C49" s="52" t="s">
        <v>763</v>
      </c>
      <c r="D49" s="52" t="s">
        <v>755</v>
      </c>
      <c r="E49" s="52" t="s">
        <v>674</v>
      </c>
      <c r="F49" s="52" t="s">
        <v>716</v>
      </c>
      <c r="G49" s="52" t="s">
        <v>744</v>
      </c>
      <c r="H49" s="52" t="s">
        <v>677</v>
      </c>
      <c r="I49" s="49" t="s">
        <v>678</v>
      </c>
      <c r="J49" s="52" t="s">
        <v>679</v>
      </c>
      <c r="K49" s="52" t="s">
        <v>680</v>
      </c>
      <c r="L49" s="52" t="s">
        <v>699</v>
      </c>
      <c r="M49" s="52">
        <v>1</v>
      </c>
      <c r="N49" s="52" t="s">
        <v>401</v>
      </c>
      <c r="O49" s="52" t="s">
        <v>767</v>
      </c>
      <c r="P49" s="52" t="s">
        <v>746</v>
      </c>
      <c r="Q49" s="52" t="s">
        <v>683</v>
      </c>
      <c r="R49" s="52" t="s">
        <v>293</v>
      </c>
      <c r="S49" s="49" t="s">
        <v>755</v>
      </c>
      <c r="T49" s="52" t="s">
        <v>1821</v>
      </c>
      <c r="U49" s="52" t="s">
        <v>1824</v>
      </c>
      <c r="V49" s="50" t="s">
        <v>1823</v>
      </c>
    </row>
    <row r="50" spans="1:22" x14ac:dyDescent="0.3">
      <c r="A50" s="48" t="s">
        <v>759</v>
      </c>
      <c r="B50" s="49" t="s">
        <v>760</v>
      </c>
      <c r="C50" s="49" t="s">
        <v>761</v>
      </c>
      <c r="D50" s="49" t="s">
        <v>755</v>
      </c>
      <c r="E50" s="49" t="s">
        <v>674</v>
      </c>
      <c r="F50" s="49" t="s">
        <v>716</v>
      </c>
      <c r="G50" s="49" t="s">
        <v>744</v>
      </c>
      <c r="H50" s="49" t="s">
        <v>677</v>
      </c>
      <c r="I50" s="49" t="s">
        <v>678</v>
      </c>
      <c r="J50" s="49" t="s">
        <v>679</v>
      </c>
      <c r="K50" s="49" t="s">
        <v>680</v>
      </c>
      <c r="L50" s="49" t="s">
        <v>699</v>
      </c>
      <c r="M50" s="49">
        <v>1</v>
      </c>
      <c r="N50" s="49" t="s">
        <v>128</v>
      </c>
      <c r="O50" s="49" t="s">
        <v>665</v>
      </c>
      <c r="P50" s="49" t="s">
        <v>746</v>
      </c>
      <c r="Q50" s="49" t="s">
        <v>683</v>
      </c>
      <c r="R50" s="49" t="s">
        <v>293</v>
      </c>
      <c r="S50" s="49" t="s">
        <v>755</v>
      </c>
      <c r="T50" s="49" t="s">
        <v>1821</v>
      </c>
      <c r="U50" s="49" t="s">
        <v>1824</v>
      </c>
      <c r="V50" s="50" t="s">
        <v>1823</v>
      </c>
    </row>
    <row r="51" spans="1:22" x14ac:dyDescent="0.3">
      <c r="A51" s="51" t="s">
        <v>762</v>
      </c>
      <c r="B51" s="52" t="s">
        <v>760</v>
      </c>
      <c r="C51" s="52" t="s">
        <v>763</v>
      </c>
      <c r="D51" s="52" t="s">
        <v>755</v>
      </c>
      <c r="E51" s="52" t="s">
        <v>674</v>
      </c>
      <c r="F51" s="52" t="s">
        <v>716</v>
      </c>
      <c r="G51" s="52" t="s">
        <v>744</v>
      </c>
      <c r="H51" s="52" t="s">
        <v>677</v>
      </c>
      <c r="I51" s="49" t="s">
        <v>678</v>
      </c>
      <c r="J51" s="52" t="s">
        <v>679</v>
      </c>
      <c r="K51" s="52" t="s">
        <v>680</v>
      </c>
      <c r="L51" s="52" t="s">
        <v>699</v>
      </c>
      <c r="M51" s="52">
        <v>1</v>
      </c>
      <c r="N51" s="52" t="s">
        <v>389</v>
      </c>
      <c r="O51" s="52" t="s">
        <v>665</v>
      </c>
      <c r="P51" s="52" t="s">
        <v>746</v>
      </c>
      <c r="Q51" s="52" t="s">
        <v>683</v>
      </c>
      <c r="R51" s="52" t="s">
        <v>293</v>
      </c>
      <c r="S51" s="49" t="s">
        <v>755</v>
      </c>
      <c r="T51" s="52" t="s">
        <v>1821</v>
      </c>
      <c r="U51" s="52" t="s">
        <v>1824</v>
      </c>
      <c r="V51" s="50" t="s">
        <v>1823</v>
      </c>
    </row>
    <row r="52" spans="1:22" x14ac:dyDescent="0.3">
      <c r="A52" s="48" t="s">
        <v>762</v>
      </c>
      <c r="B52" s="49" t="s">
        <v>760</v>
      </c>
      <c r="C52" s="49" t="s">
        <v>763</v>
      </c>
      <c r="D52" s="49" t="s">
        <v>755</v>
      </c>
      <c r="E52" s="49" t="s">
        <v>674</v>
      </c>
      <c r="F52" s="49" t="s">
        <v>716</v>
      </c>
      <c r="G52" s="49" t="s">
        <v>744</v>
      </c>
      <c r="H52" s="49" t="s">
        <v>677</v>
      </c>
      <c r="I52" s="49" t="s">
        <v>678</v>
      </c>
      <c r="J52" s="49" t="s">
        <v>679</v>
      </c>
      <c r="K52" s="49" t="s">
        <v>680</v>
      </c>
      <c r="L52" s="49" t="s">
        <v>699</v>
      </c>
      <c r="M52" s="49">
        <v>1</v>
      </c>
      <c r="N52" s="49" t="s">
        <v>545</v>
      </c>
      <c r="O52" s="49" t="s">
        <v>665</v>
      </c>
      <c r="P52" s="49" t="s">
        <v>746</v>
      </c>
      <c r="Q52" s="49" t="s">
        <v>683</v>
      </c>
      <c r="R52" s="49" t="s">
        <v>293</v>
      </c>
      <c r="S52" s="49" t="s">
        <v>755</v>
      </c>
      <c r="T52" s="49" t="s">
        <v>1821</v>
      </c>
      <c r="U52" s="49" t="s">
        <v>1824</v>
      </c>
      <c r="V52" s="50" t="s">
        <v>1823</v>
      </c>
    </row>
    <row r="53" spans="1:22" x14ac:dyDescent="0.3">
      <c r="A53" s="51" t="s">
        <v>762</v>
      </c>
      <c r="B53" s="52" t="s">
        <v>760</v>
      </c>
      <c r="C53" s="52" t="s">
        <v>763</v>
      </c>
      <c r="D53" s="52" t="s">
        <v>755</v>
      </c>
      <c r="E53" s="52" t="s">
        <v>674</v>
      </c>
      <c r="F53" s="52" t="s">
        <v>716</v>
      </c>
      <c r="G53" s="52" t="s">
        <v>744</v>
      </c>
      <c r="H53" s="52" t="s">
        <v>677</v>
      </c>
      <c r="I53" s="49" t="s">
        <v>678</v>
      </c>
      <c r="J53" s="52" t="s">
        <v>679</v>
      </c>
      <c r="K53" s="52" t="s">
        <v>680</v>
      </c>
      <c r="L53" s="52" t="s">
        <v>699</v>
      </c>
      <c r="M53" s="52">
        <v>1</v>
      </c>
      <c r="N53" s="52" t="s">
        <v>593</v>
      </c>
      <c r="O53" s="52" t="s">
        <v>665</v>
      </c>
      <c r="P53" s="52" t="s">
        <v>746</v>
      </c>
      <c r="Q53" s="52" t="s">
        <v>683</v>
      </c>
      <c r="R53" s="52" t="s">
        <v>293</v>
      </c>
      <c r="S53" s="49" t="s">
        <v>755</v>
      </c>
      <c r="T53" s="52" t="s">
        <v>1821</v>
      </c>
      <c r="U53" s="52" t="s">
        <v>1824</v>
      </c>
      <c r="V53" s="50" t="s">
        <v>1823</v>
      </c>
    </row>
    <row r="54" spans="1:22" x14ac:dyDescent="0.3">
      <c r="A54" s="48" t="s">
        <v>762</v>
      </c>
      <c r="B54" s="49" t="s">
        <v>760</v>
      </c>
      <c r="C54" s="49" t="s">
        <v>763</v>
      </c>
      <c r="D54" s="49" t="s">
        <v>755</v>
      </c>
      <c r="E54" s="49" t="s">
        <v>674</v>
      </c>
      <c r="F54" s="49" t="s">
        <v>716</v>
      </c>
      <c r="G54" s="49" t="s">
        <v>744</v>
      </c>
      <c r="H54" s="49" t="s">
        <v>677</v>
      </c>
      <c r="I54" s="49" t="s">
        <v>678</v>
      </c>
      <c r="J54" s="49" t="s">
        <v>679</v>
      </c>
      <c r="K54" s="49" t="s">
        <v>680</v>
      </c>
      <c r="L54" s="49" t="s">
        <v>699</v>
      </c>
      <c r="M54" s="49">
        <v>1</v>
      </c>
      <c r="N54" s="49" t="s">
        <v>91</v>
      </c>
      <c r="O54" s="49" t="s">
        <v>665</v>
      </c>
      <c r="P54" s="49" t="s">
        <v>746</v>
      </c>
      <c r="Q54" s="49" t="s">
        <v>683</v>
      </c>
      <c r="R54" s="49" t="s">
        <v>293</v>
      </c>
      <c r="S54" s="49" t="s">
        <v>755</v>
      </c>
      <c r="T54" s="49" t="s">
        <v>1821</v>
      </c>
      <c r="U54" s="49" t="s">
        <v>1824</v>
      </c>
      <c r="V54" s="50" t="s">
        <v>1823</v>
      </c>
    </row>
    <row r="55" spans="1:22" x14ac:dyDescent="0.3">
      <c r="A55" s="51" t="s">
        <v>762</v>
      </c>
      <c r="B55" s="52" t="s">
        <v>760</v>
      </c>
      <c r="C55" s="52" t="s">
        <v>763</v>
      </c>
      <c r="D55" s="52" t="s">
        <v>755</v>
      </c>
      <c r="E55" s="52" t="s">
        <v>674</v>
      </c>
      <c r="F55" s="52" t="s">
        <v>716</v>
      </c>
      <c r="G55" s="52" t="s">
        <v>744</v>
      </c>
      <c r="H55" s="52" t="s">
        <v>677</v>
      </c>
      <c r="I55" s="49" t="s">
        <v>678</v>
      </c>
      <c r="J55" s="52" t="s">
        <v>679</v>
      </c>
      <c r="K55" s="52" t="s">
        <v>680</v>
      </c>
      <c r="L55" s="52" t="s">
        <v>699</v>
      </c>
      <c r="M55" s="52">
        <v>1</v>
      </c>
      <c r="N55" s="52" t="s">
        <v>379</v>
      </c>
      <c r="O55" s="52" t="s">
        <v>665</v>
      </c>
      <c r="P55" s="52" t="s">
        <v>746</v>
      </c>
      <c r="Q55" s="52" t="s">
        <v>683</v>
      </c>
      <c r="R55" s="52" t="s">
        <v>293</v>
      </c>
      <c r="S55" s="49" t="s">
        <v>755</v>
      </c>
      <c r="T55" s="52" t="s">
        <v>1821</v>
      </c>
      <c r="U55" s="52" t="s">
        <v>1824</v>
      </c>
      <c r="V55" s="50" t="s">
        <v>1823</v>
      </c>
    </row>
    <row r="56" spans="1:22" x14ac:dyDescent="0.3">
      <c r="A56" s="48" t="s">
        <v>772</v>
      </c>
      <c r="B56" s="49" t="s">
        <v>707</v>
      </c>
      <c r="C56" s="49" t="s">
        <v>773</v>
      </c>
      <c r="D56" s="49" t="s">
        <v>755</v>
      </c>
      <c r="E56" s="49" t="s">
        <v>674</v>
      </c>
      <c r="F56" s="49" t="s">
        <v>773</v>
      </c>
      <c r="G56" s="49" t="s">
        <v>773</v>
      </c>
      <c r="H56" s="49" t="s">
        <v>773</v>
      </c>
      <c r="I56" s="49" t="s">
        <v>773</v>
      </c>
      <c r="J56" s="49" t="s">
        <v>774</v>
      </c>
      <c r="K56" s="49" t="s">
        <v>680</v>
      </c>
      <c r="L56" s="49" t="s">
        <v>699</v>
      </c>
      <c r="M56" s="49">
        <v>1</v>
      </c>
      <c r="N56" s="49" t="s">
        <v>455</v>
      </c>
      <c r="O56" s="49" t="s">
        <v>665</v>
      </c>
      <c r="P56" s="49" t="s">
        <v>746</v>
      </c>
      <c r="Q56" s="49" t="s">
        <v>683</v>
      </c>
      <c r="R56" s="49" t="s">
        <v>293</v>
      </c>
      <c r="S56" s="49" t="s">
        <v>755</v>
      </c>
      <c r="T56" s="49" t="s">
        <v>1821</v>
      </c>
      <c r="U56" s="49" t="s">
        <v>1824</v>
      </c>
      <c r="V56" s="50" t="s">
        <v>1823</v>
      </c>
    </row>
    <row r="57" spans="1:22" x14ac:dyDescent="0.3">
      <c r="A57" s="51" t="s">
        <v>762</v>
      </c>
      <c r="B57" s="52" t="s">
        <v>760</v>
      </c>
      <c r="C57" s="52" t="s">
        <v>763</v>
      </c>
      <c r="D57" s="52" t="s">
        <v>755</v>
      </c>
      <c r="E57" s="52" t="s">
        <v>674</v>
      </c>
      <c r="F57" s="52" t="s">
        <v>716</v>
      </c>
      <c r="G57" s="52" t="s">
        <v>744</v>
      </c>
      <c r="H57" s="52" t="s">
        <v>677</v>
      </c>
      <c r="I57" s="49" t="s">
        <v>678</v>
      </c>
      <c r="J57" s="52" t="s">
        <v>679</v>
      </c>
      <c r="K57" s="52" t="s">
        <v>680</v>
      </c>
      <c r="L57" s="52" t="s">
        <v>699</v>
      </c>
      <c r="M57" s="52">
        <v>0.5</v>
      </c>
      <c r="N57" s="52" t="s">
        <v>42</v>
      </c>
      <c r="O57" s="52" t="s">
        <v>665</v>
      </c>
      <c r="P57" s="52" t="s">
        <v>746</v>
      </c>
      <c r="Q57" s="52" t="s">
        <v>683</v>
      </c>
      <c r="R57" s="52" t="s">
        <v>293</v>
      </c>
      <c r="S57" s="49" t="s">
        <v>755</v>
      </c>
      <c r="T57" s="52" t="s">
        <v>1821</v>
      </c>
      <c r="U57" s="52" t="s">
        <v>1824</v>
      </c>
      <c r="V57" s="50" t="s">
        <v>1823</v>
      </c>
    </row>
    <row r="58" spans="1:22" x14ac:dyDescent="0.3">
      <c r="A58" s="48" t="s">
        <v>762</v>
      </c>
      <c r="B58" s="49" t="s">
        <v>760</v>
      </c>
      <c r="C58" s="49" t="s">
        <v>763</v>
      </c>
      <c r="D58" s="49" t="s">
        <v>755</v>
      </c>
      <c r="E58" s="49" t="s">
        <v>674</v>
      </c>
      <c r="F58" s="49" t="s">
        <v>716</v>
      </c>
      <c r="G58" s="49" t="s">
        <v>744</v>
      </c>
      <c r="H58" s="49" t="s">
        <v>677</v>
      </c>
      <c r="I58" s="49" t="s">
        <v>678</v>
      </c>
      <c r="J58" s="49" t="s">
        <v>679</v>
      </c>
      <c r="K58" s="49" t="s">
        <v>680</v>
      </c>
      <c r="L58" s="49" t="s">
        <v>699</v>
      </c>
      <c r="M58" s="49">
        <v>1</v>
      </c>
      <c r="N58" s="49" t="s">
        <v>564</v>
      </c>
      <c r="O58" s="49" t="s">
        <v>767</v>
      </c>
      <c r="P58" s="52" t="s">
        <v>746</v>
      </c>
      <c r="Q58" s="49" t="s">
        <v>683</v>
      </c>
      <c r="R58" s="49" t="s">
        <v>293</v>
      </c>
      <c r="S58" s="49" t="s">
        <v>755</v>
      </c>
      <c r="T58" s="49" t="s">
        <v>1821</v>
      </c>
      <c r="U58" s="49" t="s">
        <v>1824</v>
      </c>
      <c r="V58" s="50" t="s">
        <v>1823</v>
      </c>
    </row>
    <row r="59" spans="1:22" x14ac:dyDescent="0.3">
      <c r="A59" s="51" t="s">
        <v>752</v>
      </c>
      <c r="B59" s="52" t="s">
        <v>753</v>
      </c>
      <c r="C59" s="52" t="s">
        <v>754</v>
      </c>
      <c r="D59" s="52" t="s">
        <v>755</v>
      </c>
      <c r="E59" s="52" t="s">
        <v>674</v>
      </c>
      <c r="F59" s="52" t="s">
        <v>716</v>
      </c>
      <c r="G59" s="52" t="s">
        <v>744</v>
      </c>
      <c r="H59" s="52" t="s">
        <v>677</v>
      </c>
      <c r="I59" s="49" t="s">
        <v>678</v>
      </c>
      <c r="J59" s="52" t="s">
        <v>679</v>
      </c>
      <c r="K59" s="52" t="s">
        <v>680</v>
      </c>
      <c r="L59" s="52" t="s">
        <v>699</v>
      </c>
      <c r="M59" s="52">
        <v>1</v>
      </c>
      <c r="N59" s="52" t="s">
        <v>245</v>
      </c>
      <c r="O59" s="52" t="s">
        <v>665</v>
      </c>
      <c r="P59" s="52" t="s">
        <v>746</v>
      </c>
      <c r="Q59" s="52" t="s">
        <v>683</v>
      </c>
      <c r="R59" s="52" t="s">
        <v>285</v>
      </c>
      <c r="S59" s="49" t="s">
        <v>755</v>
      </c>
      <c r="T59" s="52" t="s">
        <v>1821</v>
      </c>
      <c r="U59" s="52" t="s">
        <v>1824</v>
      </c>
      <c r="V59" s="50" t="s">
        <v>1823</v>
      </c>
    </row>
    <row r="60" spans="1:22" x14ac:dyDescent="0.3">
      <c r="A60" s="48" t="s">
        <v>762</v>
      </c>
      <c r="B60" s="49" t="s">
        <v>760</v>
      </c>
      <c r="C60" s="49" t="s">
        <v>763</v>
      </c>
      <c r="D60" s="49" t="s">
        <v>755</v>
      </c>
      <c r="E60" s="49" t="s">
        <v>674</v>
      </c>
      <c r="F60" s="49" t="s">
        <v>716</v>
      </c>
      <c r="G60" s="49" t="s">
        <v>744</v>
      </c>
      <c r="H60" s="49" t="s">
        <v>677</v>
      </c>
      <c r="I60" s="49" t="s">
        <v>678</v>
      </c>
      <c r="J60" s="49" t="s">
        <v>679</v>
      </c>
      <c r="K60" s="49" t="s">
        <v>680</v>
      </c>
      <c r="L60" s="49" t="s">
        <v>699</v>
      </c>
      <c r="M60" s="49">
        <v>1</v>
      </c>
      <c r="N60" s="49" t="s">
        <v>360</v>
      </c>
      <c r="O60" s="49" t="s">
        <v>665</v>
      </c>
      <c r="P60" s="49" t="s">
        <v>746</v>
      </c>
      <c r="Q60" s="49" t="s">
        <v>683</v>
      </c>
      <c r="R60" s="49" t="s">
        <v>293</v>
      </c>
      <c r="S60" s="49" t="s">
        <v>755</v>
      </c>
      <c r="T60" s="49" t="s">
        <v>1821</v>
      </c>
      <c r="U60" s="49" t="s">
        <v>1824</v>
      </c>
      <c r="V60" s="50" t="s">
        <v>1823</v>
      </c>
    </row>
    <row r="61" spans="1:22" x14ac:dyDescent="0.3">
      <c r="A61" s="51" t="s">
        <v>777</v>
      </c>
      <c r="B61" s="52" t="s">
        <v>178</v>
      </c>
      <c r="C61" s="52" t="s">
        <v>778</v>
      </c>
      <c r="D61" s="52" t="s">
        <v>673</v>
      </c>
      <c r="E61" s="52" t="s">
        <v>674</v>
      </c>
      <c r="F61" s="52" t="s">
        <v>675</v>
      </c>
      <c r="G61" s="52" t="s">
        <v>676</v>
      </c>
      <c r="H61" s="52" t="s">
        <v>677</v>
      </c>
      <c r="I61" s="49" t="s">
        <v>678</v>
      </c>
      <c r="J61" s="52" t="s">
        <v>710</v>
      </c>
      <c r="K61" s="52" t="s">
        <v>690</v>
      </c>
      <c r="L61" s="52" t="s">
        <v>739</v>
      </c>
      <c r="M61" s="52">
        <v>0.5</v>
      </c>
      <c r="N61" s="52" t="s">
        <v>76</v>
      </c>
      <c r="O61" s="52" t="s">
        <v>665</v>
      </c>
      <c r="P61" s="52" t="s">
        <v>682</v>
      </c>
      <c r="Q61" s="52" t="s">
        <v>683</v>
      </c>
      <c r="R61" s="52" t="s">
        <v>217</v>
      </c>
      <c r="S61" s="49" t="s">
        <v>684</v>
      </c>
      <c r="T61" s="52" t="s">
        <v>1821</v>
      </c>
      <c r="U61" s="52" t="s">
        <v>1824</v>
      </c>
      <c r="V61" s="50" t="s">
        <v>1823</v>
      </c>
    </row>
    <row r="62" spans="1:22" x14ac:dyDescent="0.3">
      <c r="A62" s="48" t="s">
        <v>779</v>
      </c>
      <c r="B62" s="49" t="s">
        <v>704</v>
      </c>
      <c r="C62" s="49" t="s">
        <v>780</v>
      </c>
      <c r="D62" s="49" t="s">
        <v>673</v>
      </c>
      <c r="E62" s="49" t="s">
        <v>674</v>
      </c>
      <c r="F62" s="49" t="s">
        <v>675</v>
      </c>
      <c r="G62" s="49" t="s">
        <v>676</v>
      </c>
      <c r="H62" s="49" t="s">
        <v>677</v>
      </c>
      <c r="I62" s="49" t="s">
        <v>678</v>
      </c>
      <c r="J62" s="49" t="s">
        <v>679</v>
      </c>
      <c r="K62" s="49" t="s">
        <v>680</v>
      </c>
      <c r="L62" s="49" t="s">
        <v>681</v>
      </c>
      <c r="M62" s="49">
        <v>0.4</v>
      </c>
      <c r="N62" s="49" t="s">
        <v>176</v>
      </c>
      <c r="O62" s="49" t="s">
        <v>665</v>
      </c>
      <c r="P62" s="49" t="s">
        <v>682</v>
      </c>
      <c r="Q62" s="49" t="s">
        <v>683</v>
      </c>
      <c r="R62" s="49" t="s">
        <v>217</v>
      </c>
      <c r="S62" s="49" t="s">
        <v>684</v>
      </c>
      <c r="T62" s="49" t="s">
        <v>1821</v>
      </c>
      <c r="U62" s="49" t="s">
        <v>1824</v>
      </c>
      <c r="V62" s="50" t="s">
        <v>1823</v>
      </c>
    </row>
    <row r="63" spans="1:22" x14ac:dyDescent="0.3">
      <c r="A63" s="51" t="s">
        <v>781</v>
      </c>
      <c r="B63" s="52" t="s">
        <v>686</v>
      </c>
      <c r="C63" s="52" t="s">
        <v>782</v>
      </c>
      <c r="D63" s="52" t="s">
        <v>673</v>
      </c>
      <c r="E63" s="52" t="s">
        <v>674</v>
      </c>
      <c r="F63" s="52" t="s">
        <v>675</v>
      </c>
      <c r="G63" s="52" t="s">
        <v>724</v>
      </c>
      <c r="H63" s="52" t="s">
        <v>677</v>
      </c>
      <c r="I63" s="49" t="s">
        <v>678</v>
      </c>
      <c r="J63" s="52" t="s">
        <v>689</v>
      </c>
      <c r="K63" s="52" t="s">
        <v>690</v>
      </c>
      <c r="L63" s="52" t="s">
        <v>681</v>
      </c>
      <c r="M63" s="52">
        <v>0.2</v>
      </c>
      <c r="N63" s="52" t="s">
        <v>206</v>
      </c>
      <c r="O63" s="52" t="s">
        <v>665</v>
      </c>
      <c r="P63" s="52" t="s">
        <v>682</v>
      </c>
      <c r="Q63" s="52" t="s">
        <v>683</v>
      </c>
      <c r="R63" s="52" t="s">
        <v>217</v>
      </c>
      <c r="S63" s="49" t="s">
        <v>684</v>
      </c>
      <c r="T63" s="52" t="s">
        <v>1821</v>
      </c>
      <c r="U63" s="52" t="s">
        <v>1824</v>
      </c>
      <c r="V63" s="50" t="s">
        <v>1823</v>
      </c>
    </row>
    <row r="64" spans="1:22" x14ac:dyDescent="0.3">
      <c r="A64" s="48" t="s">
        <v>783</v>
      </c>
      <c r="B64" s="49" t="s">
        <v>784</v>
      </c>
      <c r="C64" s="49" t="s">
        <v>785</v>
      </c>
      <c r="D64" s="49" t="s">
        <v>673</v>
      </c>
      <c r="E64" s="49" t="s">
        <v>674</v>
      </c>
      <c r="F64" s="49" t="s">
        <v>675</v>
      </c>
      <c r="G64" s="49" t="s">
        <v>676</v>
      </c>
      <c r="H64" s="49" t="s">
        <v>702</v>
      </c>
      <c r="I64" s="49" t="s">
        <v>678</v>
      </c>
      <c r="J64" s="49" t="s">
        <v>751</v>
      </c>
      <c r="K64" s="49" t="s">
        <v>690</v>
      </c>
      <c r="L64" s="49" t="s">
        <v>681</v>
      </c>
      <c r="M64" s="49">
        <v>0.6</v>
      </c>
      <c r="N64" s="49" t="s">
        <v>248</v>
      </c>
      <c r="O64" s="49" t="s">
        <v>665</v>
      </c>
      <c r="P64" s="49" t="s">
        <v>682</v>
      </c>
      <c r="Q64" s="49" t="s">
        <v>683</v>
      </c>
      <c r="R64" s="49" t="s">
        <v>217</v>
      </c>
      <c r="S64" s="49" t="s">
        <v>684</v>
      </c>
      <c r="T64" s="49" t="s">
        <v>1821</v>
      </c>
      <c r="U64" s="49" t="s">
        <v>1824</v>
      </c>
      <c r="V64" s="50" t="s">
        <v>1823</v>
      </c>
    </row>
    <row r="65" spans="1:22" x14ac:dyDescent="0.3">
      <c r="A65" s="51" t="s">
        <v>786</v>
      </c>
      <c r="B65" s="52" t="s">
        <v>704</v>
      </c>
      <c r="C65" s="52" t="s">
        <v>787</v>
      </c>
      <c r="D65" s="52" t="s">
        <v>673</v>
      </c>
      <c r="E65" s="52" t="s">
        <v>674</v>
      </c>
      <c r="F65" s="52" t="s">
        <v>675</v>
      </c>
      <c r="G65" s="52" t="s">
        <v>676</v>
      </c>
      <c r="H65" s="52" t="s">
        <v>677</v>
      </c>
      <c r="I65" s="49" t="s">
        <v>688</v>
      </c>
      <c r="J65" s="52" t="s">
        <v>679</v>
      </c>
      <c r="K65" s="52" t="s">
        <v>680</v>
      </c>
      <c r="L65" s="52" t="s">
        <v>681</v>
      </c>
      <c r="M65" s="52">
        <v>0.3</v>
      </c>
      <c r="N65" s="52" t="s">
        <v>249</v>
      </c>
      <c r="O65" s="52" t="s">
        <v>665</v>
      </c>
      <c r="P65" s="52" t="s">
        <v>682</v>
      </c>
      <c r="Q65" s="52" t="s">
        <v>683</v>
      </c>
      <c r="R65" s="52" t="s">
        <v>217</v>
      </c>
      <c r="S65" s="49" t="s">
        <v>684</v>
      </c>
      <c r="T65" s="52" t="s">
        <v>1821</v>
      </c>
      <c r="U65" s="52" t="s">
        <v>1824</v>
      </c>
      <c r="V65" s="50" t="s">
        <v>1823</v>
      </c>
    </row>
    <row r="66" spans="1:22" x14ac:dyDescent="0.3">
      <c r="A66" s="48" t="s">
        <v>788</v>
      </c>
      <c r="B66" s="49" t="s">
        <v>178</v>
      </c>
      <c r="C66" s="49" t="s">
        <v>789</v>
      </c>
      <c r="D66" s="49" t="s">
        <v>673</v>
      </c>
      <c r="E66" s="49" t="s">
        <v>674</v>
      </c>
      <c r="F66" s="49" t="s">
        <v>675</v>
      </c>
      <c r="G66" s="49" t="s">
        <v>676</v>
      </c>
      <c r="H66" s="49" t="s">
        <v>677</v>
      </c>
      <c r="I66" s="49" t="s">
        <v>678</v>
      </c>
      <c r="J66" s="49" t="s">
        <v>713</v>
      </c>
      <c r="K66" s="49" t="s">
        <v>690</v>
      </c>
      <c r="L66" s="49" t="s">
        <v>681</v>
      </c>
      <c r="M66" s="49">
        <v>1</v>
      </c>
      <c r="N66" s="49" t="s">
        <v>171</v>
      </c>
      <c r="O66" s="49" t="s">
        <v>665</v>
      </c>
      <c r="P66" s="49" t="s">
        <v>682</v>
      </c>
      <c r="Q66" s="49" t="s">
        <v>683</v>
      </c>
      <c r="R66" s="49" t="s">
        <v>447</v>
      </c>
      <c r="S66" s="52" t="s">
        <v>673</v>
      </c>
      <c r="T66" s="49" t="s">
        <v>1821</v>
      </c>
      <c r="U66" s="49" t="s">
        <v>1824</v>
      </c>
      <c r="V66" s="50" t="s">
        <v>1823</v>
      </c>
    </row>
    <row r="67" spans="1:22" x14ac:dyDescent="0.3">
      <c r="A67" s="51" t="s">
        <v>732</v>
      </c>
      <c r="B67" s="52" t="s">
        <v>178</v>
      </c>
      <c r="C67" s="52" t="s">
        <v>733</v>
      </c>
      <c r="D67" s="52" t="s">
        <v>673</v>
      </c>
      <c r="E67" s="52" t="s">
        <v>674</v>
      </c>
      <c r="F67" s="52" t="s">
        <v>675</v>
      </c>
      <c r="G67" s="52" t="s">
        <v>676</v>
      </c>
      <c r="H67" s="52" t="s">
        <v>677</v>
      </c>
      <c r="I67" s="49" t="s">
        <v>678</v>
      </c>
      <c r="J67" s="52" t="s">
        <v>679</v>
      </c>
      <c r="K67" s="52" t="s">
        <v>680</v>
      </c>
      <c r="L67" s="52" t="s">
        <v>699</v>
      </c>
      <c r="M67" s="52">
        <v>0.4</v>
      </c>
      <c r="N67" s="52" t="s">
        <v>199</v>
      </c>
      <c r="O67" s="52" t="s">
        <v>665</v>
      </c>
      <c r="P67" s="52" t="s">
        <v>682</v>
      </c>
      <c r="Q67" s="52" t="s">
        <v>683</v>
      </c>
      <c r="R67" s="52" t="s">
        <v>447</v>
      </c>
      <c r="S67" s="52" t="s">
        <v>673</v>
      </c>
      <c r="T67" s="52" t="s">
        <v>1821</v>
      </c>
      <c r="U67" s="52" t="s">
        <v>1824</v>
      </c>
      <c r="V67" s="50" t="s">
        <v>1823</v>
      </c>
    </row>
    <row r="68" spans="1:22" x14ac:dyDescent="0.3">
      <c r="A68" s="48" t="s">
        <v>793</v>
      </c>
      <c r="B68" s="49" t="s">
        <v>178</v>
      </c>
      <c r="C68" s="49" t="s">
        <v>794</v>
      </c>
      <c r="D68" s="49" t="s">
        <v>673</v>
      </c>
      <c r="E68" s="49" t="s">
        <v>674</v>
      </c>
      <c r="F68" s="49" t="s">
        <v>675</v>
      </c>
      <c r="G68" s="49" t="s">
        <v>676</v>
      </c>
      <c r="H68" s="49" t="s">
        <v>702</v>
      </c>
      <c r="I68" s="49" t="s">
        <v>688</v>
      </c>
      <c r="J68" s="49" t="s">
        <v>713</v>
      </c>
      <c r="K68" s="49" t="s">
        <v>690</v>
      </c>
      <c r="L68" s="49" t="s">
        <v>699</v>
      </c>
      <c r="M68" s="49">
        <v>1</v>
      </c>
      <c r="N68" s="49" t="s">
        <v>200</v>
      </c>
      <c r="O68" s="49" t="s">
        <v>665</v>
      </c>
      <c r="P68" s="49" t="s">
        <v>682</v>
      </c>
      <c r="Q68" s="49" t="s">
        <v>683</v>
      </c>
      <c r="R68" s="49" t="s">
        <v>447</v>
      </c>
      <c r="S68" s="52" t="s">
        <v>673</v>
      </c>
      <c r="T68" s="49" t="s">
        <v>1821</v>
      </c>
      <c r="U68" s="49" t="s">
        <v>1824</v>
      </c>
      <c r="V68" s="50" t="s">
        <v>1823</v>
      </c>
    </row>
    <row r="69" spans="1:22" x14ac:dyDescent="0.3">
      <c r="A69" s="51" t="s">
        <v>793</v>
      </c>
      <c r="B69" s="52" t="s">
        <v>178</v>
      </c>
      <c r="C69" s="52" t="s">
        <v>794</v>
      </c>
      <c r="D69" s="52" t="s">
        <v>673</v>
      </c>
      <c r="E69" s="52" t="s">
        <v>674</v>
      </c>
      <c r="F69" s="52" t="s">
        <v>675</v>
      </c>
      <c r="G69" s="52" t="s">
        <v>676</v>
      </c>
      <c r="H69" s="52" t="s">
        <v>702</v>
      </c>
      <c r="I69" s="49" t="s">
        <v>688</v>
      </c>
      <c r="J69" s="52" t="s">
        <v>713</v>
      </c>
      <c r="K69" s="52" t="s">
        <v>690</v>
      </c>
      <c r="L69" s="52" t="s">
        <v>699</v>
      </c>
      <c r="M69" s="52">
        <v>1</v>
      </c>
      <c r="N69" s="52" t="s">
        <v>431</v>
      </c>
      <c r="O69" s="52" t="s">
        <v>665</v>
      </c>
      <c r="P69" s="52" t="s">
        <v>682</v>
      </c>
      <c r="Q69" s="52" t="s">
        <v>683</v>
      </c>
      <c r="R69" s="52" t="s">
        <v>447</v>
      </c>
      <c r="S69" s="52" t="s">
        <v>673</v>
      </c>
      <c r="T69" s="52" t="s">
        <v>1821</v>
      </c>
      <c r="U69" s="52" t="s">
        <v>1824</v>
      </c>
      <c r="V69" s="50" t="s">
        <v>1823</v>
      </c>
    </row>
    <row r="70" spans="1:22" x14ac:dyDescent="0.3">
      <c r="A70" s="48" t="s">
        <v>793</v>
      </c>
      <c r="B70" s="49" t="s">
        <v>178</v>
      </c>
      <c r="C70" s="49" t="s">
        <v>794</v>
      </c>
      <c r="D70" s="49" t="s">
        <v>673</v>
      </c>
      <c r="E70" s="49" t="s">
        <v>674</v>
      </c>
      <c r="F70" s="49" t="s">
        <v>675</v>
      </c>
      <c r="G70" s="49" t="s">
        <v>676</v>
      </c>
      <c r="H70" s="49" t="s">
        <v>702</v>
      </c>
      <c r="I70" s="49" t="s">
        <v>688</v>
      </c>
      <c r="J70" s="49" t="s">
        <v>713</v>
      </c>
      <c r="K70" s="49" t="s">
        <v>690</v>
      </c>
      <c r="L70" s="49" t="s">
        <v>699</v>
      </c>
      <c r="M70" s="49">
        <v>1</v>
      </c>
      <c r="N70" s="49" t="s">
        <v>618</v>
      </c>
      <c r="O70" s="49" t="s">
        <v>665</v>
      </c>
      <c r="P70" s="49" t="s">
        <v>682</v>
      </c>
      <c r="Q70" s="49" t="s">
        <v>683</v>
      </c>
      <c r="R70" s="49" t="s">
        <v>447</v>
      </c>
      <c r="S70" s="52" t="s">
        <v>673</v>
      </c>
      <c r="T70" s="49" t="s">
        <v>1821</v>
      </c>
      <c r="U70" s="49" t="s">
        <v>1824</v>
      </c>
      <c r="V70" s="50" t="s">
        <v>1823</v>
      </c>
    </row>
    <row r="71" spans="1:22" x14ac:dyDescent="0.3">
      <c r="A71" s="51" t="s">
        <v>795</v>
      </c>
      <c r="B71" s="52" t="s">
        <v>544</v>
      </c>
      <c r="C71" s="52" t="s">
        <v>796</v>
      </c>
      <c r="D71" s="52" t="s">
        <v>684</v>
      </c>
      <c r="E71" s="52" t="s">
        <v>674</v>
      </c>
      <c r="F71" s="52" t="s">
        <v>734</v>
      </c>
      <c r="G71" s="52" t="s">
        <v>735</v>
      </c>
      <c r="H71" s="52" t="s">
        <v>735</v>
      </c>
      <c r="I71" s="52" t="s">
        <v>736</v>
      </c>
      <c r="J71" s="52" t="s">
        <v>737</v>
      </c>
      <c r="K71" s="52" t="s">
        <v>738</v>
      </c>
      <c r="L71" s="52" t="s">
        <v>681</v>
      </c>
      <c r="M71" s="52">
        <v>0.1</v>
      </c>
      <c r="N71" s="52" t="s">
        <v>41</v>
      </c>
      <c r="O71" s="52" t="s">
        <v>665</v>
      </c>
      <c r="P71" s="52" t="s">
        <v>682</v>
      </c>
      <c r="Q71" s="52" t="s">
        <v>683</v>
      </c>
      <c r="R71" s="52" t="s">
        <v>217</v>
      </c>
      <c r="S71" s="49" t="s">
        <v>684</v>
      </c>
      <c r="T71" s="52" t="s">
        <v>1821</v>
      </c>
      <c r="U71" s="52" t="s">
        <v>1824</v>
      </c>
      <c r="V71" s="50" t="s">
        <v>1823</v>
      </c>
    </row>
    <row r="72" spans="1:22" x14ac:dyDescent="0.3">
      <c r="A72" s="48" t="s">
        <v>797</v>
      </c>
      <c r="B72" s="49" t="s">
        <v>544</v>
      </c>
      <c r="C72" s="49" t="s">
        <v>798</v>
      </c>
      <c r="D72" s="49" t="s">
        <v>684</v>
      </c>
      <c r="E72" s="49" t="s">
        <v>674</v>
      </c>
      <c r="F72" s="49" t="s">
        <v>716</v>
      </c>
      <c r="G72" s="49" t="s">
        <v>744</v>
      </c>
      <c r="H72" s="49" t="s">
        <v>702</v>
      </c>
      <c r="I72" s="49" t="s">
        <v>736</v>
      </c>
      <c r="J72" s="49" t="s">
        <v>737</v>
      </c>
      <c r="K72" s="49" t="s">
        <v>738</v>
      </c>
      <c r="L72" s="49" t="s">
        <v>699</v>
      </c>
      <c r="M72" s="49">
        <v>0.1</v>
      </c>
      <c r="N72" s="49" t="s">
        <v>41</v>
      </c>
      <c r="O72" s="49" t="s">
        <v>665</v>
      </c>
      <c r="P72" s="49" t="s">
        <v>682</v>
      </c>
      <c r="Q72" s="49" t="s">
        <v>683</v>
      </c>
      <c r="R72" s="49" t="s">
        <v>217</v>
      </c>
      <c r="S72" s="49" t="s">
        <v>684</v>
      </c>
      <c r="T72" s="49" t="s">
        <v>1821</v>
      </c>
      <c r="U72" s="49" t="s">
        <v>1824</v>
      </c>
      <c r="V72" s="50" t="s">
        <v>1823</v>
      </c>
    </row>
    <row r="73" spans="1:22" x14ac:dyDescent="0.3">
      <c r="A73" s="51" t="s">
        <v>802</v>
      </c>
      <c r="B73" s="52" t="s">
        <v>704</v>
      </c>
      <c r="C73" s="52" t="s">
        <v>803</v>
      </c>
      <c r="D73" s="52" t="s">
        <v>673</v>
      </c>
      <c r="E73" s="52" t="s">
        <v>674</v>
      </c>
      <c r="F73" s="52" t="s">
        <v>675</v>
      </c>
      <c r="G73" s="52" t="s">
        <v>676</v>
      </c>
      <c r="H73" s="52" t="s">
        <v>677</v>
      </c>
      <c r="I73" s="49" t="s">
        <v>678</v>
      </c>
      <c r="J73" s="52" t="s">
        <v>710</v>
      </c>
      <c r="K73" s="52" t="s">
        <v>690</v>
      </c>
      <c r="L73" s="52" t="s">
        <v>681</v>
      </c>
      <c r="M73" s="52">
        <v>1</v>
      </c>
      <c r="N73" s="52" t="s">
        <v>225</v>
      </c>
      <c r="O73" s="52" t="s">
        <v>665</v>
      </c>
      <c r="P73" s="52" t="s">
        <v>682</v>
      </c>
      <c r="Q73" s="52" t="s">
        <v>683</v>
      </c>
      <c r="R73" s="52" t="s">
        <v>447</v>
      </c>
      <c r="S73" s="52" t="s">
        <v>673</v>
      </c>
      <c r="T73" s="52" t="s">
        <v>1821</v>
      </c>
      <c r="U73" s="52" t="s">
        <v>1824</v>
      </c>
      <c r="V73" s="50" t="s">
        <v>1823</v>
      </c>
    </row>
    <row r="74" spans="1:22" x14ac:dyDescent="0.3">
      <c r="A74" s="48" t="s">
        <v>793</v>
      </c>
      <c r="B74" s="49" t="s">
        <v>178</v>
      </c>
      <c r="C74" s="49" t="s">
        <v>794</v>
      </c>
      <c r="D74" s="49" t="s">
        <v>673</v>
      </c>
      <c r="E74" s="49" t="s">
        <v>674</v>
      </c>
      <c r="F74" s="49" t="s">
        <v>675</v>
      </c>
      <c r="G74" s="49" t="s">
        <v>676</v>
      </c>
      <c r="H74" s="49" t="s">
        <v>702</v>
      </c>
      <c r="I74" s="49" t="s">
        <v>688</v>
      </c>
      <c r="J74" s="49" t="s">
        <v>713</v>
      </c>
      <c r="K74" s="49" t="s">
        <v>690</v>
      </c>
      <c r="L74" s="49" t="s">
        <v>699</v>
      </c>
      <c r="M74" s="49">
        <v>0.8</v>
      </c>
      <c r="N74" s="49" t="s">
        <v>642</v>
      </c>
      <c r="O74" s="49" t="s">
        <v>665</v>
      </c>
      <c r="P74" s="49" t="s">
        <v>682</v>
      </c>
      <c r="Q74" s="49" t="s">
        <v>683</v>
      </c>
      <c r="R74" s="49" t="s">
        <v>447</v>
      </c>
      <c r="S74" s="52" t="s">
        <v>673</v>
      </c>
      <c r="T74" s="49" t="s">
        <v>1821</v>
      </c>
      <c r="U74" s="49" t="s">
        <v>1824</v>
      </c>
      <c r="V74" s="50" t="s">
        <v>1823</v>
      </c>
    </row>
    <row r="75" spans="1:22" x14ac:dyDescent="0.3">
      <c r="A75" s="51" t="s">
        <v>692</v>
      </c>
      <c r="B75" s="52" t="s">
        <v>178</v>
      </c>
      <c r="C75" s="52" t="s">
        <v>693</v>
      </c>
      <c r="D75" s="52" t="s">
        <v>673</v>
      </c>
      <c r="E75" s="52" t="s">
        <v>674</v>
      </c>
      <c r="F75" s="52" t="s">
        <v>675</v>
      </c>
      <c r="G75" s="52" t="s">
        <v>676</v>
      </c>
      <c r="H75" s="52" t="s">
        <v>677</v>
      </c>
      <c r="I75" s="49" t="s">
        <v>678</v>
      </c>
      <c r="J75" s="52" t="s">
        <v>679</v>
      </c>
      <c r="K75" s="52" t="s">
        <v>680</v>
      </c>
      <c r="L75" s="52" t="s">
        <v>681</v>
      </c>
      <c r="M75" s="52">
        <v>1</v>
      </c>
      <c r="N75" s="52" t="s">
        <v>222</v>
      </c>
      <c r="O75" s="52" t="s">
        <v>665</v>
      </c>
      <c r="P75" s="52" t="s">
        <v>682</v>
      </c>
      <c r="Q75" s="52" t="s">
        <v>683</v>
      </c>
      <c r="R75" s="52" t="s">
        <v>447</v>
      </c>
      <c r="S75" s="52" t="s">
        <v>673</v>
      </c>
      <c r="T75" s="52" t="s">
        <v>1821</v>
      </c>
      <c r="U75" s="52" t="s">
        <v>1824</v>
      </c>
      <c r="V75" s="50" t="s">
        <v>1823</v>
      </c>
    </row>
    <row r="76" spans="1:22" x14ac:dyDescent="0.3">
      <c r="A76" s="48" t="s">
        <v>757</v>
      </c>
      <c r="B76" s="49" t="s">
        <v>753</v>
      </c>
      <c r="C76" s="49" t="s">
        <v>758</v>
      </c>
      <c r="D76" s="49" t="s">
        <v>755</v>
      </c>
      <c r="E76" s="49" t="s">
        <v>674</v>
      </c>
      <c r="F76" s="49" t="s">
        <v>675</v>
      </c>
      <c r="G76" s="49" t="s">
        <v>676</v>
      </c>
      <c r="H76" s="49" t="s">
        <v>677</v>
      </c>
      <c r="I76" s="49" t="s">
        <v>678</v>
      </c>
      <c r="J76" s="49" t="s">
        <v>679</v>
      </c>
      <c r="K76" s="49" t="s">
        <v>680</v>
      </c>
      <c r="L76" s="49" t="s">
        <v>699</v>
      </c>
      <c r="M76" s="49">
        <v>0.5</v>
      </c>
      <c r="N76" s="49" t="s">
        <v>119</v>
      </c>
      <c r="O76" s="49" t="s">
        <v>665</v>
      </c>
      <c r="P76" s="49" t="s">
        <v>746</v>
      </c>
      <c r="Q76" s="49" t="s">
        <v>683</v>
      </c>
      <c r="R76" s="49" t="s">
        <v>285</v>
      </c>
      <c r="S76" s="49" t="s">
        <v>755</v>
      </c>
      <c r="T76" s="49" t="s">
        <v>1821</v>
      </c>
      <c r="U76" s="49" t="s">
        <v>1824</v>
      </c>
      <c r="V76" s="50" t="s">
        <v>1823</v>
      </c>
    </row>
    <row r="77" spans="1:22" x14ac:dyDescent="0.3">
      <c r="A77" s="51" t="s">
        <v>756</v>
      </c>
      <c r="B77" s="52" t="s">
        <v>753</v>
      </c>
      <c r="C77" s="52" t="s">
        <v>756</v>
      </c>
      <c r="D77" s="52" t="s">
        <v>755</v>
      </c>
      <c r="E77" s="52" t="s">
        <v>674</v>
      </c>
      <c r="F77" s="52" t="s">
        <v>716</v>
      </c>
      <c r="G77" s="52" t="s">
        <v>744</v>
      </c>
      <c r="H77" s="52" t="s">
        <v>702</v>
      </c>
      <c r="I77" s="49" t="s">
        <v>678</v>
      </c>
      <c r="J77" s="52" t="s">
        <v>679</v>
      </c>
      <c r="K77" s="52" t="s">
        <v>680</v>
      </c>
      <c r="L77" s="52" t="s">
        <v>681</v>
      </c>
      <c r="M77" s="52">
        <v>0.5</v>
      </c>
      <c r="N77" s="52" t="s">
        <v>119</v>
      </c>
      <c r="O77" s="52" t="s">
        <v>665</v>
      </c>
      <c r="P77" s="52" t="s">
        <v>746</v>
      </c>
      <c r="Q77" s="52" t="s">
        <v>683</v>
      </c>
      <c r="R77" s="52" t="s">
        <v>285</v>
      </c>
      <c r="S77" s="49" t="s">
        <v>755</v>
      </c>
      <c r="T77" s="52" t="s">
        <v>1821</v>
      </c>
      <c r="U77" s="52" t="s">
        <v>1824</v>
      </c>
      <c r="V77" s="50" t="s">
        <v>1823</v>
      </c>
    </row>
    <row r="78" spans="1:22" x14ac:dyDescent="0.3">
      <c r="A78" s="48" t="s">
        <v>1225</v>
      </c>
      <c r="B78" s="49" t="s">
        <v>178</v>
      </c>
      <c r="C78" s="49" t="s">
        <v>1226</v>
      </c>
      <c r="D78" s="49" t="s">
        <v>673</v>
      </c>
      <c r="E78" s="49" t="s">
        <v>674</v>
      </c>
      <c r="F78" s="49" t="s">
        <v>675</v>
      </c>
      <c r="G78" s="49" t="s">
        <v>724</v>
      </c>
      <c r="H78" s="49" t="s">
        <v>677</v>
      </c>
      <c r="I78" s="49" t="s">
        <v>678</v>
      </c>
      <c r="J78" s="49" t="s">
        <v>710</v>
      </c>
      <c r="K78" s="49" t="s">
        <v>690</v>
      </c>
      <c r="L78" s="49" t="s">
        <v>681</v>
      </c>
      <c r="M78" s="49">
        <v>0.5</v>
      </c>
      <c r="N78" s="49" t="s">
        <v>76</v>
      </c>
      <c r="O78" s="49" t="s">
        <v>665</v>
      </c>
      <c r="P78" s="49" t="s">
        <v>682</v>
      </c>
      <c r="Q78" s="49" t="s">
        <v>683</v>
      </c>
      <c r="R78" s="49" t="s">
        <v>217</v>
      </c>
      <c r="S78" s="49" t="s">
        <v>684</v>
      </c>
      <c r="T78" s="49" t="s">
        <v>1821</v>
      </c>
      <c r="U78" s="49" t="s">
        <v>1824</v>
      </c>
      <c r="V78" s="50" t="s">
        <v>1823</v>
      </c>
    </row>
    <row r="79" spans="1:22" x14ac:dyDescent="0.3">
      <c r="A79" s="51" t="s">
        <v>671</v>
      </c>
      <c r="B79" s="52" t="s">
        <v>178</v>
      </c>
      <c r="C79" s="52" t="s">
        <v>672</v>
      </c>
      <c r="D79" s="52" t="s">
        <v>673</v>
      </c>
      <c r="E79" s="52" t="s">
        <v>674</v>
      </c>
      <c r="F79" s="52" t="s">
        <v>675</v>
      </c>
      <c r="G79" s="52" t="s">
        <v>676</v>
      </c>
      <c r="H79" s="52" t="s">
        <v>677</v>
      </c>
      <c r="I79" s="49" t="s">
        <v>678</v>
      </c>
      <c r="J79" s="52" t="s">
        <v>679</v>
      </c>
      <c r="K79" s="52" t="s">
        <v>680</v>
      </c>
      <c r="L79" s="52" t="s">
        <v>681</v>
      </c>
      <c r="M79" s="52">
        <v>0.3</v>
      </c>
      <c r="N79" s="52" t="s">
        <v>176</v>
      </c>
      <c r="O79" s="52" t="s">
        <v>665</v>
      </c>
      <c r="P79" s="52" t="s">
        <v>682</v>
      </c>
      <c r="Q79" s="52" t="s">
        <v>683</v>
      </c>
      <c r="R79" s="52" t="s">
        <v>217</v>
      </c>
      <c r="S79" s="49" t="s">
        <v>684</v>
      </c>
      <c r="T79" s="52" t="s">
        <v>1821</v>
      </c>
      <c r="U79" s="52" t="s">
        <v>1824</v>
      </c>
      <c r="V79" s="50" t="s">
        <v>1823</v>
      </c>
    </row>
    <row r="80" spans="1:22" x14ac:dyDescent="0.3">
      <c r="A80" s="48" t="s">
        <v>806</v>
      </c>
      <c r="B80" s="49" t="s">
        <v>686</v>
      </c>
      <c r="C80" s="49" t="s">
        <v>807</v>
      </c>
      <c r="D80" s="49" t="s">
        <v>673</v>
      </c>
      <c r="E80" s="49" t="s">
        <v>674</v>
      </c>
      <c r="F80" s="49" t="s">
        <v>675</v>
      </c>
      <c r="G80" s="49" t="s">
        <v>676</v>
      </c>
      <c r="H80" s="49" t="s">
        <v>677</v>
      </c>
      <c r="I80" s="49" t="s">
        <v>688</v>
      </c>
      <c r="J80" s="49" t="s">
        <v>689</v>
      </c>
      <c r="K80" s="49" t="s">
        <v>690</v>
      </c>
      <c r="L80" s="49" t="s">
        <v>808</v>
      </c>
      <c r="M80" s="49">
        <v>0.2</v>
      </c>
      <c r="N80" s="49" t="s">
        <v>197</v>
      </c>
      <c r="O80" s="49" t="s">
        <v>665</v>
      </c>
      <c r="P80" s="49" t="s">
        <v>682</v>
      </c>
      <c r="Q80" s="49" t="s">
        <v>683</v>
      </c>
      <c r="R80" s="49" t="s">
        <v>217</v>
      </c>
      <c r="S80" s="49" t="s">
        <v>684</v>
      </c>
      <c r="T80" s="49" t="s">
        <v>1821</v>
      </c>
      <c r="U80" s="49" t="s">
        <v>1824</v>
      </c>
      <c r="V80" s="50" t="s">
        <v>1823</v>
      </c>
    </row>
    <row r="81" spans="1:22" x14ac:dyDescent="0.3">
      <c r="A81" s="51" t="s">
        <v>909</v>
      </c>
      <c r="B81" s="52" t="s">
        <v>707</v>
      </c>
      <c r="C81" s="52" t="s">
        <v>910</v>
      </c>
      <c r="D81" s="52" t="s">
        <v>684</v>
      </c>
      <c r="E81" s="52" t="s">
        <v>674</v>
      </c>
      <c r="F81" s="52" t="s">
        <v>12</v>
      </c>
      <c r="G81" s="52" t="s">
        <v>12</v>
      </c>
      <c r="H81" s="52" t="s">
        <v>12</v>
      </c>
      <c r="I81" s="52" t="s">
        <v>12</v>
      </c>
      <c r="J81" s="52" t="s">
        <v>737</v>
      </c>
      <c r="K81" s="52" t="s">
        <v>738</v>
      </c>
      <c r="L81" s="52" t="s">
        <v>699</v>
      </c>
      <c r="M81" s="52">
        <v>1</v>
      </c>
      <c r="N81" s="52" t="s">
        <v>121</v>
      </c>
      <c r="O81" s="52" t="s">
        <v>767</v>
      </c>
      <c r="P81" s="52" t="s">
        <v>746</v>
      </c>
      <c r="Q81" s="52" t="s">
        <v>683</v>
      </c>
      <c r="R81" s="52" t="s">
        <v>639</v>
      </c>
      <c r="S81" s="49" t="s">
        <v>684</v>
      </c>
      <c r="T81" s="52" t="s">
        <v>1821</v>
      </c>
      <c r="U81" s="52" t="s">
        <v>1824</v>
      </c>
      <c r="V81" s="50" t="s">
        <v>1823</v>
      </c>
    </row>
    <row r="82" spans="1:22" x14ac:dyDescent="0.3">
      <c r="A82" s="48" t="s">
        <v>756</v>
      </c>
      <c r="B82" s="49" t="s">
        <v>753</v>
      </c>
      <c r="C82" s="49" t="s">
        <v>756</v>
      </c>
      <c r="D82" s="49" t="s">
        <v>755</v>
      </c>
      <c r="E82" s="49" t="s">
        <v>674</v>
      </c>
      <c r="F82" s="49" t="s">
        <v>716</v>
      </c>
      <c r="G82" s="49" t="s">
        <v>744</v>
      </c>
      <c r="H82" s="49" t="s">
        <v>702</v>
      </c>
      <c r="I82" s="49" t="s">
        <v>678</v>
      </c>
      <c r="J82" s="49" t="s">
        <v>679</v>
      </c>
      <c r="K82" s="49" t="s">
        <v>680</v>
      </c>
      <c r="L82" s="49" t="s">
        <v>681</v>
      </c>
      <c r="M82" s="49">
        <v>1</v>
      </c>
      <c r="N82" s="49" t="s">
        <v>506</v>
      </c>
      <c r="O82" s="49" t="s">
        <v>665</v>
      </c>
      <c r="P82" s="49" t="s">
        <v>746</v>
      </c>
      <c r="Q82" s="49" t="s">
        <v>683</v>
      </c>
      <c r="R82" s="49" t="s">
        <v>285</v>
      </c>
      <c r="S82" s="49" t="s">
        <v>755</v>
      </c>
      <c r="T82" s="49" t="s">
        <v>1821</v>
      </c>
      <c r="U82" s="49" t="s">
        <v>1824</v>
      </c>
      <c r="V82" s="50" t="s">
        <v>1823</v>
      </c>
    </row>
    <row r="83" spans="1:22" x14ac:dyDescent="0.3">
      <c r="A83" s="51" t="s">
        <v>814</v>
      </c>
      <c r="B83" s="52" t="s">
        <v>749</v>
      </c>
      <c r="C83" s="52" t="s">
        <v>815</v>
      </c>
      <c r="D83" s="52" t="s">
        <v>673</v>
      </c>
      <c r="E83" s="52" t="s">
        <v>674</v>
      </c>
      <c r="F83" s="52" t="s">
        <v>716</v>
      </c>
      <c r="G83" s="52" t="s">
        <v>744</v>
      </c>
      <c r="H83" s="52" t="s">
        <v>677</v>
      </c>
      <c r="I83" s="49" t="s">
        <v>678</v>
      </c>
      <c r="J83" s="52" t="s">
        <v>751</v>
      </c>
      <c r="K83" s="52" t="s">
        <v>690</v>
      </c>
      <c r="L83" s="52" t="s">
        <v>681</v>
      </c>
      <c r="M83" s="52">
        <v>0.2</v>
      </c>
      <c r="N83" s="52" t="s">
        <v>458</v>
      </c>
      <c r="O83" s="52" t="s">
        <v>665</v>
      </c>
      <c r="P83" s="52" t="s">
        <v>746</v>
      </c>
      <c r="Q83" s="52" t="s">
        <v>683</v>
      </c>
      <c r="R83" s="52" t="s">
        <v>89</v>
      </c>
      <c r="S83" s="49" t="s">
        <v>684</v>
      </c>
      <c r="T83" s="52" t="s">
        <v>1821</v>
      </c>
      <c r="U83" s="52" t="s">
        <v>1824</v>
      </c>
      <c r="V83" s="50" t="s">
        <v>1823</v>
      </c>
    </row>
    <row r="84" spans="1:22" x14ac:dyDescent="0.3">
      <c r="A84" s="48" t="s">
        <v>816</v>
      </c>
      <c r="B84" s="49" t="s">
        <v>470</v>
      </c>
      <c r="C84" s="49" t="s">
        <v>817</v>
      </c>
      <c r="D84" s="49" t="s">
        <v>684</v>
      </c>
      <c r="E84" s="49" t="s">
        <v>674</v>
      </c>
      <c r="F84" s="49" t="s">
        <v>675</v>
      </c>
      <c r="G84" s="49" t="s">
        <v>724</v>
      </c>
      <c r="H84" s="49" t="s">
        <v>677</v>
      </c>
      <c r="I84" s="49" t="s">
        <v>678</v>
      </c>
      <c r="J84" s="49" t="s">
        <v>745</v>
      </c>
      <c r="K84" s="49" t="s">
        <v>738</v>
      </c>
      <c r="L84" s="49" t="s">
        <v>699</v>
      </c>
      <c r="M84" s="49">
        <v>0.25</v>
      </c>
      <c r="N84" s="49" t="s">
        <v>458</v>
      </c>
      <c r="O84" s="49" t="s">
        <v>665</v>
      </c>
      <c r="P84" s="49" t="s">
        <v>746</v>
      </c>
      <c r="Q84" s="49" t="s">
        <v>683</v>
      </c>
      <c r="R84" s="49" t="s">
        <v>89</v>
      </c>
      <c r="S84" s="49" t="s">
        <v>684</v>
      </c>
      <c r="T84" s="49" t="s">
        <v>1821</v>
      </c>
      <c r="U84" s="49" t="s">
        <v>1824</v>
      </c>
      <c r="V84" s="50" t="s">
        <v>1823</v>
      </c>
    </row>
    <row r="85" spans="1:22" x14ac:dyDescent="0.3">
      <c r="A85" s="51" t="s">
        <v>818</v>
      </c>
      <c r="B85" s="52" t="s">
        <v>470</v>
      </c>
      <c r="C85" s="52" t="s">
        <v>819</v>
      </c>
      <c r="D85" s="52" t="s">
        <v>684</v>
      </c>
      <c r="E85" s="52" t="s">
        <v>674</v>
      </c>
      <c r="F85" s="52" t="s">
        <v>716</v>
      </c>
      <c r="G85" s="52" t="s">
        <v>724</v>
      </c>
      <c r="H85" s="52" t="s">
        <v>677</v>
      </c>
      <c r="I85" s="49" t="s">
        <v>678</v>
      </c>
      <c r="J85" s="52" t="s">
        <v>745</v>
      </c>
      <c r="K85" s="52" t="s">
        <v>738</v>
      </c>
      <c r="L85" s="52" t="s">
        <v>699</v>
      </c>
      <c r="M85" s="52">
        <v>0.25</v>
      </c>
      <c r="N85" s="52" t="s">
        <v>458</v>
      </c>
      <c r="O85" s="52" t="s">
        <v>665</v>
      </c>
      <c r="P85" s="52" t="s">
        <v>746</v>
      </c>
      <c r="Q85" s="52" t="s">
        <v>683</v>
      </c>
      <c r="R85" s="52" t="s">
        <v>89</v>
      </c>
      <c r="S85" s="49" t="s">
        <v>684</v>
      </c>
      <c r="T85" s="52" t="s">
        <v>1821</v>
      </c>
      <c r="U85" s="52" t="s">
        <v>1824</v>
      </c>
      <c r="V85" s="50" t="s">
        <v>1823</v>
      </c>
    </row>
    <row r="86" spans="1:22" x14ac:dyDescent="0.3">
      <c r="A86" s="48" t="s">
        <v>820</v>
      </c>
      <c r="B86" s="49" t="s">
        <v>760</v>
      </c>
      <c r="C86" s="49" t="s">
        <v>821</v>
      </c>
      <c r="D86" s="49" t="s">
        <v>673</v>
      </c>
      <c r="E86" s="49" t="s">
        <v>674</v>
      </c>
      <c r="F86" s="49" t="s">
        <v>675</v>
      </c>
      <c r="G86" s="49" t="s">
        <v>676</v>
      </c>
      <c r="H86" s="49" t="s">
        <v>677</v>
      </c>
      <c r="I86" s="49" t="s">
        <v>678</v>
      </c>
      <c r="J86" s="49" t="s">
        <v>713</v>
      </c>
      <c r="K86" s="49" t="s">
        <v>690</v>
      </c>
      <c r="L86" s="49" t="s">
        <v>739</v>
      </c>
      <c r="M86" s="49">
        <v>0.1</v>
      </c>
      <c r="N86" s="49" t="s">
        <v>462</v>
      </c>
      <c r="O86" s="49" t="s">
        <v>665</v>
      </c>
      <c r="P86" s="49" t="s">
        <v>746</v>
      </c>
      <c r="Q86" s="49" t="s">
        <v>683</v>
      </c>
      <c r="R86" s="49" t="s">
        <v>89</v>
      </c>
      <c r="S86" s="49" t="s">
        <v>684</v>
      </c>
      <c r="T86" s="49" t="s">
        <v>1821</v>
      </c>
      <c r="U86" s="49" t="s">
        <v>1824</v>
      </c>
      <c r="V86" s="50" t="s">
        <v>1823</v>
      </c>
    </row>
    <row r="87" spans="1:22" x14ac:dyDescent="0.3">
      <c r="A87" s="51" t="s">
        <v>822</v>
      </c>
      <c r="B87" s="52" t="s">
        <v>760</v>
      </c>
      <c r="C87" s="52" t="s">
        <v>823</v>
      </c>
      <c r="D87" s="52" t="s">
        <v>673</v>
      </c>
      <c r="E87" s="52" t="s">
        <v>674</v>
      </c>
      <c r="F87" s="52" t="s">
        <v>675</v>
      </c>
      <c r="G87" s="52" t="s">
        <v>676</v>
      </c>
      <c r="H87" s="52" t="s">
        <v>677</v>
      </c>
      <c r="I87" s="49" t="s">
        <v>678</v>
      </c>
      <c r="J87" s="52" t="s">
        <v>713</v>
      </c>
      <c r="K87" s="52" t="s">
        <v>690</v>
      </c>
      <c r="L87" s="52" t="s">
        <v>699</v>
      </c>
      <c r="M87" s="52">
        <v>0.2</v>
      </c>
      <c r="N87" s="52" t="s">
        <v>462</v>
      </c>
      <c r="O87" s="52" t="s">
        <v>665</v>
      </c>
      <c r="P87" s="52" t="s">
        <v>746</v>
      </c>
      <c r="Q87" s="52" t="s">
        <v>683</v>
      </c>
      <c r="R87" s="52" t="s">
        <v>89</v>
      </c>
      <c r="S87" s="49" t="s">
        <v>684</v>
      </c>
      <c r="T87" s="52" t="s">
        <v>1821</v>
      </c>
      <c r="U87" s="52" t="s">
        <v>1824</v>
      </c>
      <c r="V87" s="50" t="s">
        <v>1823</v>
      </c>
    </row>
    <row r="88" spans="1:22" x14ac:dyDescent="0.3">
      <c r="A88" s="48" t="s">
        <v>824</v>
      </c>
      <c r="B88" s="49" t="s">
        <v>760</v>
      </c>
      <c r="C88" s="49" t="s">
        <v>825</v>
      </c>
      <c r="D88" s="49" t="s">
        <v>673</v>
      </c>
      <c r="E88" s="49" t="s">
        <v>674</v>
      </c>
      <c r="F88" s="49" t="s">
        <v>675</v>
      </c>
      <c r="G88" s="49" t="s">
        <v>676</v>
      </c>
      <c r="H88" s="49" t="s">
        <v>677</v>
      </c>
      <c r="I88" s="49" t="s">
        <v>678</v>
      </c>
      <c r="J88" s="49" t="s">
        <v>713</v>
      </c>
      <c r="K88" s="49" t="s">
        <v>690</v>
      </c>
      <c r="L88" s="49" t="s">
        <v>699</v>
      </c>
      <c r="M88" s="49">
        <v>0.3</v>
      </c>
      <c r="N88" s="49" t="s">
        <v>462</v>
      </c>
      <c r="O88" s="49" t="s">
        <v>665</v>
      </c>
      <c r="P88" s="49" t="s">
        <v>746</v>
      </c>
      <c r="Q88" s="49" t="s">
        <v>683</v>
      </c>
      <c r="R88" s="49" t="s">
        <v>89</v>
      </c>
      <c r="S88" s="49" t="s">
        <v>684</v>
      </c>
      <c r="T88" s="49" t="s">
        <v>1821</v>
      </c>
      <c r="U88" s="49" t="s">
        <v>1824</v>
      </c>
      <c r="V88" s="50" t="s">
        <v>1823</v>
      </c>
    </row>
    <row r="89" spans="1:22" x14ac:dyDescent="0.3">
      <c r="A89" s="51" t="s">
        <v>826</v>
      </c>
      <c r="B89" s="52" t="s">
        <v>458</v>
      </c>
      <c r="C89" s="52" t="s">
        <v>827</v>
      </c>
      <c r="D89" s="52" t="s">
        <v>684</v>
      </c>
      <c r="E89" s="52" t="s">
        <v>674</v>
      </c>
      <c r="F89" s="52" t="s">
        <v>716</v>
      </c>
      <c r="G89" s="52" t="s">
        <v>828</v>
      </c>
      <c r="H89" s="52" t="s">
        <v>828</v>
      </c>
      <c r="I89" s="49" t="s">
        <v>678</v>
      </c>
      <c r="J89" s="52" t="s">
        <v>679</v>
      </c>
      <c r="K89" s="52" t="s">
        <v>680</v>
      </c>
      <c r="L89" s="52" t="s">
        <v>699</v>
      </c>
      <c r="M89" s="52">
        <v>0.05</v>
      </c>
      <c r="N89" s="52" t="s">
        <v>365</v>
      </c>
      <c r="O89" s="52" t="s">
        <v>665</v>
      </c>
      <c r="P89" s="52" t="s">
        <v>829</v>
      </c>
      <c r="Q89" s="52" t="s">
        <v>683</v>
      </c>
      <c r="R89" s="52" t="s">
        <v>89</v>
      </c>
      <c r="S89" s="49" t="s">
        <v>684</v>
      </c>
      <c r="T89" s="52" t="s">
        <v>1821</v>
      </c>
      <c r="U89" s="52" t="s">
        <v>1824</v>
      </c>
      <c r="V89" s="50" t="s">
        <v>1823</v>
      </c>
    </row>
    <row r="90" spans="1:22" x14ac:dyDescent="0.3">
      <c r="A90" s="48" t="s">
        <v>830</v>
      </c>
      <c r="B90" s="49" t="s">
        <v>753</v>
      </c>
      <c r="C90" s="49" t="s">
        <v>831</v>
      </c>
      <c r="D90" s="49" t="s">
        <v>755</v>
      </c>
      <c r="E90" s="49" t="s">
        <v>674</v>
      </c>
      <c r="F90" s="49" t="s">
        <v>675</v>
      </c>
      <c r="G90" s="49" t="s">
        <v>676</v>
      </c>
      <c r="H90" s="49" t="s">
        <v>677</v>
      </c>
      <c r="I90" s="49" t="s">
        <v>678</v>
      </c>
      <c r="J90" s="49" t="s">
        <v>679</v>
      </c>
      <c r="K90" s="49" t="s">
        <v>680</v>
      </c>
      <c r="L90" s="49" t="s">
        <v>699</v>
      </c>
      <c r="M90" s="49">
        <v>0.3</v>
      </c>
      <c r="N90" s="49" t="s">
        <v>365</v>
      </c>
      <c r="O90" s="49" t="s">
        <v>665</v>
      </c>
      <c r="P90" s="49" t="s">
        <v>829</v>
      </c>
      <c r="Q90" s="49" t="s">
        <v>683</v>
      </c>
      <c r="R90" s="49" t="s">
        <v>89</v>
      </c>
      <c r="S90" s="49" t="s">
        <v>684</v>
      </c>
      <c r="T90" s="49" t="s">
        <v>1821</v>
      </c>
      <c r="U90" s="49" t="s">
        <v>1824</v>
      </c>
      <c r="V90" s="50" t="s">
        <v>1823</v>
      </c>
    </row>
    <row r="91" spans="1:22" x14ac:dyDescent="0.3">
      <c r="A91" s="51" t="s">
        <v>832</v>
      </c>
      <c r="B91" s="52" t="s">
        <v>458</v>
      </c>
      <c r="C91" s="52" t="s">
        <v>833</v>
      </c>
      <c r="D91" s="52" t="s">
        <v>684</v>
      </c>
      <c r="E91" s="52" t="s">
        <v>674</v>
      </c>
      <c r="F91" s="52" t="s">
        <v>716</v>
      </c>
      <c r="G91" s="52" t="s">
        <v>828</v>
      </c>
      <c r="H91" s="52" t="s">
        <v>828</v>
      </c>
      <c r="I91" s="49" t="s">
        <v>678</v>
      </c>
      <c r="J91" s="52" t="s">
        <v>713</v>
      </c>
      <c r="K91" s="52" t="s">
        <v>690</v>
      </c>
      <c r="L91" s="52" t="s">
        <v>699</v>
      </c>
      <c r="M91" s="52">
        <v>0.1</v>
      </c>
      <c r="N91" s="52" t="s">
        <v>365</v>
      </c>
      <c r="O91" s="52" t="s">
        <v>665</v>
      </c>
      <c r="P91" s="52" t="s">
        <v>829</v>
      </c>
      <c r="Q91" s="52" t="s">
        <v>683</v>
      </c>
      <c r="R91" s="52" t="s">
        <v>89</v>
      </c>
      <c r="S91" s="49" t="s">
        <v>684</v>
      </c>
      <c r="T91" s="52" t="s">
        <v>1821</v>
      </c>
      <c r="U91" s="52" t="s">
        <v>1824</v>
      </c>
      <c r="V91" s="50" t="s">
        <v>1823</v>
      </c>
    </row>
    <row r="92" spans="1:22" x14ac:dyDescent="0.3">
      <c r="A92" s="48" t="s">
        <v>793</v>
      </c>
      <c r="B92" s="49" t="s">
        <v>178</v>
      </c>
      <c r="C92" s="49" t="s">
        <v>794</v>
      </c>
      <c r="D92" s="49" t="s">
        <v>673</v>
      </c>
      <c r="E92" s="49" t="s">
        <v>674</v>
      </c>
      <c r="F92" s="49" t="s">
        <v>675</v>
      </c>
      <c r="G92" s="49" t="s">
        <v>676</v>
      </c>
      <c r="H92" s="49" t="s">
        <v>702</v>
      </c>
      <c r="I92" s="49" t="s">
        <v>688</v>
      </c>
      <c r="J92" s="49" t="s">
        <v>713</v>
      </c>
      <c r="K92" s="49" t="s">
        <v>690</v>
      </c>
      <c r="L92" s="49" t="s">
        <v>699</v>
      </c>
      <c r="M92" s="49">
        <v>1</v>
      </c>
      <c r="N92" s="49" t="s">
        <v>190</v>
      </c>
      <c r="O92" s="49" t="s">
        <v>665</v>
      </c>
      <c r="P92" s="49" t="s">
        <v>682</v>
      </c>
      <c r="Q92" s="49" t="s">
        <v>683</v>
      </c>
      <c r="R92" s="49" t="s">
        <v>447</v>
      </c>
      <c r="S92" s="52" t="s">
        <v>673</v>
      </c>
      <c r="T92" s="49" t="s">
        <v>1821</v>
      </c>
      <c r="U92" s="49" t="s">
        <v>1824</v>
      </c>
      <c r="V92" s="50" t="s">
        <v>1823</v>
      </c>
    </row>
    <row r="93" spans="1:22" x14ac:dyDescent="0.3">
      <c r="A93" s="51" t="s">
        <v>834</v>
      </c>
      <c r="B93" s="52" t="s">
        <v>835</v>
      </c>
      <c r="C93" s="52" t="s">
        <v>836</v>
      </c>
      <c r="D93" s="52" t="s">
        <v>673</v>
      </c>
      <c r="E93" s="52" t="s">
        <v>674</v>
      </c>
      <c r="F93" s="52" t="s">
        <v>675</v>
      </c>
      <c r="G93" s="52" t="s">
        <v>676</v>
      </c>
      <c r="H93" s="52" t="s">
        <v>702</v>
      </c>
      <c r="I93" s="49" t="s">
        <v>678</v>
      </c>
      <c r="J93" s="52" t="s">
        <v>713</v>
      </c>
      <c r="K93" s="52" t="s">
        <v>690</v>
      </c>
      <c r="L93" s="52" t="s">
        <v>681</v>
      </c>
      <c r="M93" s="52">
        <v>0.2</v>
      </c>
      <c r="N93" s="52" t="s">
        <v>642</v>
      </c>
      <c r="O93" s="52" t="s">
        <v>665</v>
      </c>
      <c r="P93" s="52" t="s">
        <v>682</v>
      </c>
      <c r="Q93" s="52" t="s">
        <v>683</v>
      </c>
      <c r="R93" s="52" t="s">
        <v>447</v>
      </c>
      <c r="S93" s="52" t="s">
        <v>673</v>
      </c>
      <c r="T93" s="52" t="s">
        <v>1821</v>
      </c>
      <c r="U93" s="52" t="s">
        <v>1824</v>
      </c>
      <c r="V93" s="50" t="s">
        <v>1823</v>
      </c>
    </row>
    <row r="94" spans="1:22" x14ac:dyDescent="0.3">
      <c r="A94" s="48" t="s">
        <v>839</v>
      </c>
      <c r="B94" s="49" t="s">
        <v>704</v>
      </c>
      <c r="C94" s="49" t="s">
        <v>840</v>
      </c>
      <c r="D94" s="49" t="s">
        <v>673</v>
      </c>
      <c r="E94" s="49" t="s">
        <v>674</v>
      </c>
      <c r="F94" s="49" t="s">
        <v>675</v>
      </c>
      <c r="G94" s="49" t="s">
        <v>676</v>
      </c>
      <c r="H94" s="49" t="s">
        <v>677</v>
      </c>
      <c r="I94" s="49" t="s">
        <v>678</v>
      </c>
      <c r="J94" s="49" t="s">
        <v>710</v>
      </c>
      <c r="K94" s="49" t="s">
        <v>690</v>
      </c>
      <c r="L94" s="49" t="s">
        <v>681</v>
      </c>
      <c r="M94" s="49">
        <v>1</v>
      </c>
      <c r="N94" s="49" t="s">
        <v>272</v>
      </c>
      <c r="O94" s="49" t="s">
        <v>665</v>
      </c>
      <c r="P94" s="49" t="s">
        <v>682</v>
      </c>
      <c r="Q94" s="49" t="s">
        <v>683</v>
      </c>
      <c r="R94" s="49" t="s">
        <v>447</v>
      </c>
      <c r="S94" s="52" t="s">
        <v>673</v>
      </c>
      <c r="T94" s="49" t="s">
        <v>1821</v>
      </c>
      <c r="U94" s="49" t="s">
        <v>1824</v>
      </c>
      <c r="V94" s="50" t="s">
        <v>1823</v>
      </c>
    </row>
    <row r="95" spans="1:22" x14ac:dyDescent="0.3">
      <c r="A95" s="51" t="s">
        <v>720</v>
      </c>
      <c r="B95" s="52" t="s">
        <v>686</v>
      </c>
      <c r="C95" s="52" t="s">
        <v>721</v>
      </c>
      <c r="D95" s="52" t="s">
        <v>673</v>
      </c>
      <c r="E95" s="52" t="s">
        <v>674</v>
      </c>
      <c r="F95" s="52" t="s">
        <v>675</v>
      </c>
      <c r="G95" s="52" t="s">
        <v>676</v>
      </c>
      <c r="H95" s="52" t="s">
        <v>677</v>
      </c>
      <c r="I95" s="49" t="s">
        <v>688</v>
      </c>
      <c r="J95" s="52" t="s">
        <v>689</v>
      </c>
      <c r="K95" s="52" t="s">
        <v>690</v>
      </c>
      <c r="L95" s="52" t="s">
        <v>681</v>
      </c>
      <c r="M95" s="52">
        <v>0.5</v>
      </c>
      <c r="N95" s="52" t="s">
        <v>624</v>
      </c>
      <c r="O95" s="52" t="s">
        <v>665</v>
      </c>
      <c r="P95" s="52" t="s">
        <v>682</v>
      </c>
      <c r="Q95" s="52" t="s">
        <v>683</v>
      </c>
      <c r="R95" s="52" t="s">
        <v>447</v>
      </c>
      <c r="S95" s="52" t="s">
        <v>673</v>
      </c>
      <c r="T95" s="52" t="s">
        <v>1821</v>
      </c>
      <c r="U95" s="52" t="s">
        <v>1824</v>
      </c>
      <c r="V95" s="50" t="s">
        <v>1823</v>
      </c>
    </row>
    <row r="96" spans="1:22" x14ac:dyDescent="0.3">
      <c r="A96" s="48" t="s">
        <v>722</v>
      </c>
      <c r="B96" s="49" t="s">
        <v>686</v>
      </c>
      <c r="C96" s="49" t="s">
        <v>723</v>
      </c>
      <c r="D96" s="49" t="s">
        <v>673</v>
      </c>
      <c r="E96" s="49" t="s">
        <v>674</v>
      </c>
      <c r="F96" s="49" t="s">
        <v>675</v>
      </c>
      <c r="G96" s="49" t="s">
        <v>724</v>
      </c>
      <c r="H96" s="49" t="s">
        <v>677</v>
      </c>
      <c r="I96" s="49" t="s">
        <v>688</v>
      </c>
      <c r="J96" s="49" t="s">
        <v>689</v>
      </c>
      <c r="K96" s="49" t="s">
        <v>690</v>
      </c>
      <c r="L96" s="49" t="s">
        <v>681</v>
      </c>
      <c r="M96" s="49">
        <v>0.5</v>
      </c>
      <c r="N96" s="49" t="s">
        <v>624</v>
      </c>
      <c r="O96" s="49" t="s">
        <v>665</v>
      </c>
      <c r="P96" s="49" t="s">
        <v>682</v>
      </c>
      <c r="Q96" s="49" t="s">
        <v>683</v>
      </c>
      <c r="R96" s="49" t="s">
        <v>447</v>
      </c>
      <c r="S96" s="52" t="s">
        <v>673</v>
      </c>
      <c r="T96" s="49" t="s">
        <v>1821</v>
      </c>
      <c r="U96" s="49" t="s">
        <v>1824</v>
      </c>
      <c r="V96" s="50" t="s">
        <v>1823</v>
      </c>
    </row>
    <row r="97" spans="1:22" x14ac:dyDescent="0.3">
      <c r="A97" s="51" t="s">
        <v>732</v>
      </c>
      <c r="B97" s="52" t="s">
        <v>178</v>
      </c>
      <c r="C97" s="52" t="s">
        <v>733</v>
      </c>
      <c r="D97" s="52" t="s">
        <v>673</v>
      </c>
      <c r="E97" s="52" t="s">
        <v>674</v>
      </c>
      <c r="F97" s="52" t="s">
        <v>675</v>
      </c>
      <c r="G97" s="52" t="s">
        <v>676</v>
      </c>
      <c r="H97" s="52" t="s">
        <v>677</v>
      </c>
      <c r="I97" s="49" t="s">
        <v>678</v>
      </c>
      <c r="J97" s="52" t="s">
        <v>679</v>
      </c>
      <c r="K97" s="52" t="s">
        <v>680</v>
      </c>
      <c r="L97" s="52" t="s">
        <v>699</v>
      </c>
      <c r="M97" s="52">
        <v>1</v>
      </c>
      <c r="N97" s="52" t="s">
        <v>620</v>
      </c>
      <c r="O97" s="52" t="s">
        <v>665</v>
      </c>
      <c r="P97" s="52" t="s">
        <v>682</v>
      </c>
      <c r="Q97" s="52" t="s">
        <v>683</v>
      </c>
      <c r="R97" s="52" t="s">
        <v>447</v>
      </c>
      <c r="S97" s="52" t="s">
        <v>673</v>
      </c>
      <c r="T97" s="52" t="s">
        <v>1821</v>
      </c>
      <c r="U97" s="52" t="s">
        <v>1824</v>
      </c>
      <c r="V97" s="50" t="s">
        <v>1823</v>
      </c>
    </row>
    <row r="98" spans="1:22" x14ac:dyDescent="0.3">
      <c r="A98" s="48" t="s">
        <v>729</v>
      </c>
      <c r="B98" s="49" t="s">
        <v>704</v>
      </c>
      <c r="C98" s="49" t="s">
        <v>730</v>
      </c>
      <c r="D98" s="49" t="s">
        <v>673</v>
      </c>
      <c r="E98" s="49" t="s">
        <v>674</v>
      </c>
      <c r="F98" s="49" t="s">
        <v>675</v>
      </c>
      <c r="G98" s="49" t="s">
        <v>731</v>
      </c>
      <c r="H98" s="49" t="s">
        <v>702</v>
      </c>
      <c r="I98" s="49" t="s">
        <v>688</v>
      </c>
      <c r="J98" s="49" t="s">
        <v>713</v>
      </c>
      <c r="K98" s="49" t="s">
        <v>690</v>
      </c>
      <c r="L98" s="49" t="s">
        <v>681</v>
      </c>
      <c r="M98" s="49">
        <v>1</v>
      </c>
      <c r="N98" s="49" t="s">
        <v>135</v>
      </c>
      <c r="O98" s="49" t="s">
        <v>665</v>
      </c>
      <c r="P98" s="49" t="s">
        <v>682</v>
      </c>
      <c r="Q98" s="49" t="s">
        <v>683</v>
      </c>
      <c r="R98" s="49" t="s">
        <v>447</v>
      </c>
      <c r="S98" s="52" t="s">
        <v>673</v>
      </c>
      <c r="T98" s="49" t="s">
        <v>1821</v>
      </c>
      <c r="U98" s="49" t="s">
        <v>1824</v>
      </c>
      <c r="V98" s="50" t="s">
        <v>1823</v>
      </c>
    </row>
    <row r="99" spans="1:22" x14ac:dyDescent="0.3">
      <c r="A99" s="51" t="s">
        <v>837</v>
      </c>
      <c r="B99" s="52" t="s">
        <v>686</v>
      </c>
      <c r="C99" s="52" t="s">
        <v>838</v>
      </c>
      <c r="D99" s="52" t="s">
        <v>673</v>
      </c>
      <c r="E99" s="52" t="s">
        <v>674</v>
      </c>
      <c r="F99" s="52" t="s">
        <v>716</v>
      </c>
      <c r="G99" s="52" t="s">
        <v>731</v>
      </c>
      <c r="H99" s="52" t="s">
        <v>702</v>
      </c>
      <c r="I99" s="49" t="s">
        <v>688</v>
      </c>
      <c r="J99" s="52" t="s">
        <v>689</v>
      </c>
      <c r="K99" s="52" t="s">
        <v>690</v>
      </c>
      <c r="L99" s="52" t="s">
        <v>691</v>
      </c>
      <c r="M99" s="52">
        <v>1</v>
      </c>
      <c r="N99" s="52" t="s">
        <v>276</v>
      </c>
      <c r="O99" s="52" t="s">
        <v>665</v>
      </c>
      <c r="P99" s="52" t="s">
        <v>682</v>
      </c>
      <c r="Q99" s="52" t="s">
        <v>683</v>
      </c>
      <c r="R99" s="52" t="s">
        <v>447</v>
      </c>
      <c r="S99" s="52" t="s">
        <v>673</v>
      </c>
      <c r="T99" s="52" t="s">
        <v>1821</v>
      </c>
      <c r="U99" s="52" t="s">
        <v>1824</v>
      </c>
      <c r="V99" s="50" t="s">
        <v>1823</v>
      </c>
    </row>
    <row r="100" spans="1:22" x14ac:dyDescent="0.3">
      <c r="A100" s="48" t="s">
        <v>809</v>
      </c>
      <c r="B100" s="49" t="s">
        <v>704</v>
      </c>
      <c r="C100" s="49" t="s">
        <v>810</v>
      </c>
      <c r="D100" s="49" t="s">
        <v>673</v>
      </c>
      <c r="E100" s="49" t="s">
        <v>674</v>
      </c>
      <c r="F100" s="49" t="s">
        <v>675</v>
      </c>
      <c r="G100" s="49" t="s">
        <v>676</v>
      </c>
      <c r="H100" s="49" t="s">
        <v>677</v>
      </c>
      <c r="I100" s="49" t="s">
        <v>811</v>
      </c>
      <c r="J100" s="49" t="s">
        <v>710</v>
      </c>
      <c r="K100" s="49" t="s">
        <v>690</v>
      </c>
      <c r="L100" s="49" t="s">
        <v>681</v>
      </c>
      <c r="M100" s="49">
        <v>0.2</v>
      </c>
      <c r="N100" s="49" t="s">
        <v>614</v>
      </c>
      <c r="O100" s="49" t="s">
        <v>665</v>
      </c>
      <c r="P100" s="49" t="s">
        <v>682</v>
      </c>
      <c r="Q100" s="49" t="s">
        <v>683</v>
      </c>
      <c r="R100" s="49" t="s">
        <v>447</v>
      </c>
      <c r="S100" s="52" t="s">
        <v>673</v>
      </c>
      <c r="T100" s="49" t="s">
        <v>1821</v>
      </c>
      <c r="U100" s="49" t="s">
        <v>1824</v>
      </c>
      <c r="V100" s="50" t="s">
        <v>1823</v>
      </c>
    </row>
    <row r="101" spans="1:22" x14ac:dyDescent="0.3">
      <c r="A101" s="51" t="s">
        <v>842</v>
      </c>
      <c r="B101" s="52" t="s">
        <v>704</v>
      </c>
      <c r="C101" s="52" t="s">
        <v>843</v>
      </c>
      <c r="D101" s="52" t="s">
        <v>673</v>
      </c>
      <c r="E101" s="52" t="s">
        <v>674</v>
      </c>
      <c r="F101" s="52" t="s">
        <v>675</v>
      </c>
      <c r="G101" s="52" t="s">
        <v>676</v>
      </c>
      <c r="H101" s="52" t="s">
        <v>702</v>
      </c>
      <c r="I101" s="49" t="s">
        <v>678</v>
      </c>
      <c r="J101" s="52" t="s">
        <v>710</v>
      </c>
      <c r="K101" s="52" t="s">
        <v>690</v>
      </c>
      <c r="L101" s="52" t="s">
        <v>681</v>
      </c>
      <c r="M101" s="52">
        <v>0.8</v>
      </c>
      <c r="N101" s="52" t="s">
        <v>614</v>
      </c>
      <c r="O101" s="52" t="s">
        <v>665</v>
      </c>
      <c r="P101" s="52" t="s">
        <v>682</v>
      </c>
      <c r="Q101" s="52" t="s">
        <v>683</v>
      </c>
      <c r="R101" s="52" t="s">
        <v>447</v>
      </c>
      <c r="S101" s="52" t="s">
        <v>673</v>
      </c>
      <c r="T101" s="52" t="s">
        <v>1821</v>
      </c>
      <c r="U101" s="52" t="s">
        <v>1824</v>
      </c>
      <c r="V101" s="50" t="s">
        <v>1823</v>
      </c>
    </row>
    <row r="102" spans="1:22" x14ac:dyDescent="0.3">
      <c r="A102" s="48" t="s">
        <v>844</v>
      </c>
      <c r="B102" s="49" t="s">
        <v>704</v>
      </c>
      <c r="C102" s="49" t="s">
        <v>845</v>
      </c>
      <c r="D102" s="49" t="s">
        <v>673</v>
      </c>
      <c r="E102" s="49" t="s">
        <v>674</v>
      </c>
      <c r="F102" s="49" t="s">
        <v>716</v>
      </c>
      <c r="G102" s="49" t="s">
        <v>676</v>
      </c>
      <c r="H102" s="49" t="s">
        <v>702</v>
      </c>
      <c r="I102" s="49" t="s">
        <v>811</v>
      </c>
      <c r="J102" s="49" t="s">
        <v>713</v>
      </c>
      <c r="K102" s="49" t="s">
        <v>690</v>
      </c>
      <c r="L102" s="49" t="s">
        <v>691</v>
      </c>
      <c r="M102" s="49">
        <v>0.9</v>
      </c>
      <c r="N102" s="49" t="s">
        <v>617</v>
      </c>
      <c r="O102" s="49" t="s">
        <v>665</v>
      </c>
      <c r="P102" s="49" t="s">
        <v>682</v>
      </c>
      <c r="Q102" s="49" t="s">
        <v>683</v>
      </c>
      <c r="R102" s="49" t="s">
        <v>447</v>
      </c>
      <c r="S102" s="52" t="s">
        <v>673</v>
      </c>
      <c r="T102" s="49" t="s">
        <v>1821</v>
      </c>
      <c r="U102" s="49" t="s">
        <v>1824</v>
      </c>
      <c r="V102" s="50" t="s">
        <v>1823</v>
      </c>
    </row>
    <row r="103" spans="1:22" x14ac:dyDescent="0.3">
      <c r="A103" s="51" t="s">
        <v>846</v>
      </c>
      <c r="B103" s="52" t="s">
        <v>178</v>
      </c>
      <c r="C103" s="52" t="s">
        <v>847</v>
      </c>
      <c r="D103" s="52" t="s">
        <v>673</v>
      </c>
      <c r="E103" s="52" t="s">
        <v>674</v>
      </c>
      <c r="F103" s="52" t="s">
        <v>675</v>
      </c>
      <c r="G103" s="52" t="s">
        <v>676</v>
      </c>
      <c r="H103" s="52" t="s">
        <v>702</v>
      </c>
      <c r="I103" s="49" t="s">
        <v>678</v>
      </c>
      <c r="J103" s="52" t="s">
        <v>713</v>
      </c>
      <c r="K103" s="52" t="s">
        <v>690</v>
      </c>
      <c r="L103" s="52" t="s">
        <v>681</v>
      </c>
      <c r="M103" s="52">
        <v>0.1</v>
      </c>
      <c r="N103" s="52" t="s">
        <v>617</v>
      </c>
      <c r="O103" s="52" t="s">
        <v>665</v>
      </c>
      <c r="P103" s="52" t="s">
        <v>682</v>
      </c>
      <c r="Q103" s="52" t="s">
        <v>683</v>
      </c>
      <c r="R103" s="52" t="s">
        <v>447</v>
      </c>
      <c r="S103" s="52" t="s">
        <v>673</v>
      </c>
      <c r="T103" s="52" t="s">
        <v>1821</v>
      </c>
      <c r="U103" s="52" t="s">
        <v>1824</v>
      </c>
      <c r="V103" s="50" t="s">
        <v>1823</v>
      </c>
    </row>
    <row r="104" spans="1:22" x14ac:dyDescent="0.3">
      <c r="A104" s="48" t="s">
        <v>799</v>
      </c>
      <c r="B104" s="49" t="s">
        <v>544</v>
      </c>
      <c r="C104" s="49" t="s">
        <v>800</v>
      </c>
      <c r="D104" s="49" t="s">
        <v>684</v>
      </c>
      <c r="E104" s="49" t="s">
        <v>674</v>
      </c>
      <c r="F104" s="49" t="s">
        <v>716</v>
      </c>
      <c r="G104" s="49" t="s">
        <v>744</v>
      </c>
      <c r="H104" s="49" t="s">
        <v>702</v>
      </c>
      <c r="I104" s="49" t="s">
        <v>736</v>
      </c>
      <c r="J104" s="49" t="s">
        <v>737</v>
      </c>
      <c r="K104" s="49" t="s">
        <v>738</v>
      </c>
      <c r="L104" s="49" t="s">
        <v>801</v>
      </c>
      <c r="M104" s="49">
        <v>0.1</v>
      </c>
      <c r="N104" s="49" t="s">
        <v>41</v>
      </c>
      <c r="O104" s="49" t="s">
        <v>665</v>
      </c>
      <c r="P104" s="49" t="s">
        <v>682</v>
      </c>
      <c r="Q104" s="49" t="s">
        <v>683</v>
      </c>
      <c r="R104" s="49" t="s">
        <v>217</v>
      </c>
      <c r="S104" s="49" t="s">
        <v>684</v>
      </c>
      <c r="T104" s="49" t="s">
        <v>1821</v>
      </c>
      <c r="U104" s="49" t="s">
        <v>1824</v>
      </c>
      <c r="V104" s="50" t="s">
        <v>1823</v>
      </c>
    </row>
    <row r="105" spans="1:22" x14ac:dyDescent="0.3">
      <c r="A105" s="51" t="s">
        <v>853</v>
      </c>
      <c r="B105" s="52" t="s">
        <v>544</v>
      </c>
      <c r="C105" s="52" t="s">
        <v>854</v>
      </c>
      <c r="D105" s="52" t="s">
        <v>684</v>
      </c>
      <c r="E105" s="52" t="s">
        <v>674</v>
      </c>
      <c r="F105" s="52" t="s">
        <v>716</v>
      </c>
      <c r="G105" s="52" t="s">
        <v>744</v>
      </c>
      <c r="H105" s="52" t="s">
        <v>702</v>
      </c>
      <c r="I105" s="52" t="s">
        <v>736</v>
      </c>
      <c r="J105" s="52" t="s">
        <v>737</v>
      </c>
      <c r="K105" s="52" t="s">
        <v>738</v>
      </c>
      <c r="L105" s="52" t="s">
        <v>801</v>
      </c>
      <c r="M105" s="52">
        <v>0.1</v>
      </c>
      <c r="N105" s="52" t="s">
        <v>41</v>
      </c>
      <c r="O105" s="52" t="s">
        <v>665</v>
      </c>
      <c r="P105" s="52" t="s">
        <v>682</v>
      </c>
      <c r="Q105" s="52" t="s">
        <v>683</v>
      </c>
      <c r="R105" s="52" t="s">
        <v>217</v>
      </c>
      <c r="S105" s="49" t="s">
        <v>684</v>
      </c>
      <c r="T105" s="52" t="s">
        <v>1821</v>
      </c>
      <c r="U105" s="52" t="s">
        <v>1824</v>
      </c>
      <c r="V105" s="50" t="s">
        <v>1823</v>
      </c>
    </row>
    <row r="106" spans="1:22" x14ac:dyDescent="0.3">
      <c r="A106" s="48" t="s">
        <v>855</v>
      </c>
      <c r="B106" s="49" t="s">
        <v>544</v>
      </c>
      <c r="C106" s="49" t="s">
        <v>856</v>
      </c>
      <c r="D106" s="49" t="s">
        <v>684</v>
      </c>
      <c r="E106" s="49" t="s">
        <v>674</v>
      </c>
      <c r="F106" s="49" t="s">
        <v>716</v>
      </c>
      <c r="G106" s="49" t="s">
        <v>744</v>
      </c>
      <c r="H106" s="49" t="s">
        <v>702</v>
      </c>
      <c r="I106" s="49" t="s">
        <v>736</v>
      </c>
      <c r="J106" s="49" t="s">
        <v>737</v>
      </c>
      <c r="K106" s="49" t="s">
        <v>738</v>
      </c>
      <c r="L106" s="49" t="s">
        <v>801</v>
      </c>
      <c r="M106" s="49">
        <v>0.1</v>
      </c>
      <c r="N106" s="49" t="s">
        <v>41</v>
      </c>
      <c r="O106" s="49" t="s">
        <v>665</v>
      </c>
      <c r="P106" s="49" t="s">
        <v>682</v>
      </c>
      <c r="Q106" s="49" t="s">
        <v>683</v>
      </c>
      <c r="R106" s="49" t="s">
        <v>217</v>
      </c>
      <c r="S106" s="49" t="s">
        <v>684</v>
      </c>
      <c r="T106" s="49" t="s">
        <v>1821</v>
      </c>
      <c r="U106" s="49" t="s">
        <v>1824</v>
      </c>
      <c r="V106" s="50" t="s">
        <v>1823</v>
      </c>
    </row>
    <row r="107" spans="1:22" x14ac:dyDescent="0.3">
      <c r="A107" s="51" t="s">
        <v>756</v>
      </c>
      <c r="B107" s="52" t="s">
        <v>753</v>
      </c>
      <c r="C107" s="52" t="s">
        <v>756</v>
      </c>
      <c r="D107" s="52" t="s">
        <v>755</v>
      </c>
      <c r="E107" s="52" t="s">
        <v>674</v>
      </c>
      <c r="F107" s="52" t="s">
        <v>716</v>
      </c>
      <c r="G107" s="52" t="s">
        <v>744</v>
      </c>
      <c r="H107" s="52" t="s">
        <v>702</v>
      </c>
      <c r="I107" s="49" t="s">
        <v>678</v>
      </c>
      <c r="J107" s="52" t="s">
        <v>679</v>
      </c>
      <c r="K107" s="52" t="s">
        <v>680</v>
      </c>
      <c r="L107" s="52" t="s">
        <v>681</v>
      </c>
      <c r="M107" s="52">
        <v>1</v>
      </c>
      <c r="N107" s="52" t="s">
        <v>60</v>
      </c>
      <c r="O107" s="52" t="s">
        <v>665</v>
      </c>
      <c r="P107" s="52" t="s">
        <v>746</v>
      </c>
      <c r="Q107" s="52" t="s">
        <v>683</v>
      </c>
      <c r="R107" s="52" t="s">
        <v>285</v>
      </c>
      <c r="S107" s="49" t="s">
        <v>755</v>
      </c>
      <c r="T107" s="52" t="s">
        <v>1821</v>
      </c>
      <c r="U107" s="52" t="s">
        <v>1824</v>
      </c>
      <c r="V107" s="50" t="s">
        <v>1823</v>
      </c>
    </row>
    <row r="108" spans="1:22" x14ac:dyDescent="0.3">
      <c r="A108" s="48" t="s">
        <v>1007</v>
      </c>
      <c r="B108" s="49" t="s">
        <v>707</v>
      </c>
      <c r="C108" s="49" t="s">
        <v>708</v>
      </c>
      <c r="D108" s="49" t="s">
        <v>673</v>
      </c>
      <c r="E108" s="49" t="s">
        <v>674</v>
      </c>
      <c r="F108" s="49" t="s">
        <v>709</v>
      </c>
      <c r="G108" s="49" t="s">
        <v>709</v>
      </c>
      <c r="H108" s="49" t="s">
        <v>709</v>
      </c>
      <c r="I108" s="49" t="s">
        <v>709</v>
      </c>
      <c r="J108" s="49" t="s">
        <v>698</v>
      </c>
      <c r="K108" s="49" t="s">
        <v>690</v>
      </c>
      <c r="L108" s="49" t="s">
        <v>699</v>
      </c>
      <c r="M108" s="49">
        <v>0.5</v>
      </c>
      <c r="N108" s="49" t="s">
        <v>246</v>
      </c>
      <c r="O108" s="49" t="s">
        <v>665</v>
      </c>
      <c r="P108" s="49" t="s">
        <v>746</v>
      </c>
      <c r="Q108" s="49" t="s">
        <v>683</v>
      </c>
      <c r="R108" s="49" t="s">
        <v>300</v>
      </c>
      <c r="S108" s="49" t="s">
        <v>684</v>
      </c>
      <c r="T108" s="49" t="s">
        <v>1821</v>
      </c>
      <c r="U108" s="49" t="s">
        <v>1824</v>
      </c>
      <c r="V108" s="50" t="s">
        <v>1823</v>
      </c>
    </row>
    <row r="109" spans="1:22" x14ac:dyDescent="0.3">
      <c r="A109" s="51" t="s">
        <v>671</v>
      </c>
      <c r="B109" s="52" t="s">
        <v>178</v>
      </c>
      <c r="C109" s="52" t="s">
        <v>672</v>
      </c>
      <c r="D109" s="52" t="s">
        <v>673</v>
      </c>
      <c r="E109" s="52" t="s">
        <v>674</v>
      </c>
      <c r="F109" s="52" t="s">
        <v>675</v>
      </c>
      <c r="G109" s="52" t="s">
        <v>676</v>
      </c>
      <c r="H109" s="52" t="s">
        <v>677</v>
      </c>
      <c r="I109" s="49" t="s">
        <v>678</v>
      </c>
      <c r="J109" s="52" t="s">
        <v>679</v>
      </c>
      <c r="K109" s="52" t="s">
        <v>680</v>
      </c>
      <c r="L109" s="52" t="s">
        <v>681</v>
      </c>
      <c r="M109" s="52">
        <v>0.1</v>
      </c>
      <c r="N109" s="52" t="s">
        <v>248</v>
      </c>
      <c r="O109" s="52" t="s">
        <v>665</v>
      </c>
      <c r="P109" s="52" t="s">
        <v>682</v>
      </c>
      <c r="Q109" s="52" t="s">
        <v>683</v>
      </c>
      <c r="R109" s="52" t="s">
        <v>217</v>
      </c>
      <c r="S109" s="49" t="s">
        <v>684</v>
      </c>
      <c r="T109" s="52" t="s">
        <v>1821</v>
      </c>
      <c r="U109" s="52" t="s">
        <v>1824</v>
      </c>
      <c r="V109" s="50" t="s">
        <v>1823</v>
      </c>
    </row>
    <row r="110" spans="1:22" x14ac:dyDescent="0.3">
      <c r="A110" s="48" t="s">
        <v>995</v>
      </c>
      <c r="B110" s="49" t="s">
        <v>753</v>
      </c>
      <c r="C110" s="49" t="s">
        <v>996</v>
      </c>
      <c r="D110" s="49" t="s">
        <v>755</v>
      </c>
      <c r="E110" s="49" t="s">
        <v>674</v>
      </c>
      <c r="F110" s="49" t="s">
        <v>716</v>
      </c>
      <c r="G110" s="49" t="s">
        <v>744</v>
      </c>
      <c r="H110" s="49" t="s">
        <v>702</v>
      </c>
      <c r="I110" s="49" t="s">
        <v>688</v>
      </c>
      <c r="J110" s="49" t="s">
        <v>679</v>
      </c>
      <c r="K110" s="49" t="s">
        <v>680</v>
      </c>
      <c r="L110" s="49" t="s">
        <v>699</v>
      </c>
      <c r="M110" s="49">
        <v>0.1</v>
      </c>
      <c r="N110" s="49" t="s">
        <v>115</v>
      </c>
      <c r="O110" s="49" t="s">
        <v>665</v>
      </c>
      <c r="P110" s="49" t="s">
        <v>746</v>
      </c>
      <c r="Q110" s="49" t="s">
        <v>683</v>
      </c>
      <c r="R110" s="49" t="s">
        <v>132</v>
      </c>
      <c r="S110" s="52" t="s">
        <v>673</v>
      </c>
      <c r="T110" s="49" t="s">
        <v>1821</v>
      </c>
      <c r="U110" s="49" t="s">
        <v>1824</v>
      </c>
      <c r="V110" s="50" t="s">
        <v>1823</v>
      </c>
    </row>
    <row r="111" spans="1:22" x14ac:dyDescent="0.3">
      <c r="A111" s="51" t="s">
        <v>756</v>
      </c>
      <c r="B111" s="52" t="s">
        <v>753</v>
      </c>
      <c r="C111" s="52" t="s">
        <v>756</v>
      </c>
      <c r="D111" s="52" t="s">
        <v>755</v>
      </c>
      <c r="E111" s="52" t="s">
        <v>674</v>
      </c>
      <c r="F111" s="52" t="s">
        <v>716</v>
      </c>
      <c r="G111" s="52" t="s">
        <v>744</v>
      </c>
      <c r="H111" s="52" t="s">
        <v>702</v>
      </c>
      <c r="I111" s="49" t="s">
        <v>678</v>
      </c>
      <c r="J111" s="52" t="s">
        <v>679</v>
      </c>
      <c r="K111" s="52" t="s">
        <v>680</v>
      </c>
      <c r="L111" s="52" t="s">
        <v>681</v>
      </c>
      <c r="M111" s="52">
        <v>1</v>
      </c>
      <c r="N111" s="52" t="s">
        <v>350</v>
      </c>
      <c r="O111" s="52" t="s">
        <v>665</v>
      </c>
      <c r="P111" s="52" t="s">
        <v>746</v>
      </c>
      <c r="Q111" s="52" t="s">
        <v>683</v>
      </c>
      <c r="R111" s="52" t="s">
        <v>285</v>
      </c>
      <c r="S111" s="49" t="s">
        <v>755</v>
      </c>
      <c r="T111" s="52" t="s">
        <v>1821</v>
      </c>
      <c r="U111" s="52" t="s">
        <v>1824</v>
      </c>
      <c r="V111" s="50" t="s">
        <v>1823</v>
      </c>
    </row>
    <row r="112" spans="1:22" x14ac:dyDescent="0.3">
      <c r="A112" s="48" t="s">
        <v>863</v>
      </c>
      <c r="B112" s="49" t="s">
        <v>864</v>
      </c>
      <c r="C112" s="49" t="s">
        <v>865</v>
      </c>
      <c r="D112" s="49" t="s">
        <v>755</v>
      </c>
      <c r="E112" s="49" t="s">
        <v>674</v>
      </c>
      <c r="F112" s="49" t="s">
        <v>675</v>
      </c>
      <c r="G112" s="49" t="s">
        <v>676</v>
      </c>
      <c r="H112" s="49" t="s">
        <v>677</v>
      </c>
      <c r="I112" s="49" t="s">
        <v>678</v>
      </c>
      <c r="J112" s="49" t="s">
        <v>774</v>
      </c>
      <c r="K112" s="49" t="s">
        <v>680</v>
      </c>
      <c r="L112" s="49" t="s">
        <v>801</v>
      </c>
      <c r="M112" s="49">
        <v>0.1</v>
      </c>
      <c r="N112" s="49" t="s">
        <v>302</v>
      </c>
      <c r="O112" s="49" t="s">
        <v>665</v>
      </c>
      <c r="P112" s="49" t="s">
        <v>866</v>
      </c>
      <c r="Q112" s="49" t="s">
        <v>683</v>
      </c>
      <c r="R112" s="49" t="s">
        <v>89</v>
      </c>
      <c r="S112" s="49" t="s">
        <v>684</v>
      </c>
      <c r="T112" s="49" t="s">
        <v>1821</v>
      </c>
      <c r="U112" s="49" t="s">
        <v>1824</v>
      </c>
      <c r="V112" s="50" t="s">
        <v>1823</v>
      </c>
    </row>
    <row r="113" spans="1:22" x14ac:dyDescent="0.3">
      <c r="A113" s="51" t="s">
        <v>762</v>
      </c>
      <c r="B113" s="52" t="s">
        <v>760</v>
      </c>
      <c r="C113" s="52" t="s">
        <v>763</v>
      </c>
      <c r="D113" s="52" t="s">
        <v>755</v>
      </c>
      <c r="E113" s="52" t="s">
        <v>674</v>
      </c>
      <c r="F113" s="52" t="s">
        <v>716</v>
      </c>
      <c r="G113" s="52" t="s">
        <v>744</v>
      </c>
      <c r="H113" s="52" t="s">
        <v>677</v>
      </c>
      <c r="I113" s="49" t="s">
        <v>678</v>
      </c>
      <c r="J113" s="52" t="s">
        <v>679</v>
      </c>
      <c r="K113" s="52" t="s">
        <v>680</v>
      </c>
      <c r="L113" s="52" t="s">
        <v>699</v>
      </c>
      <c r="M113" s="52">
        <v>1</v>
      </c>
      <c r="N113" s="52" t="s">
        <v>273</v>
      </c>
      <c r="O113" s="52" t="s">
        <v>665</v>
      </c>
      <c r="P113" s="52" t="s">
        <v>746</v>
      </c>
      <c r="Q113" s="52" t="s">
        <v>683</v>
      </c>
      <c r="R113" s="52" t="s">
        <v>293</v>
      </c>
      <c r="S113" s="49" t="s">
        <v>755</v>
      </c>
      <c r="T113" s="52" t="s">
        <v>1821</v>
      </c>
      <c r="U113" s="52" t="s">
        <v>1824</v>
      </c>
      <c r="V113" s="50" t="s">
        <v>1823</v>
      </c>
    </row>
    <row r="114" spans="1:22" x14ac:dyDescent="0.3">
      <c r="A114" s="48" t="s">
        <v>762</v>
      </c>
      <c r="B114" s="49" t="s">
        <v>760</v>
      </c>
      <c r="C114" s="49" t="s">
        <v>763</v>
      </c>
      <c r="D114" s="49" t="s">
        <v>755</v>
      </c>
      <c r="E114" s="49" t="s">
        <v>674</v>
      </c>
      <c r="F114" s="49" t="s">
        <v>716</v>
      </c>
      <c r="G114" s="49" t="s">
        <v>744</v>
      </c>
      <c r="H114" s="49" t="s">
        <v>677</v>
      </c>
      <c r="I114" s="49" t="s">
        <v>678</v>
      </c>
      <c r="J114" s="49" t="s">
        <v>679</v>
      </c>
      <c r="K114" s="49" t="s">
        <v>680</v>
      </c>
      <c r="L114" s="49" t="s">
        <v>699</v>
      </c>
      <c r="M114" s="49">
        <v>1</v>
      </c>
      <c r="N114" s="49" t="s">
        <v>351</v>
      </c>
      <c r="O114" s="49" t="s">
        <v>767</v>
      </c>
      <c r="P114" s="52" t="s">
        <v>746</v>
      </c>
      <c r="Q114" s="49" t="s">
        <v>683</v>
      </c>
      <c r="R114" s="49" t="s">
        <v>293</v>
      </c>
      <c r="S114" s="49" t="s">
        <v>755</v>
      </c>
      <c r="T114" s="49" t="s">
        <v>1821</v>
      </c>
      <c r="U114" s="49" t="s">
        <v>1824</v>
      </c>
      <c r="V114" s="50" t="s">
        <v>1823</v>
      </c>
    </row>
    <row r="115" spans="1:22" x14ac:dyDescent="0.3">
      <c r="A115" s="51" t="s">
        <v>867</v>
      </c>
      <c r="B115" s="52" t="s">
        <v>749</v>
      </c>
      <c r="C115" s="52" t="s">
        <v>868</v>
      </c>
      <c r="D115" s="52" t="s">
        <v>673</v>
      </c>
      <c r="E115" s="52" t="s">
        <v>674</v>
      </c>
      <c r="F115" s="52" t="s">
        <v>716</v>
      </c>
      <c r="G115" s="52" t="s">
        <v>744</v>
      </c>
      <c r="H115" s="52" t="s">
        <v>677</v>
      </c>
      <c r="I115" s="49" t="s">
        <v>688</v>
      </c>
      <c r="J115" s="52" t="s">
        <v>751</v>
      </c>
      <c r="K115" s="52" t="s">
        <v>690</v>
      </c>
      <c r="L115" s="52" t="s">
        <v>681</v>
      </c>
      <c r="M115" s="52">
        <v>0.5</v>
      </c>
      <c r="N115" s="52" t="s">
        <v>82</v>
      </c>
      <c r="O115" s="52" t="s">
        <v>767</v>
      </c>
      <c r="P115" s="52" t="s">
        <v>746</v>
      </c>
      <c r="Q115" s="52" t="s">
        <v>683</v>
      </c>
      <c r="R115" s="52" t="s">
        <v>132</v>
      </c>
      <c r="S115" s="52" t="s">
        <v>673</v>
      </c>
      <c r="T115" s="52" t="s">
        <v>1821</v>
      </c>
      <c r="U115" s="52" t="s">
        <v>1824</v>
      </c>
      <c r="V115" s="50" t="s">
        <v>1823</v>
      </c>
    </row>
    <row r="116" spans="1:22" x14ac:dyDescent="0.3">
      <c r="A116" s="48" t="s">
        <v>867</v>
      </c>
      <c r="B116" s="49" t="s">
        <v>749</v>
      </c>
      <c r="C116" s="49" t="s">
        <v>868</v>
      </c>
      <c r="D116" s="49" t="s">
        <v>673</v>
      </c>
      <c r="E116" s="49" t="s">
        <v>674</v>
      </c>
      <c r="F116" s="49" t="s">
        <v>716</v>
      </c>
      <c r="G116" s="49" t="s">
        <v>744</v>
      </c>
      <c r="H116" s="49" t="s">
        <v>677</v>
      </c>
      <c r="I116" s="49" t="s">
        <v>688</v>
      </c>
      <c r="J116" s="49" t="s">
        <v>751</v>
      </c>
      <c r="K116" s="49" t="s">
        <v>690</v>
      </c>
      <c r="L116" s="49" t="s">
        <v>681</v>
      </c>
      <c r="M116" s="49">
        <v>0.5</v>
      </c>
      <c r="N116" s="49" t="s">
        <v>610</v>
      </c>
      <c r="O116" s="49" t="s">
        <v>665</v>
      </c>
      <c r="P116" s="49" t="s">
        <v>746</v>
      </c>
      <c r="Q116" s="49" t="s">
        <v>683</v>
      </c>
      <c r="R116" s="49" t="s">
        <v>132</v>
      </c>
      <c r="S116" s="52" t="s">
        <v>673</v>
      </c>
      <c r="T116" s="49" t="s">
        <v>1821</v>
      </c>
      <c r="U116" s="49" t="s">
        <v>1824</v>
      </c>
      <c r="V116" s="50" t="s">
        <v>1823</v>
      </c>
    </row>
    <row r="117" spans="1:22" x14ac:dyDescent="0.3">
      <c r="A117" s="51" t="s">
        <v>748</v>
      </c>
      <c r="B117" s="52" t="s">
        <v>749</v>
      </c>
      <c r="C117" s="52" t="s">
        <v>750</v>
      </c>
      <c r="D117" s="52" t="s">
        <v>673</v>
      </c>
      <c r="E117" s="52" t="s">
        <v>674</v>
      </c>
      <c r="F117" s="52" t="s">
        <v>716</v>
      </c>
      <c r="G117" s="52" t="s">
        <v>744</v>
      </c>
      <c r="H117" s="52" t="s">
        <v>677</v>
      </c>
      <c r="I117" s="49" t="s">
        <v>688</v>
      </c>
      <c r="J117" s="52" t="s">
        <v>751</v>
      </c>
      <c r="K117" s="52" t="s">
        <v>690</v>
      </c>
      <c r="L117" s="52" t="s">
        <v>681</v>
      </c>
      <c r="M117" s="52">
        <v>1</v>
      </c>
      <c r="N117" s="52" t="s">
        <v>338</v>
      </c>
      <c r="O117" s="52" t="s">
        <v>665</v>
      </c>
      <c r="P117" s="52" t="s">
        <v>746</v>
      </c>
      <c r="Q117" s="52" t="s">
        <v>683</v>
      </c>
      <c r="R117" s="52" t="s">
        <v>132</v>
      </c>
      <c r="S117" s="52" t="s">
        <v>673</v>
      </c>
      <c r="T117" s="52" t="s">
        <v>1821</v>
      </c>
      <c r="U117" s="52" t="s">
        <v>1824</v>
      </c>
      <c r="V117" s="50" t="s">
        <v>1823</v>
      </c>
    </row>
    <row r="118" spans="1:22" x14ac:dyDescent="0.3">
      <c r="A118" s="48" t="s">
        <v>839</v>
      </c>
      <c r="B118" s="49" t="s">
        <v>704</v>
      </c>
      <c r="C118" s="49" t="s">
        <v>840</v>
      </c>
      <c r="D118" s="49" t="s">
        <v>673</v>
      </c>
      <c r="E118" s="49" t="s">
        <v>674</v>
      </c>
      <c r="F118" s="49" t="s">
        <v>675</v>
      </c>
      <c r="G118" s="49" t="s">
        <v>676</v>
      </c>
      <c r="H118" s="49" t="s">
        <v>677</v>
      </c>
      <c r="I118" s="49" t="s">
        <v>678</v>
      </c>
      <c r="J118" s="49" t="s">
        <v>710</v>
      </c>
      <c r="K118" s="49" t="s">
        <v>690</v>
      </c>
      <c r="L118" s="49" t="s">
        <v>681</v>
      </c>
      <c r="M118" s="49">
        <v>1</v>
      </c>
      <c r="N118" s="49" t="s">
        <v>647</v>
      </c>
      <c r="O118" s="49" t="s">
        <v>665</v>
      </c>
      <c r="P118" s="49" t="s">
        <v>682</v>
      </c>
      <c r="Q118" s="49" t="s">
        <v>683</v>
      </c>
      <c r="R118" s="49" t="s">
        <v>447</v>
      </c>
      <c r="S118" s="52" t="s">
        <v>673</v>
      </c>
      <c r="T118" s="49" t="s">
        <v>1821</v>
      </c>
      <c r="U118" s="49" t="s">
        <v>1824</v>
      </c>
      <c r="V118" s="50" t="s">
        <v>1823</v>
      </c>
    </row>
    <row r="119" spans="1:22" x14ac:dyDescent="0.3">
      <c r="A119" s="51" t="s">
        <v>873</v>
      </c>
      <c r="B119" s="52" t="s">
        <v>458</v>
      </c>
      <c r="C119" s="52" t="s">
        <v>874</v>
      </c>
      <c r="D119" s="52" t="s">
        <v>684</v>
      </c>
      <c r="E119" s="52" t="s">
        <v>674</v>
      </c>
      <c r="F119" s="52" t="s">
        <v>716</v>
      </c>
      <c r="G119" s="52" t="s">
        <v>744</v>
      </c>
      <c r="H119" s="52" t="s">
        <v>702</v>
      </c>
      <c r="I119" s="49" t="s">
        <v>678</v>
      </c>
      <c r="J119" s="52" t="s">
        <v>679</v>
      </c>
      <c r="K119" s="52" t="s">
        <v>680</v>
      </c>
      <c r="L119" s="52" t="s">
        <v>699</v>
      </c>
      <c r="M119" s="52">
        <v>1</v>
      </c>
      <c r="N119" s="52" t="s">
        <v>52</v>
      </c>
      <c r="O119" s="52" t="s">
        <v>665</v>
      </c>
      <c r="P119" s="52" t="s">
        <v>746</v>
      </c>
      <c r="Q119" s="52" t="s">
        <v>683</v>
      </c>
      <c r="R119" s="52" t="s">
        <v>458</v>
      </c>
      <c r="S119" s="49" t="s">
        <v>684</v>
      </c>
      <c r="T119" s="52" t="s">
        <v>1821</v>
      </c>
      <c r="U119" s="52" t="s">
        <v>1824</v>
      </c>
      <c r="V119" s="50" t="s">
        <v>1823</v>
      </c>
    </row>
    <row r="120" spans="1:22" x14ac:dyDescent="0.3">
      <c r="A120" s="48" t="s">
        <v>873</v>
      </c>
      <c r="B120" s="49" t="s">
        <v>458</v>
      </c>
      <c r="C120" s="49" t="s">
        <v>874</v>
      </c>
      <c r="D120" s="49" t="s">
        <v>684</v>
      </c>
      <c r="E120" s="49" t="s">
        <v>674</v>
      </c>
      <c r="F120" s="49" t="s">
        <v>716</v>
      </c>
      <c r="G120" s="49" t="s">
        <v>744</v>
      </c>
      <c r="H120" s="49" t="s">
        <v>702</v>
      </c>
      <c r="I120" s="49" t="s">
        <v>678</v>
      </c>
      <c r="J120" s="49" t="s">
        <v>679</v>
      </c>
      <c r="K120" s="49" t="s">
        <v>680</v>
      </c>
      <c r="L120" s="49" t="s">
        <v>699</v>
      </c>
      <c r="M120" s="49">
        <v>1</v>
      </c>
      <c r="N120" s="49" t="s">
        <v>364</v>
      </c>
      <c r="O120" s="49" t="s">
        <v>767</v>
      </c>
      <c r="P120" s="52" t="s">
        <v>746</v>
      </c>
      <c r="Q120" s="49" t="s">
        <v>683</v>
      </c>
      <c r="R120" s="49" t="s">
        <v>458</v>
      </c>
      <c r="S120" s="49" t="s">
        <v>684</v>
      </c>
      <c r="T120" s="49" t="s">
        <v>1821</v>
      </c>
      <c r="U120" s="49" t="s">
        <v>1824</v>
      </c>
      <c r="V120" s="50" t="s">
        <v>1823</v>
      </c>
    </row>
    <row r="121" spans="1:22" x14ac:dyDescent="0.3">
      <c r="A121" s="51" t="s">
        <v>873</v>
      </c>
      <c r="B121" s="52" t="s">
        <v>458</v>
      </c>
      <c r="C121" s="52" t="s">
        <v>874</v>
      </c>
      <c r="D121" s="52" t="s">
        <v>684</v>
      </c>
      <c r="E121" s="52" t="s">
        <v>674</v>
      </c>
      <c r="F121" s="52" t="s">
        <v>716</v>
      </c>
      <c r="G121" s="52" t="s">
        <v>744</v>
      </c>
      <c r="H121" s="52" t="s">
        <v>702</v>
      </c>
      <c r="I121" s="49" t="s">
        <v>678</v>
      </c>
      <c r="J121" s="52" t="s">
        <v>679</v>
      </c>
      <c r="K121" s="52" t="s">
        <v>680</v>
      </c>
      <c r="L121" s="52" t="s">
        <v>699</v>
      </c>
      <c r="M121" s="52">
        <v>1</v>
      </c>
      <c r="N121" s="52" t="s">
        <v>348</v>
      </c>
      <c r="O121" s="52" t="s">
        <v>665</v>
      </c>
      <c r="P121" s="52" t="s">
        <v>746</v>
      </c>
      <c r="Q121" s="52" t="s">
        <v>683</v>
      </c>
      <c r="R121" s="52" t="s">
        <v>458</v>
      </c>
      <c r="S121" s="49" t="s">
        <v>684</v>
      </c>
      <c r="T121" s="52" t="s">
        <v>1821</v>
      </c>
      <c r="U121" s="52" t="s">
        <v>1824</v>
      </c>
      <c r="V121" s="50" t="s">
        <v>1823</v>
      </c>
    </row>
    <row r="122" spans="1:22" x14ac:dyDescent="0.3">
      <c r="A122" s="48" t="s">
        <v>875</v>
      </c>
      <c r="B122" s="49" t="s">
        <v>142</v>
      </c>
      <c r="C122" s="49" t="s">
        <v>876</v>
      </c>
      <c r="D122" s="49" t="s">
        <v>684</v>
      </c>
      <c r="E122" s="49" t="s">
        <v>674</v>
      </c>
      <c r="F122" s="49" t="s">
        <v>716</v>
      </c>
      <c r="G122" s="49" t="s">
        <v>744</v>
      </c>
      <c r="H122" s="49" t="s">
        <v>702</v>
      </c>
      <c r="I122" s="49" t="s">
        <v>678</v>
      </c>
      <c r="J122" s="49" t="s">
        <v>860</v>
      </c>
      <c r="K122" s="49" t="s">
        <v>861</v>
      </c>
      <c r="L122" s="49" t="s">
        <v>691</v>
      </c>
      <c r="M122" s="49">
        <v>1</v>
      </c>
      <c r="N122" s="49" t="s">
        <v>609</v>
      </c>
      <c r="O122" s="49" t="s">
        <v>665</v>
      </c>
      <c r="P122" s="49" t="s">
        <v>746</v>
      </c>
      <c r="Q122" s="49" t="s">
        <v>683</v>
      </c>
      <c r="R122" s="49" t="s">
        <v>142</v>
      </c>
      <c r="S122" s="52" t="s">
        <v>673</v>
      </c>
      <c r="T122" s="49" t="s">
        <v>1821</v>
      </c>
      <c r="U122" s="49" t="s">
        <v>1824</v>
      </c>
      <c r="V122" s="50" t="s">
        <v>1823</v>
      </c>
    </row>
    <row r="123" spans="1:22" x14ac:dyDescent="0.3">
      <c r="A123" s="51" t="s">
        <v>877</v>
      </c>
      <c r="B123" s="52" t="s">
        <v>142</v>
      </c>
      <c r="C123" s="52" t="s">
        <v>878</v>
      </c>
      <c r="D123" s="52" t="s">
        <v>673</v>
      </c>
      <c r="E123" s="52" t="s">
        <v>674</v>
      </c>
      <c r="F123" s="52" t="s">
        <v>716</v>
      </c>
      <c r="G123" s="52" t="s">
        <v>744</v>
      </c>
      <c r="H123" s="52" t="s">
        <v>677</v>
      </c>
      <c r="I123" s="49" t="s">
        <v>678</v>
      </c>
      <c r="J123" s="52" t="s">
        <v>698</v>
      </c>
      <c r="K123" s="52" t="s">
        <v>690</v>
      </c>
      <c r="L123" s="52" t="s">
        <v>699</v>
      </c>
      <c r="M123" s="52">
        <v>1</v>
      </c>
      <c r="N123" s="52" t="s">
        <v>574</v>
      </c>
      <c r="O123" s="52" t="s">
        <v>767</v>
      </c>
      <c r="P123" s="52" t="s">
        <v>746</v>
      </c>
      <c r="Q123" s="52" t="s">
        <v>683</v>
      </c>
      <c r="R123" s="52" t="s">
        <v>142</v>
      </c>
      <c r="S123" s="52" t="s">
        <v>673</v>
      </c>
      <c r="T123" s="52" t="s">
        <v>1821</v>
      </c>
      <c r="U123" s="52" t="s">
        <v>1824</v>
      </c>
      <c r="V123" s="50" t="s">
        <v>1823</v>
      </c>
    </row>
    <row r="124" spans="1:22" x14ac:dyDescent="0.3">
      <c r="A124" s="48" t="s">
        <v>879</v>
      </c>
      <c r="B124" s="49" t="s">
        <v>142</v>
      </c>
      <c r="C124" s="49" t="s">
        <v>880</v>
      </c>
      <c r="D124" s="49" t="s">
        <v>673</v>
      </c>
      <c r="E124" s="49" t="s">
        <v>674</v>
      </c>
      <c r="F124" s="49" t="s">
        <v>716</v>
      </c>
      <c r="G124" s="49" t="s">
        <v>744</v>
      </c>
      <c r="H124" s="49" t="s">
        <v>677</v>
      </c>
      <c r="I124" s="49" t="s">
        <v>678</v>
      </c>
      <c r="J124" s="49" t="s">
        <v>698</v>
      </c>
      <c r="K124" s="49" t="s">
        <v>690</v>
      </c>
      <c r="L124" s="49" t="s">
        <v>699</v>
      </c>
      <c r="M124" s="49">
        <v>1</v>
      </c>
      <c r="N124" s="49" t="s">
        <v>477</v>
      </c>
      <c r="O124" s="49" t="s">
        <v>665</v>
      </c>
      <c r="P124" s="49" t="s">
        <v>746</v>
      </c>
      <c r="Q124" s="49" t="s">
        <v>683</v>
      </c>
      <c r="R124" s="49" t="s">
        <v>87</v>
      </c>
      <c r="S124" s="52" t="s">
        <v>673</v>
      </c>
      <c r="T124" s="49" t="s">
        <v>1821</v>
      </c>
      <c r="U124" s="49" t="s">
        <v>1824</v>
      </c>
      <c r="V124" s="50" t="s">
        <v>1823</v>
      </c>
    </row>
    <row r="125" spans="1:22" x14ac:dyDescent="0.3">
      <c r="A125" s="51" t="s">
        <v>875</v>
      </c>
      <c r="B125" s="52" t="s">
        <v>142</v>
      </c>
      <c r="C125" s="52" t="s">
        <v>876</v>
      </c>
      <c r="D125" s="52" t="s">
        <v>684</v>
      </c>
      <c r="E125" s="52" t="s">
        <v>674</v>
      </c>
      <c r="F125" s="52" t="s">
        <v>716</v>
      </c>
      <c r="G125" s="52" t="s">
        <v>744</v>
      </c>
      <c r="H125" s="52" t="s">
        <v>702</v>
      </c>
      <c r="I125" s="49" t="s">
        <v>678</v>
      </c>
      <c r="J125" s="52" t="s">
        <v>860</v>
      </c>
      <c r="K125" s="52" t="s">
        <v>861</v>
      </c>
      <c r="L125" s="52" t="s">
        <v>691</v>
      </c>
      <c r="M125" s="52">
        <v>1</v>
      </c>
      <c r="N125" s="52" t="s">
        <v>313</v>
      </c>
      <c r="O125" s="52" t="s">
        <v>665</v>
      </c>
      <c r="P125" s="52" t="s">
        <v>746</v>
      </c>
      <c r="Q125" s="52" t="s">
        <v>683</v>
      </c>
      <c r="R125" s="52" t="s">
        <v>142</v>
      </c>
      <c r="S125" s="52" t="s">
        <v>673</v>
      </c>
      <c r="T125" s="52" t="s">
        <v>1821</v>
      </c>
      <c r="U125" s="52" t="s">
        <v>1824</v>
      </c>
      <c r="V125" s="50" t="s">
        <v>1823</v>
      </c>
    </row>
    <row r="126" spans="1:22" x14ac:dyDescent="0.3">
      <c r="A126" s="48" t="s">
        <v>879</v>
      </c>
      <c r="B126" s="49" t="s">
        <v>142</v>
      </c>
      <c r="C126" s="49" t="s">
        <v>880</v>
      </c>
      <c r="D126" s="49" t="s">
        <v>673</v>
      </c>
      <c r="E126" s="49" t="s">
        <v>674</v>
      </c>
      <c r="F126" s="49" t="s">
        <v>716</v>
      </c>
      <c r="G126" s="49" t="s">
        <v>744</v>
      </c>
      <c r="H126" s="49" t="s">
        <v>677</v>
      </c>
      <c r="I126" s="49" t="s">
        <v>678</v>
      </c>
      <c r="J126" s="49" t="s">
        <v>698</v>
      </c>
      <c r="K126" s="49" t="s">
        <v>690</v>
      </c>
      <c r="L126" s="49" t="s">
        <v>699</v>
      </c>
      <c r="M126" s="49">
        <v>1</v>
      </c>
      <c r="N126" s="49" t="s">
        <v>232</v>
      </c>
      <c r="O126" s="49" t="s">
        <v>665</v>
      </c>
      <c r="P126" s="49" t="s">
        <v>711</v>
      </c>
      <c r="Q126" s="49" t="s">
        <v>683</v>
      </c>
      <c r="R126" s="49" t="s">
        <v>142</v>
      </c>
      <c r="S126" s="52" t="s">
        <v>673</v>
      </c>
      <c r="T126" s="49" t="s">
        <v>1821</v>
      </c>
      <c r="U126" s="49" t="s">
        <v>1824</v>
      </c>
      <c r="V126" s="50" t="s">
        <v>1823</v>
      </c>
    </row>
    <row r="127" spans="1:22" x14ac:dyDescent="0.3">
      <c r="A127" s="51" t="s">
        <v>879</v>
      </c>
      <c r="B127" s="52" t="s">
        <v>142</v>
      </c>
      <c r="C127" s="52" t="s">
        <v>880</v>
      </c>
      <c r="D127" s="52" t="s">
        <v>673</v>
      </c>
      <c r="E127" s="52" t="s">
        <v>674</v>
      </c>
      <c r="F127" s="52" t="s">
        <v>716</v>
      </c>
      <c r="G127" s="52" t="s">
        <v>744</v>
      </c>
      <c r="H127" s="52" t="s">
        <v>677</v>
      </c>
      <c r="I127" s="49" t="s">
        <v>678</v>
      </c>
      <c r="J127" s="52" t="s">
        <v>698</v>
      </c>
      <c r="K127" s="52" t="s">
        <v>690</v>
      </c>
      <c r="L127" s="52" t="s">
        <v>699</v>
      </c>
      <c r="M127" s="52">
        <v>1</v>
      </c>
      <c r="N127" s="52" t="s">
        <v>87</v>
      </c>
      <c r="O127" s="52" t="s">
        <v>665</v>
      </c>
      <c r="P127" s="52" t="s">
        <v>746</v>
      </c>
      <c r="Q127" s="52" t="s">
        <v>683</v>
      </c>
      <c r="R127" s="52" t="s">
        <v>142</v>
      </c>
      <c r="S127" s="52" t="s">
        <v>673</v>
      </c>
      <c r="T127" s="52" t="s">
        <v>1821</v>
      </c>
      <c r="U127" s="52" t="s">
        <v>1824</v>
      </c>
      <c r="V127" s="50" t="s">
        <v>1823</v>
      </c>
    </row>
    <row r="128" spans="1:22" x14ac:dyDescent="0.3">
      <c r="A128" s="48" t="s">
        <v>879</v>
      </c>
      <c r="B128" s="49" t="s">
        <v>142</v>
      </c>
      <c r="C128" s="49" t="s">
        <v>880</v>
      </c>
      <c r="D128" s="49" t="s">
        <v>673</v>
      </c>
      <c r="E128" s="49" t="s">
        <v>674</v>
      </c>
      <c r="F128" s="49" t="s">
        <v>716</v>
      </c>
      <c r="G128" s="49" t="s">
        <v>744</v>
      </c>
      <c r="H128" s="49" t="s">
        <v>677</v>
      </c>
      <c r="I128" s="49" t="s">
        <v>678</v>
      </c>
      <c r="J128" s="49" t="s">
        <v>698</v>
      </c>
      <c r="K128" s="49" t="s">
        <v>690</v>
      </c>
      <c r="L128" s="49" t="s">
        <v>699</v>
      </c>
      <c r="M128" s="49">
        <v>1</v>
      </c>
      <c r="N128" s="49" t="s">
        <v>525</v>
      </c>
      <c r="O128" s="49" t="s">
        <v>665</v>
      </c>
      <c r="P128" s="49" t="s">
        <v>746</v>
      </c>
      <c r="Q128" s="49" t="s">
        <v>683</v>
      </c>
      <c r="R128" s="49" t="s">
        <v>142</v>
      </c>
      <c r="S128" s="52" t="s">
        <v>673</v>
      </c>
      <c r="T128" s="49" t="s">
        <v>1821</v>
      </c>
      <c r="U128" s="49" t="s">
        <v>1824</v>
      </c>
      <c r="V128" s="50" t="s">
        <v>1823</v>
      </c>
    </row>
    <row r="129" spans="1:22" x14ac:dyDescent="0.3">
      <c r="A129" s="51" t="s">
        <v>881</v>
      </c>
      <c r="B129" s="52" t="s">
        <v>470</v>
      </c>
      <c r="C129" s="52" t="s">
        <v>882</v>
      </c>
      <c r="D129" s="52" t="s">
        <v>684</v>
      </c>
      <c r="E129" s="52" t="s">
        <v>674</v>
      </c>
      <c r="F129" s="52" t="s">
        <v>716</v>
      </c>
      <c r="G129" s="52" t="s">
        <v>744</v>
      </c>
      <c r="H129" s="52" t="s">
        <v>702</v>
      </c>
      <c r="I129" s="52" t="s">
        <v>736</v>
      </c>
      <c r="J129" s="52" t="s">
        <v>745</v>
      </c>
      <c r="K129" s="52" t="s">
        <v>738</v>
      </c>
      <c r="L129" s="52" t="s">
        <v>699</v>
      </c>
      <c r="M129" s="52">
        <v>1</v>
      </c>
      <c r="N129" s="52" t="s">
        <v>73</v>
      </c>
      <c r="O129" s="52" t="s">
        <v>665</v>
      </c>
      <c r="P129" s="52" t="s">
        <v>746</v>
      </c>
      <c r="Q129" s="52" t="s">
        <v>683</v>
      </c>
      <c r="R129" s="52" t="s">
        <v>470</v>
      </c>
      <c r="S129" s="49" t="s">
        <v>684</v>
      </c>
      <c r="T129" s="52" t="s">
        <v>1821</v>
      </c>
      <c r="U129" s="52" t="s">
        <v>1824</v>
      </c>
      <c r="V129" s="50" t="s">
        <v>1823</v>
      </c>
    </row>
    <row r="130" spans="1:22" x14ac:dyDescent="0.3">
      <c r="A130" s="48" t="s">
        <v>1506</v>
      </c>
      <c r="B130" s="49" t="s">
        <v>544</v>
      </c>
      <c r="C130" s="49" t="s">
        <v>1500</v>
      </c>
      <c r="D130" s="49" t="s">
        <v>684</v>
      </c>
      <c r="E130" s="49" t="s">
        <v>674</v>
      </c>
      <c r="F130" s="49" t="s">
        <v>716</v>
      </c>
      <c r="G130" s="49" t="s">
        <v>717</v>
      </c>
      <c r="H130" s="49" t="s">
        <v>717</v>
      </c>
      <c r="I130" s="49" t="s">
        <v>736</v>
      </c>
      <c r="J130" s="49" t="s">
        <v>737</v>
      </c>
      <c r="K130" s="49" t="s">
        <v>738</v>
      </c>
      <c r="L130" s="49" t="s">
        <v>699</v>
      </c>
      <c r="M130" s="49">
        <v>1</v>
      </c>
      <c r="N130" s="49" t="s">
        <v>275</v>
      </c>
      <c r="O130" s="49" t="s">
        <v>665</v>
      </c>
      <c r="P130" s="49" t="s">
        <v>746</v>
      </c>
      <c r="Q130" s="49" t="s">
        <v>683</v>
      </c>
      <c r="R130" s="49" t="s">
        <v>244</v>
      </c>
      <c r="S130" s="49" t="s">
        <v>684</v>
      </c>
      <c r="T130" s="49" t="s">
        <v>1821</v>
      </c>
      <c r="U130" s="49" t="s">
        <v>1824</v>
      </c>
      <c r="V130" s="50" t="s">
        <v>1823</v>
      </c>
    </row>
    <row r="131" spans="1:22" x14ac:dyDescent="0.3">
      <c r="A131" s="51" t="s">
        <v>883</v>
      </c>
      <c r="B131" s="52" t="s">
        <v>470</v>
      </c>
      <c r="C131" s="52" t="s">
        <v>884</v>
      </c>
      <c r="D131" s="52" t="s">
        <v>684</v>
      </c>
      <c r="E131" s="52" t="s">
        <v>674</v>
      </c>
      <c r="F131" s="52" t="s">
        <v>716</v>
      </c>
      <c r="G131" s="52" t="s">
        <v>744</v>
      </c>
      <c r="H131" s="52" t="s">
        <v>702</v>
      </c>
      <c r="I131" s="52" t="s">
        <v>736</v>
      </c>
      <c r="J131" s="52" t="s">
        <v>745</v>
      </c>
      <c r="K131" s="52" t="s">
        <v>738</v>
      </c>
      <c r="L131" s="52" t="s">
        <v>739</v>
      </c>
      <c r="M131" s="52">
        <v>0.5</v>
      </c>
      <c r="N131" s="52" t="s">
        <v>448</v>
      </c>
      <c r="O131" s="52" t="s">
        <v>665</v>
      </c>
      <c r="P131" s="52" t="s">
        <v>746</v>
      </c>
      <c r="Q131" s="52" t="s">
        <v>683</v>
      </c>
      <c r="R131" s="52" t="s">
        <v>470</v>
      </c>
      <c r="S131" s="49" t="s">
        <v>684</v>
      </c>
      <c r="T131" s="52" t="s">
        <v>1821</v>
      </c>
      <c r="U131" s="52" t="s">
        <v>1824</v>
      </c>
      <c r="V131" s="50" t="s">
        <v>1823</v>
      </c>
    </row>
    <row r="132" spans="1:22" x14ac:dyDescent="0.3">
      <c r="A132" s="48" t="s">
        <v>885</v>
      </c>
      <c r="B132" s="49" t="s">
        <v>470</v>
      </c>
      <c r="C132" s="49" t="s">
        <v>886</v>
      </c>
      <c r="D132" s="49" t="s">
        <v>684</v>
      </c>
      <c r="E132" s="49" t="s">
        <v>674</v>
      </c>
      <c r="F132" s="49" t="s">
        <v>716</v>
      </c>
      <c r="G132" s="49" t="s">
        <v>744</v>
      </c>
      <c r="H132" s="49" t="s">
        <v>702</v>
      </c>
      <c r="I132" s="49" t="s">
        <v>736</v>
      </c>
      <c r="J132" s="49" t="s">
        <v>745</v>
      </c>
      <c r="K132" s="49" t="s">
        <v>738</v>
      </c>
      <c r="L132" s="49" t="s">
        <v>739</v>
      </c>
      <c r="M132" s="49">
        <v>0.5</v>
      </c>
      <c r="N132" s="49" t="s">
        <v>448</v>
      </c>
      <c r="O132" s="49" t="s">
        <v>665</v>
      </c>
      <c r="P132" s="49" t="s">
        <v>746</v>
      </c>
      <c r="Q132" s="49" t="s">
        <v>683</v>
      </c>
      <c r="R132" s="49" t="s">
        <v>470</v>
      </c>
      <c r="S132" s="49" t="s">
        <v>684</v>
      </c>
      <c r="T132" s="49" t="s">
        <v>1821</v>
      </c>
      <c r="U132" s="49" t="s">
        <v>1824</v>
      </c>
      <c r="V132" s="50" t="s">
        <v>1823</v>
      </c>
    </row>
    <row r="133" spans="1:22" x14ac:dyDescent="0.3">
      <c r="A133" s="51" t="s">
        <v>887</v>
      </c>
      <c r="B133" s="52" t="s">
        <v>544</v>
      </c>
      <c r="C133" s="52" t="s">
        <v>888</v>
      </c>
      <c r="D133" s="52" t="s">
        <v>684</v>
      </c>
      <c r="E133" s="52" t="s">
        <v>674</v>
      </c>
      <c r="F133" s="52" t="s">
        <v>734</v>
      </c>
      <c r="G133" s="52" t="s">
        <v>735</v>
      </c>
      <c r="H133" s="52" t="s">
        <v>735</v>
      </c>
      <c r="I133" s="52" t="s">
        <v>736</v>
      </c>
      <c r="J133" s="52" t="s">
        <v>737</v>
      </c>
      <c r="K133" s="52" t="s">
        <v>738</v>
      </c>
      <c r="L133" s="52" t="s">
        <v>699</v>
      </c>
      <c r="M133" s="52">
        <v>1</v>
      </c>
      <c r="N133" s="52" t="s">
        <v>582</v>
      </c>
      <c r="O133" s="52" t="s">
        <v>665</v>
      </c>
      <c r="P133" s="52" t="s">
        <v>746</v>
      </c>
      <c r="Q133" s="52" t="s">
        <v>683</v>
      </c>
      <c r="R133" s="52" t="s">
        <v>244</v>
      </c>
      <c r="S133" s="49" t="s">
        <v>684</v>
      </c>
      <c r="T133" s="52" t="s">
        <v>1821</v>
      </c>
      <c r="U133" s="52" t="s">
        <v>1824</v>
      </c>
      <c r="V133" s="50" t="s">
        <v>1823</v>
      </c>
    </row>
    <row r="134" spans="1:22" x14ac:dyDescent="0.3">
      <c r="A134" s="48" t="s">
        <v>889</v>
      </c>
      <c r="B134" s="49" t="s">
        <v>544</v>
      </c>
      <c r="C134" s="49" t="s">
        <v>890</v>
      </c>
      <c r="D134" s="49" t="s">
        <v>684</v>
      </c>
      <c r="E134" s="49" t="s">
        <v>674</v>
      </c>
      <c r="F134" s="49" t="s">
        <v>734</v>
      </c>
      <c r="G134" s="49" t="s">
        <v>735</v>
      </c>
      <c r="H134" s="49" t="s">
        <v>735</v>
      </c>
      <c r="I134" s="49" t="s">
        <v>736</v>
      </c>
      <c r="J134" s="49" t="s">
        <v>737</v>
      </c>
      <c r="K134" s="49" t="s">
        <v>738</v>
      </c>
      <c r="L134" s="49" t="s">
        <v>699</v>
      </c>
      <c r="M134" s="49">
        <v>1</v>
      </c>
      <c r="N134" s="49" t="s">
        <v>518</v>
      </c>
      <c r="O134" s="49" t="s">
        <v>665</v>
      </c>
      <c r="P134" s="49" t="s">
        <v>746</v>
      </c>
      <c r="Q134" s="49" t="s">
        <v>683</v>
      </c>
      <c r="R134" s="49" t="s">
        <v>244</v>
      </c>
      <c r="S134" s="49" t="s">
        <v>684</v>
      </c>
      <c r="T134" s="49" t="s">
        <v>1821</v>
      </c>
      <c r="U134" s="49" t="s">
        <v>1824</v>
      </c>
      <c r="V134" s="50" t="s">
        <v>1823</v>
      </c>
    </row>
    <row r="135" spans="1:22" x14ac:dyDescent="0.3">
      <c r="A135" s="51" t="s">
        <v>891</v>
      </c>
      <c r="B135" s="52" t="s">
        <v>544</v>
      </c>
      <c r="C135" s="52" t="s">
        <v>892</v>
      </c>
      <c r="D135" s="52" t="s">
        <v>684</v>
      </c>
      <c r="E135" s="52" t="s">
        <v>674</v>
      </c>
      <c r="F135" s="52" t="s">
        <v>716</v>
      </c>
      <c r="G135" s="52" t="s">
        <v>744</v>
      </c>
      <c r="H135" s="52" t="s">
        <v>702</v>
      </c>
      <c r="I135" s="52" t="s">
        <v>736</v>
      </c>
      <c r="J135" s="52" t="s">
        <v>737</v>
      </c>
      <c r="K135" s="52" t="s">
        <v>738</v>
      </c>
      <c r="L135" s="52" t="s">
        <v>699</v>
      </c>
      <c r="M135" s="52">
        <v>1</v>
      </c>
      <c r="N135" s="52" t="s">
        <v>263</v>
      </c>
      <c r="O135" s="52" t="s">
        <v>767</v>
      </c>
      <c r="P135" s="52" t="s">
        <v>746</v>
      </c>
      <c r="Q135" s="52" t="s">
        <v>683</v>
      </c>
      <c r="R135" s="52" t="s">
        <v>244</v>
      </c>
      <c r="S135" s="49" t="s">
        <v>684</v>
      </c>
      <c r="T135" s="52" t="s">
        <v>1821</v>
      </c>
      <c r="U135" s="52" t="s">
        <v>1824</v>
      </c>
      <c r="V135" s="50" t="s">
        <v>1823</v>
      </c>
    </row>
    <row r="136" spans="1:22" x14ac:dyDescent="0.3">
      <c r="A136" s="48" t="s">
        <v>893</v>
      </c>
      <c r="B136" s="49" t="s">
        <v>470</v>
      </c>
      <c r="C136" s="49" t="s">
        <v>894</v>
      </c>
      <c r="D136" s="49" t="s">
        <v>684</v>
      </c>
      <c r="E136" s="49" t="s">
        <v>674</v>
      </c>
      <c r="F136" s="49" t="s">
        <v>716</v>
      </c>
      <c r="G136" s="49" t="s">
        <v>744</v>
      </c>
      <c r="H136" s="49" t="s">
        <v>702</v>
      </c>
      <c r="I136" s="49" t="s">
        <v>736</v>
      </c>
      <c r="J136" s="49" t="s">
        <v>737</v>
      </c>
      <c r="K136" s="49" t="s">
        <v>738</v>
      </c>
      <c r="L136" s="49" t="s">
        <v>681</v>
      </c>
      <c r="M136" s="49">
        <v>1</v>
      </c>
      <c r="N136" s="49" t="s">
        <v>465</v>
      </c>
      <c r="O136" s="49" t="s">
        <v>767</v>
      </c>
      <c r="P136" s="52" t="s">
        <v>746</v>
      </c>
      <c r="Q136" s="49" t="s">
        <v>683</v>
      </c>
      <c r="R136" s="49" t="s">
        <v>244</v>
      </c>
      <c r="S136" s="49" t="s">
        <v>684</v>
      </c>
      <c r="T136" s="49" t="s">
        <v>1821</v>
      </c>
      <c r="U136" s="49" t="s">
        <v>1824</v>
      </c>
      <c r="V136" s="50" t="s">
        <v>1823</v>
      </c>
    </row>
    <row r="137" spans="1:22" x14ac:dyDescent="0.3">
      <c r="A137" s="51" t="s">
        <v>895</v>
      </c>
      <c r="B137" s="52" t="s">
        <v>544</v>
      </c>
      <c r="C137" s="52" t="s">
        <v>896</v>
      </c>
      <c r="D137" s="52" t="s">
        <v>684</v>
      </c>
      <c r="E137" s="52" t="s">
        <v>674</v>
      </c>
      <c r="F137" s="52" t="s">
        <v>716</v>
      </c>
      <c r="G137" s="52" t="s">
        <v>744</v>
      </c>
      <c r="H137" s="52" t="s">
        <v>702</v>
      </c>
      <c r="I137" s="52" t="s">
        <v>736</v>
      </c>
      <c r="J137" s="52" t="s">
        <v>737</v>
      </c>
      <c r="K137" s="52" t="s">
        <v>738</v>
      </c>
      <c r="L137" s="52" t="s">
        <v>739</v>
      </c>
      <c r="M137" s="52">
        <v>1</v>
      </c>
      <c r="N137" s="52" t="s">
        <v>897</v>
      </c>
      <c r="O137" s="52" t="s">
        <v>665</v>
      </c>
      <c r="P137" s="52" t="s">
        <v>746</v>
      </c>
      <c r="Q137" s="52" t="s">
        <v>683</v>
      </c>
      <c r="R137" s="52" t="s">
        <v>244</v>
      </c>
      <c r="S137" s="49" t="s">
        <v>684</v>
      </c>
      <c r="T137" s="52" t="s">
        <v>1821</v>
      </c>
      <c r="U137" s="52" t="s">
        <v>1824</v>
      </c>
      <c r="V137" s="50" t="s">
        <v>1823</v>
      </c>
    </row>
    <row r="138" spans="1:22" x14ac:dyDescent="0.3">
      <c r="A138" s="48" t="s">
        <v>1506</v>
      </c>
      <c r="B138" s="49" t="s">
        <v>544</v>
      </c>
      <c r="C138" s="49" t="s">
        <v>1500</v>
      </c>
      <c r="D138" s="49" t="s">
        <v>684</v>
      </c>
      <c r="E138" s="49" t="s">
        <v>674</v>
      </c>
      <c r="F138" s="49" t="s">
        <v>716</v>
      </c>
      <c r="G138" s="49" t="s">
        <v>717</v>
      </c>
      <c r="H138" s="49" t="s">
        <v>717</v>
      </c>
      <c r="I138" s="49" t="s">
        <v>736</v>
      </c>
      <c r="J138" s="49" t="s">
        <v>737</v>
      </c>
      <c r="K138" s="49" t="s">
        <v>738</v>
      </c>
      <c r="L138" s="49" t="s">
        <v>699</v>
      </c>
      <c r="M138" s="49">
        <v>1</v>
      </c>
      <c r="N138" s="49" t="s">
        <v>578</v>
      </c>
      <c r="O138" s="49" t="s">
        <v>767</v>
      </c>
      <c r="P138" s="52" t="s">
        <v>746</v>
      </c>
      <c r="Q138" s="49" t="s">
        <v>683</v>
      </c>
      <c r="R138" s="49" t="s">
        <v>244</v>
      </c>
      <c r="S138" s="49" t="s">
        <v>684</v>
      </c>
      <c r="T138" s="49" t="s">
        <v>1821</v>
      </c>
      <c r="U138" s="49" t="s">
        <v>1824</v>
      </c>
      <c r="V138" s="50" t="s">
        <v>1823</v>
      </c>
    </row>
    <row r="139" spans="1:22" x14ac:dyDescent="0.3">
      <c r="A139" s="51" t="s">
        <v>898</v>
      </c>
      <c r="B139" s="52" t="s">
        <v>544</v>
      </c>
      <c r="C139" s="52" t="s">
        <v>899</v>
      </c>
      <c r="D139" s="52" t="s">
        <v>684</v>
      </c>
      <c r="E139" s="52" t="s">
        <v>674</v>
      </c>
      <c r="F139" s="52" t="s">
        <v>716</v>
      </c>
      <c r="G139" s="52" t="s">
        <v>744</v>
      </c>
      <c r="H139" s="52" t="s">
        <v>702</v>
      </c>
      <c r="I139" s="52" t="s">
        <v>736</v>
      </c>
      <c r="J139" s="52" t="s">
        <v>737</v>
      </c>
      <c r="K139" s="52" t="s">
        <v>738</v>
      </c>
      <c r="L139" s="52" t="s">
        <v>808</v>
      </c>
      <c r="M139" s="52">
        <v>0.8</v>
      </c>
      <c r="N139" s="52" t="s">
        <v>67</v>
      </c>
      <c r="O139" s="52" t="s">
        <v>767</v>
      </c>
      <c r="P139" s="52" t="s">
        <v>746</v>
      </c>
      <c r="Q139" s="52" t="s">
        <v>683</v>
      </c>
      <c r="R139" s="52" t="s">
        <v>639</v>
      </c>
      <c r="S139" s="49" t="s">
        <v>684</v>
      </c>
      <c r="T139" s="52" t="s">
        <v>1821</v>
      </c>
      <c r="U139" s="52" t="s">
        <v>1824</v>
      </c>
      <c r="V139" s="50" t="s">
        <v>1823</v>
      </c>
    </row>
    <row r="140" spans="1:22" x14ac:dyDescent="0.3">
      <c r="A140" s="48" t="s">
        <v>900</v>
      </c>
      <c r="B140" s="49" t="s">
        <v>544</v>
      </c>
      <c r="C140" s="49" t="s">
        <v>901</v>
      </c>
      <c r="D140" s="49" t="s">
        <v>684</v>
      </c>
      <c r="E140" s="49" t="s">
        <v>674</v>
      </c>
      <c r="F140" s="49" t="s">
        <v>716</v>
      </c>
      <c r="G140" s="49" t="s">
        <v>744</v>
      </c>
      <c r="H140" s="49" t="s">
        <v>702</v>
      </c>
      <c r="I140" s="49" t="s">
        <v>736</v>
      </c>
      <c r="J140" s="49" t="s">
        <v>737</v>
      </c>
      <c r="K140" s="49" t="s">
        <v>738</v>
      </c>
      <c r="L140" s="49" t="s">
        <v>739</v>
      </c>
      <c r="M140" s="49">
        <v>0.2</v>
      </c>
      <c r="N140" s="49" t="s">
        <v>67</v>
      </c>
      <c r="O140" s="49" t="s">
        <v>767</v>
      </c>
      <c r="P140" s="52" t="s">
        <v>746</v>
      </c>
      <c r="Q140" s="49" t="s">
        <v>683</v>
      </c>
      <c r="R140" s="49" t="s">
        <v>639</v>
      </c>
      <c r="S140" s="49" t="s">
        <v>684</v>
      </c>
      <c r="T140" s="49" t="s">
        <v>1821</v>
      </c>
      <c r="U140" s="49" t="s">
        <v>1824</v>
      </c>
      <c r="V140" s="50" t="s">
        <v>1823</v>
      </c>
    </row>
    <row r="141" spans="1:22" x14ac:dyDescent="0.3">
      <c r="A141" s="51" t="s">
        <v>911</v>
      </c>
      <c r="B141" s="52" t="s">
        <v>544</v>
      </c>
      <c r="C141" s="52" t="s">
        <v>912</v>
      </c>
      <c r="D141" s="52" t="s">
        <v>684</v>
      </c>
      <c r="E141" s="52" t="s">
        <v>674</v>
      </c>
      <c r="F141" s="52" t="s">
        <v>716</v>
      </c>
      <c r="G141" s="52" t="s">
        <v>744</v>
      </c>
      <c r="H141" s="52" t="s">
        <v>702</v>
      </c>
      <c r="I141" s="52" t="s">
        <v>736</v>
      </c>
      <c r="J141" s="52" t="s">
        <v>737</v>
      </c>
      <c r="K141" s="52" t="s">
        <v>738</v>
      </c>
      <c r="L141" s="52" t="s">
        <v>808</v>
      </c>
      <c r="M141" s="52">
        <v>0.8</v>
      </c>
      <c r="N141" s="52" t="s">
        <v>243</v>
      </c>
      <c r="O141" s="52" t="s">
        <v>767</v>
      </c>
      <c r="P141" s="52" t="s">
        <v>746</v>
      </c>
      <c r="Q141" s="52" t="s">
        <v>683</v>
      </c>
      <c r="R141" s="52" t="s">
        <v>639</v>
      </c>
      <c r="S141" s="49" t="s">
        <v>684</v>
      </c>
      <c r="T141" s="52" t="s">
        <v>1821</v>
      </c>
      <c r="U141" s="52" t="s">
        <v>1824</v>
      </c>
      <c r="V141" s="50" t="s">
        <v>1823</v>
      </c>
    </row>
    <row r="142" spans="1:22" x14ac:dyDescent="0.3">
      <c r="A142" s="48" t="s">
        <v>900</v>
      </c>
      <c r="B142" s="49" t="s">
        <v>544</v>
      </c>
      <c r="C142" s="49" t="s">
        <v>901</v>
      </c>
      <c r="D142" s="49" t="s">
        <v>684</v>
      </c>
      <c r="E142" s="49" t="s">
        <v>674</v>
      </c>
      <c r="F142" s="49" t="s">
        <v>716</v>
      </c>
      <c r="G142" s="49" t="s">
        <v>744</v>
      </c>
      <c r="H142" s="49" t="s">
        <v>702</v>
      </c>
      <c r="I142" s="49" t="s">
        <v>736</v>
      </c>
      <c r="J142" s="49" t="s">
        <v>737</v>
      </c>
      <c r="K142" s="49" t="s">
        <v>738</v>
      </c>
      <c r="L142" s="49" t="s">
        <v>739</v>
      </c>
      <c r="M142" s="49">
        <v>0.2</v>
      </c>
      <c r="N142" s="49" t="s">
        <v>243</v>
      </c>
      <c r="O142" s="49" t="s">
        <v>767</v>
      </c>
      <c r="P142" s="52" t="s">
        <v>746</v>
      </c>
      <c r="Q142" s="49" t="s">
        <v>683</v>
      </c>
      <c r="R142" s="49" t="s">
        <v>639</v>
      </c>
      <c r="S142" s="49" t="s">
        <v>684</v>
      </c>
      <c r="T142" s="49" t="s">
        <v>1821</v>
      </c>
      <c r="U142" s="49" t="s">
        <v>1824</v>
      </c>
      <c r="V142" s="50" t="s">
        <v>1823</v>
      </c>
    </row>
    <row r="143" spans="1:22" x14ac:dyDescent="0.3">
      <c r="A143" s="51" t="s">
        <v>913</v>
      </c>
      <c r="B143" s="52" t="s">
        <v>544</v>
      </c>
      <c r="C143" s="52" t="s">
        <v>914</v>
      </c>
      <c r="D143" s="52" t="s">
        <v>684</v>
      </c>
      <c r="E143" s="52" t="s">
        <v>674</v>
      </c>
      <c r="F143" s="52" t="s">
        <v>716</v>
      </c>
      <c r="G143" s="52" t="s">
        <v>744</v>
      </c>
      <c r="H143" s="52" t="s">
        <v>702</v>
      </c>
      <c r="I143" s="52" t="s">
        <v>736</v>
      </c>
      <c r="J143" s="52" t="s">
        <v>737</v>
      </c>
      <c r="K143" s="52" t="s">
        <v>738</v>
      </c>
      <c r="L143" s="52" t="s">
        <v>808</v>
      </c>
      <c r="M143" s="52">
        <v>1</v>
      </c>
      <c r="N143" s="52" t="s">
        <v>259</v>
      </c>
      <c r="O143" s="52" t="s">
        <v>665</v>
      </c>
      <c r="P143" s="52" t="s">
        <v>746</v>
      </c>
      <c r="Q143" s="52" t="s">
        <v>683</v>
      </c>
      <c r="R143" s="52" t="s">
        <v>639</v>
      </c>
      <c r="S143" s="49" t="s">
        <v>684</v>
      </c>
      <c r="T143" s="52" t="s">
        <v>1821</v>
      </c>
      <c r="U143" s="52" t="s">
        <v>1824</v>
      </c>
      <c r="V143" s="50" t="s">
        <v>1823</v>
      </c>
    </row>
    <row r="144" spans="1:22" x14ac:dyDescent="0.3">
      <c r="A144" s="48" t="s">
        <v>915</v>
      </c>
      <c r="B144" s="49" t="s">
        <v>544</v>
      </c>
      <c r="C144" s="49" t="s">
        <v>916</v>
      </c>
      <c r="D144" s="49" t="s">
        <v>684</v>
      </c>
      <c r="E144" s="49" t="s">
        <v>674</v>
      </c>
      <c r="F144" s="49" t="s">
        <v>716</v>
      </c>
      <c r="G144" s="49" t="s">
        <v>744</v>
      </c>
      <c r="H144" s="49" t="s">
        <v>702</v>
      </c>
      <c r="I144" s="49" t="s">
        <v>736</v>
      </c>
      <c r="J144" s="49" t="s">
        <v>737</v>
      </c>
      <c r="K144" s="49" t="s">
        <v>738</v>
      </c>
      <c r="L144" s="49" t="s">
        <v>681</v>
      </c>
      <c r="M144" s="49">
        <v>1</v>
      </c>
      <c r="N144" s="49" t="s">
        <v>280</v>
      </c>
      <c r="O144" s="49" t="s">
        <v>665</v>
      </c>
      <c r="P144" s="49" t="s">
        <v>746</v>
      </c>
      <c r="Q144" s="49" t="s">
        <v>683</v>
      </c>
      <c r="R144" s="49" t="s">
        <v>639</v>
      </c>
      <c r="S144" s="49" t="s">
        <v>684</v>
      </c>
      <c r="T144" s="49" t="s">
        <v>1821</v>
      </c>
      <c r="U144" s="49" t="s">
        <v>1824</v>
      </c>
      <c r="V144" s="50" t="s">
        <v>1823</v>
      </c>
    </row>
    <row r="145" spans="1:22" x14ac:dyDescent="0.3">
      <c r="A145" s="51" t="s">
        <v>913</v>
      </c>
      <c r="B145" s="52" t="s">
        <v>544</v>
      </c>
      <c r="C145" s="52" t="s">
        <v>914</v>
      </c>
      <c r="D145" s="52" t="s">
        <v>684</v>
      </c>
      <c r="E145" s="52" t="s">
        <v>674</v>
      </c>
      <c r="F145" s="52" t="s">
        <v>716</v>
      </c>
      <c r="G145" s="52" t="s">
        <v>744</v>
      </c>
      <c r="H145" s="52" t="s">
        <v>702</v>
      </c>
      <c r="I145" s="52" t="s">
        <v>736</v>
      </c>
      <c r="J145" s="52" t="s">
        <v>737</v>
      </c>
      <c r="K145" s="52" t="s">
        <v>738</v>
      </c>
      <c r="L145" s="52" t="s">
        <v>808</v>
      </c>
      <c r="M145" s="52">
        <v>1</v>
      </c>
      <c r="N145" s="52" t="s">
        <v>319</v>
      </c>
      <c r="O145" s="52" t="s">
        <v>665</v>
      </c>
      <c r="P145" s="52" t="s">
        <v>746</v>
      </c>
      <c r="Q145" s="52" t="s">
        <v>683</v>
      </c>
      <c r="R145" s="52" t="s">
        <v>639</v>
      </c>
      <c r="S145" s="49" t="s">
        <v>684</v>
      </c>
      <c r="T145" s="52" t="s">
        <v>1821</v>
      </c>
      <c r="U145" s="52" t="s">
        <v>1824</v>
      </c>
      <c r="V145" s="50" t="s">
        <v>1823</v>
      </c>
    </row>
    <row r="146" spans="1:22" x14ac:dyDescent="0.3">
      <c r="A146" s="48" t="s">
        <v>900</v>
      </c>
      <c r="B146" s="49" t="s">
        <v>544</v>
      </c>
      <c r="C146" s="49" t="s">
        <v>901</v>
      </c>
      <c r="D146" s="49" t="s">
        <v>684</v>
      </c>
      <c r="E146" s="49" t="s">
        <v>674</v>
      </c>
      <c r="F146" s="49" t="s">
        <v>716</v>
      </c>
      <c r="G146" s="49" t="s">
        <v>744</v>
      </c>
      <c r="H146" s="49" t="s">
        <v>702</v>
      </c>
      <c r="I146" s="49" t="s">
        <v>736</v>
      </c>
      <c r="J146" s="49" t="s">
        <v>737</v>
      </c>
      <c r="K146" s="49" t="s">
        <v>738</v>
      </c>
      <c r="L146" s="49" t="s">
        <v>739</v>
      </c>
      <c r="M146" s="49">
        <v>0.3</v>
      </c>
      <c r="N146" s="49" t="s">
        <v>327</v>
      </c>
      <c r="O146" s="49" t="s">
        <v>665</v>
      </c>
      <c r="P146" s="49" t="s">
        <v>746</v>
      </c>
      <c r="Q146" s="49" t="s">
        <v>683</v>
      </c>
      <c r="R146" s="49" t="s">
        <v>639</v>
      </c>
      <c r="S146" s="49" t="s">
        <v>684</v>
      </c>
      <c r="T146" s="49" t="s">
        <v>1821</v>
      </c>
      <c r="U146" s="49" t="s">
        <v>1824</v>
      </c>
      <c r="V146" s="50" t="s">
        <v>1823</v>
      </c>
    </row>
    <row r="147" spans="1:22" x14ac:dyDescent="0.3">
      <c r="A147" s="51" t="s">
        <v>898</v>
      </c>
      <c r="B147" s="52" t="s">
        <v>544</v>
      </c>
      <c r="C147" s="52" t="s">
        <v>899</v>
      </c>
      <c r="D147" s="52" t="s">
        <v>684</v>
      </c>
      <c r="E147" s="52" t="s">
        <v>674</v>
      </c>
      <c r="F147" s="52" t="s">
        <v>716</v>
      </c>
      <c r="G147" s="52" t="s">
        <v>744</v>
      </c>
      <c r="H147" s="52" t="s">
        <v>702</v>
      </c>
      <c r="I147" s="52" t="s">
        <v>736</v>
      </c>
      <c r="J147" s="52" t="s">
        <v>737</v>
      </c>
      <c r="K147" s="52" t="s">
        <v>738</v>
      </c>
      <c r="L147" s="52" t="s">
        <v>808</v>
      </c>
      <c r="M147" s="52">
        <v>0.7</v>
      </c>
      <c r="N147" s="52" t="s">
        <v>327</v>
      </c>
      <c r="O147" s="52" t="s">
        <v>665</v>
      </c>
      <c r="P147" s="52" t="s">
        <v>746</v>
      </c>
      <c r="Q147" s="52" t="s">
        <v>683</v>
      </c>
      <c r="R147" s="52" t="s">
        <v>639</v>
      </c>
      <c r="S147" s="49" t="s">
        <v>684</v>
      </c>
      <c r="T147" s="52" t="s">
        <v>1821</v>
      </c>
      <c r="U147" s="52" t="s">
        <v>1824</v>
      </c>
      <c r="V147" s="50" t="s">
        <v>1823</v>
      </c>
    </row>
    <row r="148" spans="1:22" x14ac:dyDescent="0.3">
      <c r="A148" s="48" t="s">
        <v>913</v>
      </c>
      <c r="B148" s="49" t="s">
        <v>544</v>
      </c>
      <c r="C148" s="49" t="s">
        <v>914</v>
      </c>
      <c r="D148" s="49" t="s">
        <v>684</v>
      </c>
      <c r="E148" s="49" t="s">
        <v>674</v>
      </c>
      <c r="F148" s="49" t="s">
        <v>716</v>
      </c>
      <c r="G148" s="49" t="s">
        <v>744</v>
      </c>
      <c r="H148" s="49" t="s">
        <v>702</v>
      </c>
      <c r="I148" s="49" t="s">
        <v>736</v>
      </c>
      <c r="J148" s="49" t="s">
        <v>737</v>
      </c>
      <c r="K148" s="49" t="s">
        <v>738</v>
      </c>
      <c r="L148" s="49" t="s">
        <v>808</v>
      </c>
      <c r="M148" s="49">
        <v>1</v>
      </c>
      <c r="N148" s="49" t="s">
        <v>405</v>
      </c>
      <c r="O148" s="49" t="s">
        <v>665</v>
      </c>
      <c r="P148" s="49" t="s">
        <v>746</v>
      </c>
      <c r="Q148" s="49" t="s">
        <v>683</v>
      </c>
      <c r="R148" s="49" t="s">
        <v>639</v>
      </c>
      <c r="S148" s="49" t="s">
        <v>684</v>
      </c>
      <c r="T148" s="49" t="s">
        <v>1821</v>
      </c>
      <c r="U148" s="49" t="s">
        <v>1824</v>
      </c>
      <c r="V148" s="50" t="s">
        <v>1823</v>
      </c>
    </row>
    <row r="149" spans="1:22" x14ac:dyDescent="0.3">
      <c r="A149" s="51" t="s">
        <v>915</v>
      </c>
      <c r="B149" s="52" t="s">
        <v>544</v>
      </c>
      <c r="C149" s="52" t="s">
        <v>916</v>
      </c>
      <c r="D149" s="52" t="s">
        <v>684</v>
      </c>
      <c r="E149" s="52" t="s">
        <v>674</v>
      </c>
      <c r="F149" s="52" t="s">
        <v>716</v>
      </c>
      <c r="G149" s="52" t="s">
        <v>744</v>
      </c>
      <c r="H149" s="52" t="s">
        <v>702</v>
      </c>
      <c r="I149" s="52" t="s">
        <v>736</v>
      </c>
      <c r="J149" s="52" t="s">
        <v>737</v>
      </c>
      <c r="K149" s="52" t="s">
        <v>738</v>
      </c>
      <c r="L149" s="52" t="s">
        <v>681</v>
      </c>
      <c r="M149" s="52">
        <v>0.2</v>
      </c>
      <c r="N149" s="52" t="s">
        <v>413</v>
      </c>
      <c r="O149" s="52" t="s">
        <v>665</v>
      </c>
      <c r="P149" s="52" t="s">
        <v>746</v>
      </c>
      <c r="Q149" s="52" t="s">
        <v>683</v>
      </c>
      <c r="R149" s="52" t="s">
        <v>639</v>
      </c>
      <c r="S149" s="49" t="s">
        <v>684</v>
      </c>
      <c r="T149" s="52" t="s">
        <v>1821</v>
      </c>
      <c r="U149" s="52" t="s">
        <v>1824</v>
      </c>
      <c r="V149" s="50" t="s">
        <v>1823</v>
      </c>
    </row>
    <row r="150" spans="1:22" x14ac:dyDescent="0.3">
      <c r="A150" s="48" t="s">
        <v>913</v>
      </c>
      <c r="B150" s="49" t="s">
        <v>544</v>
      </c>
      <c r="C150" s="49" t="s">
        <v>914</v>
      </c>
      <c r="D150" s="49" t="s">
        <v>684</v>
      </c>
      <c r="E150" s="49" t="s">
        <v>674</v>
      </c>
      <c r="F150" s="49" t="s">
        <v>716</v>
      </c>
      <c r="G150" s="49" t="s">
        <v>744</v>
      </c>
      <c r="H150" s="49" t="s">
        <v>702</v>
      </c>
      <c r="I150" s="49" t="s">
        <v>736</v>
      </c>
      <c r="J150" s="49" t="s">
        <v>737</v>
      </c>
      <c r="K150" s="49" t="s">
        <v>738</v>
      </c>
      <c r="L150" s="49" t="s">
        <v>808</v>
      </c>
      <c r="M150" s="49">
        <v>0.3</v>
      </c>
      <c r="N150" s="49" t="s">
        <v>413</v>
      </c>
      <c r="O150" s="49" t="s">
        <v>665</v>
      </c>
      <c r="P150" s="49" t="s">
        <v>746</v>
      </c>
      <c r="Q150" s="49" t="s">
        <v>683</v>
      </c>
      <c r="R150" s="49" t="s">
        <v>639</v>
      </c>
      <c r="S150" s="49" t="s">
        <v>684</v>
      </c>
      <c r="T150" s="49" t="s">
        <v>1821</v>
      </c>
      <c r="U150" s="49" t="s">
        <v>1824</v>
      </c>
      <c r="V150" s="50" t="s">
        <v>1823</v>
      </c>
    </row>
    <row r="151" spans="1:22" x14ac:dyDescent="0.3">
      <c r="A151" s="51" t="s">
        <v>911</v>
      </c>
      <c r="B151" s="52" t="s">
        <v>544</v>
      </c>
      <c r="C151" s="52" t="s">
        <v>912</v>
      </c>
      <c r="D151" s="52" t="s">
        <v>684</v>
      </c>
      <c r="E151" s="52" t="s">
        <v>674</v>
      </c>
      <c r="F151" s="52" t="s">
        <v>716</v>
      </c>
      <c r="G151" s="52" t="s">
        <v>744</v>
      </c>
      <c r="H151" s="52" t="s">
        <v>702</v>
      </c>
      <c r="I151" s="52" t="s">
        <v>736</v>
      </c>
      <c r="J151" s="52" t="s">
        <v>737</v>
      </c>
      <c r="K151" s="52" t="s">
        <v>738</v>
      </c>
      <c r="L151" s="52" t="s">
        <v>808</v>
      </c>
      <c r="M151" s="52">
        <v>0.5</v>
      </c>
      <c r="N151" s="52" t="s">
        <v>413</v>
      </c>
      <c r="O151" s="52" t="s">
        <v>665</v>
      </c>
      <c r="P151" s="52" t="s">
        <v>746</v>
      </c>
      <c r="Q151" s="52" t="s">
        <v>683</v>
      </c>
      <c r="R151" s="52" t="s">
        <v>639</v>
      </c>
      <c r="S151" s="49" t="s">
        <v>684</v>
      </c>
      <c r="T151" s="52" t="s">
        <v>1821</v>
      </c>
      <c r="U151" s="52" t="s">
        <v>1824</v>
      </c>
      <c r="V151" s="50" t="s">
        <v>1823</v>
      </c>
    </row>
    <row r="152" spans="1:22" x14ac:dyDescent="0.3">
      <c r="A152" s="48" t="s">
        <v>900</v>
      </c>
      <c r="B152" s="49" t="s">
        <v>544</v>
      </c>
      <c r="C152" s="49" t="s">
        <v>901</v>
      </c>
      <c r="D152" s="49" t="s">
        <v>684</v>
      </c>
      <c r="E152" s="49" t="s">
        <v>674</v>
      </c>
      <c r="F152" s="49" t="s">
        <v>716</v>
      </c>
      <c r="G152" s="49" t="s">
        <v>744</v>
      </c>
      <c r="H152" s="49" t="s">
        <v>702</v>
      </c>
      <c r="I152" s="49" t="s">
        <v>736</v>
      </c>
      <c r="J152" s="49" t="s">
        <v>737</v>
      </c>
      <c r="K152" s="49" t="s">
        <v>738</v>
      </c>
      <c r="L152" s="49" t="s">
        <v>739</v>
      </c>
      <c r="M152" s="49">
        <v>0.2</v>
      </c>
      <c r="N152" s="49" t="s">
        <v>423</v>
      </c>
      <c r="O152" s="49" t="s">
        <v>767</v>
      </c>
      <c r="P152" s="52" t="s">
        <v>746</v>
      </c>
      <c r="Q152" s="49" t="s">
        <v>683</v>
      </c>
      <c r="R152" s="49" t="s">
        <v>639</v>
      </c>
      <c r="S152" s="49" t="s">
        <v>684</v>
      </c>
      <c r="T152" s="49" t="s">
        <v>1821</v>
      </c>
      <c r="U152" s="49" t="s">
        <v>1824</v>
      </c>
      <c r="V152" s="50" t="s">
        <v>1823</v>
      </c>
    </row>
    <row r="153" spans="1:22" x14ac:dyDescent="0.3">
      <c r="A153" s="51" t="s">
        <v>917</v>
      </c>
      <c r="B153" s="52" t="s">
        <v>544</v>
      </c>
      <c r="C153" s="52" t="s">
        <v>918</v>
      </c>
      <c r="D153" s="52" t="s">
        <v>684</v>
      </c>
      <c r="E153" s="52" t="s">
        <v>674</v>
      </c>
      <c r="F153" s="52" t="s">
        <v>716</v>
      </c>
      <c r="G153" s="52" t="s">
        <v>744</v>
      </c>
      <c r="H153" s="52" t="s">
        <v>702</v>
      </c>
      <c r="I153" s="52" t="s">
        <v>736</v>
      </c>
      <c r="J153" s="52" t="s">
        <v>737</v>
      </c>
      <c r="K153" s="52" t="s">
        <v>738</v>
      </c>
      <c r="L153" s="52" t="s">
        <v>808</v>
      </c>
      <c r="M153" s="52">
        <v>0.8</v>
      </c>
      <c r="N153" s="52" t="s">
        <v>423</v>
      </c>
      <c r="O153" s="52" t="s">
        <v>767</v>
      </c>
      <c r="P153" s="52" t="s">
        <v>746</v>
      </c>
      <c r="Q153" s="52" t="s">
        <v>683</v>
      </c>
      <c r="R153" s="52" t="s">
        <v>639</v>
      </c>
      <c r="S153" s="49" t="s">
        <v>684</v>
      </c>
      <c r="T153" s="52" t="s">
        <v>1821</v>
      </c>
      <c r="U153" s="52" t="s">
        <v>1824</v>
      </c>
      <c r="V153" s="50" t="s">
        <v>1823</v>
      </c>
    </row>
    <row r="154" spans="1:22" x14ac:dyDescent="0.3">
      <c r="A154" s="48" t="s">
        <v>900</v>
      </c>
      <c r="B154" s="49" t="s">
        <v>544</v>
      </c>
      <c r="C154" s="49" t="s">
        <v>901</v>
      </c>
      <c r="D154" s="49" t="s">
        <v>684</v>
      </c>
      <c r="E154" s="49" t="s">
        <v>674</v>
      </c>
      <c r="F154" s="49" t="s">
        <v>716</v>
      </c>
      <c r="G154" s="49" t="s">
        <v>744</v>
      </c>
      <c r="H154" s="49" t="s">
        <v>702</v>
      </c>
      <c r="I154" s="49" t="s">
        <v>736</v>
      </c>
      <c r="J154" s="49" t="s">
        <v>737</v>
      </c>
      <c r="K154" s="49" t="s">
        <v>738</v>
      </c>
      <c r="L154" s="49" t="s">
        <v>739</v>
      </c>
      <c r="M154" s="49">
        <v>0.2</v>
      </c>
      <c r="N154" s="49" t="s">
        <v>546</v>
      </c>
      <c r="O154" s="49" t="s">
        <v>665</v>
      </c>
      <c r="P154" s="49" t="s">
        <v>746</v>
      </c>
      <c r="Q154" s="49" t="s">
        <v>683</v>
      </c>
      <c r="R154" s="49" t="s">
        <v>639</v>
      </c>
      <c r="S154" s="49" t="s">
        <v>684</v>
      </c>
      <c r="T154" s="49" t="s">
        <v>1821</v>
      </c>
      <c r="U154" s="49" t="s">
        <v>1824</v>
      </c>
      <c r="V154" s="50" t="s">
        <v>1823</v>
      </c>
    </row>
    <row r="155" spans="1:22" x14ac:dyDescent="0.3">
      <c r="A155" s="51" t="s">
        <v>911</v>
      </c>
      <c r="B155" s="52" t="s">
        <v>544</v>
      </c>
      <c r="C155" s="52" t="s">
        <v>912</v>
      </c>
      <c r="D155" s="52" t="s">
        <v>684</v>
      </c>
      <c r="E155" s="52" t="s">
        <v>674</v>
      </c>
      <c r="F155" s="52" t="s">
        <v>716</v>
      </c>
      <c r="G155" s="52" t="s">
        <v>744</v>
      </c>
      <c r="H155" s="52" t="s">
        <v>702</v>
      </c>
      <c r="I155" s="52" t="s">
        <v>736</v>
      </c>
      <c r="J155" s="52" t="s">
        <v>737</v>
      </c>
      <c r="K155" s="52" t="s">
        <v>738</v>
      </c>
      <c r="L155" s="52" t="s">
        <v>808</v>
      </c>
      <c r="M155" s="52">
        <v>0.8</v>
      </c>
      <c r="N155" s="52" t="s">
        <v>546</v>
      </c>
      <c r="O155" s="52" t="s">
        <v>665</v>
      </c>
      <c r="P155" s="52" t="s">
        <v>746</v>
      </c>
      <c r="Q155" s="52" t="s">
        <v>683</v>
      </c>
      <c r="R155" s="52" t="s">
        <v>639</v>
      </c>
      <c r="S155" s="49" t="s">
        <v>684</v>
      </c>
      <c r="T155" s="52" t="s">
        <v>1821</v>
      </c>
      <c r="U155" s="52" t="s">
        <v>1824</v>
      </c>
      <c r="V155" s="50" t="s">
        <v>1823</v>
      </c>
    </row>
    <row r="156" spans="1:22" x14ac:dyDescent="0.3">
      <c r="A156" s="48" t="s">
        <v>900</v>
      </c>
      <c r="B156" s="49" t="s">
        <v>544</v>
      </c>
      <c r="C156" s="49" t="s">
        <v>901</v>
      </c>
      <c r="D156" s="49" t="s">
        <v>684</v>
      </c>
      <c r="E156" s="49" t="s">
        <v>674</v>
      </c>
      <c r="F156" s="49" t="s">
        <v>716</v>
      </c>
      <c r="G156" s="49" t="s">
        <v>744</v>
      </c>
      <c r="H156" s="49" t="s">
        <v>702</v>
      </c>
      <c r="I156" s="49" t="s">
        <v>736</v>
      </c>
      <c r="J156" s="49" t="s">
        <v>737</v>
      </c>
      <c r="K156" s="49" t="s">
        <v>738</v>
      </c>
      <c r="L156" s="49" t="s">
        <v>739</v>
      </c>
      <c r="M156" s="49">
        <v>0.2</v>
      </c>
      <c r="N156" s="49" t="s">
        <v>579</v>
      </c>
      <c r="O156" s="49" t="s">
        <v>665</v>
      </c>
      <c r="P156" s="49" t="s">
        <v>746</v>
      </c>
      <c r="Q156" s="49" t="s">
        <v>683</v>
      </c>
      <c r="R156" s="49" t="s">
        <v>639</v>
      </c>
      <c r="S156" s="49" t="s">
        <v>684</v>
      </c>
      <c r="T156" s="49" t="s">
        <v>1821</v>
      </c>
      <c r="U156" s="49" t="s">
        <v>1824</v>
      </c>
      <c r="V156" s="50" t="s">
        <v>1823</v>
      </c>
    </row>
    <row r="157" spans="1:22" x14ac:dyDescent="0.3">
      <c r="A157" s="51" t="s">
        <v>919</v>
      </c>
      <c r="B157" s="52" t="s">
        <v>544</v>
      </c>
      <c r="C157" s="52" t="s">
        <v>920</v>
      </c>
      <c r="D157" s="52" t="s">
        <v>684</v>
      </c>
      <c r="E157" s="52" t="s">
        <v>674</v>
      </c>
      <c r="F157" s="52" t="s">
        <v>675</v>
      </c>
      <c r="G157" s="52" t="s">
        <v>676</v>
      </c>
      <c r="H157" s="52" t="s">
        <v>677</v>
      </c>
      <c r="I157" s="52" t="s">
        <v>736</v>
      </c>
      <c r="J157" s="52" t="s">
        <v>737</v>
      </c>
      <c r="K157" s="52" t="s">
        <v>738</v>
      </c>
      <c r="L157" s="52" t="s">
        <v>739</v>
      </c>
      <c r="M157" s="52">
        <v>0.8</v>
      </c>
      <c r="N157" s="52" t="s">
        <v>579</v>
      </c>
      <c r="O157" s="52" t="s">
        <v>665</v>
      </c>
      <c r="P157" s="52" t="s">
        <v>746</v>
      </c>
      <c r="Q157" s="52" t="s">
        <v>683</v>
      </c>
      <c r="R157" s="52" t="s">
        <v>639</v>
      </c>
      <c r="S157" s="49" t="s">
        <v>684</v>
      </c>
      <c r="T157" s="52" t="s">
        <v>1821</v>
      </c>
      <c r="U157" s="52" t="s">
        <v>1824</v>
      </c>
      <c r="V157" s="50" t="s">
        <v>1823</v>
      </c>
    </row>
    <row r="158" spans="1:22" x14ac:dyDescent="0.3">
      <c r="A158" s="48" t="s">
        <v>900</v>
      </c>
      <c r="B158" s="49" t="s">
        <v>544</v>
      </c>
      <c r="C158" s="49" t="s">
        <v>901</v>
      </c>
      <c r="D158" s="49" t="s">
        <v>684</v>
      </c>
      <c r="E158" s="49" t="s">
        <v>674</v>
      </c>
      <c r="F158" s="49" t="s">
        <v>716</v>
      </c>
      <c r="G158" s="49" t="s">
        <v>744</v>
      </c>
      <c r="H158" s="49" t="s">
        <v>702</v>
      </c>
      <c r="I158" s="49" t="s">
        <v>736</v>
      </c>
      <c r="J158" s="49" t="s">
        <v>737</v>
      </c>
      <c r="K158" s="49" t="s">
        <v>738</v>
      </c>
      <c r="L158" s="49" t="s">
        <v>739</v>
      </c>
      <c r="M158" s="49">
        <v>0.2</v>
      </c>
      <c r="N158" s="49" t="s">
        <v>580</v>
      </c>
      <c r="O158" s="49" t="s">
        <v>665</v>
      </c>
      <c r="P158" s="49" t="s">
        <v>746</v>
      </c>
      <c r="Q158" s="49" t="s">
        <v>683</v>
      </c>
      <c r="R158" s="49" t="s">
        <v>639</v>
      </c>
      <c r="S158" s="49" t="s">
        <v>684</v>
      </c>
      <c r="T158" s="49" t="s">
        <v>1821</v>
      </c>
      <c r="U158" s="49" t="s">
        <v>1824</v>
      </c>
      <c r="V158" s="50" t="s">
        <v>1823</v>
      </c>
    </row>
    <row r="159" spans="1:22" x14ac:dyDescent="0.3">
      <c r="A159" s="51" t="s">
        <v>898</v>
      </c>
      <c r="B159" s="52" t="s">
        <v>544</v>
      </c>
      <c r="C159" s="52" t="s">
        <v>899</v>
      </c>
      <c r="D159" s="52" t="s">
        <v>684</v>
      </c>
      <c r="E159" s="52" t="s">
        <v>674</v>
      </c>
      <c r="F159" s="52" t="s">
        <v>716</v>
      </c>
      <c r="G159" s="52" t="s">
        <v>744</v>
      </c>
      <c r="H159" s="52" t="s">
        <v>702</v>
      </c>
      <c r="I159" s="52" t="s">
        <v>736</v>
      </c>
      <c r="J159" s="52" t="s">
        <v>737</v>
      </c>
      <c r="K159" s="52" t="s">
        <v>738</v>
      </c>
      <c r="L159" s="52" t="s">
        <v>808</v>
      </c>
      <c r="M159" s="52">
        <v>0.8</v>
      </c>
      <c r="N159" s="52" t="s">
        <v>580</v>
      </c>
      <c r="O159" s="52" t="s">
        <v>665</v>
      </c>
      <c r="P159" s="52" t="s">
        <v>746</v>
      </c>
      <c r="Q159" s="52" t="s">
        <v>683</v>
      </c>
      <c r="R159" s="52" t="s">
        <v>639</v>
      </c>
      <c r="S159" s="49" t="s">
        <v>684</v>
      </c>
      <c r="T159" s="52" t="s">
        <v>1821</v>
      </c>
      <c r="U159" s="52" t="s">
        <v>1824</v>
      </c>
      <c r="V159" s="50" t="s">
        <v>1823</v>
      </c>
    </row>
    <row r="160" spans="1:22" x14ac:dyDescent="0.3">
      <c r="A160" s="48" t="s">
        <v>917</v>
      </c>
      <c r="B160" s="49" t="s">
        <v>544</v>
      </c>
      <c r="C160" s="49" t="s">
        <v>918</v>
      </c>
      <c r="D160" s="49" t="s">
        <v>684</v>
      </c>
      <c r="E160" s="49" t="s">
        <v>674</v>
      </c>
      <c r="F160" s="49" t="s">
        <v>716</v>
      </c>
      <c r="G160" s="49" t="s">
        <v>744</v>
      </c>
      <c r="H160" s="49" t="s">
        <v>702</v>
      </c>
      <c r="I160" s="49" t="s">
        <v>736</v>
      </c>
      <c r="J160" s="49" t="s">
        <v>737</v>
      </c>
      <c r="K160" s="49" t="s">
        <v>738</v>
      </c>
      <c r="L160" s="49" t="s">
        <v>808</v>
      </c>
      <c r="M160" s="49">
        <v>1</v>
      </c>
      <c r="N160" s="49" t="s">
        <v>597</v>
      </c>
      <c r="O160" s="49" t="s">
        <v>665</v>
      </c>
      <c r="P160" s="49" t="s">
        <v>746</v>
      </c>
      <c r="Q160" s="49" t="s">
        <v>683</v>
      </c>
      <c r="R160" s="49" t="s">
        <v>639</v>
      </c>
      <c r="S160" s="49" t="s">
        <v>684</v>
      </c>
      <c r="T160" s="49" t="s">
        <v>1821</v>
      </c>
      <c r="U160" s="49" t="s">
        <v>1824</v>
      </c>
      <c r="V160" s="50" t="s">
        <v>1823</v>
      </c>
    </row>
    <row r="161" spans="1:22" x14ac:dyDescent="0.3">
      <c r="A161" s="51" t="s">
        <v>921</v>
      </c>
      <c r="B161" s="52" t="s">
        <v>544</v>
      </c>
      <c r="C161" s="52" t="s">
        <v>922</v>
      </c>
      <c r="D161" s="52" t="s">
        <v>684</v>
      </c>
      <c r="E161" s="52" t="s">
        <v>674</v>
      </c>
      <c r="F161" s="52" t="s">
        <v>716</v>
      </c>
      <c r="G161" s="52" t="s">
        <v>744</v>
      </c>
      <c r="H161" s="52" t="s">
        <v>702</v>
      </c>
      <c r="I161" s="52" t="s">
        <v>736</v>
      </c>
      <c r="J161" s="52" t="s">
        <v>737</v>
      </c>
      <c r="K161" s="52" t="s">
        <v>738</v>
      </c>
      <c r="L161" s="52" t="s">
        <v>808</v>
      </c>
      <c r="M161" s="52">
        <v>1</v>
      </c>
      <c r="N161" s="52" t="s">
        <v>631</v>
      </c>
      <c r="O161" s="52" t="s">
        <v>767</v>
      </c>
      <c r="P161" s="52" t="s">
        <v>746</v>
      </c>
      <c r="Q161" s="52" t="s">
        <v>683</v>
      </c>
      <c r="R161" s="52" t="s">
        <v>639</v>
      </c>
      <c r="S161" s="49" t="s">
        <v>684</v>
      </c>
      <c r="T161" s="52" t="s">
        <v>1821</v>
      </c>
      <c r="U161" s="52" t="s">
        <v>1824</v>
      </c>
      <c r="V161" s="50" t="s">
        <v>1823</v>
      </c>
    </row>
    <row r="162" spans="1:22" x14ac:dyDescent="0.3">
      <c r="A162" s="48" t="s">
        <v>915</v>
      </c>
      <c r="B162" s="49" t="s">
        <v>544</v>
      </c>
      <c r="C162" s="49" t="s">
        <v>916</v>
      </c>
      <c r="D162" s="49" t="s">
        <v>684</v>
      </c>
      <c r="E162" s="49" t="s">
        <v>674</v>
      </c>
      <c r="F162" s="49" t="s">
        <v>716</v>
      </c>
      <c r="G162" s="49" t="s">
        <v>744</v>
      </c>
      <c r="H162" s="49" t="s">
        <v>702</v>
      </c>
      <c r="I162" s="49" t="s">
        <v>736</v>
      </c>
      <c r="J162" s="49" t="s">
        <v>737</v>
      </c>
      <c r="K162" s="49" t="s">
        <v>738</v>
      </c>
      <c r="L162" s="49" t="s">
        <v>681</v>
      </c>
      <c r="M162" s="49">
        <v>1</v>
      </c>
      <c r="N162" s="49" t="s">
        <v>133</v>
      </c>
      <c r="O162" s="49" t="s">
        <v>767</v>
      </c>
      <c r="P162" s="52" t="s">
        <v>746</v>
      </c>
      <c r="Q162" s="49" t="s">
        <v>683</v>
      </c>
      <c r="R162" s="49" t="s">
        <v>639</v>
      </c>
      <c r="S162" s="49" t="s">
        <v>684</v>
      </c>
      <c r="T162" s="49" t="s">
        <v>1821</v>
      </c>
      <c r="U162" s="49" t="s">
        <v>1824</v>
      </c>
      <c r="V162" s="50" t="s">
        <v>1823</v>
      </c>
    </row>
    <row r="163" spans="1:22" x14ac:dyDescent="0.3">
      <c r="A163" s="51" t="s">
        <v>928</v>
      </c>
      <c r="B163" s="52" t="s">
        <v>258</v>
      </c>
      <c r="C163" s="52" t="s">
        <v>929</v>
      </c>
      <c r="D163" s="52" t="s">
        <v>673</v>
      </c>
      <c r="E163" s="52" t="s">
        <v>674</v>
      </c>
      <c r="F163" s="52" t="s">
        <v>716</v>
      </c>
      <c r="G163" s="52" t="s">
        <v>744</v>
      </c>
      <c r="H163" s="52" t="s">
        <v>677</v>
      </c>
      <c r="I163" s="49" t="s">
        <v>678</v>
      </c>
      <c r="J163" s="52" t="s">
        <v>698</v>
      </c>
      <c r="K163" s="52" t="s">
        <v>690</v>
      </c>
      <c r="L163" s="52" t="s">
        <v>681</v>
      </c>
      <c r="M163" s="52">
        <v>0.7</v>
      </c>
      <c r="N163" s="52" t="s">
        <v>421</v>
      </c>
      <c r="O163" s="52" t="s">
        <v>767</v>
      </c>
      <c r="P163" s="52" t="s">
        <v>746</v>
      </c>
      <c r="Q163" s="52" t="s">
        <v>683</v>
      </c>
      <c r="R163" s="52" t="s">
        <v>258</v>
      </c>
      <c r="S163" s="52" t="s">
        <v>673</v>
      </c>
      <c r="T163" s="52" t="s">
        <v>1821</v>
      </c>
      <c r="U163" s="52" t="s">
        <v>1824</v>
      </c>
      <c r="V163" s="50" t="s">
        <v>1823</v>
      </c>
    </row>
    <row r="164" spans="1:22" x14ac:dyDescent="0.3">
      <c r="A164" s="48" t="s">
        <v>756</v>
      </c>
      <c r="B164" s="49" t="s">
        <v>753</v>
      </c>
      <c r="C164" s="49" t="s">
        <v>756</v>
      </c>
      <c r="D164" s="49" t="s">
        <v>755</v>
      </c>
      <c r="E164" s="49" t="s">
        <v>674</v>
      </c>
      <c r="F164" s="49" t="s">
        <v>716</v>
      </c>
      <c r="G164" s="49" t="s">
        <v>744</v>
      </c>
      <c r="H164" s="49" t="s">
        <v>702</v>
      </c>
      <c r="I164" s="49" t="s">
        <v>678</v>
      </c>
      <c r="J164" s="49" t="s">
        <v>679</v>
      </c>
      <c r="K164" s="49" t="s">
        <v>680</v>
      </c>
      <c r="L164" s="49" t="s">
        <v>681</v>
      </c>
      <c r="M164" s="49">
        <v>1</v>
      </c>
      <c r="N164" s="49" t="s">
        <v>425</v>
      </c>
      <c r="O164" s="49" t="s">
        <v>665</v>
      </c>
      <c r="P164" s="49" t="s">
        <v>746</v>
      </c>
      <c r="Q164" s="49" t="s">
        <v>683</v>
      </c>
      <c r="R164" s="49" t="s">
        <v>753</v>
      </c>
      <c r="S164" s="49" t="s">
        <v>755</v>
      </c>
      <c r="T164" s="49" t="s">
        <v>1821</v>
      </c>
      <c r="U164" s="49" t="s">
        <v>1824</v>
      </c>
      <c r="V164" s="50" t="s">
        <v>1823</v>
      </c>
    </row>
    <row r="165" spans="1:22" x14ac:dyDescent="0.3">
      <c r="A165" s="51" t="s">
        <v>948</v>
      </c>
      <c r="B165" s="52" t="s">
        <v>707</v>
      </c>
      <c r="C165" s="52" t="s">
        <v>910</v>
      </c>
      <c r="D165" s="52" t="s">
        <v>673</v>
      </c>
      <c r="E165" s="52" t="s">
        <v>674</v>
      </c>
      <c r="F165" s="52" t="s">
        <v>12</v>
      </c>
      <c r="G165" s="52" t="s">
        <v>12</v>
      </c>
      <c r="H165" s="52" t="s">
        <v>12</v>
      </c>
      <c r="I165" s="52" t="s">
        <v>12</v>
      </c>
      <c r="J165" s="52" t="s">
        <v>713</v>
      </c>
      <c r="K165" s="52" t="s">
        <v>690</v>
      </c>
      <c r="L165" s="52" t="s">
        <v>699</v>
      </c>
      <c r="M165" s="52">
        <v>1</v>
      </c>
      <c r="N165" s="52" t="s">
        <v>193</v>
      </c>
      <c r="O165" s="52" t="s">
        <v>665</v>
      </c>
      <c r="P165" s="52" t="s">
        <v>746</v>
      </c>
      <c r="Q165" s="52" t="s">
        <v>683</v>
      </c>
      <c r="R165" s="52" t="s">
        <v>132</v>
      </c>
      <c r="S165" s="52" t="s">
        <v>673</v>
      </c>
      <c r="T165" s="52" t="s">
        <v>1821</v>
      </c>
      <c r="U165" s="52" t="s">
        <v>1824</v>
      </c>
      <c r="V165" s="50" t="s">
        <v>1823</v>
      </c>
    </row>
    <row r="166" spans="1:22" x14ac:dyDescent="0.3">
      <c r="A166" s="48" t="s">
        <v>2287</v>
      </c>
      <c r="B166" s="49" t="s">
        <v>707</v>
      </c>
      <c r="C166" s="49" t="s">
        <v>773</v>
      </c>
      <c r="D166" s="49" t="s">
        <v>673</v>
      </c>
      <c r="E166" s="49" t="s">
        <v>674</v>
      </c>
      <c r="F166" s="49" t="s">
        <v>773</v>
      </c>
      <c r="G166" s="49" t="s">
        <v>773</v>
      </c>
      <c r="H166" s="49" t="s">
        <v>773</v>
      </c>
      <c r="I166" s="49" t="s">
        <v>773</v>
      </c>
      <c r="J166" s="49" t="s">
        <v>751</v>
      </c>
      <c r="K166" s="49" t="s">
        <v>690</v>
      </c>
      <c r="L166" s="49" t="s">
        <v>699</v>
      </c>
      <c r="M166" s="49">
        <v>1</v>
      </c>
      <c r="N166" s="49" t="s">
        <v>296</v>
      </c>
      <c r="O166" s="49" t="s">
        <v>767</v>
      </c>
      <c r="P166" s="52" t="s">
        <v>746</v>
      </c>
      <c r="Q166" s="49" t="s">
        <v>683</v>
      </c>
      <c r="R166" s="49" t="s">
        <v>132</v>
      </c>
      <c r="S166" s="52" t="s">
        <v>673</v>
      </c>
      <c r="T166" s="49" t="s">
        <v>1821</v>
      </c>
      <c r="U166" s="49" t="s">
        <v>1824</v>
      </c>
      <c r="V166" s="50" t="s">
        <v>1823</v>
      </c>
    </row>
    <row r="167" spans="1:22" x14ac:dyDescent="0.3">
      <c r="A167" s="51" t="s">
        <v>851</v>
      </c>
      <c r="B167" s="52" t="s">
        <v>849</v>
      </c>
      <c r="C167" s="52" t="s">
        <v>852</v>
      </c>
      <c r="D167" s="52" t="s">
        <v>673</v>
      </c>
      <c r="E167" s="52" t="s">
        <v>674</v>
      </c>
      <c r="F167" s="52" t="s">
        <v>675</v>
      </c>
      <c r="G167" s="52" t="s">
        <v>731</v>
      </c>
      <c r="H167" s="52" t="s">
        <v>702</v>
      </c>
      <c r="I167" s="49" t="s">
        <v>688</v>
      </c>
      <c r="J167" s="52" t="s">
        <v>713</v>
      </c>
      <c r="K167" s="52" t="s">
        <v>690</v>
      </c>
      <c r="L167" s="52" t="s">
        <v>681</v>
      </c>
      <c r="M167" s="52">
        <v>0.2</v>
      </c>
      <c r="N167" s="52" t="s">
        <v>621</v>
      </c>
      <c r="O167" s="52" t="s">
        <v>665</v>
      </c>
      <c r="P167" s="52" t="s">
        <v>682</v>
      </c>
      <c r="Q167" s="52" t="s">
        <v>683</v>
      </c>
      <c r="R167" s="52" t="s">
        <v>447</v>
      </c>
      <c r="S167" s="52" t="s">
        <v>673</v>
      </c>
      <c r="T167" s="52" t="s">
        <v>1821</v>
      </c>
      <c r="U167" s="52" t="s">
        <v>1824</v>
      </c>
      <c r="V167" s="50" t="s">
        <v>1823</v>
      </c>
    </row>
    <row r="168" spans="1:22" x14ac:dyDescent="0.3">
      <c r="A168" s="48" t="s">
        <v>848</v>
      </c>
      <c r="B168" s="49" t="s">
        <v>849</v>
      </c>
      <c r="C168" s="49" t="s">
        <v>850</v>
      </c>
      <c r="D168" s="49" t="s">
        <v>673</v>
      </c>
      <c r="E168" s="49" t="s">
        <v>674</v>
      </c>
      <c r="F168" s="49" t="s">
        <v>675</v>
      </c>
      <c r="G168" s="49" t="s">
        <v>731</v>
      </c>
      <c r="H168" s="49" t="s">
        <v>702</v>
      </c>
      <c r="I168" s="49" t="s">
        <v>811</v>
      </c>
      <c r="J168" s="49" t="s">
        <v>713</v>
      </c>
      <c r="K168" s="49" t="s">
        <v>690</v>
      </c>
      <c r="L168" s="49" t="s">
        <v>681</v>
      </c>
      <c r="M168" s="49">
        <v>0.8</v>
      </c>
      <c r="N168" s="49" t="s">
        <v>621</v>
      </c>
      <c r="O168" s="49" t="s">
        <v>665</v>
      </c>
      <c r="P168" s="49" t="s">
        <v>682</v>
      </c>
      <c r="Q168" s="49" t="s">
        <v>683</v>
      </c>
      <c r="R168" s="49" t="s">
        <v>447</v>
      </c>
      <c r="S168" s="52" t="s">
        <v>673</v>
      </c>
      <c r="T168" s="49" t="s">
        <v>1821</v>
      </c>
      <c r="U168" s="49" t="s">
        <v>1824</v>
      </c>
      <c r="V168" s="50" t="s">
        <v>1823</v>
      </c>
    </row>
    <row r="169" spans="1:22" x14ac:dyDescent="0.3">
      <c r="A169" s="51" t="s">
        <v>837</v>
      </c>
      <c r="B169" s="52" t="s">
        <v>686</v>
      </c>
      <c r="C169" s="52" t="s">
        <v>838</v>
      </c>
      <c r="D169" s="52" t="s">
        <v>673</v>
      </c>
      <c r="E169" s="52" t="s">
        <v>674</v>
      </c>
      <c r="F169" s="52" t="s">
        <v>716</v>
      </c>
      <c r="G169" s="52" t="s">
        <v>731</v>
      </c>
      <c r="H169" s="52" t="s">
        <v>702</v>
      </c>
      <c r="I169" s="49" t="s">
        <v>688</v>
      </c>
      <c r="J169" s="52" t="s">
        <v>689</v>
      </c>
      <c r="K169" s="52" t="s">
        <v>690</v>
      </c>
      <c r="L169" s="52" t="s">
        <v>691</v>
      </c>
      <c r="M169" s="52">
        <v>1</v>
      </c>
      <c r="N169" s="52" t="s">
        <v>153</v>
      </c>
      <c r="O169" s="52" t="s">
        <v>665</v>
      </c>
      <c r="P169" s="52" t="s">
        <v>682</v>
      </c>
      <c r="Q169" s="52" t="s">
        <v>683</v>
      </c>
      <c r="R169" s="52" t="s">
        <v>447</v>
      </c>
      <c r="S169" s="52" t="s">
        <v>673</v>
      </c>
      <c r="T169" s="52" t="s">
        <v>1821</v>
      </c>
      <c r="U169" s="52" t="s">
        <v>1824</v>
      </c>
      <c r="V169" s="50" t="s">
        <v>1823</v>
      </c>
    </row>
    <row r="170" spans="1:22" x14ac:dyDescent="0.3">
      <c r="A170" s="48" t="s">
        <v>837</v>
      </c>
      <c r="B170" s="49" t="s">
        <v>686</v>
      </c>
      <c r="C170" s="49" t="s">
        <v>838</v>
      </c>
      <c r="D170" s="49" t="s">
        <v>673</v>
      </c>
      <c r="E170" s="49" t="s">
        <v>674</v>
      </c>
      <c r="F170" s="49" t="s">
        <v>716</v>
      </c>
      <c r="G170" s="49" t="s">
        <v>731</v>
      </c>
      <c r="H170" s="49" t="s">
        <v>702</v>
      </c>
      <c r="I170" s="49" t="s">
        <v>688</v>
      </c>
      <c r="J170" s="49" t="s">
        <v>689</v>
      </c>
      <c r="K170" s="49" t="s">
        <v>690</v>
      </c>
      <c r="L170" s="49" t="s">
        <v>691</v>
      </c>
      <c r="M170" s="49">
        <v>1</v>
      </c>
      <c r="N170" s="49" t="s">
        <v>141</v>
      </c>
      <c r="O170" s="49" t="s">
        <v>665</v>
      </c>
      <c r="P170" s="49" t="s">
        <v>682</v>
      </c>
      <c r="Q170" s="49" t="s">
        <v>683</v>
      </c>
      <c r="R170" s="49" t="s">
        <v>447</v>
      </c>
      <c r="S170" s="52" t="s">
        <v>673</v>
      </c>
      <c r="T170" s="49" t="s">
        <v>1821</v>
      </c>
      <c r="U170" s="49" t="s">
        <v>1824</v>
      </c>
      <c r="V170" s="50" t="s">
        <v>1823</v>
      </c>
    </row>
    <row r="171" spans="1:22" x14ac:dyDescent="0.3">
      <c r="A171" s="51" t="s">
        <v>871</v>
      </c>
      <c r="B171" s="52" t="s">
        <v>704</v>
      </c>
      <c r="C171" s="52" t="s">
        <v>872</v>
      </c>
      <c r="D171" s="52" t="s">
        <v>673</v>
      </c>
      <c r="E171" s="52" t="s">
        <v>674</v>
      </c>
      <c r="F171" s="52" t="s">
        <v>675</v>
      </c>
      <c r="G171" s="52" t="s">
        <v>676</v>
      </c>
      <c r="H171" s="52" t="s">
        <v>677</v>
      </c>
      <c r="I171" s="49" t="s">
        <v>678</v>
      </c>
      <c r="J171" s="52" t="s">
        <v>710</v>
      </c>
      <c r="K171" s="52" t="s">
        <v>690</v>
      </c>
      <c r="L171" s="52" t="s">
        <v>681</v>
      </c>
      <c r="M171" s="52">
        <v>0.6</v>
      </c>
      <c r="N171" s="52" t="s">
        <v>613</v>
      </c>
      <c r="O171" s="52" t="s">
        <v>665</v>
      </c>
      <c r="P171" s="52" t="s">
        <v>682</v>
      </c>
      <c r="Q171" s="52" t="s">
        <v>683</v>
      </c>
      <c r="R171" s="52" t="s">
        <v>447</v>
      </c>
      <c r="S171" s="52" t="s">
        <v>673</v>
      </c>
      <c r="T171" s="52" t="s">
        <v>1821</v>
      </c>
      <c r="U171" s="52" t="s">
        <v>1824</v>
      </c>
      <c r="V171" s="50" t="s">
        <v>1823</v>
      </c>
    </row>
    <row r="172" spans="1:22" x14ac:dyDescent="0.3">
      <c r="A172" s="48" t="s">
        <v>740</v>
      </c>
      <c r="B172" s="49" t="s">
        <v>704</v>
      </c>
      <c r="C172" s="49" t="s">
        <v>741</v>
      </c>
      <c r="D172" s="49" t="s">
        <v>673</v>
      </c>
      <c r="E172" s="49" t="s">
        <v>674</v>
      </c>
      <c r="F172" s="49" t="s">
        <v>675</v>
      </c>
      <c r="G172" s="49" t="s">
        <v>676</v>
      </c>
      <c r="H172" s="49" t="s">
        <v>677</v>
      </c>
      <c r="I172" s="49" t="s">
        <v>678</v>
      </c>
      <c r="J172" s="49" t="s">
        <v>710</v>
      </c>
      <c r="K172" s="49" t="s">
        <v>690</v>
      </c>
      <c r="L172" s="49" t="s">
        <v>681</v>
      </c>
      <c r="M172" s="49">
        <v>0.2</v>
      </c>
      <c r="N172" s="49" t="s">
        <v>613</v>
      </c>
      <c r="O172" s="49" t="s">
        <v>665</v>
      </c>
      <c r="P172" s="49" t="s">
        <v>682</v>
      </c>
      <c r="Q172" s="49" t="s">
        <v>683</v>
      </c>
      <c r="R172" s="49" t="s">
        <v>447</v>
      </c>
      <c r="S172" s="52" t="s">
        <v>673</v>
      </c>
      <c r="T172" s="49" t="s">
        <v>1821</v>
      </c>
      <c r="U172" s="49" t="s">
        <v>1824</v>
      </c>
      <c r="V172" s="50" t="s">
        <v>1823</v>
      </c>
    </row>
    <row r="173" spans="1:22" x14ac:dyDescent="0.3">
      <c r="A173" s="51" t="s">
        <v>790</v>
      </c>
      <c r="B173" s="52" t="s">
        <v>791</v>
      </c>
      <c r="C173" s="52" t="s">
        <v>792</v>
      </c>
      <c r="D173" s="52" t="s">
        <v>673</v>
      </c>
      <c r="E173" s="52" t="s">
        <v>674</v>
      </c>
      <c r="F173" s="52" t="s">
        <v>675</v>
      </c>
      <c r="G173" s="52" t="s">
        <v>676</v>
      </c>
      <c r="H173" s="52" t="s">
        <v>677</v>
      </c>
      <c r="I173" s="49" t="s">
        <v>678</v>
      </c>
      <c r="J173" s="52" t="s">
        <v>710</v>
      </c>
      <c r="K173" s="52" t="s">
        <v>690</v>
      </c>
      <c r="L173" s="52" t="s">
        <v>739</v>
      </c>
      <c r="M173" s="52">
        <v>0.2</v>
      </c>
      <c r="N173" s="52" t="s">
        <v>613</v>
      </c>
      <c r="O173" s="52" t="s">
        <v>665</v>
      </c>
      <c r="P173" s="52" t="s">
        <v>682</v>
      </c>
      <c r="Q173" s="52" t="s">
        <v>683</v>
      </c>
      <c r="R173" s="52" t="s">
        <v>447</v>
      </c>
      <c r="S173" s="52" t="s">
        <v>673</v>
      </c>
      <c r="T173" s="52" t="s">
        <v>1821</v>
      </c>
      <c r="U173" s="52" t="s">
        <v>1824</v>
      </c>
      <c r="V173" s="50" t="s">
        <v>1823</v>
      </c>
    </row>
    <row r="174" spans="1:22" x14ac:dyDescent="0.3">
      <c r="A174" s="48" t="s">
        <v>848</v>
      </c>
      <c r="B174" s="49" t="s">
        <v>849</v>
      </c>
      <c r="C174" s="49" t="s">
        <v>850</v>
      </c>
      <c r="D174" s="49" t="s">
        <v>673</v>
      </c>
      <c r="E174" s="49" t="s">
        <v>674</v>
      </c>
      <c r="F174" s="49" t="s">
        <v>675</v>
      </c>
      <c r="G174" s="49" t="s">
        <v>731</v>
      </c>
      <c r="H174" s="49" t="s">
        <v>702</v>
      </c>
      <c r="I174" s="49" t="s">
        <v>811</v>
      </c>
      <c r="J174" s="49" t="s">
        <v>713</v>
      </c>
      <c r="K174" s="49" t="s">
        <v>690</v>
      </c>
      <c r="L174" s="49" t="s">
        <v>681</v>
      </c>
      <c r="M174" s="49">
        <v>0.5</v>
      </c>
      <c r="N174" s="49" t="s">
        <v>311</v>
      </c>
      <c r="O174" s="49" t="s">
        <v>665</v>
      </c>
      <c r="P174" s="49" t="s">
        <v>682</v>
      </c>
      <c r="Q174" s="49" t="s">
        <v>683</v>
      </c>
      <c r="R174" s="49" t="s">
        <v>447</v>
      </c>
      <c r="S174" s="52" t="s">
        <v>673</v>
      </c>
      <c r="T174" s="49" t="s">
        <v>1821</v>
      </c>
      <c r="U174" s="49" t="s">
        <v>1824</v>
      </c>
      <c r="V174" s="50" t="s">
        <v>1823</v>
      </c>
    </row>
    <row r="175" spans="1:22" x14ac:dyDescent="0.3">
      <c r="A175" s="51" t="s">
        <v>851</v>
      </c>
      <c r="B175" s="52" t="s">
        <v>849</v>
      </c>
      <c r="C175" s="52" t="s">
        <v>852</v>
      </c>
      <c r="D175" s="52" t="s">
        <v>673</v>
      </c>
      <c r="E175" s="52" t="s">
        <v>674</v>
      </c>
      <c r="F175" s="52" t="s">
        <v>675</v>
      </c>
      <c r="G175" s="52" t="s">
        <v>731</v>
      </c>
      <c r="H175" s="52" t="s">
        <v>702</v>
      </c>
      <c r="I175" s="49" t="s">
        <v>688</v>
      </c>
      <c r="J175" s="52" t="s">
        <v>713</v>
      </c>
      <c r="K175" s="52" t="s">
        <v>690</v>
      </c>
      <c r="L175" s="52" t="s">
        <v>681</v>
      </c>
      <c r="M175" s="52">
        <v>0.5</v>
      </c>
      <c r="N175" s="52" t="s">
        <v>311</v>
      </c>
      <c r="O175" s="52" t="s">
        <v>665</v>
      </c>
      <c r="P175" s="52" t="s">
        <v>682</v>
      </c>
      <c r="Q175" s="52" t="s">
        <v>683</v>
      </c>
      <c r="R175" s="52" t="s">
        <v>447</v>
      </c>
      <c r="S175" s="52" t="s">
        <v>673</v>
      </c>
      <c r="T175" s="52" t="s">
        <v>1821</v>
      </c>
      <c r="U175" s="52" t="s">
        <v>1824</v>
      </c>
      <c r="V175" s="50" t="s">
        <v>1823</v>
      </c>
    </row>
    <row r="176" spans="1:22" x14ac:dyDescent="0.3">
      <c r="A176" s="48" t="s">
        <v>941</v>
      </c>
      <c r="B176" s="49" t="s">
        <v>154</v>
      </c>
      <c r="C176" s="49" t="s">
        <v>942</v>
      </c>
      <c r="D176" s="49" t="s">
        <v>673</v>
      </c>
      <c r="E176" s="49" t="s">
        <v>674</v>
      </c>
      <c r="F176" s="49" t="s">
        <v>716</v>
      </c>
      <c r="G176" s="49" t="s">
        <v>744</v>
      </c>
      <c r="H176" s="49" t="s">
        <v>935</v>
      </c>
      <c r="I176" s="49" t="s">
        <v>678</v>
      </c>
      <c r="J176" s="49" t="s">
        <v>713</v>
      </c>
      <c r="K176" s="49" t="s">
        <v>690</v>
      </c>
      <c r="L176" s="49" t="s">
        <v>681</v>
      </c>
      <c r="M176" s="49">
        <v>1</v>
      </c>
      <c r="N176" s="49" t="s">
        <v>186</v>
      </c>
      <c r="O176" s="49" t="s">
        <v>665</v>
      </c>
      <c r="P176" s="49" t="s">
        <v>746</v>
      </c>
      <c r="Q176" s="49" t="s">
        <v>683</v>
      </c>
      <c r="R176" s="49" t="s">
        <v>123</v>
      </c>
      <c r="S176" s="52" t="s">
        <v>673</v>
      </c>
      <c r="T176" s="49" t="s">
        <v>1821</v>
      </c>
      <c r="U176" s="49" t="s">
        <v>1824</v>
      </c>
      <c r="V176" s="50" t="s">
        <v>1823</v>
      </c>
    </row>
    <row r="177" spans="1:22" x14ac:dyDescent="0.3">
      <c r="A177" s="51" t="s">
        <v>2288</v>
      </c>
      <c r="B177" s="52" t="s">
        <v>952</v>
      </c>
      <c r="C177" s="52" t="s">
        <v>2289</v>
      </c>
      <c r="D177" s="52" t="s">
        <v>673</v>
      </c>
      <c r="E177" s="52" t="s">
        <v>674</v>
      </c>
      <c r="F177" s="52" t="s">
        <v>675</v>
      </c>
      <c r="G177" s="52" t="s">
        <v>744</v>
      </c>
      <c r="H177" s="52" t="s">
        <v>702</v>
      </c>
      <c r="I177" s="49" t="s">
        <v>688</v>
      </c>
      <c r="J177" s="52" t="s">
        <v>713</v>
      </c>
      <c r="K177" s="52" t="s">
        <v>690</v>
      </c>
      <c r="L177" s="52" t="s">
        <v>691</v>
      </c>
      <c r="M177" s="52">
        <v>1</v>
      </c>
      <c r="N177" s="52" t="s">
        <v>494</v>
      </c>
      <c r="O177" s="52" t="s">
        <v>665</v>
      </c>
      <c r="P177" s="52" t="s">
        <v>746</v>
      </c>
      <c r="Q177" s="52" t="s">
        <v>683</v>
      </c>
      <c r="R177" s="52" t="s">
        <v>123</v>
      </c>
      <c r="S177" s="52" t="s">
        <v>673</v>
      </c>
      <c r="T177" s="52" t="s">
        <v>1821</v>
      </c>
      <c r="U177" s="52" t="s">
        <v>1824</v>
      </c>
      <c r="V177" s="50" t="s">
        <v>1823</v>
      </c>
    </row>
    <row r="178" spans="1:22" x14ac:dyDescent="0.3">
      <c r="A178" s="48" t="s">
        <v>951</v>
      </c>
      <c r="B178" s="49" t="s">
        <v>952</v>
      </c>
      <c r="C178" s="49" t="s">
        <v>953</v>
      </c>
      <c r="D178" s="49" t="s">
        <v>673</v>
      </c>
      <c r="E178" s="49" t="s">
        <v>674</v>
      </c>
      <c r="F178" s="49" t="s">
        <v>716</v>
      </c>
      <c r="G178" s="49" t="s">
        <v>744</v>
      </c>
      <c r="H178" s="49" t="s">
        <v>702</v>
      </c>
      <c r="I178" s="49" t="s">
        <v>688</v>
      </c>
      <c r="J178" s="49" t="s">
        <v>713</v>
      </c>
      <c r="K178" s="49" t="s">
        <v>690</v>
      </c>
      <c r="L178" s="49" t="s">
        <v>681</v>
      </c>
      <c r="M178" s="49">
        <v>1</v>
      </c>
      <c r="N178" s="49" t="s">
        <v>158</v>
      </c>
      <c r="O178" s="49" t="s">
        <v>767</v>
      </c>
      <c r="P178" s="52" t="s">
        <v>746</v>
      </c>
      <c r="Q178" s="49" t="s">
        <v>683</v>
      </c>
      <c r="R178" s="49" t="s">
        <v>123</v>
      </c>
      <c r="S178" s="52" t="s">
        <v>673</v>
      </c>
      <c r="T178" s="49" t="s">
        <v>1821</v>
      </c>
      <c r="U178" s="49" t="s">
        <v>1824</v>
      </c>
      <c r="V178" s="50" t="s">
        <v>1823</v>
      </c>
    </row>
    <row r="179" spans="1:22" x14ac:dyDescent="0.3">
      <c r="A179" s="51" t="s">
        <v>941</v>
      </c>
      <c r="B179" s="52" t="s">
        <v>154</v>
      </c>
      <c r="C179" s="52" t="s">
        <v>942</v>
      </c>
      <c r="D179" s="52" t="s">
        <v>673</v>
      </c>
      <c r="E179" s="52" t="s">
        <v>674</v>
      </c>
      <c r="F179" s="52" t="s">
        <v>716</v>
      </c>
      <c r="G179" s="52" t="s">
        <v>744</v>
      </c>
      <c r="H179" s="52" t="s">
        <v>935</v>
      </c>
      <c r="I179" s="49" t="s">
        <v>678</v>
      </c>
      <c r="J179" s="52" t="s">
        <v>713</v>
      </c>
      <c r="K179" s="52" t="s">
        <v>690</v>
      </c>
      <c r="L179" s="52" t="s">
        <v>681</v>
      </c>
      <c r="M179" s="52">
        <v>1</v>
      </c>
      <c r="N179" s="52" t="s">
        <v>540</v>
      </c>
      <c r="O179" s="52" t="s">
        <v>665</v>
      </c>
      <c r="P179" s="52" t="s">
        <v>746</v>
      </c>
      <c r="Q179" s="52" t="s">
        <v>683</v>
      </c>
      <c r="R179" s="52" t="s">
        <v>123</v>
      </c>
      <c r="S179" s="52" t="s">
        <v>673</v>
      </c>
      <c r="T179" s="52" t="s">
        <v>1821</v>
      </c>
      <c r="U179" s="52" t="s">
        <v>1824</v>
      </c>
      <c r="V179" s="50" t="s">
        <v>1823</v>
      </c>
    </row>
    <row r="180" spans="1:22" x14ac:dyDescent="0.3">
      <c r="A180" s="48" t="s">
        <v>941</v>
      </c>
      <c r="B180" s="49" t="s">
        <v>154</v>
      </c>
      <c r="C180" s="49" t="s">
        <v>942</v>
      </c>
      <c r="D180" s="49" t="s">
        <v>673</v>
      </c>
      <c r="E180" s="49" t="s">
        <v>674</v>
      </c>
      <c r="F180" s="49" t="s">
        <v>716</v>
      </c>
      <c r="G180" s="49" t="s">
        <v>744</v>
      </c>
      <c r="H180" s="49" t="s">
        <v>935</v>
      </c>
      <c r="I180" s="49" t="s">
        <v>678</v>
      </c>
      <c r="J180" s="49" t="s">
        <v>713</v>
      </c>
      <c r="K180" s="49" t="s">
        <v>690</v>
      </c>
      <c r="L180" s="49" t="s">
        <v>681</v>
      </c>
      <c r="M180" s="49">
        <v>1</v>
      </c>
      <c r="N180" s="49" t="s">
        <v>589</v>
      </c>
      <c r="O180" s="49" t="s">
        <v>665</v>
      </c>
      <c r="P180" s="49" t="s">
        <v>746</v>
      </c>
      <c r="Q180" s="49" t="s">
        <v>683</v>
      </c>
      <c r="R180" s="49" t="s">
        <v>123</v>
      </c>
      <c r="S180" s="52" t="s">
        <v>673</v>
      </c>
      <c r="T180" s="49" t="s">
        <v>1821</v>
      </c>
      <c r="U180" s="49" t="s">
        <v>1824</v>
      </c>
      <c r="V180" s="50" t="s">
        <v>1823</v>
      </c>
    </row>
    <row r="181" spans="1:22" x14ac:dyDescent="0.3">
      <c r="A181" s="51" t="s">
        <v>951</v>
      </c>
      <c r="B181" s="52" t="s">
        <v>952</v>
      </c>
      <c r="C181" s="52" t="s">
        <v>953</v>
      </c>
      <c r="D181" s="52" t="s">
        <v>673</v>
      </c>
      <c r="E181" s="52" t="s">
        <v>674</v>
      </c>
      <c r="F181" s="52" t="s">
        <v>716</v>
      </c>
      <c r="G181" s="52" t="s">
        <v>744</v>
      </c>
      <c r="H181" s="52" t="s">
        <v>702</v>
      </c>
      <c r="I181" s="49" t="s">
        <v>688</v>
      </c>
      <c r="J181" s="52" t="s">
        <v>713</v>
      </c>
      <c r="K181" s="52" t="s">
        <v>690</v>
      </c>
      <c r="L181" s="52" t="s">
        <v>681</v>
      </c>
      <c r="M181" s="52">
        <v>1</v>
      </c>
      <c r="N181" s="52" t="s">
        <v>262</v>
      </c>
      <c r="O181" s="52" t="s">
        <v>767</v>
      </c>
      <c r="P181" s="52" t="s">
        <v>746</v>
      </c>
      <c r="Q181" s="52" t="s">
        <v>683</v>
      </c>
      <c r="R181" s="52" t="s">
        <v>123</v>
      </c>
      <c r="S181" s="52" t="s">
        <v>673</v>
      </c>
      <c r="T181" s="52" t="s">
        <v>1821</v>
      </c>
      <c r="U181" s="52" t="s">
        <v>1824</v>
      </c>
      <c r="V181" s="50" t="s">
        <v>1823</v>
      </c>
    </row>
    <row r="182" spans="1:22" x14ac:dyDescent="0.3">
      <c r="A182" s="48" t="s">
        <v>954</v>
      </c>
      <c r="B182" s="49" t="s">
        <v>955</v>
      </c>
      <c r="C182" s="49" t="s">
        <v>956</v>
      </c>
      <c r="D182" s="49" t="s">
        <v>673</v>
      </c>
      <c r="E182" s="49" t="s">
        <v>674</v>
      </c>
      <c r="F182" s="49" t="s">
        <v>675</v>
      </c>
      <c r="G182" s="49" t="s">
        <v>676</v>
      </c>
      <c r="H182" s="49" t="s">
        <v>677</v>
      </c>
      <c r="I182" s="49" t="s">
        <v>688</v>
      </c>
      <c r="J182" s="49" t="s">
        <v>713</v>
      </c>
      <c r="K182" s="49" t="s">
        <v>690</v>
      </c>
      <c r="L182" s="49" t="s">
        <v>699</v>
      </c>
      <c r="M182" s="49">
        <v>0.8</v>
      </c>
      <c r="N182" s="49" t="s">
        <v>173</v>
      </c>
      <c r="O182" s="49" t="s">
        <v>665</v>
      </c>
      <c r="P182" s="49" t="s">
        <v>746</v>
      </c>
      <c r="Q182" s="49" t="s">
        <v>683</v>
      </c>
      <c r="R182" s="49" t="s">
        <v>123</v>
      </c>
      <c r="S182" s="52" t="s">
        <v>673</v>
      </c>
      <c r="T182" s="49" t="s">
        <v>1821</v>
      </c>
      <c r="U182" s="49" t="s">
        <v>1824</v>
      </c>
      <c r="V182" s="50" t="s">
        <v>1823</v>
      </c>
    </row>
    <row r="183" spans="1:22" x14ac:dyDescent="0.3">
      <c r="A183" s="51" t="s">
        <v>1205</v>
      </c>
      <c r="B183" s="52" t="s">
        <v>154</v>
      </c>
      <c r="C183" s="52" t="s">
        <v>1206</v>
      </c>
      <c r="D183" s="52" t="s">
        <v>673</v>
      </c>
      <c r="E183" s="52" t="s">
        <v>674</v>
      </c>
      <c r="F183" s="52" t="s">
        <v>716</v>
      </c>
      <c r="G183" s="52" t="s">
        <v>744</v>
      </c>
      <c r="H183" s="52" t="s">
        <v>935</v>
      </c>
      <c r="I183" s="49" t="s">
        <v>688</v>
      </c>
      <c r="J183" s="52" t="s">
        <v>713</v>
      </c>
      <c r="K183" s="52" t="s">
        <v>690</v>
      </c>
      <c r="L183" s="52" t="s">
        <v>681</v>
      </c>
      <c r="M183" s="52">
        <v>0.2</v>
      </c>
      <c r="N183" s="52" t="s">
        <v>173</v>
      </c>
      <c r="O183" s="52" t="s">
        <v>665</v>
      </c>
      <c r="P183" s="52" t="s">
        <v>746</v>
      </c>
      <c r="Q183" s="52" t="s">
        <v>683</v>
      </c>
      <c r="R183" s="52" t="s">
        <v>123</v>
      </c>
      <c r="S183" s="52" t="s">
        <v>673</v>
      </c>
      <c r="T183" s="52" t="s">
        <v>1821</v>
      </c>
      <c r="U183" s="52" t="s">
        <v>1824</v>
      </c>
      <c r="V183" s="50" t="s">
        <v>1823</v>
      </c>
    </row>
    <row r="184" spans="1:22" x14ac:dyDescent="0.3">
      <c r="A184" s="48" t="s">
        <v>1202</v>
      </c>
      <c r="B184" s="49" t="s">
        <v>154</v>
      </c>
      <c r="C184" s="49" t="s">
        <v>862</v>
      </c>
      <c r="D184" s="49" t="s">
        <v>673</v>
      </c>
      <c r="E184" s="49" t="s">
        <v>674</v>
      </c>
      <c r="F184" s="49" t="s">
        <v>716</v>
      </c>
      <c r="G184" s="49" t="s">
        <v>744</v>
      </c>
      <c r="H184" s="49" t="s">
        <v>935</v>
      </c>
      <c r="I184" s="49" t="s">
        <v>678</v>
      </c>
      <c r="J184" s="49" t="s">
        <v>713</v>
      </c>
      <c r="K184" s="49" t="s">
        <v>690</v>
      </c>
      <c r="L184" s="49" t="s">
        <v>681</v>
      </c>
      <c r="M184" s="49">
        <v>0.5</v>
      </c>
      <c r="N184" s="49" t="s">
        <v>66</v>
      </c>
      <c r="O184" s="49" t="s">
        <v>767</v>
      </c>
      <c r="P184" s="52" t="s">
        <v>746</v>
      </c>
      <c r="Q184" s="49" t="s">
        <v>683</v>
      </c>
      <c r="R184" s="49" t="s">
        <v>123</v>
      </c>
      <c r="S184" s="52" t="s">
        <v>673</v>
      </c>
      <c r="T184" s="49" t="s">
        <v>1821</v>
      </c>
      <c r="U184" s="49" t="s">
        <v>1824</v>
      </c>
      <c r="V184" s="50" t="s">
        <v>1823</v>
      </c>
    </row>
    <row r="185" spans="1:22" x14ac:dyDescent="0.3">
      <c r="A185" s="51" t="s">
        <v>959</v>
      </c>
      <c r="B185" s="52" t="s">
        <v>960</v>
      </c>
      <c r="C185" s="52" t="s">
        <v>961</v>
      </c>
      <c r="D185" s="52" t="s">
        <v>673</v>
      </c>
      <c r="E185" s="52" t="s">
        <v>674</v>
      </c>
      <c r="F185" s="52" t="s">
        <v>675</v>
      </c>
      <c r="G185" s="52" t="s">
        <v>676</v>
      </c>
      <c r="H185" s="52" t="s">
        <v>677</v>
      </c>
      <c r="I185" s="49" t="s">
        <v>678</v>
      </c>
      <c r="J185" s="52" t="s">
        <v>713</v>
      </c>
      <c r="K185" s="52" t="s">
        <v>690</v>
      </c>
      <c r="L185" s="52" t="s">
        <v>699</v>
      </c>
      <c r="M185" s="52">
        <v>0.1</v>
      </c>
      <c r="N185" s="52" t="s">
        <v>69</v>
      </c>
      <c r="O185" s="52" t="s">
        <v>665</v>
      </c>
      <c r="P185" s="52" t="s">
        <v>746</v>
      </c>
      <c r="Q185" s="52" t="s">
        <v>683</v>
      </c>
      <c r="R185" s="52" t="s">
        <v>123</v>
      </c>
      <c r="S185" s="52" t="s">
        <v>673</v>
      </c>
      <c r="T185" s="52" t="s">
        <v>1821</v>
      </c>
      <c r="U185" s="52" t="s">
        <v>1824</v>
      </c>
      <c r="V185" s="50" t="s">
        <v>1823</v>
      </c>
    </row>
    <row r="186" spans="1:22" x14ac:dyDescent="0.3">
      <c r="A186" s="48" t="s">
        <v>962</v>
      </c>
      <c r="B186" s="49" t="s">
        <v>760</v>
      </c>
      <c r="C186" s="49" t="s">
        <v>963</v>
      </c>
      <c r="D186" s="49" t="s">
        <v>673</v>
      </c>
      <c r="E186" s="49" t="s">
        <v>674</v>
      </c>
      <c r="F186" s="49" t="s">
        <v>675</v>
      </c>
      <c r="G186" s="49" t="s">
        <v>676</v>
      </c>
      <c r="H186" s="49" t="s">
        <v>677</v>
      </c>
      <c r="I186" s="49" t="s">
        <v>678</v>
      </c>
      <c r="J186" s="49" t="s">
        <v>713</v>
      </c>
      <c r="K186" s="49" t="s">
        <v>690</v>
      </c>
      <c r="L186" s="49" t="s">
        <v>699</v>
      </c>
      <c r="M186" s="49">
        <v>0.2</v>
      </c>
      <c r="N186" s="49" t="s">
        <v>69</v>
      </c>
      <c r="O186" s="49" t="s">
        <v>665</v>
      </c>
      <c r="P186" s="49" t="s">
        <v>746</v>
      </c>
      <c r="Q186" s="49" t="s">
        <v>683</v>
      </c>
      <c r="R186" s="49" t="s">
        <v>123</v>
      </c>
      <c r="S186" s="52" t="s">
        <v>673</v>
      </c>
      <c r="T186" s="49" t="s">
        <v>1821</v>
      </c>
      <c r="U186" s="49" t="s">
        <v>1824</v>
      </c>
      <c r="V186" s="50" t="s">
        <v>1823</v>
      </c>
    </row>
    <row r="187" spans="1:22" x14ac:dyDescent="0.3">
      <c r="A187" s="51" t="s">
        <v>964</v>
      </c>
      <c r="B187" s="52" t="s">
        <v>960</v>
      </c>
      <c r="C187" s="52" t="s">
        <v>965</v>
      </c>
      <c r="D187" s="52" t="s">
        <v>673</v>
      </c>
      <c r="E187" s="52" t="s">
        <v>674</v>
      </c>
      <c r="F187" s="52" t="s">
        <v>675</v>
      </c>
      <c r="G187" s="52" t="s">
        <v>676</v>
      </c>
      <c r="H187" s="52" t="s">
        <v>677</v>
      </c>
      <c r="I187" s="49" t="s">
        <v>678</v>
      </c>
      <c r="J187" s="52" t="s">
        <v>713</v>
      </c>
      <c r="K187" s="52" t="s">
        <v>690</v>
      </c>
      <c r="L187" s="52" t="s">
        <v>699</v>
      </c>
      <c r="M187" s="52">
        <v>0.9</v>
      </c>
      <c r="N187" s="52" t="s">
        <v>347</v>
      </c>
      <c r="O187" s="52" t="s">
        <v>665</v>
      </c>
      <c r="P187" s="52" t="s">
        <v>746</v>
      </c>
      <c r="Q187" s="52" t="s">
        <v>683</v>
      </c>
      <c r="R187" s="52" t="s">
        <v>123</v>
      </c>
      <c r="S187" s="52" t="s">
        <v>673</v>
      </c>
      <c r="T187" s="52" t="s">
        <v>1821</v>
      </c>
      <c r="U187" s="52" t="s">
        <v>1824</v>
      </c>
      <c r="V187" s="50" t="s">
        <v>1823</v>
      </c>
    </row>
    <row r="188" spans="1:22" x14ac:dyDescent="0.3">
      <c r="A188" s="48" t="s">
        <v>966</v>
      </c>
      <c r="B188" s="49" t="s">
        <v>967</v>
      </c>
      <c r="C188" s="49" t="s">
        <v>968</v>
      </c>
      <c r="D188" s="49" t="s">
        <v>673</v>
      </c>
      <c r="E188" s="49" t="s">
        <v>674</v>
      </c>
      <c r="F188" s="49" t="s">
        <v>716</v>
      </c>
      <c r="G188" s="49" t="s">
        <v>744</v>
      </c>
      <c r="H188" s="49" t="s">
        <v>935</v>
      </c>
      <c r="I188" s="49" t="s">
        <v>678</v>
      </c>
      <c r="J188" s="49" t="s">
        <v>713</v>
      </c>
      <c r="K188" s="49" t="s">
        <v>690</v>
      </c>
      <c r="L188" s="49" t="s">
        <v>681</v>
      </c>
      <c r="M188" s="49">
        <v>0.2</v>
      </c>
      <c r="N188" s="49" t="s">
        <v>430</v>
      </c>
      <c r="O188" s="49" t="s">
        <v>665</v>
      </c>
      <c r="P188" s="49" t="s">
        <v>746</v>
      </c>
      <c r="Q188" s="49" t="s">
        <v>683</v>
      </c>
      <c r="R188" s="49" t="s">
        <v>123</v>
      </c>
      <c r="S188" s="52" t="s">
        <v>673</v>
      </c>
      <c r="T188" s="49" t="s">
        <v>1821</v>
      </c>
      <c r="U188" s="49" t="s">
        <v>1824</v>
      </c>
      <c r="V188" s="50" t="s">
        <v>1823</v>
      </c>
    </row>
    <row r="189" spans="1:22" x14ac:dyDescent="0.3">
      <c r="A189" s="51" t="s">
        <v>969</v>
      </c>
      <c r="B189" s="52" t="s">
        <v>418</v>
      </c>
      <c r="C189" s="52" t="s">
        <v>970</v>
      </c>
      <c r="D189" s="52" t="s">
        <v>673</v>
      </c>
      <c r="E189" s="52" t="s">
        <v>674</v>
      </c>
      <c r="F189" s="52" t="s">
        <v>675</v>
      </c>
      <c r="G189" s="52" t="s">
        <v>676</v>
      </c>
      <c r="H189" s="52" t="s">
        <v>677</v>
      </c>
      <c r="I189" s="49" t="s">
        <v>678</v>
      </c>
      <c r="J189" s="52" t="s">
        <v>713</v>
      </c>
      <c r="K189" s="52" t="s">
        <v>690</v>
      </c>
      <c r="L189" s="52" t="s">
        <v>681</v>
      </c>
      <c r="M189" s="52">
        <v>0.1</v>
      </c>
      <c r="N189" s="52" t="s">
        <v>469</v>
      </c>
      <c r="O189" s="52" t="s">
        <v>665</v>
      </c>
      <c r="P189" s="52" t="s">
        <v>746</v>
      </c>
      <c r="Q189" s="52" t="s">
        <v>683</v>
      </c>
      <c r="R189" s="52" t="s">
        <v>123</v>
      </c>
      <c r="S189" s="52" t="s">
        <v>673</v>
      </c>
      <c r="T189" s="52" t="s">
        <v>1821</v>
      </c>
      <c r="U189" s="52" t="s">
        <v>1824</v>
      </c>
      <c r="V189" s="50" t="s">
        <v>1823</v>
      </c>
    </row>
    <row r="190" spans="1:22" x14ac:dyDescent="0.3">
      <c r="A190" s="48" t="s">
        <v>959</v>
      </c>
      <c r="B190" s="49" t="s">
        <v>960</v>
      </c>
      <c r="C190" s="49" t="s">
        <v>961</v>
      </c>
      <c r="D190" s="49" t="s">
        <v>673</v>
      </c>
      <c r="E190" s="49" t="s">
        <v>674</v>
      </c>
      <c r="F190" s="49" t="s">
        <v>675</v>
      </c>
      <c r="G190" s="49" t="s">
        <v>676</v>
      </c>
      <c r="H190" s="49" t="s">
        <v>677</v>
      </c>
      <c r="I190" s="49" t="s">
        <v>678</v>
      </c>
      <c r="J190" s="49" t="s">
        <v>713</v>
      </c>
      <c r="K190" s="49" t="s">
        <v>690</v>
      </c>
      <c r="L190" s="49" t="s">
        <v>699</v>
      </c>
      <c r="M190" s="49">
        <v>0.1</v>
      </c>
      <c r="N190" s="49" t="s">
        <v>469</v>
      </c>
      <c r="O190" s="49" t="s">
        <v>665</v>
      </c>
      <c r="P190" s="49" t="s">
        <v>746</v>
      </c>
      <c r="Q190" s="49" t="s">
        <v>683</v>
      </c>
      <c r="R190" s="49" t="s">
        <v>123</v>
      </c>
      <c r="S190" s="52" t="s">
        <v>673</v>
      </c>
      <c r="T190" s="49" t="s">
        <v>1821</v>
      </c>
      <c r="U190" s="49" t="s">
        <v>1824</v>
      </c>
      <c r="V190" s="50" t="s">
        <v>1823</v>
      </c>
    </row>
    <row r="191" spans="1:22" x14ac:dyDescent="0.3">
      <c r="A191" s="51" t="s">
        <v>966</v>
      </c>
      <c r="B191" s="52" t="s">
        <v>967</v>
      </c>
      <c r="C191" s="52" t="s">
        <v>968</v>
      </c>
      <c r="D191" s="52" t="s">
        <v>673</v>
      </c>
      <c r="E191" s="52" t="s">
        <v>674</v>
      </c>
      <c r="F191" s="52" t="s">
        <v>716</v>
      </c>
      <c r="G191" s="52" t="s">
        <v>744</v>
      </c>
      <c r="H191" s="52" t="s">
        <v>935</v>
      </c>
      <c r="I191" s="49" t="s">
        <v>678</v>
      </c>
      <c r="J191" s="52" t="s">
        <v>713</v>
      </c>
      <c r="K191" s="52" t="s">
        <v>690</v>
      </c>
      <c r="L191" s="52" t="s">
        <v>681</v>
      </c>
      <c r="M191" s="52">
        <v>0.2</v>
      </c>
      <c r="N191" s="52" t="s">
        <v>536</v>
      </c>
      <c r="O191" s="52" t="s">
        <v>767</v>
      </c>
      <c r="P191" s="52" t="s">
        <v>746</v>
      </c>
      <c r="Q191" s="52" t="s">
        <v>683</v>
      </c>
      <c r="R191" s="52" t="s">
        <v>123</v>
      </c>
      <c r="S191" s="52" t="s">
        <v>673</v>
      </c>
      <c r="T191" s="52" t="s">
        <v>1821</v>
      </c>
      <c r="U191" s="52" t="s">
        <v>1824</v>
      </c>
      <c r="V191" s="50" t="s">
        <v>1823</v>
      </c>
    </row>
    <row r="192" spans="1:22" x14ac:dyDescent="0.3">
      <c r="A192" s="48" t="s">
        <v>971</v>
      </c>
      <c r="B192" s="49" t="s">
        <v>753</v>
      </c>
      <c r="C192" s="49" t="s">
        <v>972</v>
      </c>
      <c r="D192" s="49" t="s">
        <v>755</v>
      </c>
      <c r="E192" s="49" t="s">
        <v>674</v>
      </c>
      <c r="F192" s="49" t="s">
        <v>675</v>
      </c>
      <c r="G192" s="49" t="s">
        <v>676</v>
      </c>
      <c r="H192" s="49" t="s">
        <v>702</v>
      </c>
      <c r="I192" s="49" t="s">
        <v>678</v>
      </c>
      <c r="J192" s="49" t="s">
        <v>679</v>
      </c>
      <c r="K192" s="49" t="s">
        <v>680</v>
      </c>
      <c r="L192" s="49" t="s">
        <v>699</v>
      </c>
      <c r="M192" s="49">
        <v>1</v>
      </c>
      <c r="N192" s="49" t="s">
        <v>973</v>
      </c>
      <c r="O192" s="49" t="s">
        <v>665</v>
      </c>
      <c r="P192" s="49" t="s">
        <v>746</v>
      </c>
      <c r="Q192" s="49" t="s">
        <v>683</v>
      </c>
      <c r="R192" s="49" t="s">
        <v>753</v>
      </c>
      <c r="S192" s="49" t="s">
        <v>755</v>
      </c>
      <c r="T192" s="49" t="s">
        <v>1821</v>
      </c>
      <c r="U192" s="49" t="s">
        <v>1824</v>
      </c>
      <c r="V192" s="50" t="s">
        <v>1823</v>
      </c>
    </row>
    <row r="193" spans="1:22" x14ac:dyDescent="0.3">
      <c r="A193" s="51" t="s">
        <v>978</v>
      </c>
      <c r="B193" s="52" t="s">
        <v>470</v>
      </c>
      <c r="C193" s="52" t="s">
        <v>979</v>
      </c>
      <c r="D193" s="52" t="s">
        <v>684</v>
      </c>
      <c r="E193" s="52" t="s">
        <v>674</v>
      </c>
      <c r="F193" s="52" t="s">
        <v>675</v>
      </c>
      <c r="G193" s="52" t="s">
        <v>676</v>
      </c>
      <c r="H193" s="52" t="s">
        <v>677</v>
      </c>
      <c r="I193" s="52" t="s">
        <v>736</v>
      </c>
      <c r="J193" s="52" t="s">
        <v>745</v>
      </c>
      <c r="K193" s="52" t="s">
        <v>738</v>
      </c>
      <c r="L193" s="52" t="s">
        <v>699</v>
      </c>
      <c r="M193" s="52">
        <v>0.2</v>
      </c>
      <c r="N193" s="52" t="s">
        <v>557</v>
      </c>
      <c r="O193" s="52" t="s">
        <v>665</v>
      </c>
      <c r="P193" s="52" t="s">
        <v>746</v>
      </c>
      <c r="Q193" s="52" t="s">
        <v>683</v>
      </c>
      <c r="R193" s="52" t="s">
        <v>324</v>
      </c>
      <c r="S193" s="49" t="s">
        <v>684</v>
      </c>
      <c r="T193" s="52" t="s">
        <v>1821</v>
      </c>
      <c r="U193" s="52" t="s">
        <v>1824</v>
      </c>
      <c r="V193" s="50" t="s">
        <v>1823</v>
      </c>
    </row>
    <row r="194" spans="1:22" x14ac:dyDescent="0.3">
      <c r="A194" s="48" t="s">
        <v>980</v>
      </c>
      <c r="B194" s="49" t="s">
        <v>981</v>
      </c>
      <c r="C194" s="49" t="s">
        <v>982</v>
      </c>
      <c r="D194" s="49" t="s">
        <v>684</v>
      </c>
      <c r="E194" s="49" t="s">
        <v>674</v>
      </c>
      <c r="F194" s="49" t="s">
        <v>716</v>
      </c>
      <c r="G194" s="49" t="s">
        <v>744</v>
      </c>
      <c r="H194" s="49" t="s">
        <v>702</v>
      </c>
      <c r="I194" s="49" t="s">
        <v>736</v>
      </c>
      <c r="J194" s="49" t="s">
        <v>745</v>
      </c>
      <c r="K194" s="49" t="s">
        <v>738</v>
      </c>
      <c r="L194" s="49" t="s">
        <v>699</v>
      </c>
      <c r="M194" s="49">
        <v>0.3</v>
      </c>
      <c r="N194" s="49" t="s">
        <v>635</v>
      </c>
      <c r="O194" s="49" t="s">
        <v>665</v>
      </c>
      <c r="P194" s="49" t="s">
        <v>746</v>
      </c>
      <c r="Q194" s="49" t="s">
        <v>683</v>
      </c>
      <c r="R194" s="49" t="s">
        <v>324</v>
      </c>
      <c r="S194" s="49" t="s">
        <v>684</v>
      </c>
      <c r="T194" s="49" t="s">
        <v>1821</v>
      </c>
      <c r="U194" s="49" t="s">
        <v>1824</v>
      </c>
      <c r="V194" s="50" t="s">
        <v>1823</v>
      </c>
    </row>
    <row r="195" spans="1:22" x14ac:dyDescent="0.3">
      <c r="A195" s="51" t="s">
        <v>983</v>
      </c>
      <c r="B195" s="52" t="s">
        <v>981</v>
      </c>
      <c r="C195" s="52" t="s">
        <v>984</v>
      </c>
      <c r="D195" s="52" t="s">
        <v>684</v>
      </c>
      <c r="E195" s="52" t="s">
        <v>674</v>
      </c>
      <c r="F195" s="52" t="s">
        <v>716</v>
      </c>
      <c r="G195" s="52" t="s">
        <v>744</v>
      </c>
      <c r="H195" s="52" t="s">
        <v>702</v>
      </c>
      <c r="I195" s="52" t="s">
        <v>736</v>
      </c>
      <c r="J195" s="52" t="s">
        <v>745</v>
      </c>
      <c r="K195" s="52" t="s">
        <v>738</v>
      </c>
      <c r="L195" s="52" t="s">
        <v>699</v>
      </c>
      <c r="M195" s="52">
        <v>0.4</v>
      </c>
      <c r="N195" s="52" t="s">
        <v>635</v>
      </c>
      <c r="O195" s="52" t="s">
        <v>665</v>
      </c>
      <c r="P195" s="52" t="s">
        <v>746</v>
      </c>
      <c r="Q195" s="52" t="s">
        <v>683</v>
      </c>
      <c r="R195" s="52" t="s">
        <v>324</v>
      </c>
      <c r="S195" s="49" t="s">
        <v>684</v>
      </c>
      <c r="T195" s="52" t="s">
        <v>1821</v>
      </c>
      <c r="U195" s="52" t="s">
        <v>1824</v>
      </c>
      <c r="V195" s="50" t="s">
        <v>1823</v>
      </c>
    </row>
    <row r="196" spans="1:22" x14ac:dyDescent="0.3">
      <c r="A196" s="48" t="s">
        <v>756</v>
      </c>
      <c r="B196" s="49" t="s">
        <v>753</v>
      </c>
      <c r="C196" s="49" t="s">
        <v>756</v>
      </c>
      <c r="D196" s="49" t="s">
        <v>755</v>
      </c>
      <c r="E196" s="49" t="s">
        <v>674</v>
      </c>
      <c r="F196" s="49" t="s">
        <v>716</v>
      </c>
      <c r="G196" s="49" t="s">
        <v>744</v>
      </c>
      <c r="H196" s="49" t="s">
        <v>702</v>
      </c>
      <c r="I196" s="49" t="s">
        <v>678</v>
      </c>
      <c r="J196" s="49" t="s">
        <v>679</v>
      </c>
      <c r="K196" s="49" t="s">
        <v>680</v>
      </c>
      <c r="L196" s="49" t="s">
        <v>681</v>
      </c>
      <c r="M196" s="49">
        <v>1</v>
      </c>
      <c r="N196" s="49" t="s">
        <v>985</v>
      </c>
      <c r="O196" s="49" t="s">
        <v>665</v>
      </c>
      <c r="P196" s="49" t="s">
        <v>746</v>
      </c>
      <c r="Q196" s="49" t="s">
        <v>683</v>
      </c>
      <c r="R196" s="49" t="s">
        <v>293</v>
      </c>
      <c r="S196" s="49" t="s">
        <v>755</v>
      </c>
      <c r="T196" s="49" t="s">
        <v>1821</v>
      </c>
      <c r="U196" s="49" t="s">
        <v>1824</v>
      </c>
      <c r="V196" s="50" t="s">
        <v>1823</v>
      </c>
    </row>
    <row r="197" spans="1:22" x14ac:dyDescent="0.3">
      <c r="A197" s="51" t="s">
        <v>990</v>
      </c>
      <c r="B197" s="52" t="s">
        <v>991</v>
      </c>
      <c r="C197" s="52" t="s">
        <v>992</v>
      </c>
      <c r="D197" s="52" t="s">
        <v>673</v>
      </c>
      <c r="E197" s="52" t="s">
        <v>674</v>
      </c>
      <c r="F197" s="52" t="s">
        <v>716</v>
      </c>
      <c r="G197" s="52" t="s">
        <v>744</v>
      </c>
      <c r="H197" s="52" t="s">
        <v>677</v>
      </c>
      <c r="I197" s="49" t="s">
        <v>688</v>
      </c>
      <c r="J197" s="52" t="s">
        <v>713</v>
      </c>
      <c r="K197" s="52" t="s">
        <v>690</v>
      </c>
      <c r="L197" s="52" t="s">
        <v>766</v>
      </c>
      <c r="M197" s="52">
        <v>1</v>
      </c>
      <c r="N197" s="52" t="s">
        <v>27</v>
      </c>
      <c r="O197" s="52" t="s">
        <v>665</v>
      </c>
      <c r="P197" s="52" t="s">
        <v>746</v>
      </c>
      <c r="Q197" s="52" t="s">
        <v>683</v>
      </c>
      <c r="R197" s="52" t="s">
        <v>132</v>
      </c>
      <c r="S197" s="52" t="s">
        <v>673</v>
      </c>
      <c r="T197" s="52" t="s">
        <v>1821</v>
      </c>
      <c r="U197" s="52" t="s">
        <v>1824</v>
      </c>
      <c r="V197" s="50" t="s">
        <v>1823</v>
      </c>
    </row>
    <row r="198" spans="1:22" x14ac:dyDescent="0.3">
      <c r="A198" s="48" t="s">
        <v>1016</v>
      </c>
      <c r="B198" s="49" t="s">
        <v>955</v>
      </c>
      <c r="C198" s="49" t="s">
        <v>1017</v>
      </c>
      <c r="D198" s="49" t="s">
        <v>673</v>
      </c>
      <c r="E198" s="49" t="s">
        <v>674</v>
      </c>
      <c r="F198" s="49" t="s">
        <v>675</v>
      </c>
      <c r="G198" s="49" t="s">
        <v>676</v>
      </c>
      <c r="H198" s="49" t="s">
        <v>677</v>
      </c>
      <c r="I198" s="49" t="s">
        <v>688</v>
      </c>
      <c r="J198" s="49" t="s">
        <v>713</v>
      </c>
      <c r="K198" s="49" t="s">
        <v>690</v>
      </c>
      <c r="L198" s="49" t="s">
        <v>699</v>
      </c>
      <c r="M198" s="49">
        <v>0.5</v>
      </c>
      <c r="N198" s="49" t="s">
        <v>212</v>
      </c>
      <c r="O198" s="49" t="s">
        <v>767</v>
      </c>
      <c r="P198" s="52" t="s">
        <v>746</v>
      </c>
      <c r="Q198" s="49" t="s">
        <v>683</v>
      </c>
      <c r="R198" s="49" t="s">
        <v>132</v>
      </c>
      <c r="S198" s="52" t="s">
        <v>673</v>
      </c>
      <c r="T198" s="49" t="s">
        <v>1821</v>
      </c>
      <c r="U198" s="49" t="s">
        <v>1824</v>
      </c>
      <c r="V198" s="50" t="s">
        <v>1823</v>
      </c>
    </row>
    <row r="199" spans="1:22" x14ac:dyDescent="0.3">
      <c r="A199" s="51" t="s">
        <v>993</v>
      </c>
      <c r="B199" s="52" t="s">
        <v>760</v>
      </c>
      <c r="C199" s="52" t="s">
        <v>994</v>
      </c>
      <c r="D199" s="52" t="s">
        <v>673</v>
      </c>
      <c r="E199" s="52" t="s">
        <v>674</v>
      </c>
      <c r="F199" s="52" t="s">
        <v>675</v>
      </c>
      <c r="G199" s="52" t="s">
        <v>676</v>
      </c>
      <c r="H199" s="52" t="s">
        <v>702</v>
      </c>
      <c r="I199" s="49" t="s">
        <v>688</v>
      </c>
      <c r="J199" s="52" t="s">
        <v>751</v>
      </c>
      <c r="K199" s="52" t="s">
        <v>690</v>
      </c>
      <c r="L199" s="52" t="s">
        <v>681</v>
      </c>
      <c r="M199" s="52">
        <v>1</v>
      </c>
      <c r="N199" s="52" t="s">
        <v>468</v>
      </c>
      <c r="O199" s="52" t="s">
        <v>665</v>
      </c>
      <c r="P199" s="52" t="s">
        <v>746</v>
      </c>
      <c r="Q199" s="52" t="s">
        <v>683</v>
      </c>
      <c r="R199" s="52" t="s">
        <v>132</v>
      </c>
      <c r="S199" s="52" t="s">
        <v>673</v>
      </c>
      <c r="T199" s="52" t="s">
        <v>1821</v>
      </c>
      <c r="U199" s="52" t="s">
        <v>1824</v>
      </c>
      <c r="V199" s="50" t="s">
        <v>1823</v>
      </c>
    </row>
    <row r="200" spans="1:22" x14ac:dyDescent="0.3">
      <c r="A200" s="48" t="s">
        <v>995</v>
      </c>
      <c r="B200" s="49" t="s">
        <v>753</v>
      </c>
      <c r="C200" s="49" t="s">
        <v>996</v>
      </c>
      <c r="D200" s="49" t="s">
        <v>755</v>
      </c>
      <c r="E200" s="49" t="s">
        <v>674</v>
      </c>
      <c r="F200" s="49" t="s">
        <v>716</v>
      </c>
      <c r="G200" s="49" t="s">
        <v>744</v>
      </c>
      <c r="H200" s="49" t="s">
        <v>702</v>
      </c>
      <c r="I200" s="49" t="s">
        <v>688</v>
      </c>
      <c r="J200" s="49" t="s">
        <v>679</v>
      </c>
      <c r="K200" s="49" t="s">
        <v>680</v>
      </c>
      <c r="L200" s="49" t="s">
        <v>699</v>
      </c>
      <c r="M200" s="49">
        <v>0.3</v>
      </c>
      <c r="N200" s="49" t="s">
        <v>99</v>
      </c>
      <c r="O200" s="49" t="s">
        <v>767</v>
      </c>
      <c r="P200" s="52" t="s">
        <v>746</v>
      </c>
      <c r="Q200" s="49" t="s">
        <v>683</v>
      </c>
      <c r="R200" s="49" t="s">
        <v>132</v>
      </c>
      <c r="S200" s="52" t="s">
        <v>673</v>
      </c>
      <c r="T200" s="49" t="s">
        <v>1821</v>
      </c>
      <c r="U200" s="49" t="s">
        <v>1824</v>
      </c>
      <c r="V200" s="50" t="s">
        <v>1823</v>
      </c>
    </row>
    <row r="201" spans="1:22" x14ac:dyDescent="0.3">
      <c r="A201" s="51" t="s">
        <v>1596</v>
      </c>
      <c r="B201" s="52" t="s">
        <v>760</v>
      </c>
      <c r="C201" s="52" t="s">
        <v>1597</v>
      </c>
      <c r="D201" s="52" t="s">
        <v>673</v>
      </c>
      <c r="E201" s="52" t="s">
        <v>674</v>
      </c>
      <c r="F201" s="52" t="s">
        <v>716</v>
      </c>
      <c r="G201" s="52" t="s">
        <v>744</v>
      </c>
      <c r="H201" s="52" t="s">
        <v>702</v>
      </c>
      <c r="I201" s="49" t="s">
        <v>688</v>
      </c>
      <c r="J201" s="52" t="s">
        <v>751</v>
      </c>
      <c r="K201" s="52" t="s">
        <v>690</v>
      </c>
      <c r="L201" s="52" t="s">
        <v>699</v>
      </c>
      <c r="M201" s="52">
        <v>0.4</v>
      </c>
      <c r="N201" s="52" t="s">
        <v>99</v>
      </c>
      <c r="O201" s="52" t="s">
        <v>767</v>
      </c>
      <c r="P201" s="52" t="s">
        <v>746</v>
      </c>
      <c r="Q201" s="52" t="s">
        <v>683</v>
      </c>
      <c r="R201" s="52" t="s">
        <v>132</v>
      </c>
      <c r="S201" s="52" t="s">
        <v>673</v>
      </c>
      <c r="T201" s="52" t="s">
        <v>1821</v>
      </c>
      <c r="U201" s="52" t="s">
        <v>1824</v>
      </c>
      <c r="V201" s="50" t="s">
        <v>1823</v>
      </c>
    </row>
    <row r="202" spans="1:22" x14ac:dyDescent="0.3">
      <c r="A202" s="48" t="s">
        <v>1167</v>
      </c>
      <c r="B202" s="49" t="s">
        <v>753</v>
      </c>
      <c r="C202" s="49" t="s">
        <v>1168</v>
      </c>
      <c r="D202" s="49" t="s">
        <v>755</v>
      </c>
      <c r="E202" s="49" t="s">
        <v>674</v>
      </c>
      <c r="F202" s="49" t="s">
        <v>716</v>
      </c>
      <c r="G202" s="49" t="s">
        <v>744</v>
      </c>
      <c r="H202" s="49" t="s">
        <v>702</v>
      </c>
      <c r="I202" s="49" t="s">
        <v>688</v>
      </c>
      <c r="J202" s="49" t="s">
        <v>679</v>
      </c>
      <c r="K202" s="49" t="s">
        <v>680</v>
      </c>
      <c r="L202" s="49" t="s">
        <v>699</v>
      </c>
      <c r="M202" s="49">
        <v>0.3</v>
      </c>
      <c r="N202" s="49" t="s">
        <v>99</v>
      </c>
      <c r="O202" s="49" t="s">
        <v>767</v>
      </c>
      <c r="P202" s="52" t="s">
        <v>746</v>
      </c>
      <c r="Q202" s="49" t="s">
        <v>683</v>
      </c>
      <c r="R202" s="49" t="s">
        <v>132</v>
      </c>
      <c r="S202" s="52" t="s">
        <v>673</v>
      </c>
      <c r="T202" s="49" t="s">
        <v>1821</v>
      </c>
      <c r="U202" s="49" t="s">
        <v>1824</v>
      </c>
      <c r="V202" s="50" t="s">
        <v>1823</v>
      </c>
    </row>
    <row r="203" spans="1:22" x14ac:dyDescent="0.3">
      <c r="A203" s="51" t="s">
        <v>2291</v>
      </c>
      <c r="B203" s="52" t="s">
        <v>760</v>
      </c>
      <c r="C203" s="52" t="s">
        <v>2292</v>
      </c>
      <c r="D203" s="52" t="s">
        <v>673</v>
      </c>
      <c r="E203" s="52" t="s">
        <v>674</v>
      </c>
      <c r="F203" s="52" t="s">
        <v>716</v>
      </c>
      <c r="G203" s="52" t="s">
        <v>744</v>
      </c>
      <c r="H203" s="52" t="s">
        <v>702</v>
      </c>
      <c r="I203" s="49" t="s">
        <v>688</v>
      </c>
      <c r="J203" s="52" t="s">
        <v>751</v>
      </c>
      <c r="K203" s="52" t="s">
        <v>690</v>
      </c>
      <c r="L203" s="52" t="s">
        <v>699</v>
      </c>
      <c r="M203" s="52">
        <v>0.3</v>
      </c>
      <c r="N203" s="52" t="s">
        <v>247</v>
      </c>
      <c r="O203" s="52" t="s">
        <v>767</v>
      </c>
      <c r="P203" s="52" t="s">
        <v>746</v>
      </c>
      <c r="Q203" s="52" t="s">
        <v>683</v>
      </c>
      <c r="R203" s="52" t="s">
        <v>132</v>
      </c>
      <c r="S203" s="52" t="s">
        <v>673</v>
      </c>
      <c r="T203" s="52" t="s">
        <v>1821</v>
      </c>
      <c r="U203" s="52" t="s">
        <v>1824</v>
      </c>
      <c r="V203" s="50" t="s">
        <v>1823</v>
      </c>
    </row>
    <row r="204" spans="1:22" x14ac:dyDescent="0.3">
      <c r="A204" s="48" t="s">
        <v>997</v>
      </c>
      <c r="B204" s="49" t="s">
        <v>998</v>
      </c>
      <c r="C204" s="49" t="s">
        <v>999</v>
      </c>
      <c r="D204" s="49" t="s">
        <v>673</v>
      </c>
      <c r="E204" s="49" t="s">
        <v>674</v>
      </c>
      <c r="F204" s="49" t="s">
        <v>716</v>
      </c>
      <c r="G204" s="49" t="s">
        <v>744</v>
      </c>
      <c r="H204" s="49" t="s">
        <v>677</v>
      </c>
      <c r="I204" s="49" t="s">
        <v>678</v>
      </c>
      <c r="J204" s="49" t="s">
        <v>751</v>
      </c>
      <c r="K204" s="49" t="s">
        <v>690</v>
      </c>
      <c r="L204" s="49" t="s">
        <v>681</v>
      </c>
      <c r="M204" s="49">
        <v>1</v>
      </c>
      <c r="N204" s="49" t="s">
        <v>541</v>
      </c>
      <c r="O204" s="49" t="s">
        <v>767</v>
      </c>
      <c r="P204" s="52" t="s">
        <v>746</v>
      </c>
      <c r="Q204" s="49" t="s">
        <v>683</v>
      </c>
      <c r="R204" s="49" t="s">
        <v>278</v>
      </c>
      <c r="S204" s="52" t="s">
        <v>673</v>
      </c>
      <c r="T204" s="49" t="s">
        <v>1821</v>
      </c>
      <c r="U204" s="49" t="s">
        <v>1824</v>
      </c>
      <c r="V204" s="50" t="s">
        <v>1823</v>
      </c>
    </row>
    <row r="205" spans="1:22" x14ac:dyDescent="0.3">
      <c r="A205" s="51" t="s">
        <v>1621</v>
      </c>
      <c r="B205" s="52" t="s">
        <v>749</v>
      </c>
      <c r="C205" s="52" t="s">
        <v>1622</v>
      </c>
      <c r="D205" s="52" t="s">
        <v>673</v>
      </c>
      <c r="E205" s="52" t="s">
        <v>674</v>
      </c>
      <c r="F205" s="52" t="s">
        <v>675</v>
      </c>
      <c r="G205" s="52" t="s">
        <v>744</v>
      </c>
      <c r="H205" s="52" t="s">
        <v>677</v>
      </c>
      <c r="I205" s="49" t="s">
        <v>688</v>
      </c>
      <c r="J205" s="52" t="s">
        <v>751</v>
      </c>
      <c r="K205" s="52" t="s">
        <v>690</v>
      </c>
      <c r="L205" s="52" t="s">
        <v>681</v>
      </c>
      <c r="M205" s="52">
        <v>1</v>
      </c>
      <c r="N205" s="52" t="s">
        <v>407</v>
      </c>
      <c r="O205" s="52" t="s">
        <v>665</v>
      </c>
      <c r="P205" s="52" t="s">
        <v>746</v>
      </c>
      <c r="Q205" s="52" t="s">
        <v>683</v>
      </c>
      <c r="R205" s="52" t="s">
        <v>278</v>
      </c>
      <c r="S205" s="52" t="s">
        <v>673</v>
      </c>
      <c r="T205" s="52" t="s">
        <v>1821</v>
      </c>
      <c r="U205" s="52" t="s">
        <v>1824</v>
      </c>
      <c r="V205" s="50" t="s">
        <v>1823</v>
      </c>
    </row>
    <row r="206" spans="1:22" x14ac:dyDescent="0.3">
      <c r="A206" s="48" t="s">
        <v>1002</v>
      </c>
      <c r="B206" s="49" t="s">
        <v>998</v>
      </c>
      <c r="C206" s="49" t="s">
        <v>1003</v>
      </c>
      <c r="D206" s="49" t="s">
        <v>673</v>
      </c>
      <c r="E206" s="49" t="s">
        <v>674</v>
      </c>
      <c r="F206" s="49" t="s">
        <v>716</v>
      </c>
      <c r="G206" s="49" t="s">
        <v>744</v>
      </c>
      <c r="H206" s="49" t="s">
        <v>677</v>
      </c>
      <c r="I206" s="49" t="s">
        <v>678</v>
      </c>
      <c r="J206" s="49" t="s">
        <v>751</v>
      </c>
      <c r="K206" s="49" t="s">
        <v>690</v>
      </c>
      <c r="L206" s="49" t="s">
        <v>681</v>
      </c>
      <c r="M206" s="49">
        <v>1</v>
      </c>
      <c r="N206" s="49" t="s">
        <v>343</v>
      </c>
      <c r="O206" s="49" t="s">
        <v>767</v>
      </c>
      <c r="P206" s="52" t="s">
        <v>746</v>
      </c>
      <c r="Q206" s="49" t="s">
        <v>683</v>
      </c>
      <c r="R206" s="49" t="s">
        <v>278</v>
      </c>
      <c r="S206" s="52" t="s">
        <v>673</v>
      </c>
      <c r="T206" s="49" t="s">
        <v>1821</v>
      </c>
      <c r="U206" s="49" t="s">
        <v>1824</v>
      </c>
      <c r="V206" s="50" t="s">
        <v>1823</v>
      </c>
    </row>
    <row r="207" spans="1:22" x14ac:dyDescent="0.3">
      <c r="A207" s="51" t="s">
        <v>814</v>
      </c>
      <c r="B207" s="52" t="s">
        <v>749</v>
      </c>
      <c r="C207" s="52" t="s">
        <v>815</v>
      </c>
      <c r="D207" s="52" t="s">
        <v>673</v>
      </c>
      <c r="E207" s="52" t="s">
        <v>674</v>
      </c>
      <c r="F207" s="52" t="s">
        <v>716</v>
      </c>
      <c r="G207" s="52" t="s">
        <v>744</v>
      </c>
      <c r="H207" s="52" t="s">
        <v>677</v>
      </c>
      <c r="I207" s="49" t="s">
        <v>678</v>
      </c>
      <c r="J207" s="52" t="s">
        <v>751</v>
      </c>
      <c r="K207" s="52" t="s">
        <v>690</v>
      </c>
      <c r="L207" s="52" t="s">
        <v>681</v>
      </c>
      <c r="M207" s="52">
        <v>1</v>
      </c>
      <c r="N207" s="52" t="s">
        <v>61</v>
      </c>
      <c r="O207" s="52" t="s">
        <v>665</v>
      </c>
      <c r="P207" s="52" t="s">
        <v>746</v>
      </c>
      <c r="Q207" s="52" t="s">
        <v>683</v>
      </c>
      <c r="R207" s="52" t="s">
        <v>278</v>
      </c>
      <c r="S207" s="52" t="s">
        <v>673</v>
      </c>
      <c r="T207" s="52" t="s">
        <v>1821</v>
      </c>
      <c r="U207" s="52" t="s">
        <v>1824</v>
      </c>
      <c r="V207" s="50" t="s">
        <v>1823</v>
      </c>
    </row>
    <row r="208" spans="1:22" x14ac:dyDescent="0.3">
      <c r="A208" s="48" t="s">
        <v>997</v>
      </c>
      <c r="B208" s="49" t="s">
        <v>998</v>
      </c>
      <c r="C208" s="49" t="s">
        <v>999</v>
      </c>
      <c r="D208" s="49" t="s">
        <v>673</v>
      </c>
      <c r="E208" s="49" t="s">
        <v>674</v>
      </c>
      <c r="F208" s="49" t="s">
        <v>716</v>
      </c>
      <c r="G208" s="49" t="s">
        <v>744</v>
      </c>
      <c r="H208" s="49" t="s">
        <v>677</v>
      </c>
      <c r="I208" s="49" t="s">
        <v>678</v>
      </c>
      <c r="J208" s="49" t="s">
        <v>751</v>
      </c>
      <c r="K208" s="49" t="s">
        <v>690</v>
      </c>
      <c r="L208" s="49" t="s">
        <v>681</v>
      </c>
      <c r="M208" s="49">
        <v>1</v>
      </c>
      <c r="N208" s="49" t="s">
        <v>202</v>
      </c>
      <c r="O208" s="49" t="s">
        <v>767</v>
      </c>
      <c r="P208" s="52" t="s">
        <v>746</v>
      </c>
      <c r="Q208" s="49" t="s">
        <v>683</v>
      </c>
      <c r="R208" s="49" t="s">
        <v>278</v>
      </c>
      <c r="S208" s="52" t="s">
        <v>673</v>
      </c>
      <c r="T208" s="49" t="s">
        <v>1821</v>
      </c>
      <c r="U208" s="49" t="s">
        <v>1824</v>
      </c>
      <c r="V208" s="50" t="s">
        <v>1823</v>
      </c>
    </row>
    <row r="209" spans="1:22" x14ac:dyDescent="0.3">
      <c r="A209" s="51" t="s">
        <v>1621</v>
      </c>
      <c r="B209" s="52" t="s">
        <v>749</v>
      </c>
      <c r="C209" s="52" t="s">
        <v>1622</v>
      </c>
      <c r="D209" s="52" t="s">
        <v>673</v>
      </c>
      <c r="E209" s="52" t="s">
        <v>674</v>
      </c>
      <c r="F209" s="52" t="s">
        <v>675</v>
      </c>
      <c r="G209" s="52" t="s">
        <v>744</v>
      </c>
      <c r="H209" s="52" t="s">
        <v>677</v>
      </c>
      <c r="I209" s="49" t="s">
        <v>688</v>
      </c>
      <c r="J209" s="52" t="s">
        <v>751</v>
      </c>
      <c r="K209" s="52" t="s">
        <v>690</v>
      </c>
      <c r="L209" s="52" t="s">
        <v>681</v>
      </c>
      <c r="M209" s="52">
        <v>0.4</v>
      </c>
      <c r="N209" s="52" t="s">
        <v>59</v>
      </c>
      <c r="O209" s="52" t="s">
        <v>767</v>
      </c>
      <c r="P209" s="52" t="s">
        <v>746</v>
      </c>
      <c r="Q209" s="52" t="s">
        <v>683</v>
      </c>
      <c r="R209" s="52" t="s">
        <v>278</v>
      </c>
      <c r="S209" s="52" t="s">
        <v>673</v>
      </c>
      <c r="T209" s="52" t="s">
        <v>1821</v>
      </c>
      <c r="U209" s="52" t="s">
        <v>1824</v>
      </c>
      <c r="V209" s="50" t="s">
        <v>1823</v>
      </c>
    </row>
    <row r="210" spans="1:22" x14ac:dyDescent="0.3">
      <c r="A210" s="48" t="s">
        <v>814</v>
      </c>
      <c r="B210" s="49" t="s">
        <v>749</v>
      </c>
      <c r="C210" s="49" t="s">
        <v>815</v>
      </c>
      <c r="D210" s="49" t="s">
        <v>673</v>
      </c>
      <c r="E210" s="49" t="s">
        <v>674</v>
      </c>
      <c r="F210" s="49" t="s">
        <v>716</v>
      </c>
      <c r="G210" s="49" t="s">
        <v>744</v>
      </c>
      <c r="H210" s="49" t="s">
        <v>677</v>
      </c>
      <c r="I210" s="49" t="s">
        <v>678</v>
      </c>
      <c r="J210" s="49" t="s">
        <v>751</v>
      </c>
      <c r="K210" s="49" t="s">
        <v>690</v>
      </c>
      <c r="L210" s="49" t="s">
        <v>681</v>
      </c>
      <c r="M210" s="49">
        <v>1</v>
      </c>
      <c r="N210" s="49" t="s">
        <v>551</v>
      </c>
      <c r="O210" s="49" t="s">
        <v>665</v>
      </c>
      <c r="P210" s="49" t="s">
        <v>746</v>
      </c>
      <c r="Q210" s="49" t="s">
        <v>683</v>
      </c>
      <c r="R210" s="49" t="s">
        <v>278</v>
      </c>
      <c r="S210" s="52" t="s">
        <v>673</v>
      </c>
      <c r="T210" s="49" t="s">
        <v>1821</v>
      </c>
      <c r="U210" s="49" t="s">
        <v>1824</v>
      </c>
      <c r="V210" s="50" t="s">
        <v>1823</v>
      </c>
    </row>
    <row r="211" spans="1:22" x14ac:dyDescent="0.3">
      <c r="A211" s="51" t="s">
        <v>997</v>
      </c>
      <c r="B211" s="52" t="s">
        <v>998</v>
      </c>
      <c r="C211" s="52" t="s">
        <v>999</v>
      </c>
      <c r="D211" s="52" t="s">
        <v>673</v>
      </c>
      <c r="E211" s="52" t="s">
        <v>674</v>
      </c>
      <c r="F211" s="52" t="s">
        <v>716</v>
      </c>
      <c r="G211" s="52" t="s">
        <v>744</v>
      </c>
      <c r="H211" s="52" t="s">
        <v>677</v>
      </c>
      <c r="I211" s="49" t="s">
        <v>678</v>
      </c>
      <c r="J211" s="52" t="s">
        <v>751</v>
      </c>
      <c r="K211" s="52" t="s">
        <v>690</v>
      </c>
      <c r="L211" s="52" t="s">
        <v>681</v>
      </c>
      <c r="M211" s="52">
        <v>0.5</v>
      </c>
      <c r="N211" s="52" t="s">
        <v>59</v>
      </c>
      <c r="O211" s="52" t="s">
        <v>767</v>
      </c>
      <c r="P211" s="52" t="s">
        <v>746</v>
      </c>
      <c r="Q211" s="52" t="s">
        <v>683</v>
      </c>
      <c r="R211" s="52" t="s">
        <v>278</v>
      </c>
      <c r="S211" s="52" t="s">
        <v>673</v>
      </c>
      <c r="T211" s="52" t="s">
        <v>1821</v>
      </c>
      <c r="U211" s="52" t="s">
        <v>1824</v>
      </c>
      <c r="V211" s="50" t="s">
        <v>1823</v>
      </c>
    </row>
    <row r="212" spans="1:22" x14ac:dyDescent="0.3">
      <c r="A212" s="48" t="s">
        <v>1649</v>
      </c>
      <c r="B212" s="49" t="s">
        <v>749</v>
      </c>
      <c r="C212" s="49" t="s">
        <v>1650</v>
      </c>
      <c r="D212" s="49" t="s">
        <v>673</v>
      </c>
      <c r="E212" s="49" t="s">
        <v>674</v>
      </c>
      <c r="F212" s="49" t="s">
        <v>716</v>
      </c>
      <c r="G212" s="49" t="s">
        <v>744</v>
      </c>
      <c r="H212" s="49" t="s">
        <v>677</v>
      </c>
      <c r="I212" s="49" t="s">
        <v>688</v>
      </c>
      <c r="J212" s="49" t="s">
        <v>751</v>
      </c>
      <c r="K212" s="49" t="s">
        <v>690</v>
      </c>
      <c r="L212" s="49" t="s">
        <v>681</v>
      </c>
      <c r="M212" s="49">
        <v>0.1</v>
      </c>
      <c r="N212" s="49" t="s">
        <v>59</v>
      </c>
      <c r="O212" s="49" t="s">
        <v>767</v>
      </c>
      <c r="P212" s="52" t="s">
        <v>746</v>
      </c>
      <c r="Q212" s="49" t="s">
        <v>683</v>
      </c>
      <c r="R212" s="49" t="s">
        <v>278</v>
      </c>
      <c r="S212" s="52" t="s">
        <v>673</v>
      </c>
      <c r="T212" s="49" t="s">
        <v>1821</v>
      </c>
      <c r="U212" s="49" t="s">
        <v>1824</v>
      </c>
      <c r="V212" s="50" t="s">
        <v>1823</v>
      </c>
    </row>
    <row r="213" spans="1:22" x14ac:dyDescent="0.3">
      <c r="A213" s="51" t="s">
        <v>902</v>
      </c>
      <c r="B213" s="52" t="s">
        <v>707</v>
      </c>
      <c r="C213" s="52" t="s">
        <v>715</v>
      </c>
      <c r="D213" s="52" t="s">
        <v>673</v>
      </c>
      <c r="E213" s="52" t="s">
        <v>674</v>
      </c>
      <c r="F213" s="52" t="s">
        <v>716</v>
      </c>
      <c r="G213" s="52" t="s">
        <v>717</v>
      </c>
      <c r="H213" s="52" t="s">
        <v>717</v>
      </c>
      <c r="I213" s="52" t="s">
        <v>717</v>
      </c>
      <c r="J213" s="52" t="s">
        <v>751</v>
      </c>
      <c r="K213" s="52" t="s">
        <v>690</v>
      </c>
      <c r="L213" s="52" t="s">
        <v>699</v>
      </c>
      <c r="M213" s="52">
        <v>0.5</v>
      </c>
      <c r="N213" s="52" t="s">
        <v>550</v>
      </c>
      <c r="O213" s="52" t="s">
        <v>665</v>
      </c>
      <c r="P213" s="52" t="s">
        <v>746</v>
      </c>
      <c r="Q213" s="52" t="s">
        <v>683</v>
      </c>
      <c r="R213" s="52" t="s">
        <v>278</v>
      </c>
      <c r="S213" s="52" t="s">
        <v>673</v>
      </c>
      <c r="T213" s="52" t="s">
        <v>1821</v>
      </c>
      <c r="U213" s="52" t="s">
        <v>1824</v>
      </c>
      <c r="V213" s="50" t="s">
        <v>1823</v>
      </c>
    </row>
    <row r="214" spans="1:22" x14ac:dyDescent="0.3">
      <c r="A214" s="48" t="s">
        <v>1000</v>
      </c>
      <c r="B214" s="49" t="s">
        <v>998</v>
      </c>
      <c r="C214" s="49" t="s">
        <v>1001</v>
      </c>
      <c r="D214" s="49" t="s">
        <v>673</v>
      </c>
      <c r="E214" s="49" t="s">
        <v>674</v>
      </c>
      <c r="F214" s="49" t="s">
        <v>716</v>
      </c>
      <c r="G214" s="49" t="s">
        <v>744</v>
      </c>
      <c r="H214" s="49" t="s">
        <v>677</v>
      </c>
      <c r="I214" s="49" t="s">
        <v>688</v>
      </c>
      <c r="J214" s="49" t="s">
        <v>751</v>
      </c>
      <c r="K214" s="49" t="s">
        <v>690</v>
      </c>
      <c r="L214" s="49" t="s">
        <v>681</v>
      </c>
      <c r="M214" s="49">
        <v>0.2</v>
      </c>
      <c r="N214" s="49" t="s">
        <v>550</v>
      </c>
      <c r="O214" s="49" t="s">
        <v>665</v>
      </c>
      <c r="P214" s="49" t="s">
        <v>746</v>
      </c>
      <c r="Q214" s="49" t="s">
        <v>683</v>
      </c>
      <c r="R214" s="49" t="s">
        <v>278</v>
      </c>
      <c r="S214" s="52" t="s">
        <v>673</v>
      </c>
      <c r="T214" s="49" t="s">
        <v>1821</v>
      </c>
      <c r="U214" s="49" t="s">
        <v>1824</v>
      </c>
      <c r="V214" s="50" t="s">
        <v>1823</v>
      </c>
    </row>
    <row r="215" spans="1:22" x14ac:dyDescent="0.3">
      <c r="A215" s="51" t="s">
        <v>1011</v>
      </c>
      <c r="B215" s="52" t="s">
        <v>998</v>
      </c>
      <c r="C215" s="52" t="s">
        <v>1012</v>
      </c>
      <c r="D215" s="52" t="s">
        <v>673</v>
      </c>
      <c r="E215" s="52" t="s">
        <v>674</v>
      </c>
      <c r="F215" s="52" t="s">
        <v>716</v>
      </c>
      <c r="G215" s="52" t="s">
        <v>744</v>
      </c>
      <c r="H215" s="52" t="s">
        <v>677</v>
      </c>
      <c r="I215" s="49" t="s">
        <v>688</v>
      </c>
      <c r="J215" s="52" t="s">
        <v>751</v>
      </c>
      <c r="K215" s="52" t="s">
        <v>690</v>
      </c>
      <c r="L215" s="52" t="s">
        <v>681</v>
      </c>
      <c r="M215" s="52">
        <v>0.3</v>
      </c>
      <c r="N215" s="52" t="s">
        <v>550</v>
      </c>
      <c r="O215" s="52" t="s">
        <v>665</v>
      </c>
      <c r="P215" s="52" t="s">
        <v>746</v>
      </c>
      <c r="Q215" s="52" t="s">
        <v>683</v>
      </c>
      <c r="R215" s="52" t="s">
        <v>278</v>
      </c>
      <c r="S215" s="52" t="s">
        <v>673</v>
      </c>
      <c r="T215" s="52" t="s">
        <v>1821</v>
      </c>
      <c r="U215" s="52" t="s">
        <v>1824</v>
      </c>
      <c r="V215" s="50" t="s">
        <v>1823</v>
      </c>
    </row>
    <row r="216" spans="1:22" x14ac:dyDescent="0.3">
      <c r="A216" s="48" t="s">
        <v>1645</v>
      </c>
      <c r="B216" s="49" t="s">
        <v>749</v>
      </c>
      <c r="C216" s="49" t="s">
        <v>1646</v>
      </c>
      <c r="D216" s="49" t="s">
        <v>673</v>
      </c>
      <c r="E216" s="49" t="s">
        <v>674</v>
      </c>
      <c r="F216" s="49" t="s">
        <v>716</v>
      </c>
      <c r="G216" s="49" t="s">
        <v>828</v>
      </c>
      <c r="H216" s="49" t="s">
        <v>677</v>
      </c>
      <c r="I216" s="49" t="s">
        <v>688</v>
      </c>
      <c r="J216" s="49" t="s">
        <v>751</v>
      </c>
      <c r="K216" s="49" t="s">
        <v>690</v>
      </c>
      <c r="L216" s="49" t="s">
        <v>681</v>
      </c>
      <c r="M216" s="49">
        <v>0.5</v>
      </c>
      <c r="N216" s="49" t="s">
        <v>103</v>
      </c>
      <c r="O216" s="49" t="s">
        <v>767</v>
      </c>
      <c r="P216" s="52" t="s">
        <v>746</v>
      </c>
      <c r="Q216" s="49" t="s">
        <v>683</v>
      </c>
      <c r="R216" s="49" t="s">
        <v>278</v>
      </c>
      <c r="S216" s="52" t="s">
        <v>673</v>
      </c>
      <c r="T216" s="49" t="s">
        <v>1821</v>
      </c>
      <c r="U216" s="49" t="s">
        <v>1824</v>
      </c>
      <c r="V216" s="50" t="s">
        <v>1823</v>
      </c>
    </row>
    <row r="217" spans="1:22" x14ac:dyDescent="0.3">
      <c r="A217" s="51" t="s">
        <v>1430</v>
      </c>
      <c r="B217" s="52" t="s">
        <v>749</v>
      </c>
      <c r="C217" s="52" t="s">
        <v>1431</v>
      </c>
      <c r="D217" s="52" t="s">
        <v>673</v>
      </c>
      <c r="E217" s="52" t="s">
        <v>674</v>
      </c>
      <c r="F217" s="52" t="s">
        <v>716</v>
      </c>
      <c r="G217" s="52" t="s">
        <v>744</v>
      </c>
      <c r="H217" s="52" t="s">
        <v>677</v>
      </c>
      <c r="I217" s="49" t="s">
        <v>678</v>
      </c>
      <c r="J217" s="52" t="s">
        <v>751</v>
      </c>
      <c r="K217" s="52" t="s">
        <v>690</v>
      </c>
      <c r="L217" s="52" t="s">
        <v>681</v>
      </c>
      <c r="M217" s="52">
        <v>0.5</v>
      </c>
      <c r="N217" s="52" t="s">
        <v>103</v>
      </c>
      <c r="O217" s="52" t="s">
        <v>767</v>
      </c>
      <c r="P217" s="52" t="s">
        <v>746</v>
      </c>
      <c r="Q217" s="52" t="s">
        <v>683</v>
      </c>
      <c r="R217" s="52" t="s">
        <v>278</v>
      </c>
      <c r="S217" s="52" t="s">
        <v>673</v>
      </c>
      <c r="T217" s="52" t="s">
        <v>1821</v>
      </c>
      <c r="U217" s="52" t="s">
        <v>1824</v>
      </c>
      <c r="V217" s="50" t="s">
        <v>1823</v>
      </c>
    </row>
    <row r="218" spans="1:22" x14ac:dyDescent="0.3">
      <c r="A218" s="48" t="s">
        <v>1002</v>
      </c>
      <c r="B218" s="49" t="s">
        <v>998</v>
      </c>
      <c r="C218" s="49" t="s">
        <v>1003</v>
      </c>
      <c r="D218" s="49" t="s">
        <v>673</v>
      </c>
      <c r="E218" s="49" t="s">
        <v>674</v>
      </c>
      <c r="F218" s="49" t="s">
        <v>716</v>
      </c>
      <c r="G218" s="49" t="s">
        <v>744</v>
      </c>
      <c r="H218" s="49" t="s">
        <v>677</v>
      </c>
      <c r="I218" s="49" t="s">
        <v>678</v>
      </c>
      <c r="J218" s="49" t="s">
        <v>751</v>
      </c>
      <c r="K218" s="49" t="s">
        <v>690</v>
      </c>
      <c r="L218" s="49" t="s">
        <v>681</v>
      </c>
      <c r="M218" s="49">
        <v>1</v>
      </c>
      <c r="N218" s="49" t="s">
        <v>111</v>
      </c>
      <c r="O218" s="49" t="s">
        <v>767</v>
      </c>
      <c r="P218" s="52" t="s">
        <v>746</v>
      </c>
      <c r="Q218" s="49" t="s">
        <v>683</v>
      </c>
      <c r="R218" s="49" t="s">
        <v>278</v>
      </c>
      <c r="S218" s="52" t="s">
        <v>673</v>
      </c>
      <c r="T218" s="49" t="s">
        <v>1821</v>
      </c>
      <c r="U218" s="49" t="s">
        <v>1824</v>
      </c>
      <c r="V218" s="50" t="s">
        <v>1823</v>
      </c>
    </row>
    <row r="219" spans="1:22" x14ac:dyDescent="0.3">
      <c r="A219" s="51" t="s">
        <v>1643</v>
      </c>
      <c r="B219" s="52" t="s">
        <v>749</v>
      </c>
      <c r="C219" s="52" t="s">
        <v>1644</v>
      </c>
      <c r="D219" s="52" t="s">
        <v>673</v>
      </c>
      <c r="E219" s="52" t="s">
        <v>674</v>
      </c>
      <c r="F219" s="52" t="s">
        <v>716</v>
      </c>
      <c r="G219" s="52" t="s">
        <v>744</v>
      </c>
      <c r="H219" s="52" t="s">
        <v>677</v>
      </c>
      <c r="I219" s="49" t="s">
        <v>678</v>
      </c>
      <c r="J219" s="52" t="s">
        <v>751</v>
      </c>
      <c r="K219" s="52" t="s">
        <v>690</v>
      </c>
      <c r="L219" s="52" t="s">
        <v>681</v>
      </c>
      <c r="M219" s="52">
        <v>1</v>
      </c>
      <c r="N219" s="52" t="s">
        <v>539</v>
      </c>
      <c r="O219" s="52" t="s">
        <v>665</v>
      </c>
      <c r="P219" s="52" t="s">
        <v>746</v>
      </c>
      <c r="Q219" s="52" t="s">
        <v>683</v>
      </c>
      <c r="R219" s="52" t="s">
        <v>278</v>
      </c>
      <c r="S219" s="52" t="s">
        <v>673</v>
      </c>
      <c r="T219" s="52" t="s">
        <v>1821</v>
      </c>
      <c r="U219" s="52" t="s">
        <v>1824</v>
      </c>
      <c r="V219" s="50" t="s">
        <v>1823</v>
      </c>
    </row>
    <row r="220" spans="1:22" x14ac:dyDescent="0.3">
      <c r="A220" s="48" t="s">
        <v>1621</v>
      </c>
      <c r="B220" s="49" t="s">
        <v>749</v>
      </c>
      <c r="C220" s="49" t="s">
        <v>1622</v>
      </c>
      <c r="D220" s="49" t="s">
        <v>673</v>
      </c>
      <c r="E220" s="49" t="s">
        <v>674</v>
      </c>
      <c r="F220" s="49" t="s">
        <v>675</v>
      </c>
      <c r="G220" s="49" t="s">
        <v>744</v>
      </c>
      <c r="H220" s="49" t="s">
        <v>677</v>
      </c>
      <c r="I220" s="49" t="s">
        <v>688</v>
      </c>
      <c r="J220" s="49" t="s">
        <v>751</v>
      </c>
      <c r="K220" s="49" t="s">
        <v>690</v>
      </c>
      <c r="L220" s="49" t="s">
        <v>681</v>
      </c>
      <c r="M220" s="49">
        <v>0.2</v>
      </c>
      <c r="N220" s="49" t="s">
        <v>90</v>
      </c>
      <c r="O220" s="49" t="s">
        <v>665</v>
      </c>
      <c r="P220" s="49" t="s">
        <v>746</v>
      </c>
      <c r="Q220" s="49" t="s">
        <v>683</v>
      </c>
      <c r="R220" s="49" t="s">
        <v>278</v>
      </c>
      <c r="S220" s="52" t="s">
        <v>673</v>
      </c>
      <c r="T220" s="49" t="s">
        <v>1821</v>
      </c>
      <c r="U220" s="49" t="s">
        <v>1824</v>
      </c>
      <c r="V220" s="50" t="s">
        <v>1823</v>
      </c>
    </row>
    <row r="221" spans="1:22" x14ac:dyDescent="0.3">
      <c r="A221" s="51" t="s">
        <v>814</v>
      </c>
      <c r="B221" s="52" t="s">
        <v>749</v>
      </c>
      <c r="C221" s="52" t="s">
        <v>815</v>
      </c>
      <c r="D221" s="52" t="s">
        <v>673</v>
      </c>
      <c r="E221" s="52" t="s">
        <v>674</v>
      </c>
      <c r="F221" s="52" t="s">
        <v>716</v>
      </c>
      <c r="G221" s="52" t="s">
        <v>744</v>
      </c>
      <c r="H221" s="52" t="s">
        <v>677</v>
      </c>
      <c r="I221" s="49" t="s">
        <v>678</v>
      </c>
      <c r="J221" s="52" t="s">
        <v>751</v>
      </c>
      <c r="K221" s="52" t="s">
        <v>690</v>
      </c>
      <c r="L221" s="52" t="s">
        <v>681</v>
      </c>
      <c r="M221" s="52">
        <v>0.5</v>
      </c>
      <c r="N221" s="52" t="s">
        <v>90</v>
      </c>
      <c r="O221" s="52" t="s">
        <v>665</v>
      </c>
      <c r="P221" s="52" t="s">
        <v>746</v>
      </c>
      <c r="Q221" s="52" t="s">
        <v>683</v>
      </c>
      <c r="R221" s="52" t="s">
        <v>278</v>
      </c>
      <c r="S221" s="52" t="s">
        <v>673</v>
      </c>
      <c r="T221" s="52" t="s">
        <v>1821</v>
      </c>
      <c r="U221" s="52" t="s">
        <v>1824</v>
      </c>
      <c r="V221" s="50" t="s">
        <v>1823</v>
      </c>
    </row>
    <row r="222" spans="1:22" x14ac:dyDescent="0.3">
      <c r="A222" s="48" t="s">
        <v>1647</v>
      </c>
      <c r="B222" s="49" t="s">
        <v>760</v>
      </c>
      <c r="C222" s="49" t="s">
        <v>1648</v>
      </c>
      <c r="D222" s="49" t="s">
        <v>673</v>
      </c>
      <c r="E222" s="49" t="s">
        <v>674</v>
      </c>
      <c r="F222" s="49" t="s">
        <v>675</v>
      </c>
      <c r="G222" s="49" t="s">
        <v>676</v>
      </c>
      <c r="H222" s="49" t="s">
        <v>677</v>
      </c>
      <c r="I222" s="49" t="s">
        <v>678</v>
      </c>
      <c r="J222" s="49" t="s">
        <v>751</v>
      </c>
      <c r="K222" s="49" t="s">
        <v>690</v>
      </c>
      <c r="L222" s="49" t="s">
        <v>739</v>
      </c>
      <c r="M222" s="49">
        <v>1</v>
      </c>
      <c r="N222" s="49" t="s">
        <v>166</v>
      </c>
      <c r="O222" s="49" t="s">
        <v>665</v>
      </c>
      <c r="P222" s="49" t="s">
        <v>746</v>
      </c>
      <c r="Q222" s="49" t="s">
        <v>683</v>
      </c>
      <c r="R222" s="49" t="s">
        <v>278</v>
      </c>
      <c r="S222" s="52" t="s">
        <v>673</v>
      </c>
      <c r="T222" s="49" t="s">
        <v>1821</v>
      </c>
      <c r="U222" s="49" t="s">
        <v>1824</v>
      </c>
      <c r="V222" s="50" t="s">
        <v>1823</v>
      </c>
    </row>
    <row r="223" spans="1:22" x14ac:dyDescent="0.3">
      <c r="A223" s="51" t="s">
        <v>1640</v>
      </c>
      <c r="B223" s="52" t="s">
        <v>749</v>
      </c>
      <c r="C223" s="52" t="s">
        <v>1641</v>
      </c>
      <c r="D223" s="52" t="s">
        <v>673</v>
      </c>
      <c r="E223" s="52" t="s">
        <v>674</v>
      </c>
      <c r="F223" s="52" t="s">
        <v>716</v>
      </c>
      <c r="G223" s="52" t="s">
        <v>744</v>
      </c>
      <c r="H223" s="52" t="s">
        <v>677</v>
      </c>
      <c r="I223" s="49" t="s">
        <v>688</v>
      </c>
      <c r="J223" s="52" t="s">
        <v>751</v>
      </c>
      <c r="K223" s="52" t="s">
        <v>690</v>
      </c>
      <c r="L223" s="52" t="s">
        <v>681</v>
      </c>
      <c r="M223" s="52">
        <v>1</v>
      </c>
      <c r="N223" s="52" t="s">
        <v>174</v>
      </c>
      <c r="O223" s="52" t="s">
        <v>665</v>
      </c>
      <c r="P223" s="52" t="s">
        <v>746</v>
      </c>
      <c r="Q223" s="52" t="s">
        <v>683</v>
      </c>
      <c r="R223" s="52" t="s">
        <v>278</v>
      </c>
      <c r="S223" s="52" t="s">
        <v>673</v>
      </c>
      <c r="T223" s="52" t="s">
        <v>1821</v>
      </c>
      <c r="U223" s="52" t="s">
        <v>1824</v>
      </c>
      <c r="V223" s="50" t="s">
        <v>1823</v>
      </c>
    </row>
    <row r="224" spans="1:22" x14ac:dyDescent="0.3">
      <c r="A224" s="48" t="s">
        <v>1004</v>
      </c>
      <c r="B224" s="49" t="s">
        <v>858</v>
      </c>
      <c r="C224" s="49" t="s">
        <v>1005</v>
      </c>
      <c r="D224" s="49" t="s">
        <v>684</v>
      </c>
      <c r="E224" s="49" t="s">
        <v>674</v>
      </c>
      <c r="F224" s="49" t="s">
        <v>716</v>
      </c>
      <c r="G224" s="49" t="s">
        <v>744</v>
      </c>
      <c r="H224" s="49" t="s">
        <v>677</v>
      </c>
      <c r="I224" s="49" t="s">
        <v>678</v>
      </c>
      <c r="J224" s="49" t="s">
        <v>860</v>
      </c>
      <c r="K224" s="49" t="s">
        <v>861</v>
      </c>
      <c r="L224" s="49" t="s">
        <v>699</v>
      </c>
      <c r="M224" s="49">
        <v>0.5</v>
      </c>
      <c r="N224" s="49" t="s">
        <v>78</v>
      </c>
      <c r="O224" s="49" t="s">
        <v>665</v>
      </c>
      <c r="P224" s="49" t="s">
        <v>746</v>
      </c>
      <c r="Q224" s="49" t="s">
        <v>683</v>
      </c>
      <c r="R224" s="49" t="s">
        <v>300</v>
      </c>
      <c r="S224" s="49" t="s">
        <v>684</v>
      </c>
      <c r="T224" s="49" t="s">
        <v>1821</v>
      </c>
      <c r="U224" s="49" t="s">
        <v>1824</v>
      </c>
      <c r="V224" s="50" t="s">
        <v>1823</v>
      </c>
    </row>
    <row r="225" spans="1:22" x14ac:dyDescent="0.3">
      <c r="A225" s="51" t="s">
        <v>857</v>
      </c>
      <c r="B225" s="52" t="s">
        <v>858</v>
      </c>
      <c r="C225" s="52" t="s">
        <v>859</v>
      </c>
      <c r="D225" s="52" t="s">
        <v>684</v>
      </c>
      <c r="E225" s="52" t="s">
        <v>674</v>
      </c>
      <c r="F225" s="52" t="s">
        <v>716</v>
      </c>
      <c r="G225" s="52" t="s">
        <v>744</v>
      </c>
      <c r="H225" s="52" t="s">
        <v>677</v>
      </c>
      <c r="I225" s="49" t="s">
        <v>688</v>
      </c>
      <c r="J225" s="52" t="s">
        <v>860</v>
      </c>
      <c r="K225" s="52" t="s">
        <v>861</v>
      </c>
      <c r="L225" s="52" t="s">
        <v>699</v>
      </c>
      <c r="M225" s="52">
        <v>0.5</v>
      </c>
      <c r="N225" s="52" t="s">
        <v>246</v>
      </c>
      <c r="O225" s="52" t="s">
        <v>665</v>
      </c>
      <c r="P225" s="52" t="s">
        <v>746</v>
      </c>
      <c r="Q225" s="52" t="s">
        <v>683</v>
      </c>
      <c r="R225" s="52" t="s">
        <v>300</v>
      </c>
      <c r="S225" s="49" t="s">
        <v>684</v>
      </c>
      <c r="T225" s="52" t="s">
        <v>1821</v>
      </c>
      <c r="U225" s="52" t="s">
        <v>1824</v>
      </c>
      <c r="V225" s="50" t="s">
        <v>1823</v>
      </c>
    </row>
    <row r="226" spans="1:22" x14ac:dyDescent="0.3">
      <c r="A226" s="48" t="s">
        <v>1037</v>
      </c>
      <c r="B226" s="49" t="s">
        <v>858</v>
      </c>
      <c r="C226" s="49" t="s">
        <v>1038</v>
      </c>
      <c r="D226" s="49" t="s">
        <v>684</v>
      </c>
      <c r="E226" s="49" t="s">
        <v>674</v>
      </c>
      <c r="F226" s="49" t="s">
        <v>716</v>
      </c>
      <c r="G226" s="49" t="s">
        <v>744</v>
      </c>
      <c r="H226" s="49" t="s">
        <v>677</v>
      </c>
      <c r="I226" s="49" t="s">
        <v>678</v>
      </c>
      <c r="J226" s="49" t="s">
        <v>860</v>
      </c>
      <c r="K226" s="49" t="s">
        <v>861</v>
      </c>
      <c r="L226" s="49" t="s">
        <v>699</v>
      </c>
      <c r="M226" s="49">
        <v>1</v>
      </c>
      <c r="N226" s="49" t="s">
        <v>363</v>
      </c>
      <c r="O226" s="49" t="s">
        <v>665</v>
      </c>
      <c r="P226" s="49" t="s">
        <v>746</v>
      </c>
      <c r="Q226" s="49" t="s">
        <v>683</v>
      </c>
      <c r="R226" s="49" t="s">
        <v>300</v>
      </c>
      <c r="S226" s="49" t="s">
        <v>684</v>
      </c>
      <c r="T226" s="49" t="s">
        <v>1821</v>
      </c>
      <c r="U226" s="49" t="s">
        <v>1824</v>
      </c>
      <c r="V226" s="50" t="s">
        <v>1823</v>
      </c>
    </row>
    <row r="227" spans="1:22" x14ac:dyDescent="0.3">
      <c r="A227" s="51" t="s">
        <v>1004</v>
      </c>
      <c r="B227" s="52" t="s">
        <v>858</v>
      </c>
      <c r="C227" s="52" t="s">
        <v>1005</v>
      </c>
      <c r="D227" s="52" t="s">
        <v>684</v>
      </c>
      <c r="E227" s="52" t="s">
        <v>674</v>
      </c>
      <c r="F227" s="52" t="s">
        <v>716</v>
      </c>
      <c r="G227" s="52" t="s">
        <v>744</v>
      </c>
      <c r="H227" s="52" t="s">
        <v>677</v>
      </c>
      <c r="I227" s="49" t="s">
        <v>678</v>
      </c>
      <c r="J227" s="52" t="s">
        <v>860</v>
      </c>
      <c r="K227" s="52" t="s">
        <v>861</v>
      </c>
      <c r="L227" s="52" t="s">
        <v>699</v>
      </c>
      <c r="M227" s="52">
        <v>0.5</v>
      </c>
      <c r="N227" s="52" t="s">
        <v>422</v>
      </c>
      <c r="O227" s="52" t="s">
        <v>665</v>
      </c>
      <c r="P227" s="52" t="s">
        <v>746</v>
      </c>
      <c r="Q227" s="52" t="s">
        <v>683</v>
      </c>
      <c r="R227" s="52" t="s">
        <v>300</v>
      </c>
      <c r="S227" s="49" t="s">
        <v>684</v>
      </c>
      <c r="T227" s="52" t="s">
        <v>1821</v>
      </c>
      <c r="U227" s="52" t="s">
        <v>1824</v>
      </c>
      <c r="V227" s="50" t="s">
        <v>1823</v>
      </c>
    </row>
    <row r="228" spans="1:22" x14ac:dyDescent="0.3">
      <c r="A228" s="48" t="s">
        <v>1037</v>
      </c>
      <c r="B228" s="49" t="s">
        <v>858</v>
      </c>
      <c r="C228" s="49" t="s">
        <v>1038</v>
      </c>
      <c r="D228" s="49" t="s">
        <v>684</v>
      </c>
      <c r="E228" s="49" t="s">
        <v>674</v>
      </c>
      <c r="F228" s="49" t="s">
        <v>716</v>
      </c>
      <c r="G228" s="49" t="s">
        <v>744</v>
      </c>
      <c r="H228" s="49" t="s">
        <v>677</v>
      </c>
      <c r="I228" s="49" t="s">
        <v>678</v>
      </c>
      <c r="J228" s="49" t="s">
        <v>860</v>
      </c>
      <c r="K228" s="49" t="s">
        <v>861</v>
      </c>
      <c r="L228" s="49" t="s">
        <v>699</v>
      </c>
      <c r="M228" s="49">
        <v>1</v>
      </c>
      <c r="N228" s="49" t="s">
        <v>451</v>
      </c>
      <c r="O228" s="49" t="s">
        <v>665</v>
      </c>
      <c r="P228" s="49" t="s">
        <v>746</v>
      </c>
      <c r="Q228" s="49" t="s">
        <v>683</v>
      </c>
      <c r="R228" s="49" t="s">
        <v>300</v>
      </c>
      <c r="S228" s="49" t="s">
        <v>684</v>
      </c>
      <c r="T228" s="49" t="s">
        <v>1821</v>
      </c>
      <c r="U228" s="49" t="s">
        <v>1824</v>
      </c>
      <c r="V228" s="50" t="s">
        <v>1823</v>
      </c>
    </row>
    <row r="229" spans="1:22" x14ac:dyDescent="0.3">
      <c r="A229" s="51" t="s">
        <v>857</v>
      </c>
      <c r="B229" s="52" t="s">
        <v>858</v>
      </c>
      <c r="C229" s="52" t="s">
        <v>859</v>
      </c>
      <c r="D229" s="52" t="s">
        <v>684</v>
      </c>
      <c r="E229" s="52" t="s">
        <v>674</v>
      </c>
      <c r="F229" s="52" t="s">
        <v>716</v>
      </c>
      <c r="G229" s="52" t="s">
        <v>744</v>
      </c>
      <c r="H229" s="52" t="s">
        <v>677</v>
      </c>
      <c r="I229" s="49" t="s">
        <v>688</v>
      </c>
      <c r="J229" s="52" t="s">
        <v>860</v>
      </c>
      <c r="K229" s="52" t="s">
        <v>861</v>
      </c>
      <c r="L229" s="52" t="s">
        <v>699</v>
      </c>
      <c r="M229" s="52">
        <v>0.5</v>
      </c>
      <c r="N229" s="52" t="s">
        <v>454</v>
      </c>
      <c r="O229" s="52" t="s">
        <v>665</v>
      </c>
      <c r="P229" s="52" t="s">
        <v>746</v>
      </c>
      <c r="Q229" s="52" t="s">
        <v>683</v>
      </c>
      <c r="R229" s="52" t="s">
        <v>300</v>
      </c>
      <c r="S229" s="49" t="s">
        <v>684</v>
      </c>
      <c r="T229" s="52" t="s">
        <v>1821</v>
      </c>
      <c r="U229" s="52" t="s">
        <v>1824</v>
      </c>
      <c r="V229" s="50" t="s">
        <v>1823</v>
      </c>
    </row>
    <row r="230" spans="1:22" x14ac:dyDescent="0.3">
      <c r="A230" s="48" t="s">
        <v>1037</v>
      </c>
      <c r="B230" s="49" t="s">
        <v>858</v>
      </c>
      <c r="C230" s="49" t="s">
        <v>1038</v>
      </c>
      <c r="D230" s="49" t="s">
        <v>684</v>
      </c>
      <c r="E230" s="49" t="s">
        <v>674</v>
      </c>
      <c r="F230" s="49" t="s">
        <v>716</v>
      </c>
      <c r="G230" s="49" t="s">
        <v>744</v>
      </c>
      <c r="H230" s="49" t="s">
        <v>677</v>
      </c>
      <c r="I230" s="49" t="s">
        <v>678</v>
      </c>
      <c r="J230" s="49" t="s">
        <v>860</v>
      </c>
      <c r="K230" s="49" t="s">
        <v>861</v>
      </c>
      <c r="L230" s="49" t="s">
        <v>699</v>
      </c>
      <c r="M230" s="49">
        <v>0.5</v>
      </c>
      <c r="N230" s="49" t="s">
        <v>383</v>
      </c>
      <c r="O230" s="49" t="s">
        <v>767</v>
      </c>
      <c r="P230" s="52" t="s">
        <v>746</v>
      </c>
      <c r="Q230" s="49" t="s">
        <v>683</v>
      </c>
      <c r="R230" s="49" t="s">
        <v>300</v>
      </c>
      <c r="S230" s="49" t="s">
        <v>684</v>
      </c>
      <c r="T230" s="49" t="s">
        <v>1821</v>
      </c>
      <c r="U230" s="49" t="s">
        <v>1824</v>
      </c>
      <c r="V230" s="50" t="s">
        <v>1823</v>
      </c>
    </row>
    <row r="231" spans="1:22" x14ac:dyDescent="0.3">
      <c r="A231" s="51" t="s">
        <v>1039</v>
      </c>
      <c r="B231" s="52" t="s">
        <v>228</v>
      </c>
      <c r="C231" s="52" t="s">
        <v>1040</v>
      </c>
      <c r="D231" s="52" t="s">
        <v>673</v>
      </c>
      <c r="E231" s="52" t="s">
        <v>674</v>
      </c>
      <c r="F231" s="52" t="s">
        <v>675</v>
      </c>
      <c r="G231" s="52" t="s">
        <v>676</v>
      </c>
      <c r="H231" s="52" t="s">
        <v>702</v>
      </c>
      <c r="I231" s="49" t="s">
        <v>688</v>
      </c>
      <c r="J231" s="52" t="s">
        <v>698</v>
      </c>
      <c r="K231" s="52" t="s">
        <v>690</v>
      </c>
      <c r="L231" s="52" t="s">
        <v>699</v>
      </c>
      <c r="M231" s="52">
        <v>0.25</v>
      </c>
      <c r="N231" s="52" t="s">
        <v>381</v>
      </c>
      <c r="O231" s="52" t="s">
        <v>665</v>
      </c>
      <c r="P231" s="52" t="s">
        <v>746</v>
      </c>
      <c r="Q231" s="52" t="s">
        <v>683</v>
      </c>
      <c r="R231" s="52" t="s">
        <v>300</v>
      </c>
      <c r="S231" s="49" t="s">
        <v>684</v>
      </c>
      <c r="T231" s="52" t="s">
        <v>1821</v>
      </c>
      <c r="U231" s="52" t="s">
        <v>1824</v>
      </c>
      <c r="V231" s="50" t="s">
        <v>1823</v>
      </c>
    </row>
    <row r="232" spans="1:22" x14ac:dyDescent="0.3">
      <c r="A232" s="48" t="s">
        <v>1004</v>
      </c>
      <c r="B232" s="49" t="s">
        <v>858</v>
      </c>
      <c r="C232" s="49" t="s">
        <v>1005</v>
      </c>
      <c r="D232" s="49" t="s">
        <v>684</v>
      </c>
      <c r="E232" s="49" t="s">
        <v>674</v>
      </c>
      <c r="F232" s="49" t="s">
        <v>716</v>
      </c>
      <c r="G232" s="49" t="s">
        <v>744</v>
      </c>
      <c r="H232" s="49" t="s">
        <v>677</v>
      </c>
      <c r="I232" s="49" t="s">
        <v>678</v>
      </c>
      <c r="J232" s="49" t="s">
        <v>860</v>
      </c>
      <c r="K232" s="49" t="s">
        <v>861</v>
      </c>
      <c r="L232" s="49" t="s">
        <v>699</v>
      </c>
      <c r="M232" s="49">
        <v>1</v>
      </c>
      <c r="N232" s="49" t="s">
        <v>638</v>
      </c>
      <c r="O232" s="49" t="s">
        <v>767</v>
      </c>
      <c r="P232" s="52" t="s">
        <v>746</v>
      </c>
      <c r="Q232" s="49" t="s">
        <v>683</v>
      </c>
      <c r="R232" s="49" t="s">
        <v>300</v>
      </c>
      <c r="S232" s="49" t="s">
        <v>684</v>
      </c>
      <c r="T232" s="49" t="s">
        <v>1821</v>
      </c>
      <c r="U232" s="49" t="s">
        <v>1824</v>
      </c>
      <c r="V232" s="50" t="s">
        <v>1823</v>
      </c>
    </row>
    <row r="233" spans="1:22" x14ac:dyDescent="0.3">
      <c r="A233" s="51" t="s">
        <v>997</v>
      </c>
      <c r="B233" s="52" t="s">
        <v>998</v>
      </c>
      <c r="C233" s="52" t="s">
        <v>999</v>
      </c>
      <c r="D233" s="52" t="s">
        <v>673</v>
      </c>
      <c r="E233" s="52" t="s">
        <v>674</v>
      </c>
      <c r="F233" s="52" t="s">
        <v>716</v>
      </c>
      <c r="G233" s="52" t="s">
        <v>744</v>
      </c>
      <c r="H233" s="52" t="s">
        <v>677</v>
      </c>
      <c r="I233" s="49" t="s">
        <v>678</v>
      </c>
      <c r="J233" s="52" t="s">
        <v>751</v>
      </c>
      <c r="K233" s="52" t="s">
        <v>690</v>
      </c>
      <c r="L233" s="52" t="s">
        <v>681</v>
      </c>
      <c r="M233" s="52">
        <v>0.3</v>
      </c>
      <c r="N233" s="52" t="s">
        <v>90</v>
      </c>
      <c r="O233" s="52" t="s">
        <v>665</v>
      </c>
      <c r="P233" s="52" t="s">
        <v>746</v>
      </c>
      <c r="Q233" s="52" t="s">
        <v>683</v>
      </c>
      <c r="R233" s="52" t="s">
        <v>278</v>
      </c>
      <c r="S233" s="52" t="s">
        <v>673</v>
      </c>
      <c r="T233" s="52" t="s">
        <v>1821</v>
      </c>
      <c r="U233" s="52" t="s">
        <v>1824</v>
      </c>
      <c r="V233" s="50" t="s">
        <v>1823</v>
      </c>
    </row>
    <row r="234" spans="1:22" x14ac:dyDescent="0.3">
      <c r="A234" s="48" t="s">
        <v>1640</v>
      </c>
      <c r="B234" s="49" t="s">
        <v>749</v>
      </c>
      <c r="C234" s="49" t="s">
        <v>1641</v>
      </c>
      <c r="D234" s="49" t="s">
        <v>673</v>
      </c>
      <c r="E234" s="49" t="s">
        <v>674</v>
      </c>
      <c r="F234" s="49" t="s">
        <v>716</v>
      </c>
      <c r="G234" s="49" t="s">
        <v>744</v>
      </c>
      <c r="H234" s="49" t="s">
        <v>677</v>
      </c>
      <c r="I234" s="49" t="s">
        <v>688</v>
      </c>
      <c r="J234" s="49" t="s">
        <v>751</v>
      </c>
      <c r="K234" s="49" t="s">
        <v>690</v>
      </c>
      <c r="L234" s="49" t="s">
        <v>681</v>
      </c>
      <c r="M234" s="49">
        <v>1</v>
      </c>
      <c r="N234" s="49" t="s">
        <v>520</v>
      </c>
      <c r="O234" s="49" t="s">
        <v>665</v>
      </c>
      <c r="P234" s="49" t="s">
        <v>746</v>
      </c>
      <c r="Q234" s="49" t="s">
        <v>683</v>
      </c>
      <c r="R234" s="49" t="s">
        <v>278</v>
      </c>
      <c r="S234" s="52" t="s">
        <v>673</v>
      </c>
      <c r="T234" s="49" t="s">
        <v>1821</v>
      </c>
      <c r="U234" s="49" t="s">
        <v>1824</v>
      </c>
      <c r="V234" s="50" t="s">
        <v>1823</v>
      </c>
    </row>
    <row r="235" spans="1:22" x14ac:dyDescent="0.3">
      <c r="A235" s="51" t="s">
        <v>997</v>
      </c>
      <c r="B235" s="52" t="s">
        <v>998</v>
      </c>
      <c r="C235" s="52" t="s">
        <v>999</v>
      </c>
      <c r="D235" s="52" t="s">
        <v>673</v>
      </c>
      <c r="E235" s="52" t="s">
        <v>674</v>
      </c>
      <c r="F235" s="52" t="s">
        <v>716</v>
      </c>
      <c r="G235" s="52" t="s">
        <v>744</v>
      </c>
      <c r="H235" s="52" t="s">
        <v>677</v>
      </c>
      <c r="I235" s="49" t="s">
        <v>678</v>
      </c>
      <c r="J235" s="52" t="s">
        <v>751</v>
      </c>
      <c r="K235" s="52" t="s">
        <v>690</v>
      </c>
      <c r="L235" s="52" t="s">
        <v>681</v>
      </c>
      <c r="M235" s="52">
        <v>1</v>
      </c>
      <c r="N235" s="52" t="s">
        <v>1642</v>
      </c>
      <c r="O235" s="52" t="s">
        <v>767</v>
      </c>
      <c r="P235" s="52" t="s">
        <v>746</v>
      </c>
      <c r="Q235" s="52" t="s">
        <v>683</v>
      </c>
      <c r="R235" s="52" t="s">
        <v>278</v>
      </c>
      <c r="S235" s="52" t="s">
        <v>673</v>
      </c>
      <c r="T235" s="52" t="s">
        <v>1821</v>
      </c>
      <c r="U235" s="52" t="s">
        <v>1824</v>
      </c>
      <c r="V235" s="50" t="s">
        <v>1823</v>
      </c>
    </row>
    <row r="236" spans="1:22" x14ac:dyDescent="0.3">
      <c r="A236" s="48" t="s">
        <v>839</v>
      </c>
      <c r="B236" s="49" t="s">
        <v>704</v>
      </c>
      <c r="C236" s="49" t="s">
        <v>840</v>
      </c>
      <c r="D236" s="49" t="s">
        <v>673</v>
      </c>
      <c r="E236" s="49" t="s">
        <v>674</v>
      </c>
      <c r="F236" s="49" t="s">
        <v>675</v>
      </c>
      <c r="G236" s="49" t="s">
        <v>676</v>
      </c>
      <c r="H236" s="49" t="s">
        <v>677</v>
      </c>
      <c r="I236" s="49" t="s">
        <v>678</v>
      </c>
      <c r="J236" s="49" t="s">
        <v>710</v>
      </c>
      <c r="K236" s="49" t="s">
        <v>690</v>
      </c>
      <c r="L236" s="49" t="s">
        <v>681</v>
      </c>
      <c r="M236" s="49">
        <v>0.3</v>
      </c>
      <c r="N236" s="49" t="s">
        <v>447</v>
      </c>
      <c r="O236" s="49" t="s">
        <v>665</v>
      </c>
      <c r="P236" s="49" t="s">
        <v>682</v>
      </c>
      <c r="Q236" s="49" t="s">
        <v>683</v>
      </c>
      <c r="R236" s="49" t="s">
        <v>366</v>
      </c>
      <c r="S236" s="52" t="s">
        <v>673</v>
      </c>
      <c r="T236" s="49" t="s">
        <v>1821</v>
      </c>
      <c r="U236" s="49" t="s">
        <v>1824</v>
      </c>
      <c r="V236" s="50" t="s">
        <v>1823</v>
      </c>
    </row>
    <row r="237" spans="1:22" x14ac:dyDescent="0.3">
      <c r="A237" s="51" t="s">
        <v>848</v>
      </c>
      <c r="B237" s="52" t="s">
        <v>849</v>
      </c>
      <c r="C237" s="52" t="s">
        <v>850</v>
      </c>
      <c r="D237" s="52" t="s">
        <v>673</v>
      </c>
      <c r="E237" s="52" t="s">
        <v>674</v>
      </c>
      <c r="F237" s="52" t="s">
        <v>675</v>
      </c>
      <c r="G237" s="52" t="s">
        <v>731</v>
      </c>
      <c r="H237" s="52" t="s">
        <v>702</v>
      </c>
      <c r="I237" s="52" t="s">
        <v>811</v>
      </c>
      <c r="J237" s="52" t="s">
        <v>713</v>
      </c>
      <c r="K237" s="52" t="s">
        <v>690</v>
      </c>
      <c r="L237" s="52" t="s">
        <v>681</v>
      </c>
      <c r="M237" s="52">
        <v>0.2</v>
      </c>
      <c r="N237" s="52" t="s">
        <v>447</v>
      </c>
      <c r="O237" s="52" t="s">
        <v>665</v>
      </c>
      <c r="P237" s="52" t="s">
        <v>682</v>
      </c>
      <c r="Q237" s="52" t="s">
        <v>683</v>
      </c>
      <c r="R237" s="52" t="s">
        <v>366</v>
      </c>
      <c r="S237" s="52" t="s">
        <v>673</v>
      </c>
      <c r="T237" s="52" t="s">
        <v>1821</v>
      </c>
      <c r="U237" s="52" t="s">
        <v>1824</v>
      </c>
      <c r="V237" s="50" t="s">
        <v>1823</v>
      </c>
    </row>
    <row r="238" spans="1:22" x14ac:dyDescent="0.3">
      <c r="A238" s="48" t="s">
        <v>837</v>
      </c>
      <c r="B238" s="49" t="s">
        <v>686</v>
      </c>
      <c r="C238" s="49" t="s">
        <v>838</v>
      </c>
      <c r="D238" s="49" t="s">
        <v>673</v>
      </c>
      <c r="E238" s="49" t="s">
        <v>674</v>
      </c>
      <c r="F238" s="49" t="s">
        <v>716</v>
      </c>
      <c r="G238" s="49" t="s">
        <v>731</v>
      </c>
      <c r="H238" s="49" t="s">
        <v>702</v>
      </c>
      <c r="I238" s="49" t="s">
        <v>688</v>
      </c>
      <c r="J238" s="49" t="s">
        <v>689</v>
      </c>
      <c r="K238" s="49" t="s">
        <v>690</v>
      </c>
      <c r="L238" s="49" t="s">
        <v>691</v>
      </c>
      <c r="M238" s="49">
        <v>0.2</v>
      </c>
      <c r="N238" s="49" t="s">
        <v>447</v>
      </c>
      <c r="O238" s="49" t="s">
        <v>665</v>
      </c>
      <c r="P238" s="49" t="s">
        <v>682</v>
      </c>
      <c r="Q238" s="49" t="s">
        <v>683</v>
      </c>
      <c r="R238" s="49" t="s">
        <v>366</v>
      </c>
      <c r="S238" s="52" t="s">
        <v>673</v>
      </c>
      <c r="T238" s="49" t="s">
        <v>1821</v>
      </c>
      <c r="U238" s="49" t="s">
        <v>1824</v>
      </c>
      <c r="V238" s="50" t="s">
        <v>1823</v>
      </c>
    </row>
    <row r="239" spans="1:22" x14ac:dyDescent="0.3">
      <c r="A239" s="51" t="s">
        <v>671</v>
      </c>
      <c r="B239" s="52" t="s">
        <v>178</v>
      </c>
      <c r="C239" s="52" t="s">
        <v>672</v>
      </c>
      <c r="D239" s="52" t="s">
        <v>673</v>
      </c>
      <c r="E239" s="52" t="s">
        <v>674</v>
      </c>
      <c r="F239" s="52" t="s">
        <v>675</v>
      </c>
      <c r="G239" s="52" t="s">
        <v>676</v>
      </c>
      <c r="H239" s="52" t="s">
        <v>677</v>
      </c>
      <c r="I239" s="49" t="s">
        <v>678</v>
      </c>
      <c r="J239" s="52" t="s">
        <v>679</v>
      </c>
      <c r="K239" s="52" t="s">
        <v>680</v>
      </c>
      <c r="L239" s="52" t="s">
        <v>681</v>
      </c>
      <c r="M239" s="52">
        <v>0.3</v>
      </c>
      <c r="N239" s="52" t="s">
        <v>447</v>
      </c>
      <c r="O239" s="52" t="s">
        <v>665</v>
      </c>
      <c r="P239" s="52" t="s">
        <v>682</v>
      </c>
      <c r="Q239" s="52" t="s">
        <v>683</v>
      </c>
      <c r="R239" s="52" t="s">
        <v>366</v>
      </c>
      <c r="S239" s="52" t="s">
        <v>673</v>
      </c>
      <c r="T239" s="52" t="s">
        <v>1821</v>
      </c>
      <c r="U239" s="52" t="s">
        <v>1824</v>
      </c>
      <c r="V239" s="50" t="s">
        <v>1823</v>
      </c>
    </row>
    <row r="240" spans="1:22" x14ac:dyDescent="0.3">
      <c r="A240" s="48" t="s">
        <v>1041</v>
      </c>
      <c r="B240" s="49" t="s">
        <v>858</v>
      </c>
      <c r="C240" s="49" t="s">
        <v>1042</v>
      </c>
      <c r="D240" s="49" t="s">
        <v>684</v>
      </c>
      <c r="E240" s="49" t="s">
        <v>674</v>
      </c>
      <c r="F240" s="49" t="s">
        <v>716</v>
      </c>
      <c r="G240" s="49" t="s">
        <v>744</v>
      </c>
      <c r="H240" s="49" t="s">
        <v>677</v>
      </c>
      <c r="I240" s="49" t="s">
        <v>678</v>
      </c>
      <c r="J240" s="49" t="s">
        <v>860</v>
      </c>
      <c r="K240" s="49" t="s">
        <v>861</v>
      </c>
      <c r="L240" s="49" t="s">
        <v>699</v>
      </c>
      <c r="M240" s="49">
        <v>1</v>
      </c>
      <c r="N240" s="49" t="s">
        <v>386</v>
      </c>
      <c r="O240" s="49" t="s">
        <v>665</v>
      </c>
      <c r="P240" s="49" t="s">
        <v>746</v>
      </c>
      <c r="Q240" s="49" t="s">
        <v>683</v>
      </c>
      <c r="R240" s="49" t="s">
        <v>300</v>
      </c>
      <c r="S240" s="49" t="s">
        <v>684</v>
      </c>
      <c r="T240" s="49" t="s">
        <v>1821</v>
      </c>
      <c r="U240" s="49" t="s">
        <v>1824</v>
      </c>
      <c r="V240" s="50" t="s">
        <v>1823</v>
      </c>
    </row>
    <row r="241" spans="1:22" x14ac:dyDescent="0.3">
      <c r="A241" s="51" t="s">
        <v>685</v>
      </c>
      <c r="B241" s="52" t="s">
        <v>686</v>
      </c>
      <c r="C241" s="52" t="s">
        <v>687</v>
      </c>
      <c r="D241" s="52" t="s">
        <v>673</v>
      </c>
      <c r="E241" s="52" t="s">
        <v>674</v>
      </c>
      <c r="F241" s="52" t="s">
        <v>675</v>
      </c>
      <c r="G241" s="52" t="s">
        <v>676</v>
      </c>
      <c r="H241" s="52" t="s">
        <v>677</v>
      </c>
      <c r="I241" s="49" t="s">
        <v>688</v>
      </c>
      <c r="J241" s="52" t="s">
        <v>689</v>
      </c>
      <c r="K241" s="52" t="s">
        <v>690</v>
      </c>
      <c r="L241" s="52" t="s">
        <v>691</v>
      </c>
      <c r="M241" s="52">
        <v>0.2</v>
      </c>
      <c r="N241" s="52" t="s">
        <v>152</v>
      </c>
      <c r="O241" s="52" t="s">
        <v>665</v>
      </c>
      <c r="P241" s="52" t="s">
        <v>682</v>
      </c>
      <c r="Q241" s="52" t="s">
        <v>683</v>
      </c>
      <c r="R241" s="52" t="s">
        <v>366</v>
      </c>
      <c r="S241" s="52" t="s">
        <v>673</v>
      </c>
      <c r="T241" s="52" t="s">
        <v>1821</v>
      </c>
      <c r="U241" s="52" t="s">
        <v>1824</v>
      </c>
      <c r="V241" s="50" t="s">
        <v>1823</v>
      </c>
    </row>
    <row r="242" spans="1:22" x14ac:dyDescent="0.3">
      <c r="A242" s="48" t="s">
        <v>720</v>
      </c>
      <c r="B242" s="49" t="s">
        <v>686</v>
      </c>
      <c r="C242" s="49" t="s">
        <v>721</v>
      </c>
      <c r="D242" s="49" t="s">
        <v>673</v>
      </c>
      <c r="E242" s="49" t="s">
        <v>674</v>
      </c>
      <c r="F242" s="49" t="s">
        <v>675</v>
      </c>
      <c r="G242" s="49" t="s">
        <v>676</v>
      </c>
      <c r="H242" s="49" t="s">
        <v>677</v>
      </c>
      <c r="I242" s="49" t="s">
        <v>688</v>
      </c>
      <c r="J242" s="49" t="s">
        <v>689</v>
      </c>
      <c r="K242" s="49" t="s">
        <v>690</v>
      </c>
      <c r="L242" s="49" t="s">
        <v>681</v>
      </c>
      <c r="M242" s="49">
        <v>0.3</v>
      </c>
      <c r="N242" s="49" t="s">
        <v>152</v>
      </c>
      <c r="O242" s="49" t="s">
        <v>665</v>
      </c>
      <c r="P242" s="49" t="s">
        <v>682</v>
      </c>
      <c r="Q242" s="49" t="s">
        <v>683</v>
      </c>
      <c r="R242" s="49" t="s">
        <v>366</v>
      </c>
      <c r="S242" s="52" t="s">
        <v>673</v>
      </c>
      <c r="T242" s="49" t="s">
        <v>1821</v>
      </c>
      <c r="U242" s="49" t="s">
        <v>1824</v>
      </c>
      <c r="V242" s="50" t="s">
        <v>1823</v>
      </c>
    </row>
    <row r="243" spans="1:22" x14ac:dyDescent="0.3">
      <c r="A243" s="51" t="s">
        <v>722</v>
      </c>
      <c r="B243" s="52" t="s">
        <v>686</v>
      </c>
      <c r="C243" s="52" t="s">
        <v>723</v>
      </c>
      <c r="D243" s="52" t="s">
        <v>673</v>
      </c>
      <c r="E243" s="52" t="s">
        <v>674</v>
      </c>
      <c r="F243" s="52" t="s">
        <v>675</v>
      </c>
      <c r="G243" s="52" t="s">
        <v>724</v>
      </c>
      <c r="H243" s="52" t="s">
        <v>677</v>
      </c>
      <c r="I243" s="49" t="s">
        <v>688</v>
      </c>
      <c r="J243" s="52" t="s">
        <v>689</v>
      </c>
      <c r="K243" s="52" t="s">
        <v>690</v>
      </c>
      <c r="L243" s="52" t="s">
        <v>681</v>
      </c>
      <c r="M243" s="52">
        <v>0.3</v>
      </c>
      <c r="N243" s="52" t="s">
        <v>152</v>
      </c>
      <c r="O243" s="52" t="s">
        <v>665</v>
      </c>
      <c r="P243" s="52" t="s">
        <v>682</v>
      </c>
      <c r="Q243" s="52" t="s">
        <v>683</v>
      </c>
      <c r="R243" s="52" t="s">
        <v>366</v>
      </c>
      <c r="S243" s="52" t="s">
        <v>673</v>
      </c>
      <c r="T243" s="52" t="s">
        <v>1821</v>
      </c>
      <c r="U243" s="52" t="s">
        <v>1824</v>
      </c>
      <c r="V243" s="50" t="s">
        <v>1823</v>
      </c>
    </row>
    <row r="244" spans="1:22" x14ac:dyDescent="0.3">
      <c r="A244" s="48" t="s">
        <v>781</v>
      </c>
      <c r="B244" s="49" t="s">
        <v>686</v>
      </c>
      <c r="C244" s="49" t="s">
        <v>782</v>
      </c>
      <c r="D244" s="49" t="s">
        <v>673</v>
      </c>
      <c r="E244" s="49" t="s">
        <v>674</v>
      </c>
      <c r="F244" s="49" t="s">
        <v>675</v>
      </c>
      <c r="G244" s="49" t="s">
        <v>724</v>
      </c>
      <c r="H244" s="49" t="s">
        <v>677</v>
      </c>
      <c r="I244" s="49" t="s">
        <v>678</v>
      </c>
      <c r="J244" s="49" t="s">
        <v>689</v>
      </c>
      <c r="K244" s="49" t="s">
        <v>690</v>
      </c>
      <c r="L244" s="49" t="s">
        <v>681</v>
      </c>
      <c r="M244" s="49">
        <v>0.2</v>
      </c>
      <c r="N244" s="49" t="s">
        <v>152</v>
      </c>
      <c r="O244" s="49" t="s">
        <v>665</v>
      </c>
      <c r="P244" s="49" t="s">
        <v>682</v>
      </c>
      <c r="Q244" s="49" t="s">
        <v>683</v>
      </c>
      <c r="R244" s="49" t="s">
        <v>366</v>
      </c>
      <c r="S244" s="52" t="s">
        <v>673</v>
      </c>
      <c r="T244" s="49" t="s">
        <v>1821</v>
      </c>
      <c r="U244" s="49" t="s">
        <v>1824</v>
      </c>
      <c r="V244" s="50" t="s">
        <v>1823</v>
      </c>
    </row>
    <row r="245" spans="1:22" x14ac:dyDescent="0.3">
      <c r="A245" s="51" t="s">
        <v>1014</v>
      </c>
      <c r="B245" s="52" t="s">
        <v>528</v>
      </c>
      <c r="C245" s="52" t="s">
        <v>1015</v>
      </c>
      <c r="D245" s="52" t="s">
        <v>755</v>
      </c>
      <c r="E245" s="52" t="s">
        <v>674</v>
      </c>
      <c r="F245" s="52" t="s">
        <v>675</v>
      </c>
      <c r="G245" s="52" t="s">
        <v>676</v>
      </c>
      <c r="H245" s="52" t="s">
        <v>702</v>
      </c>
      <c r="I245" s="49" t="s">
        <v>678</v>
      </c>
      <c r="J245" s="52" t="s">
        <v>774</v>
      </c>
      <c r="K245" s="52" t="s">
        <v>680</v>
      </c>
      <c r="L245" s="52" t="s">
        <v>691</v>
      </c>
      <c r="M245" s="52">
        <v>0.5</v>
      </c>
      <c r="N245" s="52" t="s">
        <v>42</v>
      </c>
      <c r="O245" s="52" t="s">
        <v>665</v>
      </c>
      <c r="P245" s="52" t="s">
        <v>746</v>
      </c>
      <c r="Q245" s="52" t="s">
        <v>683</v>
      </c>
      <c r="R245" s="52" t="s">
        <v>293</v>
      </c>
      <c r="S245" s="49" t="s">
        <v>755</v>
      </c>
      <c r="T245" s="52" t="s">
        <v>1821</v>
      </c>
      <c r="U245" s="52" t="s">
        <v>1824</v>
      </c>
      <c r="V245" s="50" t="s">
        <v>1823</v>
      </c>
    </row>
    <row r="246" spans="1:22" x14ac:dyDescent="0.3">
      <c r="A246" s="48" t="s">
        <v>1009</v>
      </c>
      <c r="B246" s="49" t="s">
        <v>707</v>
      </c>
      <c r="C246" s="49" t="s">
        <v>715</v>
      </c>
      <c r="D246" s="49" t="s">
        <v>684</v>
      </c>
      <c r="E246" s="49" t="s">
        <v>674</v>
      </c>
      <c r="F246" s="49" t="s">
        <v>716</v>
      </c>
      <c r="G246" s="49" t="s">
        <v>717</v>
      </c>
      <c r="H246" s="49" t="s">
        <v>717</v>
      </c>
      <c r="I246" s="49" t="s">
        <v>717</v>
      </c>
      <c r="J246" s="49" t="s">
        <v>737</v>
      </c>
      <c r="K246" s="49" t="s">
        <v>738</v>
      </c>
      <c r="L246" s="49" t="s">
        <v>699</v>
      </c>
      <c r="M246" s="49">
        <v>1</v>
      </c>
      <c r="N246" s="49" t="s">
        <v>538</v>
      </c>
      <c r="O246" s="49" t="s">
        <v>665</v>
      </c>
      <c r="P246" s="49" t="s">
        <v>746</v>
      </c>
      <c r="Q246" s="49" t="s">
        <v>683</v>
      </c>
      <c r="R246" s="49" t="s">
        <v>244</v>
      </c>
      <c r="S246" s="49" t="s">
        <v>684</v>
      </c>
      <c r="T246" s="49" t="s">
        <v>1821</v>
      </c>
      <c r="U246" s="49" t="s">
        <v>1824</v>
      </c>
      <c r="V246" s="50" t="s">
        <v>1823</v>
      </c>
    </row>
    <row r="247" spans="1:22" x14ac:dyDescent="0.3">
      <c r="A247" s="51" t="s">
        <v>1054</v>
      </c>
      <c r="B247" s="52" t="s">
        <v>760</v>
      </c>
      <c r="C247" s="52" t="s">
        <v>1055</v>
      </c>
      <c r="D247" s="52" t="s">
        <v>673</v>
      </c>
      <c r="E247" s="52" t="s">
        <v>674</v>
      </c>
      <c r="F247" s="52" t="s">
        <v>675</v>
      </c>
      <c r="G247" s="52" t="s">
        <v>676</v>
      </c>
      <c r="H247" s="52" t="s">
        <v>702</v>
      </c>
      <c r="I247" s="49" t="s">
        <v>688</v>
      </c>
      <c r="J247" s="52" t="s">
        <v>751</v>
      </c>
      <c r="K247" s="52" t="s">
        <v>690</v>
      </c>
      <c r="L247" s="52" t="s">
        <v>681</v>
      </c>
      <c r="M247" s="52">
        <v>0.5</v>
      </c>
      <c r="N247" s="52" t="s">
        <v>610</v>
      </c>
      <c r="O247" s="52" t="s">
        <v>665</v>
      </c>
      <c r="P247" s="52" t="s">
        <v>746</v>
      </c>
      <c r="Q247" s="52" t="s">
        <v>683</v>
      </c>
      <c r="R247" s="52" t="s">
        <v>132</v>
      </c>
      <c r="S247" s="52" t="s">
        <v>673</v>
      </c>
      <c r="T247" s="52" t="s">
        <v>1821</v>
      </c>
      <c r="U247" s="52" t="s">
        <v>1824</v>
      </c>
      <c r="V247" s="50" t="s">
        <v>1823</v>
      </c>
    </row>
    <row r="248" spans="1:22" x14ac:dyDescent="0.3">
      <c r="A248" s="48" t="s">
        <v>889</v>
      </c>
      <c r="B248" s="49" t="s">
        <v>544</v>
      </c>
      <c r="C248" s="49" t="s">
        <v>890</v>
      </c>
      <c r="D248" s="49" t="s">
        <v>684</v>
      </c>
      <c r="E248" s="49" t="s">
        <v>674</v>
      </c>
      <c r="F248" s="49" t="s">
        <v>734</v>
      </c>
      <c r="G248" s="49" t="s">
        <v>735</v>
      </c>
      <c r="H248" s="49" t="s">
        <v>735</v>
      </c>
      <c r="I248" s="49" t="s">
        <v>736</v>
      </c>
      <c r="J248" s="49" t="s">
        <v>737</v>
      </c>
      <c r="K248" s="49" t="s">
        <v>738</v>
      </c>
      <c r="L248" s="49" t="s">
        <v>699</v>
      </c>
      <c r="M248" s="49">
        <v>1</v>
      </c>
      <c r="N248" s="49" t="s">
        <v>205</v>
      </c>
      <c r="O248" s="49" t="s">
        <v>665</v>
      </c>
      <c r="P248" s="49" t="s">
        <v>746</v>
      </c>
      <c r="Q248" s="49" t="s">
        <v>683</v>
      </c>
      <c r="R248" s="49" t="s">
        <v>244</v>
      </c>
      <c r="S248" s="49" t="s">
        <v>684</v>
      </c>
      <c r="T248" s="49" t="s">
        <v>1821</v>
      </c>
      <c r="U248" s="49" t="s">
        <v>1824</v>
      </c>
      <c r="V248" s="50" t="s">
        <v>1823</v>
      </c>
    </row>
    <row r="249" spans="1:22" x14ac:dyDescent="0.3">
      <c r="A249" s="51" t="s">
        <v>913</v>
      </c>
      <c r="B249" s="52" t="s">
        <v>544</v>
      </c>
      <c r="C249" s="52" t="s">
        <v>914</v>
      </c>
      <c r="D249" s="52" t="s">
        <v>684</v>
      </c>
      <c r="E249" s="52" t="s">
        <v>674</v>
      </c>
      <c r="F249" s="52" t="s">
        <v>716</v>
      </c>
      <c r="G249" s="52" t="s">
        <v>744</v>
      </c>
      <c r="H249" s="52" t="s">
        <v>702</v>
      </c>
      <c r="I249" s="52" t="s">
        <v>736</v>
      </c>
      <c r="J249" s="52" t="s">
        <v>737</v>
      </c>
      <c r="K249" s="52" t="s">
        <v>738</v>
      </c>
      <c r="L249" s="52" t="s">
        <v>808</v>
      </c>
      <c r="M249" s="52">
        <v>1</v>
      </c>
      <c r="N249" s="52" t="s">
        <v>1026</v>
      </c>
      <c r="O249" s="52" t="s">
        <v>767</v>
      </c>
      <c r="P249" s="52" t="s">
        <v>746</v>
      </c>
      <c r="Q249" s="52" t="s">
        <v>683</v>
      </c>
      <c r="R249" s="52" t="s">
        <v>639</v>
      </c>
      <c r="S249" s="49" t="s">
        <v>684</v>
      </c>
      <c r="T249" s="52" t="s">
        <v>1821</v>
      </c>
      <c r="U249" s="52" t="s">
        <v>1824</v>
      </c>
      <c r="V249" s="50" t="s">
        <v>1823</v>
      </c>
    </row>
    <row r="250" spans="1:22" x14ac:dyDescent="0.3">
      <c r="A250" s="48" t="s">
        <v>900</v>
      </c>
      <c r="B250" s="49" t="s">
        <v>544</v>
      </c>
      <c r="C250" s="49" t="s">
        <v>901</v>
      </c>
      <c r="D250" s="49" t="s">
        <v>684</v>
      </c>
      <c r="E250" s="49" t="s">
        <v>674</v>
      </c>
      <c r="F250" s="49" t="s">
        <v>716</v>
      </c>
      <c r="G250" s="49" t="s">
        <v>744</v>
      </c>
      <c r="H250" s="49" t="s">
        <v>702</v>
      </c>
      <c r="I250" s="49" t="s">
        <v>736</v>
      </c>
      <c r="J250" s="49" t="s">
        <v>737</v>
      </c>
      <c r="K250" s="49" t="s">
        <v>738</v>
      </c>
      <c r="L250" s="49" t="s">
        <v>739</v>
      </c>
      <c r="M250" s="49">
        <v>0.3</v>
      </c>
      <c r="N250" s="49" t="s">
        <v>604</v>
      </c>
      <c r="O250" s="49" t="s">
        <v>767</v>
      </c>
      <c r="P250" s="52" t="s">
        <v>746</v>
      </c>
      <c r="Q250" s="49" t="s">
        <v>683</v>
      </c>
      <c r="R250" s="49" t="s">
        <v>639</v>
      </c>
      <c r="S250" s="49" t="s">
        <v>684</v>
      </c>
      <c r="T250" s="49" t="s">
        <v>1821</v>
      </c>
      <c r="U250" s="49" t="s">
        <v>1824</v>
      </c>
      <c r="V250" s="50" t="s">
        <v>1823</v>
      </c>
    </row>
    <row r="251" spans="1:22" x14ac:dyDescent="0.3">
      <c r="A251" s="51" t="s">
        <v>898</v>
      </c>
      <c r="B251" s="52" t="s">
        <v>544</v>
      </c>
      <c r="C251" s="52" t="s">
        <v>899</v>
      </c>
      <c r="D251" s="52" t="s">
        <v>684</v>
      </c>
      <c r="E251" s="52" t="s">
        <v>674</v>
      </c>
      <c r="F251" s="52" t="s">
        <v>716</v>
      </c>
      <c r="G251" s="52" t="s">
        <v>744</v>
      </c>
      <c r="H251" s="52" t="s">
        <v>702</v>
      </c>
      <c r="I251" s="52" t="s">
        <v>736</v>
      </c>
      <c r="J251" s="52" t="s">
        <v>737</v>
      </c>
      <c r="K251" s="52" t="s">
        <v>738</v>
      </c>
      <c r="L251" s="52" t="s">
        <v>808</v>
      </c>
      <c r="M251" s="52">
        <v>0.7</v>
      </c>
      <c r="N251" s="52" t="s">
        <v>604</v>
      </c>
      <c r="O251" s="52" t="s">
        <v>767</v>
      </c>
      <c r="P251" s="52" t="s">
        <v>746</v>
      </c>
      <c r="Q251" s="52" t="s">
        <v>683</v>
      </c>
      <c r="R251" s="52" t="s">
        <v>639</v>
      </c>
      <c r="S251" s="49" t="s">
        <v>684</v>
      </c>
      <c r="T251" s="52" t="s">
        <v>1821</v>
      </c>
      <c r="U251" s="52" t="s">
        <v>1824</v>
      </c>
      <c r="V251" s="50" t="s">
        <v>1823</v>
      </c>
    </row>
    <row r="252" spans="1:22" x14ac:dyDescent="0.3">
      <c r="A252" s="48" t="s">
        <v>1027</v>
      </c>
      <c r="B252" s="49" t="s">
        <v>544</v>
      </c>
      <c r="C252" s="49" t="s">
        <v>1028</v>
      </c>
      <c r="D252" s="49" t="s">
        <v>684</v>
      </c>
      <c r="E252" s="49" t="s">
        <v>674</v>
      </c>
      <c r="F252" s="49" t="s">
        <v>716</v>
      </c>
      <c r="G252" s="49" t="s">
        <v>744</v>
      </c>
      <c r="H252" s="49" t="s">
        <v>702</v>
      </c>
      <c r="I252" s="49" t="s">
        <v>678</v>
      </c>
      <c r="J252" s="49" t="s">
        <v>737</v>
      </c>
      <c r="K252" s="49" t="s">
        <v>738</v>
      </c>
      <c r="L252" s="49" t="s">
        <v>699</v>
      </c>
      <c r="M252" s="49">
        <v>1</v>
      </c>
      <c r="N252" s="49" t="s">
        <v>369</v>
      </c>
      <c r="O252" s="49" t="s">
        <v>665</v>
      </c>
      <c r="P252" s="49" t="s">
        <v>746</v>
      </c>
      <c r="Q252" s="49" t="s">
        <v>683</v>
      </c>
      <c r="R252" s="49" t="s">
        <v>244</v>
      </c>
      <c r="S252" s="49" t="s">
        <v>684</v>
      </c>
      <c r="T252" s="49" t="s">
        <v>1821</v>
      </c>
      <c r="U252" s="49" t="s">
        <v>1824</v>
      </c>
      <c r="V252" s="50" t="s">
        <v>1823</v>
      </c>
    </row>
    <row r="253" spans="1:22" x14ac:dyDescent="0.3">
      <c r="A253" s="51" t="s">
        <v>816</v>
      </c>
      <c r="B253" s="52" t="s">
        <v>470</v>
      </c>
      <c r="C253" s="52" t="s">
        <v>817</v>
      </c>
      <c r="D253" s="52" t="s">
        <v>684</v>
      </c>
      <c r="E253" s="52" t="s">
        <v>674</v>
      </c>
      <c r="F253" s="52" t="s">
        <v>675</v>
      </c>
      <c r="G253" s="52" t="s">
        <v>724</v>
      </c>
      <c r="H253" s="52" t="s">
        <v>677</v>
      </c>
      <c r="I253" s="49" t="s">
        <v>678</v>
      </c>
      <c r="J253" s="52" t="s">
        <v>745</v>
      </c>
      <c r="K253" s="52" t="s">
        <v>738</v>
      </c>
      <c r="L253" s="52" t="s">
        <v>699</v>
      </c>
      <c r="M253" s="52">
        <v>0.3</v>
      </c>
      <c r="N253" s="52" t="s">
        <v>581</v>
      </c>
      <c r="O253" s="52" t="s">
        <v>665</v>
      </c>
      <c r="P253" s="52" t="s">
        <v>746</v>
      </c>
      <c r="Q253" s="52" t="s">
        <v>683</v>
      </c>
      <c r="R253" s="52" t="s">
        <v>324</v>
      </c>
      <c r="S253" s="49" t="s">
        <v>684</v>
      </c>
      <c r="T253" s="52" t="s">
        <v>1821</v>
      </c>
      <c r="U253" s="52" t="s">
        <v>1824</v>
      </c>
      <c r="V253" s="50" t="s">
        <v>1823</v>
      </c>
    </row>
    <row r="254" spans="1:22" x14ac:dyDescent="0.3">
      <c r="A254" s="48" t="s">
        <v>1029</v>
      </c>
      <c r="B254" s="49" t="s">
        <v>470</v>
      </c>
      <c r="C254" s="49" t="s">
        <v>1030</v>
      </c>
      <c r="D254" s="49" t="s">
        <v>684</v>
      </c>
      <c r="E254" s="49" t="s">
        <v>674</v>
      </c>
      <c r="F254" s="49" t="s">
        <v>716</v>
      </c>
      <c r="G254" s="49" t="s">
        <v>744</v>
      </c>
      <c r="H254" s="49" t="s">
        <v>702</v>
      </c>
      <c r="I254" s="49" t="s">
        <v>736</v>
      </c>
      <c r="J254" s="49" t="s">
        <v>745</v>
      </c>
      <c r="K254" s="49" t="s">
        <v>738</v>
      </c>
      <c r="L254" s="49" t="s">
        <v>699</v>
      </c>
      <c r="M254" s="49">
        <v>0.2</v>
      </c>
      <c r="N254" s="49" t="s">
        <v>581</v>
      </c>
      <c r="O254" s="49" t="s">
        <v>665</v>
      </c>
      <c r="P254" s="49" t="s">
        <v>746</v>
      </c>
      <c r="Q254" s="49" t="s">
        <v>683</v>
      </c>
      <c r="R254" s="49" t="s">
        <v>324</v>
      </c>
      <c r="S254" s="49" t="s">
        <v>684</v>
      </c>
      <c r="T254" s="49" t="s">
        <v>1821</v>
      </c>
      <c r="U254" s="49" t="s">
        <v>1824</v>
      </c>
      <c r="V254" s="50" t="s">
        <v>1823</v>
      </c>
    </row>
    <row r="255" spans="1:22" x14ac:dyDescent="0.3">
      <c r="A255" s="51" t="s">
        <v>1031</v>
      </c>
      <c r="B255" s="52" t="s">
        <v>470</v>
      </c>
      <c r="C255" s="52" t="s">
        <v>1032</v>
      </c>
      <c r="D255" s="52" t="s">
        <v>684</v>
      </c>
      <c r="E255" s="52" t="s">
        <v>674</v>
      </c>
      <c r="F255" s="52" t="s">
        <v>716</v>
      </c>
      <c r="G255" s="52" t="s">
        <v>744</v>
      </c>
      <c r="H255" s="52" t="s">
        <v>702</v>
      </c>
      <c r="I255" s="52" t="s">
        <v>736</v>
      </c>
      <c r="J255" s="52" t="s">
        <v>745</v>
      </c>
      <c r="K255" s="52" t="s">
        <v>738</v>
      </c>
      <c r="L255" s="52" t="s">
        <v>699</v>
      </c>
      <c r="M255" s="52">
        <v>0.2</v>
      </c>
      <c r="N255" s="52" t="s">
        <v>581</v>
      </c>
      <c r="O255" s="52" t="s">
        <v>665</v>
      </c>
      <c r="P255" s="52" t="s">
        <v>746</v>
      </c>
      <c r="Q255" s="52" t="s">
        <v>683</v>
      </c>
      <c r="R255" s="52" t="s">
        <v>324</v>
      </c>
      <c r="S255" s="49" t="s">
        <v>684</v>
      </c>
      <c r="T255" s="52" t="s">
        <v>1821</v>
      </c>
      <c r="U255" s="52" t="s">
        <v>1824</v>
      </c>
      <c r="V255" s="50" t="s">
        <v>1823</v>
      </c>
    </row>
    <row r="256" spans="1:22" x14ac:dyDescent="0.3">
      <c r="A256" s="48" t="s">
        <v>1033</v>
      </c>
      <c r="B256" s="49" t="s">
        <v>753</v>
      </c>
      <c r="C256" s="49" t="s">
        <v>1034</v>
      </c>
      <c r="D256" s="49" t="s">
        <v>755</v>
      </c>
      <c r="E256" s="49" t="s">
        <v>674</v>
      </c>
      <c r="F256" s="49" t="s">
        <v>675</v>
      </c>
      <c r="G256" s="49" t="s">
        <v>676</v>
      </c>
      <c r="H256" s="49" t="s">
        <v>702</v>
      </c>
      <c r="I256" s="49" t="s">
        <v>678</v>
      </c>
      <c r="J256" s="49" t="s">
        <v>679</v>
      </c>
      <c r="K256" s="49" t="s">
        <v>680</v>
      </c>
      <c r="L256" s="49" t="s">
        <v>681</v>
      </c>
      <c r="M256" s="49">
        <v>0.4</v>
      </c>
      <c r="N256" s="49" t="s">
        <v>304</v>
      </c>
      <c r="O256" s="49" t="s">
        <v>665</v>
      </c>
      <c r="P256" s="49" t="s">
        <v>682</v>
      </c>
      <c r="Q256" s="49" t="s">
        <v>683</v>
      </c>
      <c r="R256" s="49" t="s">
        <v>447</v>
      </c>
      <c r="S256" s="52" t="s">
        <v>673</v>
      </c>
      <c r="T256" s="49" t="s">
        <v>1821</v>
      </c>
      <c r="U256" s="49" t="s">
        <v>1824</v>
      </c>
      <c r="V256" s="50" t="s">
        <v>1823</v>
      </c>
    </row>
    <row r="257" spans="1:22" x14ac:dyDescent="0.3">
      <c r="A257" s="51" t="s">
        <v>1221</v>
      </c>
      <c r="B257" s="52" t="s">
        <v>704</v>
      </c>
      <c r="C257" s="52" t="s">
        <v>1222</v>
      </c>
      <c r="D257" s="52" t="s">
        <v>673</v>
      </c>
      <c r="E257" s="52" t="s">
        <v>674</v>
      </c>
      <c r="F257" s="52" t="s">
        <v>675</v>
      </c>
      <c r="G257" s="52" t="s">
        <v>676</v>
      </c>
      <c r="H257" s="52" t="s">
        <v>677</v>
      </c>
      <c r="I257" s="49" t="s">
        <v>678</v>
      </c>
      <c r="J257" s="52" t="s">
        <v>679</v>
      </c>
      <c r="K257" s="52" t="s">
        <v>680</v>
      </c>
      <c r="L257" s="52" t="s">
        <v>699</v>
      </c>
      <c r="M257" s="52">
        <v>0.6</v>
      </c>
      <c r="N257" s="52" t="s">
        <v>199</v>
      </c>
      <c r="O257" s="52" t="s">
        <v>665</v>
      </c>
      <c r="P257" s="52" t="s">
        <v>682</v>
      </c>
      <c r="Q257" s="52" t="s">
        <v>683</v>
      </c>
      <c r="R257" s="52" t="s">
        <v>447</v>
      </c>
      <c r="S257" s="52" t="s">
        <v>673</v>
      </c>
      <c r="T257" s="52" t="s">
        <v>1821</v>
      </c>
      <c r="U257" s="52" t="s">
        <v>1824</v>
      </c>
      <c r="V257" s="50" t="s">
        <v>1823</v>
      </c>
    </row>
    <row r="258" spans="1:22" x14ac:dyDescent="0.3">
      <c r="A258" s="48" t="s">
        <v>2294</v>
      </c>
      <c r="B258" s="49" t="s">
        <v>753</v>
      </c>
      <c r="C258" s="49" t="s">
        <v>2295</v>
      </c>
      <c r="D258" s="49" t="s">
        <v>755</v>
      </c>
      <c r="E258" s="49" t="s">
        <v>674</v>
      </c>
      <c r="F258" s="49" t="s">
        <v>675</v>
      </c>
      <c r="G258" s="49" t="s">
        <v>676</v>
      </c>
      <c r="H258" s="49" t="s">
        <v>677</v>
      </c>
      <c r="I258" s="49" t="s">
        <v>678</v>
      </c>
      <c r="J258" s="49" t="s">
        <v>679</v>
      </c>
      <c r="K258" s="49" t="s">
        <v>680</v>
      </c>
      <c r="L258" s="49" t="s">
        <v>766</v>
      </c>
      <c r="M258" s="49">
        <v>0.5</v>
      </c>
      <c r="N258" s="49" t="s">
        <v>629</v>
      </c>
      <c r="O258" s="49" t="s">
        <v>665</v>
      </c>
      <c r="P258" s="49" t="s">
        <v>682</v>
      </c>
      <c r="Q258" s="49" t="s">
        <v>683</v>
      </c>
      <c r="R258" s="49" t="s">
        <v>447</v>
      </c>
      <c r="S258" s="52" t="s">
        <v>673</v>
      </c>
      <c r="T258" s="49" t="s">
        <v>1821</v>
      </c>
      <c r="U258" s="49" t="s">
        <v>1824</v>
      </c>
      <c r="V258" s="50" t="s">
        <v>1823</v>
      </c>
    </row>
    <row r="259" spans="1:22" x14ac:dyDescent="0.3">
      <c r="A259" s="51" t="s">
        <v>839</v>
      </c>
      <c r="B259" s="52" t="s">
        <v>704</v>
      </c>
      <c r="C259" s="52" t="s">
        <v>840</v>
      </c>
      <c r="D259" s="52" t="s">
        <v>673</v>
      </c>
      <c r="E259" s="52" t="s">
        <v>674</v>
      </c>
      <c r="F259" s="52" t="s">
        <v>675</v>
      </c>
      <c r="G259" s="52" t="s">
        <v>676</v>
      </c>
      <c r="H259" s="52" t="s">
        <v>677</v>
      </c>
      <c r="I259" s="49" t="s">
        <v>678</v>
      </c>
      <c r="J259" s="52" t="s">
        <v>710</v>
      </c>
      <c r="K259" s="52" t="s">
        <v>690</v>
      </c>
      <c r="L259" s="52" t="s">
        <v>681</v>
      </c>
      <c r="M259" s="52">
        <v>1</v>
      </c>
      <c r="N259" s="52" t="s">
        <v>395</v>
      </c>
      <c r="O259" s="52" t="s">
        <v>665</v>
      </c>
      <c r="P259" s="52" t="s">
        <v>682</v>
      </c>
      <c r="Q259" s="52" t="s">
        <v>683</v>
      </c>
      <c r="R259" s="52" t="s">
        <v>447</v>
      </c>
      <c r="S259" s="52" t="s">
        <v>673</v>
      </c>
      <c r="T259" s="52" t="s">
        <v>1821</v>
      </c>
      <c r="U259" s="52" t="s">
        <v>1824</v>
      </c>
      <c r="V259" s="50" t="s">
        <v>1823</v>
      </c>
    </row>
    <row r="260" spans="1:22" x14ac:dyDescent="0.3">
      <c r="A260" s="48" t="s">
        <v>1202</v>
      </c>
      <c r="B260" s="49" t="s">
        <v>154</v>
      </c>
      <c r="C260" s="49" t="s">
        <v>862</v>
      </c>
      <c r="D260" s="49" t="s">
        <v>673</v>
      </c>
      <c r="E260" s="49" t="s">
        <v>674</v>
      </c>
      <c r="F260" s="49" t="s">
        <v>716</v>
      </c>
      <c r="G260" s="49" t="s">
        <v>744</v>
      </c>
      <c r="H260" s="49" t="s">
        <v>935</v>
      </c>
      <c r="I260" s="49" t="s">
        <v>678</v>
      </c>
      <c r="J260" s="49" t="s">
        <v>713</v>
      </c>
      <c r="K260" s="49" t="s">
        <v>690</v>
      </c>
      <c r="L260" s="49" t="s">
        <v>681</v>
      </c>
      <c r="M260" s="49">
        <v>1</v>
      </c>
      <c r="N260" s="49" t="s">
        <v>33</v>
      </c>
      <c r="O260" s="49" t="s">
        <v>767</v>
      </c>
      <c r="P260" s="52" t="s">
        <v>746</v>
      </c>
      <c r="Q260" s="49" t="s">
        <v>683</v>
      </c>
      <c r="R260" s="49" t="s">
        <v>123</v>
      </c>
      <c r="S260" s="52" t="s">
        <v>673</v>
      </c>
      <c r="T260" s="49" t="s">
        <v>1821</v>
      </c>
      <c r="U260" s="49" t="s">
        <v>1824</v>
      </c>
      <c r="V260" s="50" t="s">
        <v>1823</v>
      </c>
    </row>
    <row r="261" spans="1:22" x14ac:dyDescent="0.3">
      <c r="A261" s="51" t="s">
        <v>857</v>
      </c>
      <c r="B261" s="52" t="s">
        <v>858</v>
      </c>
      <c r="C261" s="52" t="s">
        <v>859</v>
      </c>
      <c r="D261" s="52" t="s">
        <v>684</v>
      </c>
      <c r="E261" s="52" t="s">
        <v>674</v>
      </c>
      <c r="F261" s="52" t="s">
        <v>716</v>
      </c>
      <c r="G261" s="52" t="s">
        <v>744</v>
      </c>
      <c r="H261" s="52" t="s">
        <v>677</v>
      </c>
      <c r="I261" s="49" t="s">
        <v>688</v>
      </c>
      <c r="J261" s="52" t="s">
        <v>860</v>
      </c>
      <c r="K261" s="52" t="s">
        <v>861</v>
      </c>
      <c r="L261" s="52" t="s">
        <v>699</v>
      </c>
      <c r="M261" s="52">
        <v>0.5</v>
      </c>
      <c r="N261" s="52" t="s">
        <v>422</v>
      </c>
      <c r="O261" s="52" t="s">
        <v>665</v>
      </c>
      <c r="P261" s="52" t="s">
        <v>746</v>
      </c>
      <c r="Q261" s="52" t="s">
        <v>683</v>
      </c>
      <c r="R261" s="52" t="s">
        <v>300</v>
      </c>
      <c r="S261" s="49" t="s">
        <v>684</v>
      </c>
      <c r="T261" s="52" t="s">
        <v>1821</v>
      </c>
      <c r="U261" s="52" t="s">
        <v>1824</v>
      </c>
      <c r="V261" s="50" t="s">
        <v>1823</v>
      </c>
    </row>
    <row r="262" spans="1:22" x14ac:dyDescent="0.3">
      <c r="A262" s="48" t="s">
        <v>857</v>
      </c>
      <c r="B262" s="49" t="s">
        <v>858</v>
      </c>
      <c r="C262" s="49" t="s">
        <v>859</v>
      </c>
      <c r="D262" s="49" t="s">
        <v>684</v>
      </c>
      <c r="E262" s="49" t="s">
        <v>674</v>
      </c>
      <c r="F262" s="49" t="s">
        <v>716</v>
      </c>
      <c r="G262" s="49" t="s">
        <v>744</v>
      </c>
      <c r="H262" s="49" t="s">
        <v>677</v>
      </c>
      <c r="I262" s="49" t="s">
        <v>688</v>
      </c>
      <c r="J262" s="49" t="s">
        <v>860</v>
      </c>
      <c r="K262" s="49" t="s">
        <v>861</v>
      </c>
      <c r="L262" s="49" t="s">
        <v>699</v>
      </c>
      <c r="M262" s="49">
        <v>0.5</v>
      </c>
      <c r="N262" s="49" t="s">
        <v>78</v>
      </c>
      <c r="O262" s="49" t="s">
        <v>665</v>
      </c>
      <c r="P262" s="49" t="s">
        <v>746</v>
      </c>
      <c r="Q262" s="49" t="s">
        <v>683</v>
      </c>
      <c r="R262" s="49" t="s">
        <v>300</v>
      </c>
      <c r="S262" s="49" t="s">
        <v>684</v>
      </c>
      <c r="T262" s="49" t="s">
        <v>1821</v>
      </c>
      <c r="U262" s="49" t="s">
        <v>1824</v>
      </c>
      <c r="V262" s="50" t="s">
        <v>1823</v>
      </c>
    </row>
    <row r="263" spans="1:22" x14ac:dyDescent="0.3">
      <c r="A263" s="51" t="s">
        <v>1041</v>
      </c>
      <c r="B263" s="52" t="s">
        <v>858</v>
      </c>
      <c r="C263" s="52" t="s">
        <v>1042</v>
      </c>
      <c r="D263" s="52" t="s">
        <v>684</v>
      </c>
      <c r="E263" s="52" t="s">
        <v>674</v>
      </c>
      <c r="F263" s="52" t="s">
        <v>716</v>
      </c>
      <c r="G263" s="52" t="s">
        <v>744</v>
      </c>
      <c r="H263" s="52" t="s">
        <v>677</v>
      </c>
      <c r="I263" s="49" t="s">
        <v>678</v>
      </c>
      <c r="J263" s="52" t="s">
        <v>860</v>
      </c>
      <c r="K263" s="52" t="s">
        <v>861</v>
      </c>
      <c r="L263" s="52" t="s">
        <v>699</v>
      </c>
      <c r="M263" s="52">
        <v>0.5</v>
      </c>
      <c r="N263" s="52" t="s">
        <v>357</v>
      </c>
      <c r="O263" s="52" t="s">
        <v>665</v>
      </c>
      <c r="P263" s="52" t="s">
        <v>746</v>
      </c>
      <c r="Q263" s="52" t="s">
        <v>683</v>
      </c>
      <c r="R263" s="52" t="s">
        <v>300</v>
      </c>
      <c r="S263" s="49" t="s">
        <v>684</v>
      </c>
      <c r="T263" s="52" t="s">
        <v>1821</v>
      </c>
      <c r="U263" s="52" t="s">
        <v>1824</v>
      </c>
      <c r="V263" s="50" t="s">
        <v>1823</v>
      </c>
    </row>
    <row r="264" spans="1:22" x14ac:dyDescent="0.3">
      <c r="A264" s="48" t="s">
        <v>857</v>
      </c>
      <c r="B264" s="49" t="s">
        <v>858</v>
      </c>
      <c r="C264" s="49" t="s">
        <v>859</v>
      </c>
      <c r="D264" s="49" t="s">
        <v>684</v>
      </c>
      <c r="E264" s="49" t="s">
        <v>674</v>
      </c>
      <c r="F264" s="49" t="s">
        <v>716</v>
      </c>
      <c r="G264" s="49" t="s">
        <v>744</v>
      </c>
      <c r="H264" s="49" t="s">
        <v>677</v>
      </c>
      <c r="I264" s="49" t="s">
        <v>688</v>
      </c>
      <c r="J264" s="49" t="s">
        <v>860</v>
      </c>
      <c r="K264" s="49" t="s">
        <v>861</v>
      </c>
      <c r="L264" s="49" t="s">
        <v>699</v>
      </c>
      <c r="M264" s="49">
        <v>0.5</v>
      </c>
      <c r="N264" s="49" t="s">
        <v>357</v>
      </c>
      <c r="O264" s="49" t="s">
        <v>665</v>
      </c>
      <c r="P264" s="49" t="s">
        <v>746</v>
      </c>
      <c r="Q264" s="49" t="s">
        <v>683</v>
      </c>
      <c r="R264" s="49" t="s">
        <v>300</v>
      </c>
      <c r="S264" s="49" t="s">
        <v>684</v>
      </c>
      <c r="T264" s="49" t="s">
        <v>1821</v>
      </c>
      <c r="U264" s="49" t="s">
        <v>1824</v>
      </c>
      <c r="V264" s="50" t="s">
        <v>1823</v>
      </c>
    </row>
    <row r="265" spans="1:22" x14ac:dyDescent="0.3">
      <c r="A265" s="51" t="s">
        <v>857</v>
      </c>
      <c r="B265" s="52" t="s">
        <v>858</v>
      </c>
      <c r="C265" s="52" t="s">
        <v>859</v>
      </c>
      <c r="D265" s="52" t="s">
        <v>684</v>
      </c>
      <c r="E265" s="52" t="s">
        <v>674</v>
      </c>
      <c r="F265" s="52" t="s">
        <v>716</v>
      </c>
      <c r="G265" s="52" t="s">
        <v>744</v>
      </c>
      <c r="H265" s="52" t="s">
        <v>677</v>
      </c>
      <c r="I265" s="49" t="s">
        <v>688</v>
      </c>
      <c r="J265" s="52" t="s">
        <v>860</v>
      </c>
      <c r="K265" s="52" t="s">
        <v>861</v>
      </c>
      <c r="L265" s="52" t="s">
        <v>699</v>
      </c>
      <c r="M265" s="52">
        <v>1</v>
      </c>
      <c r="N265" s="52" t="s">
        <v>346</v>
      </c>
      <c r="O265" s="52" t="s">
        <v>665</v>
      </c>
      <c r="P265" s="52" t="s">
        <v>746</v>
      </c>
      <c r="Q265" s="52" t="s">
        <v>683</v>
      </c>
      <c r="R265" s="52" t="s">
        <v>300</v>
      </c>
      <c r="S265" s="49" t="s">
        <v>684</v>
      </c>
      <c r="T265" s="52" t="s">
        <v>1821</v>
      </c>
      <c r="U265" s="52" t="s">
        <v>1824</v>
      </c>
      <c r="V265" s="50" t="s">
        <v>1823</v>
      </c>
    </row>
    <row r="266" spans="1:22" x14ac:dyDescent="0.3">
      <c r="A266" s="48" t="s">
        <v>857</v>
      </c>
      <c r="B266" s="49" t="s">
        <v>858</v>
      </c>
      <c r="C266" s="49" t="s">
        <v>859</v>
      </c>
      <c r="D266" s="49" t="s">
        <v>684</v>
      </c>
      <c r="E266" s="49" t="s">
        <v>674</v>
      </c>
      <c r="F266" s="49" t="s">
        <v>716</v>
      </c>
      <c r="G266" s="49" t="s">
        <v>744</v>
      </c>
      <c r="H266" s="49" t="s">
        <v>677</v>
      </c>
      <c r="I266" s="49" t="s">
        <v>688</v>
      </c>
      <c r="J266" s="49" t="s">
        <v>860</v>
      </c>
      <c r="K266" s="49" t="s">
        <v>861</v>
      </c>
      <c r="L266" s="49" t="s">
        <v>699</v>
      </c>
      <c r="M266" s="49">
        <v>1</v>
      </c>
      <c r="N266" s="49" t="s">
        <v>352</v>
      </c>
      <c r="O266" s="49" t="s">
        <v>665</v>
      </c>
      <c r="P266" s="49" t="s">
        <v>746</v>
      </c>
      <c r="Q266" s="49" t="s">
        <v>683</v>
      </c>
      <c r="R266" s="49" t="s">
        <v>300</v>
      </c>
      <c r="S266" s="49" t="s">
        <v>684</v>
      </c>
      <c r="T266" s="49" t="s">
        <v>1821</v>
      </c>
      <c r="U266" s="49" t="s">
        <v>1824</v>
      </c>
      <c r="V266" s="50" t="s">
        <v>1823</v>
      </c>
    </row>
    <row r="267" spans="1:22" x14ac:dyDescent="0.3">
      <c r="A267" s="51" t="s">
        <v>857</v>
      </c>
      <c r="B267" s="52" t="s">
        <v>858</v>
      </c>
      <c r="C267" s="52" t="s">
        <v>859</v>
      </c>
      <c r="D267" s="52" t="s">
        <v>684</v>
      </c>
      <c r="E267" s="52" t="s">
        <v>674</v>
      </c>
      <c r="F267" s="52" t="s">
        <v>716</v>
      </c>
      <c r="G267" s="52" t="s">
        <v>744</v>
      </c>
      <c r="H267" s="52" t="s">
        <v>677</v>
      </c>
      <c r="I267" s="49" t="s">
        <v>688</v>
      </c>
      <c r="J267" s="52" t="s">
        <v>860</v>
      </c>
      <c r="K267" s="52" t="s">
        <v>861</v>
      </c>
      <c r="L267" s="52" t="s">
        <v>699</v>
      </c>
      <c r="M267" s="52">
        <v>1</v>
      </c>
      <c r="N267" s="52" t="s">
        <v>70</v>
      </c>
      <c r="O267" s="52" t="s">
        <v>665</v>
      </c>
      <c r="P267" s="52" t="s">
        <v>746</v>
      </c>
      <c r="Q267" s="52" t="s">
        <v>683</v>
      </c>
      <c r="R267" s="52" t="s">
        <v>300</v>
      </c>
      <c r="S267" s="49" t="s">
        <v>684</v>
      </c>
      <c r="T267" s="52" t="s">
        <v>1821</v>
      </c>
      <c r="U267" s="52" t="s">
        <v>1824</v>
      </c>
      <c r="V267" s="50" t="s">
        <v>1823</v>
      </c>
    </row>
    <row r="268" spans="1:22" x14ac:dyDescent="0.3">
      <c r="A268" s="48" t="s">
        <v>857</v>
      </c>
      <c r="B268" s="49" t="s">
        <v>858</v>
      </c>
      <c r="C268" s="49" t="s">
        <v>859</v>
      </c>
      <c r="D268" s="49" t="s">
        <v>684</v>
      </c>
      <c r="E268" s="49" t="s">
        <v>674</v>
      </c>
      <c r="F268" s="49" t="s">
        <v>716</v>
      </c>
      <c r="G268" s="49" t="s">
        <v>744</v>
      </c>
      <c r="H268" s="49" t="s">
        <v>677</v>
      </c>
      <c r="I268" s="49" t="s">
        <v>688</v>
      </c>
      <c r="J268" s="49" t="s">
        <v>860</v>
      </c>
      <c r="K268" s="49" t="s">
        <v>861</v>
      </c>
      <c r="L268" s="49" t="s">
        <v>699</v>
      </c>
      <c r="M268" s="49">
        <v>1</v>
      </c>
      <c r="N268" s="49" t="s">
        <v>165</v>
      </c>
      <c r="O268" s="49" t="s">
        <v>665</v>
      </c>
      <c r="P268" s="49" t="s">
        <v>746</v>
      </c>
      <c r="Q268" s="49" t="s">
        <v>683</v>
      </c>
      <c r="R268" s="49" t="s">
        <v>300</v>
      </c>
      <c r="S268" s="49" t="s">
        <v>684</v>
      </c>
      <c r="T268" s="49" t="s">
        <v>1821</v>
      </c>
      <c r="U268" s="49" t="s">
        <v>1824</v>
      </c>
      <c r="V268" s="50" t="s">
        <v>1823</v>
      </c>
    </row>
    <row r="269" spans="1:22" x14ac:dyDescent="0.3">
      <c r="A269" s="51" t="s">
        <v>1044</v>
      </c>
      <c r="B269" s="52" t="s">
        <v>142</v>
      </c>
      <c r="C269" s="52" t="s">
        <v>1045</v>
      </c>
      <c r="D269" s="52" t="s">
        <v>673</v>
      </c>
      <c r="E269" s="52" t="s">
        <v>674</v>
      </c>
      <c r="F269" s="52" t="s">
        <v>675</v>
      </c>
      <c r="G269" s="52" t="s">
        <v>676</v>
      </c>
      <c r="H269" s="52" t="s">
        <v>702</v>
      </c>
      <c r="I269" s="49" t="s">
        <v>678</v>
      </c>
      <c r="J269" s="52" t="s">
        <v>698</v>
      </c>
      <c r="K269" s="52" t="s">
        <v>690</v>
      </c>
      <c r="L269" s="52" t="s">
        <v>691</v>
      </c>
      <c r="M269" s="52">
        <v>0.1</v>
      </c>
      <c r="N269" s="52" t="s">
        <v>177</v>
      </c>
      <c r="O269" s="52" t="s">
        <v>665</v>
      </c>
      <c r="P269" s="52" t="s">
        <v>682</v>
      </c>
      <c r="Q269" s="52" t="s">
        <v>683</v>
      </c>
      <c r="R269" s="52" t="s">
        <v>217</v>
      </c>
      <c r="S269" s="49" t="s">
        <v>684</v>
      </c>
      <c r="T269" s="52" t="s">
        <v>1821</v>
      </c>
      <c r="U269" s="52" t="s">
        <v>1824</v>
      </c>
      <c r="V269" s="50" t="s">
        <v>1823</v>
      </c>
    </row>
    <row r="270" spans="1:22" x14ac:dyDescent="0.3">
      <c r="A270" s="48" t="s">
        <v>1046</v>
      </c>
      <c r="B270" s="49" t="s">
        <v>753</v>
      </c>
      <c r="C270" s="49" t="s">
        <v>1047</v>
      </c>
      <c r="D270" s="49" t="s">
        <v>755</v>
      </c>
      <c r="E270" s="49" t="s">
        <v>674</v>
      </c>
      <c r="F270" s="49" t="s">
        <v>675</v>
      </c>
      <c r="G270" s="49" t="s">
        <v>676</v>
      </c>
      <c r="H270" s="49" t="s">
        <v>677</v>
      </c>
      <c r="I270" s="49" t="s">
        <v>678</v>
      </c>
      <c r="J270" s="49" t="s">
        <v>679</v>
      </c>
      <c r="K270" s="49" t="s">
        <v>680</v>
      </c>
      <c r="L270" s="49" t="s">
        <v>699</v>
      </c>
      <c r="M270" s="49">
        <v>0.4</v>
      </c>
      <c r="N270" s="49" t="s">
        <v>249</v>
      </c>
      <c r="O270" s="49" t="s">
        <v>665</v>
      </c>
      <c r="P270" s="49" t="s">
        <v>682</v>
      </c>
      <c r="Q270" s="49" t="s">
        <v>683</v>
      </c>
      <c r="R270" s="49" t="s">
        <v>217</v>
      </c>
      <c r="S270" s="49" t="s">
        <v>684</v>
      </c>
      <c r="T270" s="49" t="s">
        <v>1821</v>
      </c>
      <c r="U270" s="49" t="s">
        <v>1824</v>
      </c>
      <c r="V270" s="50" t="s">
        <v>1823</v>
      </c>
    </row>
    <row r="271" spans="1:22" x14ac:dyDescent="0.3">
      <c r="A271" s="51" t="s">
        <v>797</v>
      </c>
      <c r="B271" s="52" t="s">
        <v>544</v>
      </c>
      <c r="C271" s="52" t="s">
        <v>798</v>
      </c>
      <c r="D271" s="52" t="s">
        <v>684</v>
      </c>
      <c r="E271" s="52" t="s">
        <v>674</v>
      </c>
      <c r="F271" s="52" t="s">
        <v>716</v>
      </c>
      <c r="G271" s="52" t="s">
        <v>744</v>
      </c>
      <c r="H271" s="52" t="s">
        <v>702</v>
      </c>
      <c r="I271" s="52" t="s">
        <v>736</v>
      </c>
      <c r="J271" s="52" t="s">
        <v>737</v>
      </c>
      <c r="K271" s="52" t="s">
        <v>738</v>
      </c>
      <c r="L271" s="52" t="s">
        <v>699</v>
      </c>
      <c r="M271" s="52">
        <v>0.2</v>
      </c>
      <c r="N271" s="52" t="s">
        <v>217</v>
      </c>
      <c r="O271" s="52" t="s">
        <v>665</v>
      </c>
      <c r="P271" s="52" t="s">
        <v>682</v>
      </c>
      <c r="Q271" s="52" t="s">
        <v>683</v>
      </c>
      <c r="R271" s="52" t="s">
        <v>89</v>
      </c>
      <c r="S271" s="49" t="s">
        <v>684</v>
      </c>
      <c r="T271" s="52" t="s">
        <v>1821</v>
      </c>
      <c r="U271" s="52" t="s">
        <v>1824</v>
      </c>
      <c r="V271" s="50" t="s">
        <v>1823</v>
      </c>
    </row>
    <row r="272" spans="1:22" x14ac:dyDescent="0.3">
      <c r="A272" s="48" t="s">
        <v>685</v>
      </c>
      <c r="B272" s="49" t="s">
        <v>686</v>
      </c>
      <c r="C272" s="49" t="s">
        <v>687</v>
      </c>
      <c r="D272" s="49" t="s">
        <v>673</v>
      </c>
      <c r="E272" s="49" t="s">
        <v>674</v>
      </c>
      <c r="F272" s="49" t="s">
        <v>675</v>
      </c>
      <c r="G272" s="49" t="s">
        <v>676</v>
      </c>
      <c r="H272" s="49" t="s">
        <v>677</v>
      </c>
      <c r="I272" s="49" t="s">
        <v>688</v>
      </c>
      <c r="J272" s="49" t="s">
        <v>689</v>
      </c>
      <c r="K272" s="49" t="s">
        <v>690</v>
      </c>
      <c r="L272" s="49" t="s">
        <v>691</v>
      </c>
      <c r="M272" s="49">
        <v>0.2</v>
      </c>
      <c r="N272" s="49" t="s">
        <v>217</v>
      </c>
      <c r="O272" s="49" t="s">
        <v>665</v>
      </c>
      <c r="P272" s="49" t="s">
        <v>682</v>
      </c>
      <c r="Q272" s="49" t="s">
        <v>683</v>
      </c>
      <c r="R272" s="49" t="s">
        <v>89</v>
      </c>
      <c r="S272" s="49" t="s">
        <v>684</v>
      </c>
      <c r="T272" s="49" t="s">
        <v>1821</v>
      </c>
      <c r="U272" s="49" t="s">
        <v>1824</v>
      </c>
      <c r="V272" s="50" t="s">
        <v>1823</v>
      </c>
    </row>
    <row r="273" spans="1:22" x14ac:dyDescent="0.3">
      <c r="A273" s="51" t="s">
        <v>671</v>
      </c>
      <c r="B273" s="52" t="s">
        <v>178</v>
      </c>
      <c r="C273" s="52" t="s">
        <v>672</v>
      </c>
      <c r="D273" s="52" t="s">
        <v>673</v>
      </c>
      <c r="E273" s="52" t="s">
        <v>674</v>
      </c>
      <c r="F273" s="52" t="s">
        <v>675</v>
      </c>
      <c r="G273" s="52" t="s">
        <v>676</v>
      </c>
      <c r="H273" s="52" t="s">
        <v>677</v>
      </c>
      <c r="I273" s="49" t="s">
        <v>678</v>
      </c>
      <c r="J273" s="52" t="s">
        <v>679</v>
      </c>
      <c r="K273" s="52" t="s">
        <v>680</v>
      </c>
      <c r="L273" s="52" t="s">
        <v>681</v>
      </c>
      <c r="M273" s="52">
        <v>0.2</v>
      </c>
      <c r="N273" s="52" t="s">
        <v>217</v>
      </c>
      <c r="O273" s="52" t="s">
        <v>665</v>
      </c>
      <c r="P273" s="52" t="s">
        <v>682</v>
      </c>
      <c r="Q273" s="52" t="s">
        <v>683</v>
      </c>
      <c r="R273" s="52" t="s">
        <v>89</v>
      </c>
      <c r="S273" s="49" t="s">
        <v>684</v>
      </c>
      <c r="T273" s="52" t="s">
        <v>1821</v>
      </c>
      <c r="U273" s="52" t="s">
        <v>1824</v>
      </c>
      <c r="V273" s="50" t="s">
        <v>1823</v>
      </c>
    </row>
    <row r="274" spans="1:22" x14ac:dyDescent="0.3">
      <c r="A274" s="48" t="s">
        <v>873</v>
      </c>
      <c r="B274" s="49" t="s">
        <v>458</v>
      </c>
      <c r="C274" s="49" t="s">
        <v>874</v>
      </c>
      <c r="D274" s="49" t="s">
        <v>684</v>
      </c>
      <c r="E274" s="49" t="s">
        <v>674</v>
      </c>
      <c r="F274" s="49" t="s">
        <v>716</v>
      </c>
      <c r="G274" s="49" t="s">
        <v>744</v>
      </c>
      <c r="H274" s="49" t="s">
        <v>702</v>
      </c>
      <c r="I274" s="49" t="s">
        <v>678</v>
      </c>
      <c r="J274" s="49" t="s">
        <v>679</v>
      </c>
      <c r="K274" s="49" t="s">
        <v>680</v>
      </c>
      <c r="L274" s="49" t="s">
        <v>699</v>
      </c>
      <c r="M274" s="49">
        <v>0.55000000000000004</v>
      </c>
      <c r="N274" s="49" t="s">
        <v>365</v>
      </c>
      <c r="O274" s="49" t="s">
        <v>665</v>
      </c>
      <c r="P274" s="49" t="s">
        <v>829</v>
      </c>
      <c r="Q274" s="49" t="s">
        <v>683</v>
      </c>
      <c r="R274" s="49" t="s">
        <v>89</v>
      </c>
      <c r="S274" s="49" t="s">
        <v>684</v>
      </c>
      <c r="T274" s="49" t="s">
        <v>1821</v>
      </c>
      <c r="U274" s="49" t="s">
        <v>1824</v>
      </c>
      <c r="V274" s="50" t="s">
        <v>1823</v>
      </c>
    </row>
    <row r="275" spans="1:22" x14ac:dyDescent="0.3">
      <c r="A275" s="51" t="s">
        <v>954</v>
      </c>
      <c r="B275" s="52" t="s">
        <v>955</v>
      </c>
      <c r="C275" s="52" t="s">
        <v>956</v>
      </c>
      <c r="D275" s="52" t="s">
        <v>673</v>
      </c>
      <c r="E275" s="52" t="s">
        <v>674</v>
      </c>
      <c r="F275" s="52" t="s">
        <v>675</v>
      </c>
      <c r="G275" s="52" t="s">
        <v>676</v>
      </c>
      <c r="H275" s="52" t="s">
        <v>677</v>
      </c>
      <c r="I275" s="49" t="s">
        <v>688</v>
      </c>
      <c r="J275" s="52" t="s">
        <v>713</v>
      </c>
      <c r="K275" s="52" t="s">
        <v>690</v>
      </c>
      <c r="L275" s="52" t="s">
        <v>699</v>
      </c>
      <c r="M275" s="52">
        <v>0.2</v>
      </c>
      <c r="N275" s="52" t="s">
        <v>458</v>
      </c>
      <c r="O275" s="52" t="s">
        <v>665</v>
      </c>
      <c r="P275" s="52" t="s">
        <v>746</v>
      </c>
      <c r="Q275" s="52" t="s">
        <v>683</v>
      </c>
      <c r="R275" s="52" t="s">
        <v>89</v>
      </c>
      <c r="S275" s="49" t="s">
        <v>684</v>
      </c>
      <c r="T275" s="52" t="s">
        <v>1821</v>
      </c>
      <c r="U275" s="52" t="s">
        <v>1824</v>
      </c>
      <c r="V275" s="50" t="s">
        <v>1823</v>
      </c>
    </row>
    <row r="276" spans="1:22" x14ac:dyDescent="0.3">
      <c r="A276" s="48" t="s">
        <v>1009</v>
      </c>
      <c r="B276" s="49" t="s">
        <v>707</v>
      </c>
      <c r="C276" s="49" t="s">
        <v>715</v>
      </c>
      <c r="D276" s="49" t="s">
        <v>684</v>
      </c>
      <c r="E276" s="49" t="s">
        <v>674</v>
      </c>
      <c r="F276" s="49" t="s">
        <v>716</v>
      </c>
      <c r="G276" s="49" t="s">
        <v>717</v>
      </c>
      <c r="H276" s="49" t="s">
        <v>717</v>
      </c>
      <c r="I276" s="49" t="s">
        <v>717</v>
      </c>
      <c r="J276" s="49" t="s">
        <v>737</v>
      </c>
      <c r="K276" s="49" t="s">
        <v>738</v>
      </c>
      <c r="L276" s="49" t="s">
        <v>699</v>
      </c>
      <c r="M276" s="49">
        <v>1</v>
      </c>
      <c r="N276" s="49" t="s">
        <v>427</v>
      </c>
      <c r="O276" s="49" t="s">
        <v>665</v>
      </c>
      <c r="P276" s="49" t="s">
        <v>746</v>
      </c>
      <c r="Q276" s="49" t="s">
        <v>683</v>
      </c>
      <c r="R276" s="49" t="s">
        <v>1049</v>
      </c>
      <c r="S276" s="52" t="s">
        <v>673</v>
      </c>
      <c r="T276" s="49" t="s">
        <v>1821</v>
      </c>
      <c r="U276" s="49" t="s">
        <v>1824</v>
      </c>
      <c r="V276" s="50" t="s">
        <v>1823</v>
      </c>
    </row>
    <row r="277" spans="1:22" x14ac:dyDescent="0.3">
      <c r="A277" s="51" t="s">
        <v>1037</v>
      </c>
      <c r="B277" s="52" t="s">
        <v>858</v>
      </c>
      <c r="C277" s="52" t="s">
        <v>1038</v>
      </c>
      <c r="D277" s="52" t="s">
        <v>684</v>
      </c>
      <c r="E277" s="52" t="s">
        <v>674</v>
      </c>
      <c r="F277" s="52" t="s">
        <v>716</v>
      </c>
      <c r="G277" s="52" t="s">
        <v>744</v>
      </c>
      <c r="H277" s="52" t="s">
        <v>677</v>
      </c>
      <c r="I277" s="49" t="s">
        <v>678</v>
      </c>
      <c r="J277" s="52" t="s">
        <v>860</v>
      </c>
      <c r="K277" s="52" t="s">
        <v>861</v>
      </c>
      <c r="L277" s="52" t="s">
        <v>699</v>
      </c>
      <c r="M277" s="52">
        <v>0.75</v>
      </c>
      <c r="N277" s="52" t="s">
        <v>472</v>
      </c>
      <c r="O277" s="52" t="s">
        <v>665</v>
      </c>
      <c r="P277" s="52" t="s">
        <v>746</v>
      </c>
      <c r="Q277" s="52" t="s">
        <v>683</v>
      </c>
      <c r="R277" s="52" t="s">
        <v>300</v>
      </c>
      <c r="S277" s="49" t="s">
        <v>684</v>
      </c>
      <c r="T277" s="52" t="s">
        <v>1821</v>
      </c>
      <c r="U277" s="52" t="s">
        <v>1824</v>
      </c>
      <c r="V277" s="50" t="s">
        <v>1823</v>
      </c>
    </row>
    <row r="278" spans="1:22" x14ac:dyDescent="0.3">
      <c r="A278" s="48" t="s">
        <v>993</v>
      </c>
      <c r="B278" s="49" t="s">
        <v>760</v>
      </c>
      <c r="C278" s="49" t="s">
        <v>994</v>
      </c>
      <c r="D278" s="49" t="s">
        <v>673</v>
      </c>
      <c r="E278" s="49" t="s">
        <v>674</v>
      </c>
      <c r="F278" s="49" t="s">
        <v>675</v>
      </c>
      <c r="G278" s="49" t="s">
        <v>676</v>
      </c>
      <c r="H278" s="49" t="s">
        <v>702</v>
      </c>
      <c r="I278" s="49" t="s">
        <v>688</v>
      </c>
      <c r="J278" s="49" t="s">
        <v>751</v>
      </c>
      <c r="K278" s="49" t="s">
        <v>690</v>
      </c>
      <c r="L278" s="49" t="s">
        <v>681</v>
      </c>
      <c r="M278" s="49">
        <v>0.2</v>
      </c>
      <c r="N278" s="49" t="s">
        <v>115</v>
      </c>
      <c r="O278" s="49" t="s">
        <v>665</v>
      </c>
      <c r="P278" s="49" t="s">
        <v>746</v>
      </c>
      <c r="Q278" s="49" t="s">
        <v>683</v>
      </c>
      <c r="R278" s="49" t="s">
        <v>132</v>
      </c>
      <c r="S278" s="52" t="s">
        <v>673</v>
      </c>
      <c r="T278" s="49" t="s">
        <v>1821</v>
      </c>
      <c r="U278" s="49" t="s">
        <v>1824</v>
      </c>
      <c r="V278" s="50" t="s">
        <v>1823</v>
      </c>
    </row>
    <row r="279" spans="1:22" x14ac:dyDescent="0.3">
      <c r="A279" s="51" t="s">
        <v>748</v>
      </c>
      <c r="B279" s="52" t="s">
        <v>749</v>
      </c>
      <c r="C279" s="52" t="s">
        <v>750</v>
      </c>
      <c r="D279" s="52" t="s">
        <v>673</v>
      </c>
      <c r="E279" s="52" t="s">
        <v>674</v>
      </c>
      <c r="F279" s="52" t="s">
        <v>716</v>
      </c>
      <c r="G279" s="52" t="s">
        <v>744</v>
      </c>
      <c r="H279" s="52" t="s">
        <v>677</v>
      </c>
      <c r="I279" s="49" t="s">
        <v>688</v>
      </c>
      <c r="J279" s="52" t="s">
        <v>751</v>
      </c>
      <c r="K279" s="52" t="s">
        <v>690</v>
      </c>
      <c r="L279" s="52" t="s">
        <v>681</v>
      </c>
      <c r="M279" s="52">
        <v>0.1</v>
      </c>
      <c r="N279" s="52" t="s">
        <v>115</v>
      </c>
      <c r="O279" s="52" t="s">
        <v>665</v>
      </c>
      <c r="P279" s="52" t="s">
        <v>746</v>
      </c>
      <c r="Q279" s="52" t="s">
        <v>683</v>
      </c>
      <c r="R279" s="52" t="s">
        <v>132</v>
      </c>
      <c r="S279" s="52" t="s">
        <v>673</v>
      </c>
      <c r="T279" s="52" t="s">
        <v>1821</v>
      </c>
      <c r="U279" s="52" t="s">
        <v>1824</v>
      </c>
      <c r="V279" s="50" t="s">
        <v>1823</v>
      </c>
    </row>
    <row r="280" spans="1:22" x14ac:dyDescent="0.3">
      <c r="A280" s="48" t="s">
        <v>2296</v>
      </c>
      <c r="B280" s="49" t="s">
        <v>998</v>
      </c>
      <c r="C280" s="49" t="s">
        <v>2297</v>
      </c>
      <c r="D280" s="49" t="s">
        <v>673</v>
      </c>
      <c r="E280" s="49" t="s">
        <v>674</v>
      </c>
      <c r="F280" s="49" t="s">
        <v>716</v>
      </c>
      <c r="G280" s="49" t="s">
        <v>744</v>
      </c>
      <c r="H280" s="49" t="s">
        <v>677</v>
      </c>
      <c r="I280" s="49" t="s">
        <v>688</v>
      </c>
      <c r="J280" s="49" t="s">
        <v>713</v>
      </c>
      <c r="K280" s="49" t="s">
        <v>690</v>
      </c>
      <c r="L280" s="49" t="s">
        <v>681</v>
      </c>
      <c r="M280" s="49">
        <v>0.2</v>
      </c>
      <c r="N280" s="49" t="s">
        <v>473</v>
      </c>
      <c r="O280" s="49" t="s">
        <v>767</v>
      </c>
      <c r="P280" s="52" t="s">
        <v>746</v>
      </c>
      <c r="Q280" s="49" t="s">
        <v>683</v>
      </c>
      <c r="R280" s="49" t="s">
        <v>132</v>
      </c>
      <c r="S280" s="52" t="s">
        <v>673</v>
      </c>
      <c r="T280" s="49" t="s">
        <v>1821</v>
      </c>
      <c r="U280" s="49" t="s">
        <v>1824</v>
      </c>
      <c r="V280" s="50" t="s">
        <v>1823</v>
      </c>
    </row>
    <row r="281" spans="1:22" x14ac:dyDescent="0.3">
      <c r="A281" s="51" t="s">
        <v>1050</v>
      </c>
      <c r="B281" s="52" t="s">
        <v>132</v>
      </c>
      <c r="C281" s="52" t="s">
        <v>1051</v>
      </c>
      <c r="D281" s="52" t="s">
        <v>673</v>
      </c>
      <c r="E281" s="52" t="s">
        <v>674</v>
      </c>
      <c r="F281" s="52" t="s">
        <v>716</v>
      </c>
      <c r="G281" s="52" t="s">
        <v>731</v>
      </c>
      <c r="H281" s="52" t="s">
        <v>702</v>
      </c>
      <c r="I281" s="49" t="s">
        <v>688</v>
      </c>
      <c r="J281" s="52" t="s">
        <v>713</v>
      </c>
      <c r="K281" s="52" t="s">
        <v>690</v>
      </c>
      <c r="L281" s="52" t="s">
        <v>691</v>
      </c>
      <c r="M281" s="52">
        <v>0.8</v>
      </c>
      <c r="N281" s="52" t="s">
        <v>505</v>
      </c>
      <c r="O281" s="52" t="s">
        <v>665</v>
      </c>
      <c r="P281" s="52" t="s">
        <v>746</v>
      </c>
      <c r="Q281" s="52" t="s">
        <v>683</v>
      </c>
      <c r="R281" s="52" t="s">
        <v>132</v>
      </c>
      <c r="S281" s="52" t="s">
        <v>673</v>
      </c>
      <c r="T281" s="52" t="s">
        <v>1821</v>
      </c>
      <c r="U281" s="52" t="s">
        <v>1824</v>
      </c>
      <c r="V281" s="50" t="s">
        <v>1823</v>
      </c>
    </row>
    <row r="282" spans="1:22" x14ac:dyDescent="0.3">
      <c r="A282" s="48" t="s">
        <v>1054</v>
      </c>
      <c r="B282" s="49" t="s">
        <v>760</v>
      </c>
      <c r="C282" s="49" t="s">
        <v>1055</v>
      </c>
      <c r="D282" s="49" t="s">
        <v>673</v>
      </c>
      <c r="E282" s="49" t="s">
        <v>674</v>
      </c>
      <c r="F282" s="49" t="s">
        <v>675</v>
      </c>
      <c r="G282" s="49" t="s">
        <v>676</v>
      </c>
      <c r="H282" s="49" t="s">
        <v>702</v>
      </c>
      <c r="I282" s="49" t="s">
        <v>688</v>
      </c>
      <c r="J282" s="49" t="s">
        <v>751</v>
      </c>
      <c r="K282" s="49" t="s">
        <v>690</v>
      </c>
      <c r="L282" s="49" t="s">
        <v>681</v>
      </c>
      <c r="M282" s="49">
        <v>0.4</v>
      </c>
      <c r="N282" s="49" t="s">
        <v>588</v>
      </c>
      <c r="O282" s="49" t="s">
        <v>665</v>
      </c>
      <c r="P282" s="49" t="s">
        <v>746</v>
      </c>
      <c r="Q282" s="49" t="s">
        <v>683</v>
      </c>
      <c r="R282" s="49" t="s">
        <v>132</v>
      </c>
      <c r="S282" s="52" t="s">
        <v>673</v>
      </c>
      <c r="T282" s="49" t="s">
        <v>1821</v>
      </c>
      <c r="U282" s="49" t="s">
        <v>1824</v>
      </c>
      <c r="V282" s="50" t="s">
        <v>1823</v>
      </c>
    </row>
    <row r="283" spans="1:22" x14ac:dyDescent="0.3">
      <c r="A283" s="51" t="s">
        <v>1056</v>
      </c>
      <c r="B283" s="52" t="s">
        <v>760</v>
      </c>
      <c r="C283" s="52" t="s">
        <v>1057</v>
      </c>
      <c r="D283" s="52" t="s">
        <v>673</v>
      </c>
      <c r="E283" s="52" t="s">
        <v>674</v>
      </c>
      <c r="F283" s="52" t="s">
        <v>716</v>
      </c>
      <c r="G283" s="52" t="s">
        <v>744</v>
      </c>
      <c r="H283" s="52" t="s">
        <v>702</v>
      </c>
      <c r="I283" s="49" t="s">
        <v>688</v>
      </c>
      <c r="J283" s="52" t="s">
        <v>751</v>
      </c>
      <c r="K283" s="52" t="s">
        <v>690</v>
      </c>
      <c r="L283" s="52" t="s">
        <v>699</v>
      </c>
      <c r="M283" s="52">
        <v>0.3</v>
      </c>
      <c r="N283" s="52" t="s">
        <v>588</v>
      </c>
      <c r="O283" s="52" t="s">
        <v>665</v>
      </c>
      <c r="P283" s="52" t="s">
        <v>746</v>
      </c>
      <c r="Q283" s="52" t="s">
        <v>683</v>
      </c>
      <c r="R283" s="52" t="s">
        <v>132</v>
      </c>
      <c r="S283" s="52" t="s">
        <v>673</v>
      </c>
      <c r="T283" s="52" t="s">
        <v>1821</v>
      </c>
      <c r="U283" s="52" t="s">
        <v>1824</v>
      </c>
      <c r="V283" s="50" t="s">
        <v>1823</v>
      </c>
    </row>
    <row r="284" spans="1:22" x14ac:dyDescent="0.3">
      <c r="A284" s="48" t="s">
        <v>748</v>
      </c>
      <c r="B284" s="49" t="s">
        <v>749</v>
      </c>
      <c r="C284" s="49" t="s">
        <v>750</v>
      </c>
      <c r="D284" s="49" t="s">
        <v>673</v>
      </c>
      <c r="E284" s="49" t="s">
        <v>674</v>
      </c>
      <c r="F284" s="49" t="s">
        <v>716</v>
      </c>
      <c r="G284" s="49" t="s">
        <v>744</v>
      </c>
      <c r="H284" s="49" t="s">
        <v>677</v>
      </c>
      <c r="I284" s="49" t="s">
        <v>688</v>
      </c>
      <c r="J284" s="49" t="s">
        <v>751</v>
      </c>
      <c r="K284" s="49" t="s">
        <v>690</v>
      </c>
      <c r="L284" s="49" t="s">
        <v>681</v>
      </c>
      <c r="M284" s="49">
        <v>0.3</v>
      </c>
      <c r="N284" s="49" t="s">
        <v>588</v>
      </c>
      <c r="O284" s="49" t="s">
        <v>665</v>
      </c>
      <c r="P284" s="49" t="s">
        <v>746</v>
      </c>
      <c r="Q284" s="49" t="s">
        <v>683</v>
      </c>
      <c r="R284" s="49" t="s">
        <v>132</v>
      </c>
      <c r="S284" s="52" t="s">
        <v>673</v>
      </c>
      <c r="T284" s="49" t="s">
        <v>1821</v>
      </c>
      <c r="U284" s="49" t="s">
        <v>1824</v>
      </c>
      <c r="V284" s="50" t="s">
        <v>1823</v>
      </c>
    </row>
    <row r="285" spans="1:22" x14ac:dyDescent="0.3">
      <c r="A285" s="51" t="s">
        <v>1066</v>
      </c>
      <c r="B285" s="52" t="s">
        <v>528</v>
      </c>
      <c r="C285" s="52" t="s">
        <v>1067</v>
      </c>
      <c r="D285" s="52" t="s">
        <v>755</v>
      </c>
      <c r="E285" s="52" t="s">
        <v>674</v>
      </c>
      <c r="F285" s="52" t="s">
        <v>675</v>
      </c>
      <c r="G285" s="52" t="s">
        <v>724</v>
      </c>
      <c r="H285" s="52" t="s">
        <v>935</v>
      </c>
      <c r="I285" s="49" t="s">
        <v>678</v>
      </c>
      <c r="J285" s="52" t="s">
        <v>774</v>
      </c>
      <c r="K285" s="52" t="s">
        <v>680</v>
      </c>
      <c r="L285" s="52" t="s">
        <v>801</v>
      </c>
      <c r="M285" s="52">
        <v>0.3</v>
      </c>
      <c r="N285" s="52" t="s">
        <v>208</v>
      </c>
      <c r="O285" s="52" t="s">
        <v>767</v>
      </c>
      <c r="P285" s="52" t="s">
        <v>746</v>
      </c>
      <c r="Q285" s="52" t="s">
        <v>683</v>
      </c>
      <c r="R285" s="52" t="s">
        <v>47</v>
      </c>
      <c r="S285" s="49" t="s">
        <v>755</v>
      </c>
      <c r="T285" s="52" t="s">
        <v>1821</v>
      </c>
      <c r="U285" s="52" t="s">
        <v>1824</v>
      </c>
      <c r="V285" s="50" t="s">
        <v>1823</v>
      </c>
    </row>
    <row r="286" spans="1:22" x14ac:dyDescent="0.3">
      <c r="A286" s="48" t="s">
        <v>1068</v>
      </c>
      <c r="B286" s="49" t="s">
        <v>528</v>
      </c>
      <c r="C286" s="49" t="s">
        <v>1069</v>
      </c>
      <c r="D286" s="49" t="s">
        <v>755</v>
      </c>
      <c r="E286" s="49" t="s">
        <v>674</v>
      </c>
      <c r="F286" s="49" t="s">
        <v>675</v>
      </c>
      <c r="G286" s="49" t="s">
        <v>744</v>
      </c>
      <c r="H286" s="49" t="s">
        <v>677</v>
      </c>
      <c r="I286" s="49" t="s">
        <v>678</v>
      </c>
      <c r="J286" s="49" t="s">
        <v>774</v>
      </c>
      <c r="K286" s="49" t="s">
        <v>680</v>
      </c>
      <c r="L286" s="49" t="s">
        <v>801</v>
      </c>
      <c r="M286" s="49">
        <v>0.35</v>
      </c>
      <c r="N286" s="49" t="s">
        <v>208</v>
      </c>
      <c r="O286" s="49" t="s">
        <v>767</v>
      </c>
      <c r="P286" s="52" t="s">
        <v>746</v>
      </c>
      <c r="Q286" s="49" t="s">
        <v>683</v>
      </c>
      <c r="R286" s="49" t="s">
        <v>47</v>
      </c>
      <c r="S286" s="49" t="s">
        <v>755</v>
      </c>
      <c r="T286" s="49" t="s">
        <v>1821</v>
      </c>
      <c r="U286" s="49" t="s">
        <v>1824</v>
      </c>
      <c r="V286" s="50" t="s">
        <v>1823</v>
      </c>
    </row>
    <row r="287" spans="1:22" x14ac:dyDescent="0.3">
      <c r="A287" s="51" t="s">
        <v>1070</v>
      </c>
      <c r="B287" s="52" t="s">
        <v>528</v>
      </c>
      <c r="C287" s="52" t="s">
        <v>1071</v>
      </c>
      <c r="D287" s="52" t="s">
        <v>755</v>
      </c>
      <c r="E287" s="52" t="s">
        <v>674</v>
      </c>
      <c r="F287" s="52" t="s">
        <v>675</v>
      </c>
      <c r="G287" s="52" t="s">
        <v>744</v>
      </c>
      <c r="H287" s="52" t="s">
        <v>677</v>
      </c>
      <c r="I287" s="49" t="s">
        <v>678</v>
      </c>
      <c r="J287" s="52" t="s">
        <v>774</v>
      </c>
      <c r="K287" s="52" t="s">
        <v>680</v>
      </c>
      <c r="L287" s="52" t="s">
        <v>801</v>
      </c>
      <c r="M287" s="52">
        <v>0.35</v>
      </c>
      <c r="N287" s="52" t="s">
        <v>208</v>
      </c>
      <c r="O287" s="52" t="s">
        <v>767</v>
      </c>
      <c r="P287" s="52" t="s">
        <v>746</v>
      </c>
      <c r="Q287" s="52" t="s">
        <v>683</v>
      </c>
      <c r="R287" s="52" t="s">
        <v>47</v>
      </c>
      <c r="S287" s="49" t="s">
        <v>755</v>
      </c>
      <c r="T287" s="52" t="s">
        <v>1821</v>
      </c>
      <c r="U287" s="52" t="s">
        <v>1824</v>
      </c>
      <c r="V287" s="50" t="s">
        <v>1823</v>
      </c>
    </row>
    <row r="288" spans="1:22" x14ac:dyDescent="0.3">
      <c r="A288" s="48" t="s">
        <v>1072</v>
      </c>
      <c r="B288" s="49" t="s">
        <v>528</v>
      </c>
      <c r="C288" s="49" t="s">
        <v>1073</v>
      </c>
      <c r="D288" s="49" t="s">
        <v>755</v>
      </c>
      <c r="E288" s="49" t="s">
        <v>674</v>
      </c>
      <c r="F288" s="49" t="s">
        <v>675</v>
      </c>
      <c r="G288" s="49" t="s">
        <v>744</v>
      </c>
      <c r="H288" s="49" t="s">
        <v>677</v>
      </c>
      <c r="I288" s="49" t="s">
        <v>678</v>
      </c>
      <c r="J288" s="49" t="s">
        <v>774</v>
      </c>
      <c r="K288" s="49" t="s">
        <v>680</v>
      </c>
      <c r="L288" s="49" t="s">
        <v>801</v>
      </c>
      <c r="M288" s="49">
        <v>1</v>
      </c>
      <c r="N288" s="49" t="s">
        <v>292</v>
      </c>
      <c r="O288" s="49" t="s">
        <v>665</v>
      </c>
      <c r="P288" s="49" t="s">
        <v>746</v>
      </c>
      <c r="Q288" s="49" t="s">
        <v>683</v>
      </c>
      <c r="R288" s="49" t="s">
        <v>47</v>
      </c>
      <c r="S288" s="49" t="s">
        <v>755</v>
      </c>
      <c r="T288" s="49" t="s">
        <v>1821</v>
      </c>
      <c r="U288" s="49" t="s">
        <v>1824</v>
      </c>
      <c r="V288" s="50" t="s">
        <v>1823</v>
      </c>
    </row>
    <row r="289" spans="1:22" x14ac:dyDescent="0.3">
      <c r="A289" s="51" t="s">
        <v>1302</v>
      </c>
      <c r="B289" s="52" t="s">
        <v>1232</v>
      </c>
      <c r="C289" s="52" t="s">
        <v>1303</v>
      </c>
      <c r="D289" s="52" t="s">
        <v>755</v>
      </c>
      <c r="E289" s="52" t="s">
        <v>674</v>
      </c>
      <c r="F289" s="52" t="s">
        <v>675</v>
      </c>
      <c r="G289" s="52" t="s">
        <v>676</v>
      </c>
      <c r="H289" s="52" t="s">
        <v>702</v>
      </c>
      <c r="I289" s="52" t="s">
        <v>697</v>
      </c>
      <c r="J289" s="52" t="s">
        <v>679</v>
      </c>
      <c r="K289" s="52" t="s">
        <v>680</v>
      </c>
      <c r="L289" s="52" t="s">
        <v>681</v>
      </c>
      <c r="M289" s="52">
        <v>0.5</v>
      </c>
      <c r="N289" s="52" t="s">
        <v>298</v>
      </c>
      <c r="O289" s="52" t="s">
        <v>665</v>
      </c>
      <c r="P289" s="52" t="s">
        <v>746</v>
      </c>
      <c r="Q289" s="52" t="s">
        <v>683</v>
      </c>
      <c r="R289" s="52" t="s">
        <v>34</v>
      </c>
      <c r="S289" s="49" t="s">
        <v>755</v>
      </c>
      <c r="T289" s="52" t="s">
        <v>1821</v>
      </c>
      <c r="U289" s="52" t="s">
        <v>1824</v>
      </c>
      <c r="V289" s="50" t="s">
        <v>1823</v>
      </c>
    </row>
    <row r="290" spans="1:22" x14ac:dyDescent="0.3">
      <c r="A290" s="48" t="s">
        <v>714</v>
      </c>
      <c r="B290" s="49" t="s">
        <v>707</v>
      </c>
      <c r="C290" s="49" t="s">
        <v>715</v>
      </c>
      <c r="D290" s="49" t="s">
        <v>673</v>
      </c>
      <c r="E290" s="49" t="s">
        <v>674</v>
      </c>
      <c r="F290" s="49" t="s">
        <v>716</v>
      </c>
      <c r="G290" s="49" t="s">
        <v>717</v>
      </c>
      <c r="H290" s="49" t="s">
        <v>717</v>
      </c>
      <c r="I290" s="49" t="s">
        <v>717</v>
      </c>
      <c r="J290" s="49" t="s">
        <v>710</v>
      </c>
      <c r="K290" s="49" t="s">
        <v>690</v>
      </c>
      <c r="L290" s="49" t="s">
        <v>699</v>
      </c>
      <c r="M290" s="49">
        <v>0.5</v>
      </c>
      <c r="N290" s="49" t="s">
        <v>154</v>
      </c>
      <c r="O290" s="49" t="s">
        <v>665</v>
      </c>
      <c r="P290" s="49" t="s">
        <v>746</v>
      </c>
      <c r="Q290" s="49" t="s">
        <v>683</v>
      </c>
      <c r="R290" s="49" t="s">
        <v>366</v>
      </c>
      <c r="S290" s="52" t="s">
        <v>673</v>
      </c>
      <c r="T290" s="49" t="s">
        <v>1821</v>
      </c>
      <c r="U290" s="49" t="s">
        <v>1824</v>
      </c>
      <c r="V290" s="50" t="s">
        <v>1823</v>
      </c>
    </row>
    <row r="291" spans="1:22" x14ac:dyDescent="0.3">
      <c r="A291" s="51" t="s">
        <v>841</v>
      </c>
      <c r="B291" s="52" t="s">
        <v>707</v>
      </c>
      <c r="C291" s="52" t="s">
        <v>715</v>
      </c>
      <c r="D291" s="52" t="s">
        <v>673</v>
      </c>
      <c r="E291" s="52" t="s">
        <v>674</v>
      </c>
      <c r="F291" s="52" t="s">
        <v>716</v>
      </c>
      <c r="G291" s="52" t="s">
        <v>717</v>
      </c>
      <c r="H291" s="52" t="s">
        <v>717</v>
      </c>
      <c r="I291" s="52" t="s">
        <v>717</v>
      </c>
      <c r="J291" s="52" t="s">
        <v>713</v>
      </c>
      <c r="K291" s="52" t="s">
        <v>690</v>
      </c>
      <c r="L291" s="52" t="s">
        <v>699</v>
      </c>
      <c r="M291" s="52">
        <v>0.5</v>
      </c>
      <c r="N291" s="52" t="s">
        <v>154</v>
      </c>
      <c r="O291" s="52" t="s">
        <v>665</v>
      </c>
      <c r="P291" s="52" t="s">
        <v>746</v>
      </c>
      <c r="Q291" s="52" t="s">
        <v>683</v>
      </c>
      <c r="R291" s="52" t="s">
        <v>366</v>
      </c>
      <c r="S291" s="52" t="s">
        <v>673</v>
      </c>
      <c r="T291" s="52" t="s">
        <v>1821</v>
      </c>
      <c r="U291" s="52" t="s">
        <v>1824</v>
      </c>
      <c r="V291" s="50" t="s">
        <v>1823</v>
      </c>
    </row>
    <row r="292" spans="1:22" x14ac:dyDescent="0.3">
      <c r="A292" s="48" t="s">
        <v>1006</v>
      </c>
      <c r="B292" s="49" t="s">
        <v>707</v>
      </c>
      <c r="C292" s="49" t="s">
        <v>773</v>
      </c>
      <c r="D292" s="49" t="s">
        <v>684</v>
      </c>
      <c r="E292" s="49" t="s">
        <v>674</v>
      </c>
      <c r="F292" s="49" t="s">
        <v>773</v>
      </c>
      <c r="G292" s="49" t="s">
        <v>773</v>
      </c>
      <c r="H292" s="49" t="s">
        <v>773</v>
      </c>
      <c r="I292" s="49" t="s">
        <v>773</v>
      </c>
      <c r="J292" s="49" t="s">
        <v>737</v>
      </c>
      <c r="K292" s="49" t="s">
        <v>738</v>
      </c>
      <c r="L292" s="49" t="s">
        <v>699</v>
      </c>
      <c r="M292" s="49">
        <v>0.4</v>
      </c>
      <c r="N292" s="49" t="s">
        <v>1079</v>
      </c>
      <c r="O292" s="49" t="s">
        <v>665</v>
      </c>
      <c r="P292" s="49" t="s">
        <v>746</v>
      </c>
      <c r="Q292" s="49" t="s">
        <v>683</v>
      </c>
      <c r="R292" s="49" t="s">
        <v>213</v>
      </c>
      <c r="S292" s="49" t="s">
        <v>684</v>
      </c>
      <c r="T292" s="49" t="s">
        <v>1821</v>
      </c>
      <c r="U292" s="49" t="s">
        <v>1824</v>
      </c>
      <c r="V292" s="50" t="s">
        <v>1823</v>
      </c>
    </row>
    <row r="293" spans="1:22" x14ac:dyDescent="0.3">
      <c r="A293" s="51" t="s">
        <v>1043</v>
      </c>
      <c r="B293" s="52" t="s">
        <v>707</v>
      </c>
      <c r="C293" s="52" t="s">
        <v>773</v>
      </c>
      <c r="D293" s="52" t="s">
        <v>684</v>
      </c>
      <c r="E293" s="52" t="s">
        <v>674</v>
      </c>
      <c r="F293" s="52" t="s">
        <v>773</v>
      </c>
      <c r="G293" s="52" t="s">
        <v>773</v>
      </c>
      <c r="H293" s="52" t="s">
        <v>773</v>
      </c>
      <c r="I293" s="52" t="s">
        <v>773</v>
      </c>
      <c r="J293" s="52" t="s">
        <v>737</v>
      </c>
      <c r="K293" s="52" t="s">
        <v>738</v>
      </c>
      <c r="L293" s="52" t="s">
        <v>699</v>
      </c>
      <c r="M293" s="52">
        <v>0.4</v>
      </c>
      <c r="N293" s="52" t="s">
        <v>1079</v>
      </c>
      <c r="O293" s="52" t="s">
        <v>665</v>
      </c>
      <c r="P293" s="52" t="s">
        <v>746</v>
      </c>
      <c r="Q293" s="52" t="s">
        <v>683</v>
      </c>
      <c r="R293" s="52" t="s">
        <v>213</v>
      </c>
      <c r="S293" s="49" t="s">
        <v>684</v>
      </c>
      <c r="T293" s="52" t="s">
        <v>1821</v>
      </c>
      <c r="U293" s="52" t="s">
        <v>1824</v>
      </c>
      <c r="V293" s="50" t="s">
        <v>1823</v>
      </c>
    </row>
    <row r="294" spans="1:22" x14ac:dyDescent="0.3">
      <c r="A294" s="48" t="s">
        <v>1084</v>
      </c>
      <c r="B294" s="49" t="s">
        <v>544</v>
      </c>
      <c r="C294" s="49" t="s">
        <v>1085</v>
      </c>
      <c r="D294" s="49" t="s">
        <v>684</v>
      </c>
      <c r="E294" s="49" t="s">
        <v>674</v>
      </c>
      <c r="F294" s="49" t="s">
        <v>734</v>
      </c>
      <c r="G294" s="49" t="s">
        <v>735</v>
      </c>
      <c r="H294" s="49" t="s">
        <v>735</v>
      </c>
      <c r="I294" s="49" t="s">
        <v>736</v>
      </c>
      <c r="J294" s="49" t="s">
        <v>737</v>
      </c>
      <c r="K294" s="49" t="s">
        <v>738</v>
      </c>
      <c r="L294" s="49" t="s">
        <v>808</v>
      </c>
      <c r="M294" s="49">
        <v>0.2</v>
      </c>
      <c r="N294" s="49" t="s">
        <v>94</v>
      </c>
      <c r="O294" s="49" t="s">
        <v>665</v>
      </c>
      <c r="P294" s="49" t="s">
        <v>746</v>
      </c>
      <c r="Q294" s="49" t="s">
        <v>683</v>
      </c>
      <c r="R294" s="49" t="s">
        <v>213</v>
      </c>
      <c r="S294" s="49" t="s">
        <v>684</v>
      </c>
      <c r="T294" s="49" t="s">
        <v>1821</v>
      </c>
      <c r="U294" s="49" t="s">
        <v>1824</v>
      </c>
      <c r="V294" s="50" t="s">
        <v>1823</v>
      </c>
    </row>
    <row r="295" spans="1:22" x14ac:dyDescent="0.3">
      <c r="A295" s="51" t="s">
        <v>1082</v>
      </c>
      <c r="B295" s="52" t="s">
        <v>544</v>
      </c>
      <c r="C295" s="52" t="s">
        <v>1083</v>
      </c>
      <c r="D295" s="52" t="s">
        <v>684</v>
      </c>
      <c r="E295" s="52" t="s">
        <v>674</v>
      </c>
      <c r="F295" s="52" t="s">
        <v>734</v>
      </c>
      <c r="G295" s="52" t="s">
        <v>735</v>
      </c>
      <c r="H295" s="52" t="s">
        <v>735</v>
      </c>
      <c r="I295" s="52" t="s">
        <v>736</v>
      </c>
      <c r="J295" s="52" t="s">
        <v>737</v>
      </c>
      <c r="K295" s="52" t="s">
        <v>738</v>
      </c>
      <c r="L295" s="52" t="s">
        <v>699</v>
      </c>
      <c r="M295" s="52">
        <v>0.2</v>
      </c>
      <c r="N295" s="52" t="s">
        <v>94</v>
      </c>
      <c r="O295" s="52" t="s">
        <v>665</v>
      </c>
      <c r="P295" s="52" t="s">
        <v>746</v>
      </c>
      <c r="Q295" s="52" t="s">
        <v>683</v>
      </c>
      <c r="R295" s="52" t="s">
        <v>213</v>
      </c>
      <c r="S295" s="49" t="s">
        <v>684</v>
      </c>
      <c r="T295" s="52" t="s">
        <v>1821</v>
      </c>
      <c r="U295" s="52" t="s">
        <v>1824</v>
      </c>
      <c r="V295" s="50" t="s">
        <v>1823</v>
      </c>
    </row>
    <row r="296" spans="1:22" x14ac:dyDescent="0.3">
      <c r="A296" s="48" t="s">
        <v>1088</v>
      </c>
      <c r="B296" s="49" t="s">
        <v>544</v>
      </c>
      <c r="C296" s="49" t="s">
        <v>1089</v>
      </c>
      <c r="D296" s="49" t="s">
        <v>684</v>
      </c>
      <c r="E296" s="49" t="s">
        <v>674</v>
      </c>
      <c r="F296" s="49" t="s">
        <v>716</v>
      </c>
      <c r="G296" s="49" t="s">
        <v>744</v>
      </c>
      <c r="H296" s="49" t="s">
        <v>677</v>
      </c>
      <c r="I296" s="49" t="s">
        <v>736</v>
      </c>
      <c r="J296" s="49" t="s">
        <v>737</v>
      </c>
      <c r="K296" s="49" t="s">
        <v>738</v>
      </c>
      <c r="L296" s="49" t="s">
        <v>699</v>
      </c>
      <c r="M296" s="49">
        <v>0.2</v>
      </c>
      <c r="N296" s="49" t="s">
        <v>94</v>
      </c>
      <c r="O296" s="49" t="s">
        <v>665</v>
      </c>
      <c r="P296" s="49" t="s">
        <v>746</v>
      </c>
      <c r="Q296" s="49" t="s">
        <v>683</v>
      </c>
      <c r="R296" s="49" t="s">
        <v>213</v>
      </c>
      <c r="S296" s="49" t="s">
        <v>684</v>
      </c>
      <c r="T296" s="49" t="s">
        <v>1821</v>
      </c>
      <c r="U296" s="49" t="s">
        <v>1824</v>
      </c>
      <c r="V296" s="50" t="s">
        <v>1823</v>
      </c>
    </row>
    <row r="297" spans="1:22" x14ac:dyDescent="0.3">
      <c r="A297" s="51" t="s">
        <v>1080</v>
      </c>
      <c r="B297" s="52" t="s">
        <v>544</v>
      </c>
      <c r="C297" s="52" t="s">
        <v>1081</v>
      </c>
      <c r="D297" s="52" t="s">
        <v>684</v>
      </c>
      <c r="E297" s="52" t="s">
        <v>674</v>
      </c>
      <c r="F297" s="52" t="s">
        <v>716</v>
      </c>
      <c r="G297" s="52" t="s">
        <v>744</v>
      </c>
      <c r="H297" s="52" t="s">
        <v>702</v>
      </c>
      <c r="I297" s="52" t="s">
        <v>736</v>
      </c>
      <c r="J297" s="52" t="s">
        <v>737</v>
      </c>
      <c r="K297" s="52" t="s">
        <v>738</v>
      </c>
      <c r="L297" s="52" t="s">
        <v>699</v>
      </c>
      <c r="M297" s="52">
        <v>0.2</v>
      </c>
      <c r="N297" s="52" t="s">
        <v>94</v>
      </c>
      <c r="O297" s="52" t="s">
        <v>665</v>
      </c>
      <c r="P297" s="52" t="s">
        <v>746</v>
      </c>
      <c r="Q297" s="52" t="s">
        <v>683</v>
      </c>
      <c r="R297" s="52" t="s">
        <v>213</v>
      </c>
      <c r="S297" s="49" t="s">
        <v>684</v>
      </c>
      <c r="T297" s="52" t="s">
        <v>1821</v>
      </c>
      <c r="U297" s="52" t="s">
        <v>1824</v>
      </c>
      <c r="V297" s="50" t="s">
        <v>1823</v>
      </c>
    </row>
    <row r="298" spans="1:22" x14ac:dyDescent="0.3">
      <c r="A298" s="48" t="s">
        <v>1086</v>
      </c>
      <c r="B298" s="49" t="s">
        <v>544</v>
      </c>
      <c r="C298" s="49" t="s">
        <v>1087</v>
      </c>
      <c r="D298" s="49" t="s">
        <v>684</v>
      </c>
      <c r="E298" s="49" t="s">
        <v>674</v>
      </c>
      <c r="F298" s="49" t="s">
        <v>675</v>
      </c>
      <c r="G298" s="49" t="s">
        <v>676</v>
      </c>
      <c r="H298" s="49" t="s">
        <v>702</v>
      </c>
      <c r="I298" s="49" t="s">
        <v>678</v>
      </c>
      <c r="J298" s="49" t="s">
        <v>737</v>
      </c>
      <c r="K298" s="49" t="s">
        <v>738</v>
      </c>
      <c r="L298" s="49" t="s">
        <v>699</v>
      </c>
      <c r="M298" s="49">
        <v>0.2</v>
      </c>
      <c r="N298" s="49" t="s">
        <v>94</v>
      </c>
      <c r="O298" s="49" t="s">
        <v>665</v>
      </c>
      <c r="P298" s="49" t="s">
        <v>746</v>
      </c>
      <c r="Q298" s="49" t="s">
        <v>683</v>
      </c>
      <c r="R298" s="49" t="s">
        <v>213</v>
      </c>
      <c r="S298" s="49" t="s">
        <v>684</v>
      </c>
      <c r="T298" s="49" t="s">
        <v>1821</v>
      </c>
      <c r="U298" s="49" t="s">
        <v>1824</v>
      </c>
      <c r="V298" s="50" t="s">
        <v>1823</v>
      </c>
    </row>
    <row r="299" spans="1:22" x14ac:dyDescent="0.3">
      <c r="A299" s="51" t="s">
        <v>1090</v>
      </c>
      <c r="B299" s="52" t="s">
        <v>544</v>
      </c>
      <c r="C299" s="52" t="s">
        <v>1091</v>
      </c>
      <c r="D299" s="52" t="s">
        <v>684</v>
      </c>
      <c r="E299" s="52" t="s">
        <v>674</v>
      </c>
      <c r="F299" s="52" t="s">
        <v>716</v>
      </c>
      <c r="G299" s="52" t="s">
        <v>744</v>
      </c>
      <c r="H299" s="52" t="s">
        <v>677</v>
      </c>
      <c r="I299" s="52" t="s">
        <v>736</v>
      </c>
      <c r="J299" s="52" t="s">
        <v>737</v>
      </c>
      <c r="K299" s="52" t="s">
        <v>738</v>
      </c>
      <c r="L299" s="52" t="s">
        <v>739</v>
      </c>
      <c r="M299" s="52">
        <v>0.2</v>
      </c>
      <c r="N299" s="52" t="s">
        <v>148</v>
      </c>
      <c r="O299" s="52" t="s">
        <v>665</v>
      </c>
      <c r="P299" s="52" t="s">
        <v>746</v>
      </c>
      <c r="Q299" s="52" t="s">
        <v>683</v>
      </c>
      <c r="R299" s="52" t="s">
        <v>213</v>
      </c>
      <c r="S299" s="49" t="s">
        <v>684</v>
      </c>
      <c r="T299" s="52" t="s">
        <v>1821</v>
      </c>
      <c r="U299" s="52" t="s">
        <v>1824</v>
      </c>
      <c r="V299" s="50" t="s">
        <v>1823</v>
      </c>
    </row>
    <row r="300" spans="1:22" x14ac:dyDescent="0.3">
      <c r="A300" s="48" t="s">
        <v>1092</v>
      </c>
      <c r="B300" s="49" t="s">
        <v>544</v>
      </c>
      <c r="C300" s="49" t="s">
        <v>1093</v>
      </c>
      <c r="D300" s="49" t="s">
        <v>684</v>
      </c>
      <c r="E300" s="49" t="s">
        <v>674</v>
      </c>
      <c r="F300" s="49" t="s">
        <v>716</v>
      </c>
      <c r="G300" s="49" t="s">
        <v>744</v>
      </c>
      <c r="H300" s="49" t="s">
        <v>702</v>
      </c>
      <c r="I300" s="49" t="s">
        <v>736</v>
      </c>
      <c r="J300" s="49" t="s">
        <v>737</v>
      </c>
      <c r="K300" s="49" t="s">
        <v>738</v>
      </c>
      <c r="L300" s="49" t="s">
        <v>699</v>
      </c>
      <c r="M300" s="49">
        <v>0.2</v>
      </c>
      <c r="N300" s="49" t="s">
        <v>148</v>
      </c>
      <c r="O300" s="49" t="s">
        <v>665</v>
      </c>
      <c r="P300" s="49" t="s">
        <v>746</v>
      </c>
      <c r="Q300" s="49" t="s">
        <v>683</v>
      </c>
      <c r="R300" s="49" t="s">
        <v>213</v>
      </c>
      <c r="S300" s="49" t="s">
        <v>684</v>
      </c>
      <c r="T300" s="49" t="s">
        <v>1821</v>
      </c>
      <c r="U300" s="49" t="s">
        <v>1824</v>
      </c>
      <c r="V300" s="50" t="s">
        <v>1823</v>
      </c>
    </row>
    <row r="301" spans="1:22" x14ac:dyDescent="0.3">
      <c r="A301" s="51" t="s">
        <v>1094</v>
      </c>
      <c r="B301" s="52" t="s">
        <v>544</v>
      </c>
      <c r="C301" s="52" t="s">
        <v>1095</v>
      </c>
      <c r="D301" s="52" t="s">
        <v>684</v>
      </c>
      <c r="E301" s="52" t="s">
        <v>674</v>
      </c>
      <c r="F301" s="52" t="s">
        <v>716</v>
      </c>
      <c r="G301" s="52" t="s">
        <v>744</v>
      </c>
      <c r="H301" s="52" t="s">
        <v>702</v>
      </c>
      <c r="I301" s="52" t="s">
        <v>736</v>
      </c>
      <c r="J301" s="52" t="s">
        <v>737</v>
      </c>
      <c r="K301" s="52" t="s">
        <v>738</v>
      </c>
      <c r="L301" s="52" t="s">
        <v>699</v>
      </c>
      <c r="M301" s="52">
        <v>0.2</v>
      </c>
      <c r="N301" s="52" t="s">
        <v>148</v>
      </c>
      <c r="O301" s="52" t="s">
        <v>665</v>
      </c>
      <c r="P301" s="52" t="s">
        <v>746</v>
      </c>
      <c r="Q301" s="52" t="s">
        <v>683</v>
      </c>
      <c r="R301" s="52" t="s">
        <v>213</v>
      </c>
      <c r="S301" s="49" t="s">
        <v>684</v>
      </c>
      <c r="T301" s="52" t="s">
        <v>1821</v>
      </c>
      <c r="U301" s="52" t="s">
        <v>1824</v>
      </c>
      <c r="V301" s="50" t="s">
        <v>1823</v>
      </c>
    </row>
    <row r="302" spans="1:22" x14ac:dyDescent="0.3">
      <c r="A302" s="48" t="s">
        <v>1027</v>
      </c>
      <c r="B302" s="49" t="s">
        <v>544</v>
      </c>
      <c r="C302" s="49" t="s">
        <v>1028</v>
      </c>
      <c r="D302" s="49" t="s">
        <v>684</v>
      </c>
      <c r="E302" s="49" t="s">
        <v>674</v>
      </c>
      <c r="F302" s="49" t="s">
        <v>716</v>
      </c>
      <c r="G302" s="49" t="s">
        <v>744</v>
      </c>
      <c r="H302" s="49" t="s">
        <v>702</v>
      </c>
      <c r="I302" s="49" t="s">
        <v>678</v>
      </c>
      <c r="J302" s="49" t="s">
        <v>737</v>
      </c>
      <c r="K302" s="49" t="s">
        <v>738</v>
      </c>
      <c r="L302" s="49" t="s">
        <v>699</v>
      </c>
      <c r="M302" s="49">
        <v>0.4</v>
      </c>
      <c r="N302" s="49" t="s">
        <v>148</v>
      </c>
      <c r="O302" s="49" t="s">
        <v>665</v>
      </c>
      <c r="P302" s="49" t="s">
        <v>746</v>
      </c>
      <c r="Q302" s="49" t="s">
        <v>683</v>
      </c>
      <c r="R302" s="49" t="s">
        <v>213</v>
      </c>
      <c r="S302" s="49" t="s">
        <v>684</v>
      </c>
      <c r="T302" s="49" t="s">
        <v>1821</v>
      </c>
      <c r="U302" s="49" t="s">
        <v>1824</v>
      </c>
      <c r="V302" s="50" t="s">
        <v>1823</v>
      </c>
    </row>
    <row r="303" spans="1:22" x14ac:dyDescent="0.3">
      <c r="A303" s="51" t="s">
        <v>1006</v>
      </c>
      <c r="B303" s="52" t="s">
        <v>707</v>
      </c>
      <c r="C303" s="52" t="s">
        <v>773</v>
      </c>
      <c r="D303" s="52" t="s">
        <v>684</v>
      </c>
      <c r="E303" s="52" t="s">
        <v>674</v>
      </c>
      <c r="F303" s="52" t="s">
        <v>773</v>
      </c>
      <c r="G303" s="52" t="s">
        <v>773</v>
      </c>
      <c r="H303" s="52" t="s">
        <v>773</v>
      </c>
      <c r="I303" s="52" t="s">
        <v>773</v>
      </c>
      <c r="J303" s="52" t="s">
        <v>737</v>
      </c>
      <c r="K303" s="52" t="s">
        <v>738</v>
      </c>
      <c r="L303" s="52" t="s">
        <v>699</v>
      </c>
      <c r="M303" s="52">
        <v>0.2</v>
      </c>
      <c r="N303" s="52" t="s">
        <v>251</v>
      </c>
      <c r="O303" s="52" t="s">
        <v>665</v>
      </c>
      <c r="P303" s="52" t="s">
        <v>746</v>
      </c>
      <c r="Q303" s="52" t="s">
        <v>683</v>
      </c>
      <c r="R303" s="52" t="s">
        <v>213</v>
      </c>
      <c r="S303" s="49" t="s">
        <v>684</v>
      </c>
      <c r="T303" s="52" t="s">
        <v>1821</v>
      </c>
      <c r="U303" s="52" t="s">
        <v>1824</v>
      </c>
      <c r="V303" s="50" t="s">
        <v>1823</v>
      </c>
    </row>
    <row r="304" spans="1:22" x14ac:dyDescent="0.3">
      <c r="A304" s="48" t="s">
        <v>1096</v>
      </c>
      <c r="B304" s="49" t="s">
        <v>544</v>
      </c>
      <c r="C304" s="49" t="s">
        <v>1097</v>
      </c>
      <c r="D304" s="49" t="s">
        <v>684</v>
      </c>
      <c r="E304" s="49" t="s">
        <v>674</v>
      </c>
      <c r="F304" s="49" t="s">
        <v>716</v>
      </c>
      <c r="G304" s="49" t="s">
        <v>744</v>
      </c>
      <c r="H304" s="49" t="s">
        <v>702</v>
      </c>
      <c r="I304" s="49" t="s">
        <v>736</v>
      </c>
      <c r="J304" s="49" t="s">
        <v>737</v>
      </c>
      <c r="K304" s="49" t="s">
        <v>738</v>
      </c>
      <c r="L304" s="49" t="s">
        <v>739</v>
      </c>
      <c r="M304" s="49">
        <v>0.1</v>
      </c>
      <c r="N304" s="49" t="s">
        <v>251</v>
      </c>
      <c r="O304" s="49" t="s">
        <v>665</v>
      </c>
      <c r="P304" s="49" t="s">
        <v>746</v>
      </c>
      <c r="Q304" s="49" t="s">
        <v>683</v>
      </c>
      <c r="R304" s="49" t="s">
        <v>213</v>
      </c>
      <c r="S304" s="49" t="s">
        <v>684</v>
      </c>
      <c r="T304" s="49" t="s">
        <v>1821</v>
      </c>
      <c r="U304" s="49" t="s">
        <v>1824</v>
      </c>
      <c r="V304" s="50" t="s">
        <v>1823</v>
      </c>
    </row>
    <row r="305" spans="1:22" x14ac:dyDescent="0.3">
      <c r="A305" s="51" t="s">
        <v>1098</v>
      </c>
      <c r="B305" s="52" t="s">
        <v>544</v>
      </c>
      <c r="C305" s="52" t="s">
        <v>1099</v>
      </c>
      <c r="D305" s="52" t="s">
        <v>684</v>
      </c>
      <c r="E305" s="52" t="s">
        <v>674</v>
      </c>
      <c r="F305" s="52" t="s">
        <v>716</v>
      </c>
      <c r="G305" s="52" t="s">
        <v>744</v>
      </c>
      <c r="H305" s="52" t="s">
        <v>702</v>
      </c>
      <c r="I305" s="52" t="s">
        <v>736</v>
      </c>
      <c r="J305" s="52" t="s">
        <v>737</v>
      </c>
      <c r="K305" s="52" t="s">
        <v>738</v>
      </c>
      <c r="L305" s="52" t="s">
        <v>699</v>
      </c>
      <c r="M305" s="52">
        <v>0.7</v>
      </c>
      <c r="N305" s="52" t="s">
        <v>251</v>
      </c>
      <c r="O305" s="52" t="s">
        <v>665</v>
      </c>
      <c r="P305" s="52" t="s">
        <v>746</v>
      </c>
      <c r="Q305" s="52" t="s">
        <v>683</v>
      </c>
      <c r="R305" s="52" t="s">
        <v>213</v>
      </c>
      <c r="S305" s="49" t="s">
        <v>684</v>
      </c>
      <c r="T305" s="52" t="s">
        <v>1821</v>
      </c>
      <c r="U305" s="52" t="s">
        <v>1824</v>
      </c>
      <c r="V305" s="50" t="s">
        <v>1823</v>
      </c>
    </row>
    <row r="306" spans="1:22" x14ac:dyDescent="0.3">
      <c r="A306" s="48" t="s">
        <v>1104</v>
      </c>
      <c r="B306" s="49" t="s">
        <v>544</v>
      </c>
      <c r="C306" s="49" t="s">
        <v>1105</v>
      </c>
      <c r="D306" s="49" t="s">
        <v>684</v>
      </c>
      <c r="E306" s="49" t="s">
        <v>674</v>
      </c>
      <c r="F306" s="49" t="s">
        <v>716</v>
      </c>
      <c r="G306" s="49" t="s">
        <v>744</v>
      </c>
      <c r="H306" s="49" t="s">
        <v>702</v>
      </c>
      <c r="I306" s="49" t="s">
        <v>736</v>
      </c>
      <c r="J306" s="49" t="s">
        <v>737</v>
      </c>
      <c r="K306" s="49" t="s">
        <v>738</v>
      </c>
      <c r="L306" s="49" t="s">
        <v>699</v>
      </c>
      <c r="M306" s="49">
        <v>0.2</v>
      </c>
      <c r="N306" s="49" t="s">
        <v>266</v>
      </c>
      <c r="O306" s="49" t="s">
        <v>665</v>
      </c>
      <c r="P306" s="49" t="s">
        <v>746</v>
      </c>
      <c r="Q306" s="49" t="s">
        <v>683</v>
      </c>
      <c r="R306" s="49" t="s">
        <v>213</v>
      </c>
      <c r="S306" s="49" t="s">
        <v>684</v>
      </c>
      <c r="T306" s="49" t="s">
        <v>1821</v>
      </c>
      <c r="U306" s="49" t="s">
        <v>1824</v>
      </c>
      <c r="V306" s="50" t="s">
        <v>1823</v>
      </c>
    </row>
    <row r="307" spans="1:22" x14ac:dyDescent="0.3">
      <c r="A307" s="51" t="s">
        <v>1102</v>
      </c>
      <c r="B307" s="52" t="s">
        <v>544</v>
      </c>
      <c r="C307" s="52" t="s">
        <v>1103</v>
      </c>
      <c r="D307" s="52" t="s">
        <v>684</v>
      </c>
      <c r="E307" s="52" t="s">
        <v>674</v>
      </c>
      <c r="F307" s="52" t="s">
        <v>716</v>
      </c>
      <c r="G307" s="52" t="s">
        <v>744</v>
      </c>
      <c r="H307" s="52" t="s">
        <v>702</v>
      </c>
      <c r="I307" s="52" t="s">
        <v>736</v>
      </c>
      <c r="J307" s="52" t="s">
        <v>737</v>
      </c>
      <c r="K307" s="52" t="s">
        <v>738</v>
      </c>
      <c r="L307" s="52" t="s">
        <v>699</v>
      </c>
      <c r="M307" s="52">
        <v>0.2</v>
      </c>
      <c r="N307" s="52" t="s">
        <v>266</v>
      </c>
      <c r="O307" s="52" t="s">
        <v>665</v>
      </c>
      <c r="P307" s="52" t="s">
        <v>746</v>
      </c>
      <c r="Q307" s="52" t="s">
        <v>683</v>
      </c>
      <c r="R307" s="52" t="s">
        <v>213</v>
      </c>
      <c r="S307" s="49" t="s">
        <v>684</v>
      </c>
      <c r="T307" s="52" t="s">
        <v>1821</v>
      </c>
      <c r="U307" s="52" t="s">
        <v>1824</v>
      </c>
      <c r="V307" s="50" t="s">
        <v>1823</v>
      </c>
    </row>
    <row r="308" spans="1:22" x14ac:dyDescent="0.3">
      <c r="A308" s="48" t="s">
        <v>1100</v>
      </c>
      <c r="B308" s="49" t="s">
        <v>544</v>
      </c>
      <c r="C308" s="49" t="s">
        <v>1101</v>
      </c>
      <c r="D308" s="49" t="s">
        <v>684</v>
      </c>
      <c r="E308" s="49" t="s">
        <v>674</v>
      </c>
      <c r="F308" s="49" t="s">
        <v>716</v>
      </c>
      <c r="G308" s="49" t="s">
        <v>744</v>
      </c>
      <c r="H308" s="49" t="s">
        <v>702</v>
      </c>
      <c r="I308" s="49" t="s">
        <v>736</v>
      </c>
      <c r="J308" s="49" t="s">
        <v>737</v>
      </c>
      <c r="K308" s="49" t="s">
        <v>738</v>
      </c>
      <c r="L308" s="49" t="s">
        <v>739</v>
      </c>
      <c r="M308" s="49">
        <v>0.2</v>
      </c>
      <c r="N308" s="49" t="s">
        <v>266</v>
      </c>
      <c r="O308" s="49" t="s">
        <v>665</v>
      </c>
      <c r="P308" s="49" t="s">
        <v>746</v>
      </c>
      <c r="Q308" s="49" t="s">
        <v>683</v>
      </c>
      <c r="R308" s="49" t="s">
        <v>213</v>
      </c>
      <c r="S308" s="49" t="s">
        <v>684</v>
      </c>
      <c r="T308" s="49" t="s">
        <v>1821</v>
      </c>
      <c r="U308" s="49" t="s">
        <v>1824</v>
      </c>
      <c r="V308" s="50" t="s">
        <v>1823</v>
      </c>
    </row>
    <row r="309" spans="1:22" x14ac:dyDescent="0.3">
      <c r="A309" s="51" t="s">
        <v>1106</v>
      </c>
      <c r="B309" s="52" t="s">
        <v>544</v>
      </c>
      <c r="C309" s="52" t="s">
        <v>1107</v>
      </c>
      <c r="D309" s="52" t="s">
        <v>684</v>
      </c>
      <c r="E309" s="52" t="s">
        <v>674</v>
      </c>
      <c r="F309" s="52" t="s">
        <v>734</v>
      </c>
      <c r="G309" s="52" t="s">
        <v>735</v>
      </c>
      <c r="H309" s="52" t="s">
        <v>735</v>
      </c>
      <c r="I309" s="52" t="s">
        <v>736</v>
      </c>
      <c r="J309" s="52" t="s">
        <v>737</v>
      </c>
      <c r="K309" s="52" t="s">
        <v>738</v>
      </c>
      <c r="L309" s="52" t="s">
        <v>739</v>
      </c>
      <c r="M309" s="52">
        <v>0.2</v>
      </c>
      <c r="N309" s="52" t="s">
        <v>266</v>
      </c>
      <c r="O309" s="52" t="s">
        <v>665</v>
      </c>
      <c r="P309" s="52" t="s">
        <v>746</v>
      </c>
      <c r="Q309" s="52" t="s">
        <v>683</v>
      </c>
      <c r="R309" s="52" t="s">
        <v>213</v>
      </c>
      <c r="S309" s="49" t="s">
        <v>684</v>
      </c>
      <c r="T309" s="52" t="s">
        <v>1821</v>
      </c>
      <c r="U309" s="52" t="s">
        <v>1824</v>
      </c>
      <c r="V309" s="50" t="s">
        <v>1823</v>
      </c>
    </row>
    <row r="310" spans="1:22" x14ac:dyDescent="0.3">
      <c r="A310" s="48" t="s">
        <v>1108</v>
      </c>
      <c r="B310" s="49" t="s">
        <v>544</v>
      </c>
      <c r="C310" s="49" t="s">
        <v>1109</v>
      </c>
      <c r="D310" s="49" t="s">
        <v>684</v>
      </c>
      <c r="E310" s="49" t="s">
        <v>674</v>
      </c>
      <c r="F310" s="49" t="s">
        <v>734</v>
      </c>
      <c r="G310" s="49" t="s">
        <v>735</v>
      </c>
      <c r="H310" s="49" t="s">
        <v>735</v>
      </c>
      <c r="I310" s="49" t="s">
        <v>736</v>
      </c>
      <c r="J310" s="49" t="s">
        <v>737</v>
      </c>
      <c r="K310" s="49" t="s">
        <v>738</v>
      </c>
      <c r="L310" s="49" t="s">
        <v>739</v>
      </c>
      <c r="M310" s="49">
        <v>0.2</v>
      </c>
      <c r="N310" s="49" t="s">
        <v>266</v>
      </c>
      <c r="O310" s="49" t="s">
        <v>665</v>
      </c>
      <c r="P310" s="49" t="s">
        <v>746</v>
      </c>
      <c r="Q310" s="49" t="s">
        <v>683</v>
      </c>
      <c r="R310" s="49" t="s">
        <v>213</v>
      </c>
      <c r="S310" s="49" t="s">
        <v>684</v>
      </c>
      <c r="T310" s="49" t="s">
        <v>1821</v>
      </c>
      <c r="U310" s="49" t="s">
        <v>1824</v>
      </c>
      <c r="V310" s="50" t="s">
        <v>1823</v>
      </c>
    </row>
    <row r="311" spans="1:22" x14ac:dyDescent="0.3">
      <c r="A311" s="51" t="s">
        <v>1110</v>
      </c>
      <c r="B311" s="52" t="s">
        <v>544</v>
      </c>
      <c r="C311" s="52" t="s">
        <v>1111</v>
      </c>
      <c r="D311" s="52" t="s">
        <v>684</v>
      </c>
      <c r="E311" s="52" t="s">
        <v>674</v>
      </c>
      <c r="F311" s="52" t="s">
        <v>716</v>
      </c>
      <c r="G311" s="52" t="s">
        <v>744</v>
      </c>
      <c r="H311" s="52" t="s">
        <v>702</v>
      </c>
      <c r="I311" s="52" t="s">
        <v>736</v>
      </c>
      <c r="J311" s="52" t="s">
        <v>737</v>
      </c>
      <c r="K311" s="52" t="s">
        <v>738</v>
      </c>
      <c r="L311" s="52" t="s">
        <v>699</v>
      </c>
      <c r="M311" s="52">
        <v>0.2</v>
      </c>
      <c r="N311" s="52" t="s">
        <v>291</v>
      </c>
      <c r="O311" s="52" t="s">
        <v>665</v>
      </c>
      <c r="P311" s="52" t="s">
        <v>746</v>
      </c>
      <c r="Q311" s="52" t="s">
        <v>683</v>
      </c>
      <c r="R311" s="52" t="s">
        <v>213</v>
      </c>
      <c r="S311" s="49" t="s">
        <v>684</v>
      </c>
      <c r="T311" s="52" t="s">
        <v>1821</v>
      </c>
      <c r="U311" s="52" t="s">
        <v>1824</v>
      </c>
      <c r="V311" s="50" t="s">
        <v>1823</v>
      </c>
    </row>
    <row r="312" spans="1:22" x14ac:dyDescent="0.3">
      <c r="A312" s="48" t="s">
        <v>1114</v>
      </c>
      <c r="B312" s="49" t="s">
        <v>544</v>
      </c>
      <c r="C312" s="49" t="s">
        <v>1115</v>
      </c>
      <c r="D312" s="49" t="s">
        <v>684</v>
      </c>
      <c r="E312" s="49" t="s">
        <v>674</v>
      </c>
      <c r="F312" s="49" t="s">
        <v>716</v>
      </c>
      <c r="G312" s="49" t="s">
        <v>744</v>
      </c>
      <c r="H312" s="49" t="s">
        <v>702</v>
      </c>
      <c r="I312" s="49" t="s">
        <v>736</v>
      </c>
      <c r="J312" s="49" t="s">
        <v>737</v>
      </c>
      <c r="K312" s="49" t="s">
        <v>738</v>
      </c>
      <c r="L312" s="49" t="s">
        <v>699</v>
      </c>
      <c r="M312" s="49">
        <v>0.2</v>
      </c>
      <c r="N312" s="49" t="s">
        <v>291</v>
      </c>
      <c r="O312" s="49" t="s">
        <v>665</v>
      </c>
      <c r="P312" s="49" t="s">
        <v>746</v>
      </c>
      <c r="Q312" s="49" t="s">
        <v>683</v>
      </c>
      <c r="R312" s="49" t="s">
        <v>213</v>
      </c>
      <c r="S312" s="49" t="s">
        <v>684</v>
      </c>
      <c r="T312" s="49" t="s">
        <v>1821</v>
      </c>
      <c r="U312" s="49" t="s">
        <v>1824</v>
      </c>
      <c r="V312" s="50" t="s">
        <v>1823</v>
      </c>
    </row>
    <row r="313" spans="1:22" x14ac:dyDescent="0.3">
      <c r="A313" s="51" t="s">
        <v>1112</v>
      </c>
      <c r="B313" s="52" t="s">
        <v>544</v>
      </c>
      <c r="C313" s="52" t="s">
        <v>1113</v>
      </c>
      <c r="D313" s="52" t="s">
        <v>684</v>
      </c>
      <c r="E313" s="52" t="s">
        <v>674</v>
      </c>
      <c r="F313" s="52" t="s">
        <v>675</v>
      </c>
      <c r="G313" s="52" t="s">
        <v>676</v>
      </c>
      <c r="H313" s="52" t="s">
        <v>702</v>
      </c>
      <c r="I313" s="49" t="s">
        <v>678</v>
      </c>
      <c r="J313" s="52" t="s">
        <v>737</v>
      </c>
      <c r="K313" s="52" t="s">
        <v>738</v>
      </c>
      <c r="L313" s="52" t="s">
        <v>739</v>
      </c>
      <c r="M313" s="52">
        <v>0.2</v>
      </c>
      <c r="N313" s="52" t="s">
        <v>291</v>
      </c>
      <c r="O313" s="52" t="s">
        <v>665</v>
      </c>
      <c r="P313" s="52" t="s">
        <v>746</v>
      </c>
      <c r="Q313" s="52" t="s">
        <v>683</v>
      </c>
      <c r="R313" s="52" t="s">
        <v>213</v>
      </c>
      <c r="S313" s="49" t="s">
        <v>684</v>
      </c>
      <c r="T313" s="52" t="s">
        <v>1821</v>
      </c>
      <c r="U313" s="52" t="s">
        <v>1824</v>
      </c>
      <c r="V313" s="50" t="s">
        <v>1823</v>
      </c>
    </row>
    <row r="314" spans="1:22" x14ac:dyDescent="0.3">
      <c r="A314" s="48" t="s">
        <v>1118</v>
      </c>
      <c r="B314" s="49" t="s">
        <v>544</v>
      </c>
      <c r="C314" s="49" t="s">
        <v>1119</v>
      </c>
      <c r="D314" s="49" t="s">
        <v>684</v>
      </c>
      <c r="E314" s="49" t="s">
        <v>674</v>
      </c>
      <c r="F314" s="49" t="s">
        <v>716</v>
      </c>
      <c r="G314" s="49" t="s">
        <v>744</v>
      </c>
      <c r="H314" s="49" t="s">
        <v>677</v>
      </c>
      <c r="I314" s="49" t="s">
        <v>688</v>
      </c>
      <c r="J314" s="49" t="s">
        <v>737</v>
      </c>
      <c r="K314" s="49" t="s">
        <v>738</v>
      </c>
      <c r="L314" s="49" t="s">
        <v>699</v>
      </c>
      <c r="M314" s="49">
        <v>0.2</v>
      </c>
      <c r="N314" s="49" t="s">
        <v>291</v>
      </c>
      <c r="O314" s="49" t="s">
        <v>665</v>
      </c>
      <c r="P314" s="49" t="s">
        <v>746</v>
      </c>
      <c r="Q314" s="49" t="s">
        <v>683</v>
      </c>
      <c r="R314" s="49" t="s">
        <v>213</v>
      </c>
      <c r="S314" s="49" t="s">
        <v>684</v>
      </c>
      <c r="T314" s="49" t="s">
        <v>1821</v>
      </c>
      <c r="U314" s="49" t="s">
        <v>1824</v>
      </c>
      <c r="V314" s="50" t="s">
        <v>1823</v>
      </c>
    </row>
    <row r="315" spans="1:22" x14ac:dyDescent="0.3">
      <c r="A315" s="51" t="s">
        <v>1116</v>
      </c>
      <c r="B315" s="52" t="s">
        <v>544</v>
      </c>
      <c r="C315" s="52" t="s">
        <v>1117</v>
      </c>
      <c r="D315" s="52" t="s">
        <v>684</v>
      </c>
      <c r="E315" s="52" t="s">
        <v>674</v>
      </c>
      <c r="F315" s="52" t="s">
        <v>716</v>
      </c>
      <c r="G315" s="52" t="s">
        <v>744</v>
      </c>
      <c r="H315" s="52" t="s">
        <v>677</v>
      </c>
      <c r="I315" s="52" t="s">
        <v>736</v>
      </c>
      <c r="J315" s="52" t="s">
        <v>737</v>
      </c>
      <c r="K315" s="52" t="s">
        <v>738</v>
      </c>
      <c r="L315" s="52" t="s">
        <v>699</v>
      </c>
      <c r="M315" s="52">
        <v>0.2</v>
      </c>
      <c r="N315" s="52" t="s">
        <v>291</v>
      </c>
      <c r="O315" s="52" t="s">
        <v>665</v>
      </c>
      <c r="P315" s="52" t="s">
        <v>746</v>
      </c>
      <c r="Q315" s="52" t="s">
        <v>683</v>
      </c>
      <c r="R315" s="52" t="s">
        <v>213</v>
      </c>
      <c r="S315" s="49" t="s">
        <v>684</v>
      </c>
      <c r="T315" s="52" t="s">
        <v>1821</v>
      </c>
      <c r="U315" s="52" t="s">
        <v>1824</v>
      </c>
      <c r="V315" s="50" t="s">
        <v>1823</v>
      </c>
    </row>
    <row r="316" spans="1:22" x14ac:dyDescent="0.3">
      <c r="A316" s="48" t="s">
        <v>1006</v>
      </c>
      <c r="B316" s="49" t="s">
        <v>707</v>
      </c>
      <c r="C316" s="49" t="s">
        <v>773</v>
      </c>
      <c r="D316" s="49" t="s">
        <v>684</v>
      </c>
      <c r="E316" s="49" t="s">
        <v>674</v>
      </c>
      <c r="F316" s="49" t="s">
        <v>773</v>
      </c>
      <c r="G316" s="49" t="s">
        <v>773</v>
      </c>
      <c r="H316" s="49" t="s">
        <v>773</v>
      </c>
      <c r="I316" s="49" t="s">
        <v>773</v>
      </c>
      <c r="J316" s="49" t="s">
        <v>737</v>
      </c>
      <c r="K316" s="49" t="s">
        <v>738</v>
      </c>
      <c r="L316" s="49" t="s">
        <v>699</v>
      </c>
      <c r="M316" s="49">
        <v>0.4</v>
      </c>
      <c r="N316" s="49" t="s">
        <v>1120</v>
      </c>
      <c r="O316" s="49" t="s">
        <v>665</v>
      </c>
      <c r="P316" s="49" t="s">
        <v>746</v>
      </c>
      <c r="Q316" s="49" t="s">
        <v>683</v>
      </c>
      <c r="R316" s="49" t="s">
        <v>213</v>
      </c>
      <c r="S316" s="49" t="s">
        <v>684</v>
      </c>
      <c r="T316" s="49" t="s">
        <v>1821</v>
      </c>
      <c r="U316" s="49" t="s">
        <v>1824</v>
      </c>
      <c r="V316" s="50" t="s">
        <v>1823</v>
      </c>
    </row>
    <row r="317" spans="1:22" x14ac:dyDescent="0.3">
      <c r="A317" s="51" t="s">
        <v>1043</v>
      </c>
      <c r="B317" s="52" t="s">
        <v>707</v>
      </c>
      <c r="C317" s="52" t="s">
        <v>773</v>
      </c>
      <c r="D317" s="52" t="s">
        <v>684</v>
      </c>
      <c r="E317" s="52" t="s">
        <v>674</v>
      </c>
      <c r="F317" s="52" t="s">
        <v>773</v>
      </c>
      <c r="G317" s="52" t="s">
        <v>773</v>
      </c>
      <c r="H317" s="52" t="s">
        <v>773</v>
      </c>
      <c r="I317" s="52" t="s">
        <v>773</v>
      </c>
      <c r="J317" s="52" t="s">
        <v>737</v>
      </c>
      <c r="K317" s="52" t="s">
        <v>738</v>
      </c>
      <c r="L317" s="52" t="s">
        <v>699</v>
      </c>
      <c r="M317" s="52">
        <v>0.4</v>
      </c>
      <c r="N317" s="52" t="s">
        <v>1120</v>
      </c>
      <c r="O317" s="52" t="s">
        <v>665</v>
      </c>
      <c r="P317" s="52" t="s">
        <v>746</v>
      </c>
      <c r="Q317" s="52" t="s">
        <v>683</v>
      </c>
      <c r="R317" s="52" t="s">
        <v>213</v>
      </c>
      <c r="S317" s="49" t="s">
        <v>684</v>
      </c>
      <c r="T317" s="52" t="s">
        <v>1821</v>
      </c>
      <c r="U317" s="52" t="s">
        <v>1824</v>
      </c>
      <c r="V317" s="50" t="s">
        <v>1823</v>
      </c>
    </row>
    <row r="318" spans="1:22" x14ac:dyDescent="0.3">
      <c r="A318" s="48" t="s">
        <v>1043</v>
      </c>
      <c r="B318" s="49" t="s">
        <v>707</v>
      </c>
      <c r="C318" s="49" t="s">
        <v>773</v>
      </c>
      <c r="D318" s="49" t="s">
        <v>684</v>
      </c>
      <c r="E318" s="49" t="s">
        <v>674</v>
      </c>
      <c r="F318" s="49" t="s">
        <v>773</v>
      </c>
      <c r="G318" s="49" t="s">
        <v>773</v>
      </c>
      <c r="H318" s="49" t="s">
        <v>773</v>
      </c>
      <c r="I318" s="49" t="s">
        <v>773</v>
      </c>
      <c r="J318" s="49" t="s">
        <v>737</v>
      </c>
      <c r="K318" s="49" t="s">
        <v>738</v>
      </c>
      <c r="L318" s="49" t="s">
        <v>699</v>
      </c>
      <c r="M318" s="49">
        <v>0.4</v>
      </c>
      <c r="N318" s="49" t="s">
        <v>1121</v>
      </c>
      <c r="O318" s="49" t="s">
        <v>665</v>
      </c>
      <c r="P318" s="49" t="s">
        <v>746</v>
      </c>
      <c r="Q318" s="49" t="s">
        <v>683</v>
      </c>
      <c r="R318" s="49" t="s">
        <v>213</v>
      </c>
      <c r="S318" s="49" t="s">
        <v>684</v>
      </c>
      <c r="T318" s="49" t="s">
        <v>1821</v>
      </c>
      <c r="U318" s="49" t="s">
        <v>1824</v>
      </c>
      <c r="V318" s="50" t="s">
        <v>1823</v>
      </c>
    </row>
    <row r="319" spans="1:22" x14ac:dyDescent="0.3">
      <c r="A319" s="51" t="s">
        <v>1006</v>
      </c>
      <c r="B319" s="52" t="s">
        <v>707</v>
      </c>
      <c r="C319" s="52" t="s">
        <v>773</v>
      </c>
      <c r="D319" s="52" t="s">
        <v>684</v>
      </c>
      <c r="E319" s="52" t="s">
        <v>674</v>
      </c>
      <c r="F319" s="52" t="s">
        <v>773</v>
      </c>
      <c r="G319" s="52" t="s">
        <v>773</v>
      </c>
      <c r="H319" s="52" t="s">
        <v>773</v>
      </c>
      <c r="I319" s="52" t="s">
        <v>773</v>
      </c>
      <c r="J319" s="52" t="s">
        <v>737</v>
      </c>
      <c r="K319" s="52" t="s">
        <v>738</v>
      </c>
      <c r="L319" s="52" t="s">
        <v>699</v>
      </c>
      <c r="M319" s="52">
        <v>0.4</v>
      </c>
      <c r="N319" s="52" t="s">
        <v>1121</v>
      </c>
      <c r="O319" s="52" t="s">
        <v>665</v>
      </c>
      <c r="P319" s="52" t="s">
        <v>746</v>
      </c>
      <c r="Q319" s="52" t="s">
        <v>683</v>
      </c>
      <c r="R319" s="52" t="s">
        <v>213</v>
      </c>
      <c r="S319" s="49" t="s">
        <v>684</v>
      </c>
      <c r="T319" s="52" t="s">
        <v>1821</v>
      </c>
      <c r="U319" s="52" t="s">
        <v>1824</v>
      </c>
      <c r="V319" s="50" t="s">
        <v>1823</v>
      </c>
    </row>
    <row r="320" spans="1:22" x14ac:dyDescent="0.3">
      <c r="A320" s="48" t="s">
        <v>1122</v>
      </c>
      <c r="B320" s="49" t="s">
        <v>544</v>
      </c>
      <c r="C320" s="49" t="s">
        <v>1123</v>
      </c>
      <c r="D320" s="49" t="s">
        <v>684</v>
      </c>
      <c r="E320" s="49" t="s">
        <v>674</v>
      </c>
      <c r="F320" s="49" t="s">
        <v>716</v>
      </c>
      <c r="G320" s="49" t="s">
        <v>744</v>
      </c>
      <c r="H320" s="49" t="s">
        <v>702</v>
      </c>
      <c r="I320" s="49" t="s">
        <v>736</v>
      </c>
      <c r="J320" s="49" t="s">
        <v>737</v>
      </c>
      <c r="K320" s="49" t="s">
        <v>738</v>
      </c>
      <c r="L320" s="49" t="s">
        <v>699</v>
      </c>
      <c r="M320" s="49">
        <v>0.2</v>
      </c>
      <c r="N320" s="49" t="s">
        <v>380</v>
      </c>
      <c r="O320" s="49" t="s">
        <v>665</v>
      </c>
      <c r="P320" s="49" t="s">
        <v>746</v>
      </c>
      <c r="Q320" s="49" t="s">
        <v>683</v>
      </c>
      <c r="R320" s="49" t="s">
        <v>213</v>
      </c>
      <c r="S320" s="49" t="s">
        <v>684</v>
      </c>
      <c r="T320" s="49" t="s">
        <v>1821</v>
      </c>
      <c r="U320" s="49" t="s">
        <v>1824</v>
      </c>
      <c r="V320" s="50" t="s">
        <v>1823</v>
      </c>
    </row>
    <row r="321" spans="1:22" x14ac:dyDescent="0.3">
      <c r="A321" s="51" t="s">
        <v>887</v>
      </c>
      <c r="B321" s="52" t="s">
        <v>544</v>
      </c>
      <c r="C321" s="52" t="s">
        <v>888</v>
      </c>
      <c r="D321" s="52" t="s">
        <v>684</v>
      </c>
      <c r="E321" s="52" t="s">
        <v>674</v>
      </c>
      <c r="F321" s="52" t="s">
        <v>734</v>
      </c>
      <c r="G321" s="52" t="s">
        <v>735</v>
      </c>
      <c r="H321" s="52" t="s">
        <v>735</v>
      </c>
      <c r="I321" s="52" t="s">
        <v>736</v>
      </c>
      <c r="J321" s="52" t="s">
        <v>737</v>
      </c>
      <c r="K321" s="52" t="s">
        <v>738</v>
      </c>
      <c r="L321" s="52" t="s">
        <v>699</v>
      </c>
      <c r="M321" s="52">
        <v>0.2</v>
      </c>
      <c r="N321" s="52" t="s">
        <v>380</v>
      </c>
      <c r="O321" s="52" t="s">
        <v>665</v>
      </c>
      <c r="P321" s="52" t="s">
        <v>746</v>
      </c>
      <c r="Q321" s="52" t="s">
        <v>683</v>
      </c>
      <c r="R321" s="52" t="s">
        <v>213</v>
      </c>
      <c r="S321" s="49" t="s">
        <v>684</v>
      </c>
      <c r="T321" s="52" t="s">
        <v>1821</v>
      </c>
      <c r="U321" s="52" t="s">
        <v>1824</v>
      </c>
      <c r="V321" s="50" t="s">
        <v>1823</v>
      </c>
    </row>
    <row r="322" spans="1:22" x14ac:dyDescent="0.3">
      <c r="A322" s="48" t="s">
        <v>1128</v>
      </c>
      <c r="B322" s="49" t="s">
        <v>544</v>
      </c>
      <c r="C322" s="49" t="s">
        <v>1129</v>
      </c>
      <c r="D322" s="49" t="s">
        <v>684</v>
      </c>
      <c r="E322" s="49" t="s">
        <v>674</v>
      </c>
      <c r="F322" s="49" t="s">
        <v>716</v>
      </c>
      <c r="G322" s="49" t="s">
        <v>744</v>
      </c>
      <c r="H322" s="49" t="s">
        <v>702</v>
      </c>
      <c r="I322" s="49" t="s">
        <v>736</v>
      </c>
      <c r="J322" s="49" t="s">
        <v>737</v>
      </c>
      <c r="K322" s="49" t="s">
        <v>738</v>
      </c>
      <c r="L322" s="49" t="s">
        <v>681</v>
      </c>
      <c r="M322" s="49">
        <v>0.2</v>
      </c>
      <c r="N322" s="49" t="s">
        <v>380</v>
      </c>
      <c r="O322" s="49" t="s">
        <v>665</v>
      </c>
      <c r="P322" s="49" t="s">
        <v>746</v>
      </c>
      <c r="Q322" s="49" t="s">
        <v>683</v>
      </c>
      <c r="R322" s="49" t="s">
        <v>213</v>
      </c>
      <c r="S322" s="49" t="s">
        <v>684</v>
      </c>
      <c r="T322" s="49" t="s">
        <v>1821</v>
      </c>
      <c r="U322" s="49" t="s">
        <v>1824</v>
      </c>
      <c r="V322" s="50" t="s">
        <v>1823</v>
      </c>
    </row>
    <row r="323" spans="1:22" x14ac:dyDescent="0.3">
      <c r="A323" s="51" t="s">
        <v>1126</v>
      </c>
      <c r="B323" s="52" t="s">
        <v>544</v>
      </c>
      <c r="C323" s="52" t="s">
        <v>1127</v>
      </c>
      <c r="D323" s="52" t="s">
        <v>684</v>
      </c>
      <c r="E323" s="52" t="s">
        <v>674</v>
      </c>
      <c r="F323" s="52" t="s">
        <v>734</v>
      </c>
      <c r="G323" s="52" t="s">
        <v>735</v>
      </c>
      <c r="H323" s="52" t="s">
        <v>735</v>
      </c>
      <c r="I323" s="52" t="s">
        <v>736</v>
      </c>
      <c r="J323" s="52" t="s">
        <v>737</v>
      </c>
      <c r="K323" s="52" t="s">
        <v>738</v>
      </c>
      <c r="L323" s="52" t="s">
        <v>681</v>
      </c>
      <c r="M323" s="52">
        <v>0.2</v>
      </c>
      <c r="N323" s="52" t="s">
        <v>380</v>
      </c>
      <c r="O323" s="52" t="s">
        <v>665</v>
      </c>
      <c r="P323" s="52" t="s">
        <v>746</v>
      </c>
      <c r="Q323" s="52" t="s">
        <v>683</v>
      </c>
      <c r="R323" s="52" t="s">
        <v>213</v>
      </c>
      <c r="S323" s="49" t="s">
        <v>684</v>
      </c>
      <c r="T323" s="52" t="s">
        <v>1821</v>
      </c>
      <c r="U323" s="52" t="s">
        <v>1824</v>
      </c>
      <c r="V323" s="50" t="s">
        <v>1823</v>
      </c>
    </row>
    <row r="324" spans="1:22" x14ac:dyDescent="0.3">
      <c r="A324" s="48" t="s">
        <v>1124</v>
      </c>
      <c r="B324" s="49" t="s">
        <v>544</v>
      </c>
      <c r="C324" s="49" t="s">
        <v>1125</v>
      </c>
      <c r="D324" s="49" t="s">
        <v>684</v>
      </c>
      <c r="E324" s="49" t="s">
        <v>674</v>
      </c>
      <c r="F324" s="49" t="s">
        <v>716</v>
      </c>
      <c r="G324" s="49" t="s">
        <v>744</v>
      </c>
      <c r="H324" s="49" t="s">
        <v>702</v>
      </c>
      <c r="I324" s="49" t="s">
        <v>736</v>
      </c>
      <c r="J324" s="49" t="s">
        <v>737</v>
      </c>
      <c r="K324" s="49" t="s">
        <v>738</v>
      </c>
      <c r="L324" s="49" t="s">
        <v>699</v>
      </c>
      <c r="M324" s="49">
        <v>0.2</v>
      </c>
      <c r="N324" s="49" t="s">
        <v>380</v>
      </c>
      <c r="O324" s="49" t="s">
        <v>665</v>
      </c>
      <c r="P324" s="49" t="s">
        <v>746</v>
      </c>
      <c r="Q324" s="49" t="s">
        <v>683</v>
      </c>
      <c r="R324" s="49" t="s">
        <v>213</v>
      </c>
      <c r="S324" s="49" t="s">
        <v>684</v>
      </c>
      <c r="T324" s="49" t="s">
        <v>1821</v>
      </c>
      <c r="U324" s="49" t="s">
        <v>1824</v>
      </c>
      <c r="V324" s="50" t="s">
        <v>1823</v>
      </c>
    </row>
    <row r="325" spans="1:22" x14ac:dyDescent="0.3">
      <c r="A325" s="51" t="s">
        <v>1130</v>
      </c>
      <c r="B325" s="52" t="s">
        <v>544</v>
      </c>
      <c r="C325" s="52" t="s">
        <v>1131</v>
      </c>
      <c r="D325" s="52" t="s">
        <v>684</v>
      </c>
      <c r="E325" s="52" t="s">
        <v>674</v>
      </c>
      <c r="F325" s="52" t="s">
        <v>716</v>
      </c>
      <c r="G325" s="52" t="s">
        <v>744</v>
      </c>
      <c r="H325" s="52" t="s">
        <v>702</v>
      </c>
      <c r="I325" s="52" t="s">
        <v>736</v>
      </c>
      <c r="J325" s="52" t="s">
        <v>737</v>
      </c>
      <c r="K325" s="52" t="s">
        <v>738</v>
      </c>
      <c r="L325" s="52" t="s">
        <v>739</v>
      </c>
      <c r="M325" s="52">
        <v>0.2</v>
      </c>
      <c r="N325" s="52" t="s">
        <v>398</v>
      </c>
      <c r="O325" s="52" t="s">
        <v>665</v>
      </c>
      <c r="P325" s="52" t="s">
        <v>746</v>
      </c>
      <c r="Q325" s="52" t="s">
        <v>683</v>
      </c>
      <c r="R325" s="52" t="s">
        <v>213</v>
      </c>
      <c r="S325" s="49" t="s">
        <v>684</v>
      </c>
      <c r="T325" s="52" t="s">
        <v>1821</v>
      </c>
      <c r="U325" s="52" t="s">
        <v>1824</v>
      </c>
      <c r="V325" s="50" t="s">
        <v>1823</v>
      </c>
    </row>
    <row r="326" spans="1:22" x14ac:dyDescent="0.3">
      <c r="A326" s="48" t="s">
        <v>1136</v>
      </c>
      <c r="B326" s="49" t="s">
        <v>544</v>
      </c>
      <c r="C326" s="49" t="s">
        <v>1137</v>
      </c>
      <c r="D326" s="49" t="s">
        <v>684</v>
      </c>
      <c r="E326" s="49" t="s">
        <v>674</v>
      </c>
      <c r="F326" s="49" t="s">
        <v>716</v>
      </c>
      <c r="G326" s="49" t="s">
        <v>744</v>
      </c>
      <c r="H326" s="49" t="s">
        <v>702</v>
      </c>
      <c r="I326" s="49" t="s">
        <v>736</v>
      </c>
      <c r="J326" s="49" t="s">
        <v>737</v>
      </c>
      <c r="K326" s="49" t="s">
        <v>738</v>
      </c>
      <c r="L326" s="49" t="s">
        <v>691</v>
      </c>
      <c r="M326" s="49">
        <v>0.2</v>
      </c>
      <c r="N326" s="49" t="s">
        <v>398</v>
      </c>
      <c r="O326" s="49" t="s">
        <v>665</v>
      </c>
      <c r="P326" s="49" t="s">
        <v>746</v>
      </c>
      <c r="Q326" s="49" t="s">
        <v>683</v>
      </c>
      <c r="R326" s="49" t="s">
        <v>213</v>
      </c>
      <c r="S326" s="49" t="s">
        <v>684</v>
      </c>
      <c r="T326" s="49" t="s">
        <v>1821</v>
      </c>
      <c r="U326" s="49" t="s">
        <v>1824</v>
      </c>
      <c r="V326" s="50" t="s">
        <v>1823</v>
      </c>
    </row>
    <row r="327" spans="1:22" x14ac:dyDescent="0.3">
      <c r="A327" s="51" t="s">
        <v>1134</v>
      </c>
      <c r="B327" s="52" t="s">
        <v>544</v>
      </c>
      <c r="C327" s="52" t="s">
        <v>1135</v>
      </c>
      <c r="D327" s="52" t="s">
        <v>684</v>
      </c>
      <c r="E327" s="52" t="s">
        <v>674</v>
      </c>
      <c r="F327" s="52" t="s">
        <v>716</v>
      </c>
      <c r="G327" s="52" t="s">
        <v>744</v>
      </c>
      <c r="H327" s="52" t="s">
        <v>702</v>
      </c>
      <c r="I327" s="52" t="s">
        <v>736</v>
      </c>
      <c r="J327" s="52" t="s">
        <v>737</v>
      </c>
      <c r="K327" s="52" t="s">
        <v>738</v>
      </c>
      <c r="L327" s="52" t="s">
        <v>699</v>
      </c>
      <c r="M327" s="52">
        <v>0.2</v>
      </c>
      <c r="N327" s="52" t="s">
        <v>398</v>
      </c>
      <c r="O327" s="52" t="s">
        <v>665</v>
      </c>
      <c r="P327" s="52" t="s">
        <v>746</v>
      </c>
      <c r="Q327" s="52" t="s">
        <v>683</v>
      </c>
      <c r="R327" s="52" t="s">
        <v>213</v>
      </c>
      <c r="S327" s="49" t="s">
        <v>684</v>
      </c>
      <c r="T327" s="52" t="s">
        <v>1821</v>
      </c>
      <c r="U327" s="52" t="s">
        <v>1824</v>
      </c>
      <c r="V327" s="50" t="s">
        <v>1823</v>
      </c>
    </row>
    <row r="328" spans="1:22" x14ac:dyDescent="0.3">
      <c r="A328" s="48" t="s">
        <v>1138</v>
      </c>
      <c r="B328" s="49" t="s">
        <v>544</v>
      </c>
      <c r="C328" s="49" t="s">
        <v>1139</v>
      </c>
      <c r="D328" s="49" t="s">
        <v>684</v>
      </c>
      <c r="E328" s="49" t="s">
        <v>674</v>
      </c>
      <c r="F328" s="49" t="s">
        <v>675</v>
      </c>
      <c r="G328" s="49" t="s">
        <v>676</v>
      </c>
      <c r="H328" s="49" t="s">
        <v>677</v>
      </c>
      <c r="I328" s="49" t="s">
        <v>688</v>
      </c>
      <c r="J328" s="49" t="s">
        <v>737</v>
      </c>
      <c r="K328" s="49" t="s">
        <v>738</v>
      </c>
      <c r="L328" s="49" t="s">
        <v>739</v>
      </c>
      <c r="M328" s="49">
        <v>0.2</v>
      </c>
      <c r="N328" s="49" t="s">
        <v>398</v>
      </c>
      <c r="O328" s="49" t="s">
        <v>665</v>
      </c>
      <c r="P328" s="49" t="s">
        <v>746</v>
      </c>
      <c r="Q328" s="49" t="s">
        <v>683</v>
      </c>
      <c r="R328" s="49" t="s">
        <v>213</v>
      </c>
      <c r="S328" s="49" t="s">
        <v>684</v>
      </c>
      <c r="T328" s="49" t="s">
        <v>1821</v>
      </c>
      <c r="U328" s="49" t="s">
        <v>1824</v>
      </c>
      <c r="V328" s="50" t="s">
        <v>1823</v>
      </c>
    </row>
    <row r="329" spans="1:22" x14ac:dyDescent="0.3">
      <c r="A329" s="51" t="s">
        <v>1132</v>
      </c>
      <c r="B329" s="52" t="s">
        <v>544</v>
      </c>
      <c r="C329" s="52" t="s">
        <v>1133</v>
      </c>
      <c r="D329" s="52" t="s">
        <v>684</v>
      </c>
      <c r="E329" s="52" t="s">
        <v>674</v>
      </c>
      <c r="F329" s="52" t="s">
        <v>675</v>
      </c>
      <c r="G329" s="52" t="s">
        <v>676</v>
      </c>
      <c r="H329" s="52" t="s">
        <v>677</v>
      </c>
      <c r="I329" s="49" t="s">
        <v>688</v>
      </c>
      <c r="J329" s="52" t="s">
        <v>737</v>
      </c>
      <c r="K329" s="52" t="s">
        <v>738</v>
      </c>
      <c r="L329" s="52" t="s">
        <v>808</v>
      </c>
      <c r="M329" s="52">
        <v>0.2</v>
      </c>
      <c r="N329" s="52" t="s">
        <v>398</v>
      </c>
      <c r="O329" s="52" t="s">
        <v>665</v>
      </c>
      <c r="P329" s="52" t="s">
        <v>746</v>
      </c>
      <c r="Q329" s="52" t="s">
        <v>683</v>
      </c>
      <c r="R329" s="52" t="s">
        <v>213</v>
      </c>
      <c r="S329" s="49" t="s">
        <v>684</v>
      </c>
      <c r="T329" s="52" t="s">
        <v>1821</v>
      </c>
      <c r="U329" s="52" t="s">
        <v>1824</v>
      </c>
      <c r="V329" s="50" t="s">
        <v>1823</v>
      </c>
    </row>
    <row r="330" spans="1:22" x14ac:dyDescent="0.3">
      <c r="A330" s="48" t="s">
        <v>1140</v>
      </c>
      <c r="B330" s="49" t="s">
        <v>544</v>
      </c>
      <c r="C330" s="49" t="s">
        <v>1141</v>
      </c>
      <c r="D330" s="49" t="s">
        <v>684</v>
      </c>
      <c r="E330" s="49" t="s">
        <v>674</v>
      </c>
      <c r="F330" s="49" t="s">
        <v>734</v>
      </c>
      <c r="G330" s="49" t="s">
        <v>735</v>
      </c>
      <c r="H330" s="49" t="s">
        <v>735</v>
      </c>
      <c r="I330" s="49" t="s">
        <v>736</v>
      </c>
      <c r="J330" s="49" t="s">
        <v>737</v>
      </c>
      <c r="K330" s="49" t="s">
        <v>738</v>
      </c>
      <c r="L330" s="49" t="s">
        <v>699</v>
      </c>
      <c r="M330" s="49">
        <v>0.2</v>
      </c>
      <c r="N330" s="49" t="s">
        <v>429</v>
      </c>
      <c r="O330" s="49" t="s">
        <v>665</v>
      </c>
      <c r="P330" s="49" t="s">
        <v>746</v>
      </c>
      <c r="Q330" s="49" t="s">
        <v>683</v>
      </c>
      <c r="R330" s="49" t="s">
        <v>213</v>
      </c>
      <c r="S330" s="49" t="s">
        <v>684</v>
      </c>
      <c r="T330" s="49" t="s">
        <v>1821</v>
      </c>
      <c r="U330" s="49" t="s">
        <v>1824</v>
      </c>
      <c r="V330" s="50" t="s">
        <v>1823</v>
      </c>
    </row>
    <row r="331" spans="1:22" x14ac:dyDescent="0.3">
      <c r="A331" s="51" t="s">
        <v>1142</v>
      </c>
      <c r="B331" s="52" t="s">
        <v>544</v>
      </c>
      <c r="C331" s="52" t="s">
        <v>1143</v>
      </c>
      <c r="D331" s="52" t="s">
        <v>684</v>
      </c>
      <c r="E331" s="52" t="s">
        <v>674</v>
      </c>
      <c r="F331" s="52" t="s">
        <v>734</v>
      </c>
      <c r="G331" s="52" t="s">
        <v>735</v>
      </c>
      <c r="H331" s="52" t="s">
        <v>735</v>
      </c>
      <c r="I331" s="52" t="s">
        <v>736</v>
      </c>
      <c r="J331" s="52" t="s">
        <v>737</v>
      </c>
      <c r="K331" s="52" t="s">
        <v>738</v>
      </c>
      <c r="L331" s="52" t="s">
        <v>699</v>
      </c>
      <c r="M331" s="52">
        <v>0.2</v>
      </c>
      <c r="N331" s="52" t="s">
        <v>429</v>
      </c>
      <c r="O331" s="52" t="s">
        <v>665</v>
      </c>
      <c r="P331" s="52" t="s">
        <v>746</v>
      </c>
      <c r="Q331" s="52" t="s">
        <v>683</v>
      </c>
      <c r="R331" s="52" t="s">
        <v>213</v>
      </c>
      <c r="S331" s="49" t="s">
        <v>684</v>
      </c>
      <c r="T331" s="52" t="s">
        <v>1821</v>
      </c>
      <c r="U331" s="52" t="s">
        <v>1824</v>
      </c>
      <c r="V331" s="50" t="s">
        <v>1823</v>
      </c>
    </row>
    <row r="332" spans="1:22" x14ac:dyDescent="0.3">
      <c r="A332" s="48" t="s">
        <v>1144</v>
      </c>
      <c r="B332" s="49" t="s">
        <v>544</v>
      </c>
      <c r="C332" s="49" t="s">
        <v>1145</v>
      </c>
      <c r="D332" s="49" t="s">
        <v>684</v>
      </c>
      <c r="E332" s="49" t="s">
        <v>674</v>
      </c>
      <c r="F332" s="49" t="s">
        <v>734</v>
      </c>
      <c r="G332" s="49" t="s">
        <v>735</v>
      </c>
      <c r="H332" s="49" t="s">
        <v>735</v>
      </c>
      <c r="I332" s="49" t="s">
        <v>736</v>
      </c>
      <c r="J332" s="49" t="s">
        <v>737</v>
      </c>
      <c r="K332" s="49" t="s">
        <v>738</v>
      </c>
      <c r="L332" s="49" t="s">
        <v>699</v>
      </c>
      <c r="M332" s="49">
        <v>0.2</v>
      </c>
      <c r="N332" s="49" t="s">
        <v>429</v>
      </c>
      <c r="O332" s="49" t="s">
        <v>665</v>
      </c>
      <c r="P332" s="49" t="s">
        <v>746</v>
      </c>
      <c r="Q332" s="49" t="s">
        <v>683</v>
      </c>
      <c r="R332" s="49" t="s">
        <v>213</v>
      </c>
      <c r="S332" s="49" t="s">
        <v>684</v>
      </c>
      <c r="T332" s="49" t="s">
        <v>1821</v>
      </c>
      <c r="U332" s="49" t="s">
        <v>1824</v>
      </c>
      <c r="V332" s="50" t="s">
        <v>1823</v>
      </c>
    </row>
    <row r="333" spans="1:22" x14ac:dyDescent="0.3">
      <c r="A333" s="51" t="s">
        <v>1148</v>
      </c>
      <c r="B333" s="52" t="s">
        <v>544</v>
      </c>
      <c r="C333" s="52" t="s">
        <v>1149</v>
      </c>
      <c r="D333" s="52" t="s">
        <v>684</v>
      </c>
      <c r="E333" s="52" t="s">
        <v>674</v>
      </c>
      <c r="F333" s="52" t="s">
        <v>734</v>
      </c>
      <c r="G333" s="52" t="s">
        <v>735</v>
      </c>
      <c r="H333" s="52" t="s">
        <v>735</v>
      </c>
      <c r="I333" s="52" t="s">
        <v>736</v>
      </c>
      <c r="J333" s="52" t="s">
        <v>737</v>
      </c>
      <c r="K333" s="52" t="s">
        <v>738</v>
      </c>
      <c r="L333" s="52" t="s">
        <v>699</v>
      </c>
      <c r="M333" s="52">
        <v>0.2</v>
      </c>
      <c r="N333" s="52" t="s">
        <v>429</v>
      </c>
      <c r="O333" s="52" t="s">
        <v>665</v>
      </c>
      <c r="P333" s="52" t="s">
        <v>746</v>
      </c>
      <c r="Q333" s="52" t="s">
        <v>683</v>
      </c>
      <c r="R333" s="52" t="s">
        <v>213</v>
      </c>
      <c r="S333" s="49" t="s">
        <v>684</v>
      </c>
      <c r="T333" s="52" t="s">
        <v>1821</v>
      </c>
      <c r="U333" s="52" t="s">
        <v>1824</v>
      </c>
      <c r="V333" s="50" t="s">
        <v>1823</v>
      </c>
    </row>
    <row r="334" spans="1:22" x14ac:dyDescent="0.3">
      <c r="A334" s="48" t="s">
        <v>1146</v>
      </c>
      <c r="B334" s="49" t="s">
        <v>544</v>
      </c>
      <c r="C334" s="49" t="s">
        <v>1147</v>
      </c>
      <c r="D334" s="49" t="s">
        <v>684</v>
      </c>
      <c r="E334" s="49" t="s">
        <v>674</v>
      </c>
      <c r="F334" s="49" t="s">
        <v>734</v>
      </c>
      <c r="G334" s="49" t="s">
        <v>735</v>
      </c>
      <c r="H334" s="49" t="s">
        <v>735</v>
      </c>
      <c r="I334" s="49" t="s">
        <v>736</v>
      </c>
      <c r="J334" s="49" t="s">
        <v>737</v>
      </c>
      <c r="K334" s="49" t="s">
        <v>738</v>
      </c>
      <c r="L334" s="49" t="s">
        <v>808</v>
      </c>
      <c r="M334" s="49">
        <v>0.2</v>
      </c>
      <c r="N334" s="49" t="s">
        <v>429</v>
      </c>
      <c r="O334" s="49" t="s">
        <v>665</v>
      </c>
      <c r="P334" s="49" t="s">
        <v>746</v>
      </c>
      <c r="Q334" s="49" t="s">
        <v>683</v>
      </c>
      <c r="R334" s="49" t="s">
        <v>213</v>
      </c>
      <c r="S334" s="49" t="s">
        <v>684</v>
      </c>
      <c r="T334" s="49" t="s">
        <v>1821</v>
      </c>
      <c r="U334" s="49" t="s">
        <v>1824</v>
      </c>
      <c r="V334" s="50" t="s">
        <v>1823</v>
      </c>
    </row>
    <row r="335" spans="1:22" x14ac:dyDescent="0.3">
      <c r="A335" s="51" t="s">
        <v>1150</v>
      </c>
      <c r="B335" s="52" t="s">
        <v>544</v>
      </c>
      <c r="C335" s="52" t="s">
        <v>1151</v>
      </c>
      <c r="D335" s="52" t="s">
        <v>684</v>
      </c>
      <c r="E335" s="52" t="s">
        <v>674</v>
      </c>
      <c r="F335" s="52" t="s">
        <v>716</v>
      </c>
      <c r="G335" s="52" t="s">
        <v>744</v>
      </c>
      <c r="H335" s="52" t="s">
        <v>702</v>
      </c>
      <c r="I335" s="52" t="s">
        <v>736</v>
      </c>
      <c r="J335" s="52" t="s">
        <v>737</v>
      </c>
      <c r="K335" s="52" t="s">
        <v>738</v>
      </c>
      <c r="L335" s="52" t="s">
        <v>739</v>
      </c>
      <c r="M335" s="52">
        <v>0.2</v>
      </c>
      <c r="N335" s="52" t="s">
        <v>514</v>
      </c>
      <c r="O335" s="52" t="s">
        <v>665</v>
      </c>
      <c r="P335" s="52" t="s">
        <v>746</v>
      </c>
      <c r="Q335" s="52" t="s">
        <v>683</v>
      </c>
      <c r="R335" s="52" t="s">
        <v>213</v>
      </c>
      <c r="S335" s="49" t="s">
        <v>684</v>
      </c>
      <c r="T335" s="52" t="s">
        <v>1821</v>
      </c>
      <c r="U335" s="52" t="s">
        <v>1824</v>
      </c>
      <c r="V335" s="50" t="s">
        <v>1823</v>
      </c>
    </row>
    <row r="336" spans="1:22" x14ac:dyDescent="0.3">
      <c r="A336" s="48" t="s">
        <v>2298</v>
      </c>
      <c r="B336" s="49" t="s">
        <v>544</v>
      </c>
      <c r="C336" s="49" t="s">
        <v>896</v>
      </c>
      <c r="D336" s="49" t="s">
        <v>684</v>
      </c>
      <c r="E336" s="49" t="s">
        <v>674</v>
      </c>
      <c r="F336" s="49" t="s">
        <v>716</v>
      </c>
      <c r="G336" s="49" t="s">
        <v>744</v>
      </c>
      <c r="H336" s="49" t="s">
        <v>702</v>
      </c>
      <c r="I336" s="49" t="s">
        <v>736</v>
      </c>
      <c r="J336" s="49" t="s">
        <v>737</v>
      </c>
      <c r="K336" s="49" t="s">
        <v>738</v>
      </c>
      <c r="L336" s="49" t="s">
        <v>808</v>
      </c>
      <c r="M336" s="49">
        <v>0.2</v>
      </c>
      <c r="N336" s="49" t="s">
        <v>514</v>
      </c>
      <c r="O336" s="49" t="s">
        <v>665</v>
      </c>
      <c r="P336" s="49" t="s">
        <v>746</v>
      </c>
      <c r="Q336" s="49" t="s">
        <v>683</v>
      </c>
      <c r="R336" s="49" t="s">
        <v>213</v>
      </c>
      <c r="S336" s="49" t="s">
        <v>684</v>
      </c>
      <c r="T336" s="49" t="s">
        <v>1821</v>
      </c>
      <c r="U336" s="49" t="s">
        <v>1824</v>
      </c>
      <c r="V336" s="50" t="s">
        <v>1823</v>
      </c>
    </row>
    <row r="337" spans="1:22" x14ac:dyDescent="0.3">
      <c r="A337" s="51" t="s">
        <v>1152</v>
      </c>
      <c r="B337" s="52" t="s">
        <v>544</v>
      </c>
      <c r="C337" s="52" t="s">
        <v>1153</v>
      </c>
      <c r="D337" s="52" t="s">
        <v>684</v>
      </c>
      <c r="E337" s="52" t="s">
        <v>674</v>
      </c>
      <c r="F337" s="52" t="s">
        <v>716</v>
      </c>
      <c r="G337" s="52" t="s">
        <v>744</v>
      </c>
      <c r="H337" s="52" t="s">
        <v>702</v>
      </c>
      <c r="I337" s="52" t="s">
        <v>736</v>
      </c>
      <c r="J337" s="52" t="s">
        <v>737</v>
      </c>
      <c r="K337" s="52" t="s">
        <v>738</v>
      </c>
      <c r="L337" s="52" t="s">
        <v>699</v>
      </c>
      <c r="M337" s="52">
        <v>0.2</v>
      </c>
      <c r="N337" s="52" t="s">
        <v>514</v>
      </c>
      <c r="O337" s="52" t="s">
        <v>665</v>
      </c>
      <c r="P337" s="52" t="s">
        <v>746</v>
      </c>
      <c r="Q337" s="52" t="s">
        <v>683</v>
      </c>
      <c r="R337" s="52" t="s">
        <v>213</v>
      </c>
      <c r="S337" s="49" t="s">
        <v>684</v>
      </c>
      <c r="T337" s="52" t="s">
        <v>1821</v>
      </c>
      <c r="U337" s="52" t="s">
        <v>1824</v>
      </c>
      <c r="V337" s="50" t="s">
        <v>1823</v>
      </c>
    </row>
    <row r="338" spans="1:22" x14ac:dyDescent="0.3">
      <c r="A338" s="48" t="s">
        <v>1156</v>
      </c>
      <c r="B338" s="49" t="s">
        <v>544</v>
      </c>
      <c r="C338" s="49" t="s">
        <v>1157</v>
      </c>
      <c r="D338" s="49" t="s">
        <v>684</v>
      </c>
      <c r="E338" s="49" t="s">
        <v>674</v>
      </c>
      <c r="F338" s="49" t="s">
        <v>716</v>
      </c>
      <c r="G338" s="49" t="s">
        <v>744</v>
      </c>
      <c r="H338" s="49" t="s">
        <v>702</v>
      </c>
      <c r="I338" s="49" t="s">
        <v>736</v>
      </c>
      <c r="J338" s="49" t="s">
        <v>737</v>
      </c>
      <c r="K338" s="49" t="s">
        <v>738</v>
      </c>
      <c r="L338" s="49" t="s">
        <v>699</v>
      </c>
      <c r="M338" s="49">
        <v>0.2</v>
      </c>
      <c r="N338" s="49" t="s">
        <v>514</v>
      </c>
      <c r="O338" s="49" t="s">
        <v>665</v>
      </c>
      <c r="P338" s="49" t="s">
        <v>746</v>
      </c>
      <c r="Q338" s="49" t="s">
        <v>683</v>
      </c>
      <c r="R338" s="49" t="s">
        <v>213</v>
      </c>
      <c r="S338" s="49" t="s">
        <v>684</v>
      </c>
      <c r="T338" s="49" t="s">
        <v>1821</v>
      </c>
      <c r="U338" s="49" t="s">
        <v>1824</v>
      </c>
      <c r="V338" s="50" t="s">
        <v>1823</v>
      </c>
    </row>
    <row r="339" spans="1:22" x14ac:dyDescent="0.3">
      <c r="A339" s="51" t="s">
        <v>1154</v>
      </c>
      <c r="B339" s="52" t="s">
        <v>544</v>
      </c>
      <c r="C339" s="52" t="s">
        <v>1155</v>
      </c>
      <c r="D339" s="52" t="s">
        <v>684</v>
      </c>
      <c r="E339" s="52" t="s">
        <v>674</v>
      </c>
      <c r="F339" s="52" t="s">
        <v>716</v>
      </c>
      <c r="G339" s="52" t="s">
        <v>744</v>
      </c>
      <c r="H339" s="52" t="s">
        <v>702</v>
      </c>
      <c r="I339" s="52" t="s">
        <v>736</v>
      </c>
      <c r="J339" s="52" t="s">
        <v>737</v>
      </c>
      <c r="K339" s="52" t="s">
        <v>738</v>
      </c>
      <c r="L339" s="52" t="s">
        <v>699</v>
      </c>
      <c r="M339" s="52">
        <v>0.2</v>
      </c>
      <c r="N339" s="52" t="s">
        <v>514</v>
      </c>
      <c r="O339" s="52" t="s">
        <v>665</v>
      </c>
      <c r="P339" s="52" t="s">
        <v>746</v>
      </c>
      <c r="Q339" s="52" t="s">
        <v>683</v>
      </c>
      <c r="R339" s="52" t="s">
        <v>213</v>
      </c>
      <c r="S339" s="49" t="s">
        <v>684</v>
      </c>
      <c r="T339" s="52" t="s">
        <v>1821</v>
      </c>
      <c r="U339" s="52" t="s">
        <v>1824</v>
      </c>
      <c r="V339" s="50" t="s">
        <v>1823</v>
      </c>
    </row>
    <row r="340" spans="1:22" x14ac:dyDescent="0.3">
      <c r="A340" s="48" t="s">
        <v>1158</v>
      </c>
      <c r="B340" s="49" t="s">
        <v>1159</v>
      </c>
      <c r="C340" s="49" t="s">
        <v>1160</v>
      </c>
      <c r="D340" s="49" t="s">
        <v>755</v>
      </c>
      <c r="E340" s="49" t="s">
        <v>674</v>
      </c>
      <c r="F340" s="49" t="s">
        <v>716</v>
      </c>
      <c r="G340" s="49" t="s">
        <v>828</v>
      </c>
      <c r="H340" s="49" t="s">
        <v>828</v>
      </c>
      <c r="I340" s="49" t="s">
        <v>678</v>
      </c>
      <c r="J340" s="49" t="s">
        <v>679</v>
      </c>
      <c r="K340" s="49" t="s">
        <v>680</v>
      </c>
      <c r="L340" s="49" t="s">
        <v>766</v>
      </c>
      <c r="M340" s="49">
        <v>1</v>
      </c>
      <c r="N340" s="49" t="s">
        <v>1161</v>
      </c>
      <c r="O340" s="49" t="s">
        <v>665</v>
      </c>
      <c r="P340" s="49" t="s">
        <v>746</v>
      </c>
      <c r="Q340" s="49" t="s">
        <v>683</v>
      </c>
      <c r="R340" s="49" t="s">
        <v>34</v>
      </c>
      <c r="S340" s="49" t="s">
        <v>755</v>
      </c>
      <c r="T340" s="49" t="s">
        <v>1821</v>
      </c>
      <c r="U340" s="49" t="s">
        <v>1824</v>
      </c>
      <c r="V340" s="50" t="s">
        <v>1823</v>
      </c>
    </row>
    <row r="341" spans="1:22" x14ac:dyDescent="0.3">
      <c r="A341" s="51" t="s">
        <v>756</v>
      </c>
      <c r="B341" s="52" t="s">
        <v>753</v>
      </c>
      <c r="C341" s="52" t="s">
        <v>756</v>
      </c>
      <c r="D341" s="52" t="s">
        <v>755</v>
      </c>
      <c r="E341" s="52" t="s">
        <v>674</v>
      </c>
      <c r="F341" s="52" t="s">
        <v>716</v>
      </c>
      <c r="G341" s="52" t="s">
        <v>744</v>
      </c>
      <c r="H341" s="52" t="s">
        <v>702</v>
      </c>
      <c r="I341" s="49" t="s">
        <v>678</v>
      </c>
      <c r="J341" s="52" t="s">
        <v>679</v>
      </c>
      <c r="K341" s="52" t="s">
        <v>680</v>
      </c>
      <c r="L341" s="52" t="s">
        <v>681</v>
      </c>
      <c r="M341" s="52">
        <v>0.5</v>
      </c>
      <c r="N341" s="52" t="s">
        <v>1162</v>
      </c>
      <c r="O341" s="52" t="s">
        <v>665</v>
      </c>
      <c r="P341" s="52" t="s">
        <v>746</v>
      </c>
      <c r="Q341" s="52" t="s">
        <v>683</v>
      </c>
      <c r="R341" s="52" t="s">
        <v>34</v>
      </c>
      <c r="S341" s="49" t="s">
        <v>755</v>
      </c>
      <c r="T341" s="52" t="s">
        <v>1821</v>
      </c>
      <c r="U341" s="52" t="s">
        <v>1824</v>
      </c>
      <c r="V341" s="50" t="s">
        <v>1823</v>
      </c>
    </row>
    <row r="342" spans="1:22" x14ac:dyDescent="0.3">
      <c r="A342" s="48" t="s">
        <v>756</v>
      </c>
      <c r="B342" s="49" t="s">
        <v>753</v>
      </c>
      <c r="C342" s="49" t="s">
        <v>756</v>
      </c>
      <c r="D342" s="49" t="s">
        <v>755</v>
      </c>
      <c r="E342" s="49" t="s">
        <v>674</v>
      </c>
      <c r="F342" s="49" t="s">
        <v>716</v>
      </c>
      <c r="G342" s="49" t="s">
        <v>744</v>
      </c>
      <c r="H342" s="49" t="s">
        <v>702</v>
      </c>
      <c r="I342" s="49" t="s">
        <v>678</v>
      </c>
      <c r="J342" s="49" t="s">
        <v>679</v>
      </c>
      <c r="K342" s="49" t="s">
        <v>680</v>
      </c>
      <c r="L342" s="49" t="s">
        <v>681</v>
      </c>
      <c r="M342" s="49">
        <v>1</v>
      </c>
      <c r="N342" s="49" t="s">
        <v>201</v>
      </c>
      <c r="O342" s="49" t="s">
        <v>767</v>
      </c>
      <c r="P342" s="52" t="s">
        <v>746</v>
      </c>
      <c r="Q342" s="49" t="s">
        <v>683</v>
      </c>
      <c r="R342" s="49" t="s">
        <v>34</v>
      </c>
      <c r="S342" s="49" t="s">
        <v>755</v>
      </c>
      <c r="T342" s="49" t="s">
        <v>1821</v>
      </c>
      <c r="U342" s="49" t="s">
        <v>1824</v>
      </c>
      <c r="V342" s="50" t="s">
        <v>1823</v>
      </c>
    </row>
    <row r="343" spans="1:22" x14ac:dyDescent="0.3">
      <c r="A343" s="51" t="s">
        <v>1163</v>
      </c>
      <c r="B343" s="52" t="s">
        <v>1159</v>
      </c>
      <c r="C343" s="52" t="s">
        <v>1160</v>
      </c>
      <c r="D343" s="52" t="s">
        <v>755</v>
      </c>
      <c r="E343" s="52" t="s">
        <v>674</v>
      </c>
      <c r="F343" s="52" t="s">
        <v>716</v>
      </c>
      <c r="G343" s="52" t="s">
        <v>828</v>
      </c>
      <c r="H343" s="52" t="s">
        <v>828</v>
      </c>
      <c r="I343" s="49" t="s">
        <v>678</v>
      </c>
      <c r="J343" s="52" t="s">
        <v>679</v>
      </c>
      <c r="K343" s="52" t="s">
        <v>680</v>
      </c>
      <c r="L343" s="52" t="s">
        <v>739</v>
      </c>
      <c r="M343" s="52">
        <v>0.5</v>
      </c>
      <c r="N343" s="52" t="s">
        <v>1162</v>
      </c>
      <c r="O343" s="52" t="s">
        <v>665</v>
      </c>
      <c r="P343" s="52" t="s">
        <v>746</v>
      </c>
      <c r="Q343" s="52" t="s">
        <v>683</v>
      </c>
      <c r="R343" s="52" t="s">
        <v>34</v>
      </c>
      <c r="S343" s="49" t="s">
        <v>755</v>
      </c>
      <c r="T343" s="52" t="s">
        <v>1821</v>
      </c>
      <c r="U343" s="52" t="s">
        <v>1824</v>
      </c>
      <c r="V343" s="50" t="s">
        <v>1823</v>
      </c>
    </row>
    <row r="344" spans="1:22" x14ac:dyDescent="0.3">
      <c r="A344" s="48" t="s">
        <v>1164</v>
      </c>
      <c r="B344" s="49" t="s">
        <v>753</v>
      </c>
      <c r="C344" s="49" t="s">
        <v>1165</v>
      </c>
      <c r="D344" s="49" t="s">
        <v>755</v>
      </c>
      <c r="E344" s="49" t="s">
        <v>674</v>
      </c>
      <c r="F344" s="49" t="s">
        <v>716</v>
      </c>
      <c r="G344" s="49" t="s">
        <v>744</v>
      </c>
      <c r="H344" s="49" t="s">
        <v>702</v>
      </c>
      <c r="I344" s="49" t="s">
        <v>688</v>
      </c>
      <c r="J344" s="49" t="s">
        <v>679</v>
      </c>
      <c r="K344" s="49" t="s">
        <v>680</v>
      </c>
      <c r="L344" s="49" t="s">
        <v>699</v>
      </c>
      <c r="M344" s="49">
        <v>0.2</v>
      </c>
      <c r="N344" s="49" t="s">
        <v>1166</v>
      </c>
      <c r="O344" s="49" t="s">
        <v>665</v>
      </c>
      <c r="P344" s="49" t="s">
        <v>746</v>
      </c>
      <c r="Q344" s="49" t="s">
        <v>683</v>
      </c>
      <c r="R344" s="49" t="s">
        <v>34</v>
      </c>
      <c r="S344" s="49" t="s">
        <v>755</v>
      </c>
      <c r="T344" s="49" t="s">
        <v>1821</v>
      </c>
      <c r="U344" s="49" t="s">
        <v>1824</v>
      </c>
      <c r="V344" s="50" t="s">
        <v>1823</v>
      </c>
    </row>
    <row r="345" spans="1:22" x14ac:dyDescent="0.3">
      <c r="A345" s="51" t="s">
        <v>1167</v>
      </c>
      <c r="B345" s="52" t="s">
        <v>753</v>
      </c>
      <c r="C345" s="52" t="s">
        <v>1168</v>
      </c>
      <c r="D345" s="52" t="s">
        <v>755</v>
      </c>
      <c r="E345" s="52" t="s">
        <v>674</v>
      </c>
      <c r="F345" s="52" t="s">
        <v>716</v>
      </c>
      <c r="G345" s="52" t="s">
        <v>744</v>
      </c>
      <c r="H345" s="52" t="s">
        <v>702</v>
      </c>
      <c r="I345" s="49" t="s">
        <v>688</v>
      </c>
      <c r="J345" s="52" t="s">
        <v>679</v>
      </c>
      <c r="K345" s="52" t="s">
        <v>680</v>
      </c>
      <c r="L345" s="52" t="s">
        <v>699</v>
      </c>
      <c r="M345" s="52">
        <v>0.2</v>
      </c>
      <c r="N345" s="52" t="s">
        <v>1166</v>
      </c>
      <c r="O345" s="52" t="s">
        <v>665</v>
      </c>
      <c r="P345" s="52" t="s">
        <v>746</v>
      </c>
      <c r="Q345" s="52" t="s">
        <v>683</v>
      </c>
      <c r="R345" s="52" t="s">
        <v>34</v>
      </c>
      <c r="S345" s="49" t="s">
        <v>755</v>
      </c>
      <c r="T345" s="52" t="s">
        <v>1821</v>
      </c>
      <c r="U345" s="52" t="s">
        <v>1824</v>
      </c>
      <c r="V345" s="50" t="s">
        <v>1823</v>
      </c>
    </row>
    <row r="346" spans="1:22" x14ac:dyDescent="0.3">
      <c r="A346" s="48" t="s">
        <v>995</v>
      </c>
      <c r="B346" s="49" t="s">
        <v>753</v>
      </c>
      <c r="C346" s="49" t="s">
        <v>996</v>
      </c>
      <c r="D346" s="49" t="s">
        <v>755</v>
      </c>
      <c r="E346" s="49" t="s">
        <v>674</v>
      </c>
      <c r="F346" s="49" t="s">
        <v>716</v>
      </c>
      <c r="G346" s="49" t="s">
        <v>744</v>
      </c>
      <c r="H346" s="49" t="s">
        <v>702</v>
      </c>
      <c r="I346" s="49" t="s">
        <v>688</v>
      </c>
      <c r="J346" s="49" t="s">
        <v>679</v>
      </c>
      <c r="K346" s="49" t="s">
        <v>680</v>
      </c>
      <c r="L346" s="49" t="s">
        <v>699</v>
      </c>
      <c r="M346" s="49">
        <v>0.1</v>
      </c>
      <c r="N346" s="49" t="s">
        <v>1166</v>
      </c>
      <c r="O346" s="49" t="s">
        <v>665</v>
      </c>
      <c r="P346" s="49" t="s">
        <v>746</v>
      </c>
      <c r="Q346" s="49" t="s">
        <v>683</v>
      </c>
      <c r="R346" s="49" t="s">
        <v>34</v>
      </c>
      <c r="S346" s="49" t="s">
        <v>755</v>
      </c>
      <c r="T346" s="49" t="s">
        <v>1821</v>
      </c>
      <c r="U346" s="49" t="s">
        <v>1824</v>
      </c>
      <c r="V346" s="50" t="s">
        <v>1823</v>
      </c>
    </row>
    <row r="347" spans="1:22" x14ac:dyDescent="0.3">
      <c r="A347" s="51" t="s">
        <v>1169</v>
      </c>
      <c r="B347" s="52" t="s">
        <v>998</v>
      </c>
      <c r="C347" s="52" t="s">
        <v>1170</v>
      </c>
      <c r="D347" s="52" t="s">
        <v>673</v>
      </c>
      <c r="E347" s="52" t="s">
        <v>674</v>
      </c>
      <c r="F347" s="52" t="s">
        <v>716</v>
      </c>
      <c r="G347" s="52" t="s">
        <v>744</v>
      </c>
      <c r="H347" s="52" t="s">
        <v>677</v>
      </c>
      <c r="I347" s="49" t="s">
        <v>688</v>
      </c>
      <c r="J347" s="52" t="s">
        <v>679</v>
      </c>
      <c r="K347" s="52" t="s">
        <v>680</v>
      </c>
      <c r="L347" s="52" t="s">
        <v>681</v>
      </c>
      <c r="M347" s="52">
        <v>0.1</v>
      </c>
      <c r="N347" s="52" t="s">
        <v>1166</v>
      </c>
      <c r="O347" s="52" t="s">
        <v>665</v>
      </c>
      <c r="P347" s="52" t="s">
        <v>746</v>
      </c>
      <c r="Q347" s="52" t="s">
        <v>683</v>
      </c>
      <c r="R347" s="52" t="s">
        <v>34</v>
      </c>
      <c r="S347" s="49" t="s">
        <v>755</v>
      </c>
      <c r="T347" s="52" t="s">
        <v>1821</v>
      </c>
      <c r="U347" s="52" t="s">
        <v>1824</v>
      </c>
      <c r="V347" s="50" t="s">
        <v>1823</v>
      </c>
    </row>
    <row r="348" spans="1:22" x14ac:dyDescent="0.3">
      <c r="A348" s="48" t="s">
        <v>830</v>
      </c>
      <c r="B348" s="49" t="s">
        <v>753</v>
      </c>
      <c r="C348" s="49" t="s">
        <v>831</v>
      </c>
      <c r="D348" s="49" t="s">
        <v>755</v>
      </c>
      <c r="E348" s="49" t="s">
        <v>674</v>
      </c>
      <c r="F348" s="49" t="s">
        <v>675</v>
      </c>
      <c r="G348" s="49" t="s">
        <v>676</v>
      </c>
      <c r="H348" s="49" t="s">
        <v>677</v>
      </c>
      <c r="I348" s="49" t="s">
        <v>678</v>
      </c>
      <c r="J348" s="49" t="s">
        <v>679</v>
      </c>
      <c r="K348" s="49" t="s">
        <v>680</v>
      </c>
      <c r="L348" s="49" t="s">
        <v>699</v>
      </c>
      <c r="M348" s="49">
        <v>0.4</v>
      </c>
      <c r="N348" s="49" t="s">
        <v>1166</v>
      </c>
      <c r="O348" s="49" t="s">
        <v>665</v>
      </c>
      <c r="P348" s="49" t="s">
        <v>746</v>
      </c>
      <c r="Q348" s="49" t="s">
        <v>683</v>
      </c>
      <c r="R348" s="49" t="s">
        <v>34</v>
      </c>
      <c r="S348" s="49" t="s">
        <v>755</v>
      </c>
      <c r="T348" s="49" t="s">
        <v>1821</v>
      </c>
      <c r="U348" s="49" t="s">
        <v>1824</v>
      </c>
      <c r="V348" s="50" t="s">
        <v>1823</v>
      </c>
    </row>
    <row r="349" spans="1:22" x14ac:dyDescent="0.3">
      <c r="A349" s="51" t="s">
        <v>756</v>
      </c>
      <c r="B349" s="52" t="s">
        <v>753</v>
      </c>
      <c r="C349" s="52" t="s">
        <v>756</v>
      </c>
      <c r="D349" s="52" t="s">
        <v>755</v>
      </c>
      <c r="E349" s="52" t="s">
        <v>674</v>
      </c>
      <c r="F349" s="52" t="s">
        <v>716</v>
      </c>
      <c r="G349" s="52" t="s">
        <v>744</v>
      </c>
      <c r="H349" s="52" t="s">
        <v>702</v>
      </c>
      <c r="I349" s="49" t="s">
        <v>678</v>
      </c>
      <c r="J349" s="52" t="s">
        <v>679</v>
      </c>
      <c r="K349" s="52" t="s">
        <v>680</v>
      </c>
      <c r="L349" s="52" t="s">
        <v>681</v>
      </c>
      <c r="M349" s="52">
        <v>1</v>
      </c>
      <c r="N349" s="52" t="s">
        <v>1171</v>
      </c>
      <c r="O349" s="52" t="s">
        <v>665</v>
      </c>
      <c r="P349" s="52" t="s">
        <v>746</v>
      </c>
      <c r="Q349" s="52" t="s">
        <v>683</v>
      </c>
      <c r="R349" s="52" t="s">
        <v>34</v>
      </c>
      <c r="S349" s="49" t="s">
        <v>755</v>
      </c>
      <c r="T349" s="52" t="s">
        <v>1821</v>
      </c>
      <c r="U349" s="52" t="s">
        <v>1824</v>
      </c>
      <c r="V349" s="50" t="s">
        <v>1823</v>
      </c>
    </row>
    <row r="350" spans="1:22" x14ac:dyDescent="0.3">
      <c r="A350" s="48" t="s">
        <v>756</v>
      </c>
      <c r="B350" s="49" t="s">
        <v>753</v>
      </c>
      <c r="C350" s="49" t="s">
        <v>756</v>
      </c>
      <c r="D350" s="49" t="s">
        <v>755</v>
      </c>
      <c r="E350" s="49" t="s">
        <v>674</v>
      </c>
      <c r="F350" s="49" t="s">
        <v>716</v>
      </c>
      <c r="G350" s="49" t="s">
        <v>744</v>
      </c>
      <c r="H350" s="49" t="s">
        <v>702</v>
      </c>
      <c r="I350" s="49" t="s">
        <v>678</v>
      </c>
      <c r="J350" s="49" t="s">
        <v>679</v>
      </c>
      <c r="K350" s="49" t="s">
        <v>680</v>
      </c>
      <c r="L350" s="49" t="s">
        <v>681</v>
      </c>
      <c r="M350" s="49">
        <v>1</v>
      </c>
      <c r="N350" s="49" t="s">
        <v>318</v>
      </c>
      <c r="O350" s="49" t="s">
        <v>665</v>
      </c>
      <c r="P350" s="49" t="s">
        <v>746</v>
      </c>
      <c r="Q350" s="49" t="s">
        <v>683</v>
      </c>
      <c r="R350" s="49" t="s">
        <v>34</v>
      </c>
      <c r="S350" s="49" t="s">
        <v>755</v>
      </c>
      <c r="T350" s="49" t="s">
        <v>1821</v>
      </c>
      <c r="U350" s="49" t="s">
        <v>1824</v>
      </c>
      <c r="V350" s="50" t="s">
        <v>1823</v>
      </c>
    </row>
    <row r="351" spans="1:22" x14ac:dyDescent="0.3">
      <c r="A351" s="48" t="s">
        <v>756</v>
      </c>
      <c r="B351" s="49" t="s">
        <v>753</v>
      </c>
      <c r="C351" s="49" t="s">
        <v>756</v>
      </c>
      <c r="D351" s="49" t="s">
        <v>755</v>
      </c>
      <c r="E351" s="49" t="s">
        <v>674</v>
      </c>
      <c r="F351" s="49" t="s">
        <v>716</v>
      </c>
      <c r="G351" s="49" t="s">
        <v>744</v>
      </c>
      <c r="H351" s="49" t="s">
        <v>702</v>
      </c>
      <c r="I351" s="49" t="s">
        <v>678</v>
      </c>
      <c r="J351" s="49" t="s">
        <v>679</v>
      </c>
      <c r="K351" s="49" t="s">
        <v>680</v>
      </c>
      <c r="L351" s="49" t="s">
        <v>681</v>
      </c>
      <c r="M351" s="49">
        <v>1</v>
      </c>
      <c r="N351" s="49" t="s">
        <v>457</v>
      </c>
      <c r="O351" s="49" t="s">
        <v>767</v>
      </c>
      <c r="P351" s="52" t="s">
        <v>746</v>
      </c>
      <c r="Q351" s="49" t="s">
        <v>683</v>
      </c>
      <c r="R351" s="49" t="s">
        <v>34</v>
      </c>
      <c r="S351" s="49" t="s">
        <v>755</v>
      </c>
      <c r="T351" s="49" t="s">
        <v>1821</v>
      </c>
      <c r="U351" s="49" t="s">
        <v>1824</v>
      </c>
      <c r="V351" s="50" t="s">
        <v>1823</v>
      </c>
    </row>
    <row r="352" spans="1:22" x14ac:dyDescent="0.3">
      <c r="A352" s="51" t="s">
        <v>1175</v>
      </c>
      <c r="B352" s="52" t="s">
        <v>753</v>
      </c>
      <c r="C352" s="52" t="s">
        <v>1176</v>
      </c>
      <c r="D352" s="52" t="s">
        <v>755</v>
      </c>
      <c r="E352" s="52" t="s">
        <v>674</v>
      </c>
      <c r="F352" s="52" t="s">
        <v>675</v>
      </c>
      <c r="G352" s="52" t="s">
        <v>676</v>
      </c>
      <c r="H352" s="52" t="s">
        <v>702</v>
      </c>
      <c r="I352" s="49" t="s">
        <v>678</v>
      </c>
      <c r="J352" s="52" t="s">
        <v>679</v>
      </c>
      <c r="K352" s="52" t="s">
        <v>680</v>
      </c>
      <c r="L352" s="52" t="s">
        <v>681</v>
      </c>
      <c r="M352" s="52">
        <v>0.2</v>
      </c>
      <c r="N352" s="52" t="s">
        <v>1177</v>
      </c>
      <c r="O352" s="52" t="s">
        <v>767</v>
      </c>
      <c r="P352" s="52" t="s">
        <v>746</v>
      </c>
      <c r="Q352" s="52" t="s">
        <v>683</v>
      </c>
      <c r="R352" s="52" t="s">
        <v>34</v>
      </c>
      <c r="S352" s="49" t="s">
        <v>755</v>
      </c>
      <c r="T352" s="52" t="s">
        <v>1821</v>
      </c>
      <c r="U352" s="52" t="s">
        <v>1824</v>
      </c>
      <c r="V352" s="50" t="s">
        <v>1823</v>
      </c>
    </row>
    <row r="353" spans="1:22" x14ac:dyDescent="0.3">
      <c r="A353" s="48" t="s">
        <v>1178</v>
      </c>
      <c r="B353" s="49" t="s">
        <v>753</v>
      </c>
      <c r="C353" s="49" t="s">
        <v>1179</v>
      </c>
      <c r="D353" s="49" t="s">
        <v>755</v>
      </c>
      <c r="E353" s="49" t="s">
        <v>674</v>
      </c>
      <c r="F353" s="49" t="s">
        <v>675</v>
      </c>
      <c r="G353" s="49" t="s">
        <v>676</v>
      </c>
      <c r="H353" s="49" t="s">
        <v>702</v>
      </c>
      <c r="I353" s="49" t="s">
        <v>688</v>
      </c>
      <c r="J353" s="49" t="s">
        <v>679</v>
      </c>
      <c r="K353" s="49" t="s">
        <v>680</v>
      </c>
      <c r="L353" s="49" t="s">
        <v>681</v>
      </c>
      <c r="M353" s="49">
        <v>0.2</v>
      </c>
      <c r="N353" s="49" t="s">
        <v>1177</v>
      </c>
      <c r="O353" s="49" t="s">
        <v>767</v>
      </c>
      <c r="P353" s="52" t="s">
        <v>746</v>
      </c>
      <c r="Q353" s="49" t="s">
        <v>683</v>
      </c>
      <c r="R353" s="49" t="s">
        <v>34</v>
      </c>
      <c r="S353" s="49" t="s">
        <v>755</v>
      </c>
      <c r="T353" s="49" t="s">
        <v>1821</v>
      </c>
      <c r="U353" s="49" t="s">
        <v>1824</v>
      </c>
      <c r="V353" s="50" t="s">
        <v>1823</v>
      </c>
    </row>
    <row r="354" spans="1:22" x14ac:dyDescent="0.3">
      <c r="A354" s="51" t="s">
        <v>1180</v>
      </c>
      <c r="B354" s="52" t="s">
        <v>753</v>
      </c>
      <c r="C354" s="52" t="s">
        <v>1181</v>
      </c>
      <c r="D354" s="52" t="s">
        <v>755</v>
      </c>
      <c r="E354" s="52" t="s">
        <v>674</v>
      </c>
      <c r="F354" s="52" t="s">
        <v>675</v>
      </c>
      <c r="G354" s="52" t="s">
        <v>676</v>
      </c>
      <c r="H354" s="52" t="s">
        <v>677</v>
      </c>
      <c r="I354" s="52" t="s">
        <v>811</v>
      </c>
      <c r="J354" s="52" t="s">
        <v>679</v>
      </c>
      <c r="K354" s="52" t="s">
        <v>680</v>
      </c>
      <c r="L354" s="52" t="s">
        <v>691</v>
      </c>
      <c r="M354" s="52">
        <v>0.4</v>
      </c>
      <c r="N354" s="52" t="s">
        <v>1177</v>
      </c>
      <c r="O354" s="52" t="s">
        <v>767</v>
      </c>
      <c r="P354" s="52" t="s">
        <v>746</v>
      </c>
      <c r="Q354" s="52" t="s">
        <v>683</v>
      </c>
      <c r="R354" s="52" t="s">
        <v>34</v>
      </c>
      <c r="S354" s="49" t="s">
        <v>755</v>
      </c>
      <c r="T354" s="52" t="s">
        <v>1821</v>
      </c>
      <c r="U354" s="52" t="s">
        <v>1824</v>
      </c>
      <c r="V354" s="50" t="s">
        <v>1823</v>
      </c>
    </row>
    <row r="355" spans="1:22" x14ac:dyDescent="0.3">
      <c r="A355" s="48" t="s">
        <v>1182</v>
      </c>
      <c r="B355" s="49" t="s">
        <v>753</v>
      </c>
      <c r="C355" s="49" t="s">
        <v>1183</v>
      </c>
      <c r="D355" s="49" t="s">
        <v>755</v>
      </c>
      <c r="E355" s="49" t="s">
        <v>674</v>
      </c>
      <c r="F355" s="49" t="s">
        <v>675</v>
      </c>
      <c r="G355" s="49" t="s">
        <v>676</v>
      </c>
      <c r="H355" s="49" t="s">
        <v>677</v>
      </c>
      <c r="I355" s="49" t="s">
        <v>678</v>
      </c>
      <c r="J355" s="49" t="s">
        <v>679</v>
      </c>
      <c r="K355" s="49" t="s">
        <v>680</v>
      </c>
      <c r="L355" s="49" t="s">
        <v>681</v>
      </c>
      <c r="M355" s="49">
        <v>0.2</v>
      </c>
      <c r="N355" s="49" t="s">
        <v>1177</v>
      </c>
      <c r="O355" s="49" t="s">
        <v>767</v>
      </c>
      <c r="P355" s="52" t="s">
        <v>746</v>
      </c>
      <c r="Q355" s="49" t="s">
        <v>683</v>
      </c>
      <c r="R355" s="49" t="s">
        <v>34</v>
      </c>
      <c r="S355" s="49" t="s">
        <v>755</v>
      </c>
      <c r="T355" s="49" t="s">
        <v>1821</v>
      </c>
      <c r="U355" s="49" t="s">
        <v>1824</v>
      </c>
      <c r="V355" s="50" t="s">
        <v>1823</v>
      </c>
    </row>
    <row r="356" spans="1:22" x14ac:dyDescent="0.3">
      <c r="A356" s="51" t="s">
        <v>756</v>
      </c>
      <c r="B356" s="52" t="s">
        <v>753</v>
      </c>
      <c r="C356" s="52" t="s">
        <v>756</v>
      </c>
      <c r="D356" s="52" t="s">
        <v>755</v>
      </c>
      <c r="E356" s="52" t="s">
        <v>674</v>
      </c>
      <c r="F356" s="52" t="s">
        <v>716</v>
      </c>
      <c r="G356" s="52" t="s">
        <v>744</v>
      </c>
      <c r="H356" s="52" t="s">
        <v>702</v>
      </c>
      <c r="I356" s="49" t="s">
        <v>678</v>
      </c>
      <c r="J356" s="52" t="s">
        <v>679</v>
      </c>
      <c r="K356" s="52" t="s">
        <v>680</v>
      </c>
      <c r="L356" s="52" t="s">
        <v>681</v>
      </c>
      <c r="M356" s="52">
        <v>1</v>
      </c>
      <c r="N356" s="52" t="s">
        <v>571</v>
      </c>
      <c r="O356" s="52" t="s">
        <v>665</v>
      </c>
      <c r="P356" s="52" t="s">
        <v>746</v>
      </c>
      <c r="Q356" s="52" t="s">
        <v>683</v>
      </c>
      <c r="R356" s="52" t="s">
        <v>34</v>
      </c>
      <c r="S356" s="49" t="s">
        <v>755</v>
      </c>
      <c r="T356" s="52" t="s">
        <v>1821</v>
      </c>
      <c r="U356" s="52" t="s">
        <v>1824</v>
      </c>
      <c r="V356" s="50" t="s">
        <v>1823</v>
      </c>
    </row>
    <row r="357" spans="1:22" x14ac:dyDescent="0.3">
      <c r="A357" s="48" t="s">
        <v>775</v>
      </c>
      <c r="B357" s="49" t="s">
        <v>753</v>
      </c>
      <c r="C357" s="49" t="s">
        <v>776</v>
      </c>
      <c r="D357" s="49" t="s">
        <v>755</v>
      </c>
      <c r="E357" s="49" t="s">
        <v>674</v>
      </c>
      <c r="F357" s="49" t="s">
        <v>675</v>
      </c>
      <c r="G357" s="49" t="s">
        <v>676</v>
      </c>
      <c r="H357" s="49" t="s">
        <v>677</v>
      </c>
      <c r="I357" s="49" t="s">
        <v>678</v>
      </c>
      <c r="J357" s="49" t="s">
        <v>679</v>
      </c>
      <c r="K357" s="49" t="s">
        <v>680</v>
      </c>
      <c r="L357" s="49" t="s">
        <v>699</v>
      </c>
      <c r="M357" s="49">
        <v>0.25</v>
      </c>
      <c r="N357" s="49" t="s">
        <v>601</v>
      </c>
      <c r="O357" s="49" t="s">
        <v>665</v>
      </c>
      <c r="P357" s="49" t="s">
        <v>746</v>
      </c>
      <c r="Q357" s="49" t="s">
        <v>683</v>
      </c>
      <c r="R357" s="49" t="s">
        <v>34</v>
      </c>
      <c r="S357" s="49" t="s">
        <v>755</v>
      </c>
      <c r="T357" s="49" t="s">
        <v>1821</v>
      </c>
      <c r="U357" s="49" t="s">
        <v>1824</v>
      </c>
      <c r="V357" s="50" t="s">
        <v>1823</v>
      </c>
    </row>
    <row r="358" spans="1:22" x14ac:dyDescent="0.3">
      <c r="A358" s="51" t="s">
        <v>1184</v>
      </c>
      <c r="B358" s="52" t="s">
        <v>753</v>
      </c>
      <c r="C358" s="52" t="s">
        <v>1185</v>
      </c>
      <c r="D358" s="52" t="s">
        <v>755</v>
      </c>
      <c r="E358" s="52" t="s">
        <v>674</v>
      </c>
      <c r="F358" s="52" t="s">
        <v>675</v>
      </c>
      <c r="G358" s="52" t="s">
        <v>676</v>
      </c>
      <c r="H358" s="52" t="s">
        <v>677</v>
      </c>
      <c r="I358" s="49" t="s">
        <v>678</v>
      </c>
      <c r="J358" s="52" t="s">
        <v>679</v>
      </c>
      <c r="K358" s="52" t="s">
        <v>680</v>
      </c>
      <c r="L358" s="52" t="s">
        <v>739</v>
      </c>
      <c r="M358" s="52">
        <v>0.25</v>
      </c>
      <c r="N358" s="52" t="s">
        <v>601</v>
      </c>
      <c r="O358" s="52" t="s">
        <v>665</v>
      </c>
      <c r="P358" s="52" t="s">
        <v>746</v>
      </c>
      <c r="Q358" s="52" t="s">
        <v>683</v>
      </c>
      <c r="R358" s="52" t="s">
        <v>34</v>
      </c>
      <c r="S358" s="49" t="s">
        <v>755</v>
      </c>
      <c r="T358" s="52" t="s">
        <v>1821</v>
      </c>
      <c r="U358" s="52" t="s">
        <v>1824</v>
      </c>
      <c r="V358" s="50" t="s">
        <v>1823</v>
      </c>
    </row>
    <row r="359" spans="1:22" x14ac:dyDescent="0.3">
      <c r="A359" s="48" t="s">
        <v>1186</v>
      </c>
      <c r="B359" s="49" t="s">
        <v>753</v>
      </c>
      <c r="C359" s="49" t="s">
        <v>1187</v>
      </c>
      <c r="D359" s="49" t="s">
        <v>755</v>
      </c>
      <c r="E359" s="49" t="s">
        <v>674</v>
      </c>
      <c r="F359" s="49" t="s">
        <v>675</v>
      </c>
      <c r="G359" s="49" t="s">
        <v>676</v>
      </c>
      <c r="H359" s="49" t="s">
        <v>677</v>
      </c>
      <c r="I359" s="49" t="s">
        <v>678</v>
      </c>
      <c r="J359" s="49" t="s">
        <v>679</v>
      </c>
      <c r="K359" s="49" t="s">
        <v>680</v>
      </c>
      <c r="L359" s="49" t="s">
        <v>699</v>
      </c>
      <c r="M359" s="49">
        <v>0.25</v>
      </c>
      <c r="N359" s="49" t="s">
        <v>601</v>
      </c>
      <c r="O359" s="49" t="s">
        <v>665</v>
      </c>
      <c r="P359" s="49" t="s">
        <v>746</v>
      </c>
      <c r="Q359" s="49" t="s">
        <v>683</v>
      </c>
      <c r="R359" s="49" t="s">
        <v>34</v>
      </c>
      <c r="S359" s="49" t="s">
        <v>755</v>
      </c>
      <c r="T359" s="49" t="s">
        <v>1821</v>
      </c>
      <c r="U359" s="49" t="s">
        <v>1824</v>
      </c>
      <c r="V359" s="50" t="s">
        <v>1823</v>
      </c>
    </row>
    <row r="360" spans="1:22" x14ac:dyDescent="0.3">
      <c r="A360" s="51" t="s">
        <v>1188</v>
      </c>
      <c r="B360" s="52" t="s">
        <v>753</v>
      </c>
      <c r="C360" s="52" t="s">
        <v>1189</v>
      </c>
      <c r="D360" s="52" t="s">
        <v>755</v>
      </c>
      <c r="E360" s="52" t="s">
        <v>674</v>
      </c>
      <c r="F360" s="52" t="s">
        <v>675</v>
      </c>
      <c r="G360" s="52" t="s">
        <v>676</v>
      </c>
      <c r="H360" s="52" t="s">
        <v>677</v>
      </c>
      <c r="I360" s="52" t="s">
        <v>811</v>
      </c>
      <c r="J360" s="52" t="s">
        <v>679</v>
      </c>
      <c r="K360" s="52" t="s">
        <v>680</v>
      </c>
      <c r="L360" s="52" t="s">
        <v>691</v>
      </c>
      <c r="M360" s="52">
        <v>0.25</v>
      </c>
      <c r="N360" s="52" t="s">
        <v>601</v>
      </c>
      <c r="O360" s="52" t="s">
        <v>665</v>
      </c>
      <c r="P360" s="52" t="s">
        <v>746</v>
      </c>
      <c r="Q360" s="52" t="s">
        <v>683</v>
      </c>
      <c r="R360" s="52" t="s">
        <v>34</v>
      </c>
      <c r="S360" s="49" t="s">
        <v>755</v>
      </c>
      <c r="T360" s="52" t="s">
        <v>1821</v>
      </c>
      <c r="U360" s="52" t="s">
        <v>1824</v>
      </c>
      <c r="V360" s="50" t="s">
        <v>1823</v>
      </c>
    </row>
    <row r="361" spans="1:22" x14ac:dyDescent="0.3">
      <c r="A361" s="48" t="s">
        <v>756</v>
      </c>
      <c r="B361" s="49" t="s">
        <v>753</v>
      </c>
      <c r="C361" s="49" t="s">
        <v>756</v>
      </c>
      <c r="D361" s="49" t="s">
        <v>755</v>
      </c>
      <c r="E361" s="49" t="s">
        <v>674</v>
      </c>
      <c r="F361" s="49" t="s">
        <v>716</v>
      </c>
      <c r="G361" s="49" t="s">
        <v>744</v>
      </c>
      <c r="H361" s="49" t="s">
        <v>702</v>
      </c>
      <c r="I361" s="49" t="s">
        <v>678</v>
      </c>
      <c r="J361" s="49" t="s">
        <v>679</v>
      </c>
      <c r="K361" s="49" t="s">
        <v>680</v>
      </c>
      <c r="L361" s="49" t="s">
        <v>681</v>
      </c>
      <c r="M361" s="49">
        <v>1</v>
      </c>
      <c r="N361" s="49" t="s">
        <v>628</v>
      </c>
      <c r="O361" s="49" t="s">
        <v>665</v>
      </c>
      <c r="P361" s="49" t="s">
        <v>746</v>
      </c>
      <c r="Q361" s="49" t="s">
        <v>683</v>
      </c>
      <c r="R361" s="49" t="s">
        <v>34</v>
      </c>
      <c r="S361" s="49" t="s">
        <v>755</v>
      </c>
      <c r="T361" s="49" t="s">
        <v>1821</v>
      </c>
      <c r="U361" s="49" t="s">
        <v>1824</v>
      </c>
      <c r="V361" s="50" t="s">
        <v>1823</v>
      </c>
    </row>
    <row r="362" spans="1:22" x14ac:dyDescent="0.3">
      <c r="A362" s="51" t="s">
        <v>770</v>
      </c>
      <c r="B362" s="52" t="s">
        <v>753</v>
      </c>
      <c r="C362" s="52" t="s">
        <v>771</v>
      </c>
      <c r="D362" s="52" t="s">
        <v>755</v>
      </c>
      <c r="E362" s="52" t="s">
        <v>674</v>
      </c>
      <c r="F362" s="52" t="s">
        <v>716</v>
      </c>
      <c r="G362" s="52" t="s">
        <v>744</v>
      </c>
      <c r="H362" s="52" t="s">
        <v>677</v>
      </c>
      <c r="I362" s="49" t="s">
        <v>688</v>
      </c>
      <c r="J362" s="52" t="s">
        <v>679</v>
      </c>
      <c r="K362" s="52" t="s">
        <v>680</v>
      </c>
      <c r="L362" s="52" t="s">
        <v>691</v>
      </c>
      <c r="M362" s="52">
        <v>0.3</v>
      </c>
      <c r="N362" s="52" t="s">
        <v>643</v>
      </c>
      <c r="O362" s="52" t="s">
        <v>665</v>
      </c>
      <c r="P362" s="52" t="s">
        <v>746</v>
      </c>
      <c r="Q362" s="52" t="s">
        <v>683</v>
      </c>
      <c r="R362" s="52" t="s">
        <v>34</v>
      </c>
      <c r="S362" s="49" t="s">
        <v>755</v>
      </c>
      <c r="T362" s="52" t="s">
        <v>1821</v>
      </c>
      <c r="U362" s="52" t="s">
        <v>1824</v>
      </c>
      <c r="V362" s="50" t="s">
        <v>1823</v>
      </c>
    </row>
    <row r="363" spans="1:22" x14ac:dyDescent="0.3">
      <c r="A363" s="48" t="s">
        <v>756</v>
      </c>
      <c r="B363" s="49" t="s">
        <v>753</v>
      </c>
      <c r="C363" s="49" t="s">
        <v>756</v>
      </c>
      <c r="D363" s="49" t="s">
        <v>755</v>
      </c>
      <c r="E363" s="49" t="s">
        <v>674</v>
      </c>
      <c r="F363" s="49" t="s">
        <v>716</v>
      </c>
      <c r="G363" s="49" t="s">
        <v>744</v>
      </c>
      <c r="H363" s="49" t="s">
        <v>702</v>
      </c>
      <c r="I363" s="49" t="s">
        <v>678</v>
      </c>
      <c r="J363" s="49" t="s">
        <v>679</v>
      </c>
      <c r="K363" s="49" t="s">
        <v>680</v>
      </c>
      <c r="L363" s="49" t="s">
        <v>681</v>
      </c>
      <c r="M363" s="49">
        <v>0.7</v>
      </c>
      <c r="N363" s="49" t="s">
        <v>643</v>
      </c>
      <c r="O363" s="49" t="s">
        <v>665</v>
      </c>
      <c r="P363" s="49" t="s">
        <v>746</v>
      </c>
      <c r="Q363" s="49" t="s">
        <v>683</v>
      </c>
      <c r="R363" s="49" t="s">
        <v>34</v>
      </c>
      <c r="S363" s="49" t="s">
        <v>755</v>
      </c>
      <c r="T363" s="49" t="s">
        <v>1821</v>
      </c>
      <c r="U363" s="49" t="s">
        <v>1824</v>
      </c>
      <c r="V363" s="50" t="s">
        <v>1823</v>
      </c>
    </row>
    <row r="364" spans="1:22" x14ac:dyDescent="0.3">
      <c r="A364" s="51" t="s">
        <v>1190</v>
      </c>
      <c r="B364" s="52" t="s">
        <v>154</v>
      </c>
      <c r="C364" s="52" t="s">
        <v>1023</v>
      </c>
      <c r="D364" s="52" t="s">
        <v>673</v>
      </c>
      <c r="E364" s="52" t="s">
        <v>674</v>
      </c>
      <c r="F364" s="52" t="s">
        <v>716</v>
      </c>
      <c r="G364" s="52" t="s">
        <v>744</v>
      </c>
      <c r="H364" s="52" t="s">
        <v>935</v>
      </c>
      <c r="I364" s="49" t="s">
        <v>688</v>
      </c>
      <c r="J364" s="52" t="s">
        <v>710</v>
      </c>
      <c r="K364" s="52" t="s">
        <v>690</v>
      </c>
      <c r="L364" s="52" t="s">
        <v>681</v>
      </c>
      <c r="M364" s="52">
        <v>1</v>
      </c>
      <c r="N364" s="52" t="s">
        <v>378</v>
      </c>
      <c r="O364" s="52" t="s">
        <v>665</v>
      </c>
      <c r="P364" s="52" t="s">
        <v>746</v>
      </c>
      <c r="Q364" s="52" t="s">
        <v>683</v>
      </c>
      <c r="R364" s="52" t="s">
        <v>188</v>
      </c>
      <c r="S364" s="52" t="s">
        <v>673</v>
      </c>
      <c r="T364" s="52" t="s">
        <v>1821</v>
      </c>
      <c r="U364" s="52" t="s">
        <v>1824</v>
      </c>
      <c r="V364" s="50" t="s">
        <v>1823</v>
      </c>
    </row>
    <row r="365" spans="1:22" x14ac:dyDescent="0.3">
      <c r="A365" s="48" t="s">
        <v>1190</v>
      </c>
      <c r="B365" s="49" t="s">
        <v>154</v>
      </c>
      <c r="C365" s="49" t="s">
        <v>1023</v>
      </c>
      <c r="D365" s="49" t="s">
        <v>673</v>
      </c>
      <c r="E365" s="49" t="s">
        <v>674</v>
      </c>
      <c r="F365" s="49" t="s">
        <v>716</v>
      </c>
      <c r="G365" s="49" t="s">
        <v>744</v>
      </c>
      <c r="H365" s="49" t="s">
        <v>935</v>
      </c>
      <c r="I365" s="49" t="s">
        <v>688</v>
      </c>
      <c r="J365" s="49" t="s">
        <v>710</v>
      </c>
      <c r="K365" s="49" t="s">
        <v>690</v>
      </c>
      <c r="L365" s="49" t="s">
        <v>681</v>
      </c>
      <c r="M365" s="49">
        <v>1</v>
      </c>
      <c r="N365" s="49" t="s">
        <v>114</v>
      </c>
      <c r="O365" s="49" t="s">
        <v>665</v>
      </c>
      <c r="P365" s="49" t="s">
        <v>746</v>
      </c>
      <c r="Q365" s="49" t="s">
        <v>683</v>
      </c>
      <c r="R365" s="49" t="s">
        <v>188</v>
      </c>
      <c r="S365" s="52" t="s">
        <v>673</v>
      </c>
      <c r="T365" s="49" t="s">
        <v>1821</v>
      </c>
      <c r="U365" s="49" t="s">
        <v>1824</v>
      </c>
      <c r="V365" s="50" t="s">
        <v>1823</v>
      </c>
    </row>
    <row r="366" spans="1:22" x14ac:dyDescent="0.3">
      <c r="A366" s="51" t="s">
        <v>1190</v>
      </c>
      <c r="B366" s="52" t="s">
        <v>154</v>
      </c>
      <c r="C366" s="52" t="s">
        <v>1023</v>
      </c>
      <c r="D366" s="52" t="s">
        <v>673</v>
      </c>
      <c r="E366" s="52" t="s">
        <v>674</v>
      </c>
      <c r="F366" s="52" t="s">
        <v>716</v>
      </c>
      <c r="G366" s="52" t="s">
        <v>744</v>
      </c>
      <c r="H366" s="52" t="s">
        <v>935</v>
      </c>
      <c r="I366" s="49" t="s">
        <v>688</v>
      </c>
      <c r="J366" s="52" t="s">
        <v>710</v>
      </c>
      <c r="K366" s="52" t="s">
        <v>690</v>
      </c>
      <c r="L366" s="52" t="s">
        <v>681</v>
      </c>
      <c r="M366" s="52">
        <v>1</v>
      </c>
      <c r="N366" s="52" t="s">
        <v>416</v>
      </c>
      <c r="O366" s="52" t="s">
        <v>767</v>
      </c>
      <c r="P366" s="52" t="s">
        <v>746</v>
      </c>
      <c r="Q366" s="52" t="s">
        <v>683</v>
      </c>
      <c r="R366" s="52" t="s">
        <v>188</v>
      </c>
      <c r="S366" s="52" t="s">
        <v>673</v>
      </c>
      <c r="T366" s="52" t="s">
        <v>1821</v>
      </c>
      <c r="U366" s="52" t="s">
        <v>1824</v>
      </c>
      <c r="V366" s="50" t="s">
        <v>1823</v>
      </c>
    </row>
    <row r="367" spans="1:22" x14ac:dyDescent="0.3">
      <c r="A367" s="48" t="s">
        <v>1190</v>
      </c>
      <c r="B367" s="49" t="s">
        <v>154</v>
      </c>
      <c r="C367" s="49" t="s">
        <v>1023</v>
      </c>
      <c r="D367" s="49" t="s">
        <v>673</v>
      </c>
      <c r="E367" s="49" t="s">
        <v>674</v>
      </c>
      <c r="F367" s="49" t="s">
        <v>716</v>
      </c>
      <c r="G367" s="49" t="s">
        <v>744</v>
      </c>
      <c r="H367" s="49" t="s">
        <v>935</v>
      </c>
      <c r="I367" s="49" t="s">
        <v>688</v>
      </c>
      <c r="J367" s="49" t="s">
        <v>710</v>
      </c>
      <c r="K367" s="49" t="s">
        <v>690</v>
      </c>
      <c r="L367" s="49" t="s">
        <v>681</v>
      </c>
      <c r="M367" s="49">
        <v>1</v>
      </c>
      <c r="N367" s="49" t="s">
        <v>330</v>
      </c>
      <c r="O367" s="49" t="s">
        <v>767</v>
      </c>
      <c r="P367" s="52" t="s">
        <v>746</v>
      </c>
      <c r="Q367" s="49" t="s">
        <v>683</v>
      </c>
      <c r="R367" s="49" t="s">
        <v>188</v>
      </c>
      <c r="S367" s="52" t="s">
        <v>673</v>
      </c>
      <c r="T367" s="49" t="s">
        <v>1821</v>
      </c>
      <c r="U367" s="49" t="s">
        <v>1824</v>
      </c>
      <c r="V367" s="50" t="s">
        <v>1823</v>
      </c>
    </row>
    <row r="368" spans="1:22" x14ac:dyDescent="0.3">
      <c r="A368" s="51" t="s">
        <v>1190</v>
      </c>
      <c r="B368" s="52" t="s">
        <v>154</v>
      </c>
      <c r="C368" s="52" t="s">
        <v>1023</v>
      </c>
      <c r="D368" s="52" t="s">
        <v>673</v>
      </c>
      <c r="E368" s="52" t="s">
        <v>674</v>
      </c>
      <c r="F368" s="52" t="s">
        <v>716</v>
      </c>
      <c r="G368" s="52" t="s">
        <v>744</v>
      </c>
      <c r="H368" s="52" t="s">
        <v>935</v>
      </c>
      <c r="I368" s="49" t="s">
        <v>688</v>
      </c>
      <c r="J368" s="52" t="s">
        <v>710</v>
      </c>
      <c r="K368" s="52" t="s">
        <v>690</v>
      </c>
      <c r="L368" s="52" t="s">
        <v>681</v>
      </c>
      <c r="M368" s="52">
        <v>1</v>
      </c>
      <c r="N368" s="52" t="s">
        <v>81</v>
      </c>
      <c r="O368" s="52" t="s">
        <v>665</v>
      </c>
      <c r="P368" s="52" t="s">
        <v>746</v>
      </c>
      <c r="Q368" s="52" t="s">
        <v>683</v>
      </c>
      <c r="R368" s="52" t="s">
        <v>188</v>
      </c>
      <c r="S368" s="52" t="s">
        <v>673</v>
      </c>
      <c r="T368" s="52" t="s">
        <v>1821</v>
      </c>
      <c r="U368" s="52" t="s">
        <v>1824</v>
      </c>
      <c r="V368" s="50" t="s">
        <v>1823</v>
      </c>
    </row>
    <row r="369" spans="1:22" x14ac:dyDescent="0.3">
      <c r="A369" s="48" t="s">
        <v>1190</v>
      </c>
      <c r="B369" s="49" t="s">
        <v>154</v>
      </c>
      <c r="C369" s="49" t="s">
        <v>1023</v>
      </c>
      <c r="D369" s="49" t="s">
        <v>673</v>
      </c>
      <c r="E369" s="49" t="s">
        <v>674</v>
      </c>
      <c r="F369" s="49" t="s">
        <v>716</v>
      </c>
      <c r="G369" s="49" t="s">
        <v>744</v>
      </c>
      <c r="H369" s="49" t="s">
        <v>935</v>
      </c>
      <c r="I369" s="49" t="s">
        <v>688</v>
      </c>
      <c r="J369" s="49" t="s">
        <v>710</v>
      </c>
      <c r="K369" s="49" t="s">
        <v>690</v>
      </c>
      <c r="L369" s="49" t="s">
        <v>681</v>
      </c>
      <c r="M369" s="49">
        <v>1</v>
      </c>
      <c r="N369" s="49" t="s">
        <v>442</v>
      </c>
      <c r="O369" s="49" t="s">
        <v>767</v>
      </c>
      <c r="P369" s="52" t="s">
        <v>746</v>
      </c>
      <c r="Q369" s="49" t="s">
        <v>683</v>
      </c>
      <c r="R369" s="49" t="s">
        <v>188</v>
      </c>
      <c r="S369" s="52" t="s">
        <v>673</v>
      </c>
      <c r="T369" s="49" t="s">
        <v>1821</v>
      </c>
      <c r="U369" s="49" t="s">
        <v>1824</v>
      </c>
      <c r="V369" s="50" t="s">
        <v>1823</v>
      </c>
    </row>
    <row r="370" spans="1:22" x14ac:dyDescent="0.3">
      <c r="A370" s="51" t="s">
        <v>1190</v>
      </c>
      <c r="B370" s="52" t="s">
        <v>154</v>
      </c>
      <c r="C370" s="52" t="s">
        <v>1023</v>
      </c>
      <c r="D370" s="52" t="s">
        <v>673</v>
      </c>
      <c r="E370" s="52" t="s">
        <v>674</v>
      </c>
      <c r="F370" s="52" t="s">
        <v>716</v>
      </c>
      <c r="G370" s="52" t="s">
        <v>744</v>
      </c>
      <c r="H370" s="52" t="s">
        <v>935</v>
      </c>
      <c r="I370" s="49" t="s">
        <v>688</v>
      </c>
      <c r="J370" s="52" t="s">
        <v>710</v>
      </c>
      <c r="K370" s="52" t="s">
        <v>690</v>
      </c>
      <c r="L370" s="52" t="s">
        <v>681</v>
      </c>
      <c r="M370" s="52">
        <v>1</v>
      </c>
      <c r="N370" s="52" t="s">
        <v>220</v>
      </c>
      <c r="O370" s="52" t="s">
        <v>665</v>
      </c>
      <c r="P370" s="52" t="s">
        <v>746</v>
      </c>
      <c r="Q370" s="52" t="s">
        <v>683</v>
      </c>
      <c r="R370" s="52" t="s">
        <v>188</v>
      </c>
      <c r="S370" s="52" t="s">
        <v>673</v>
      </c>
      <c r="T370" s="52" t="s">
        <v>1821</v>
      </c>
      <c r="U370" s="52" t="s">
        <v>1824</v>
      </c>
      <c r="V370" s="50" t="s">
        <v>1823</v>
      </c>
    </row>
    <row r="371" spans="1:22" x14ac:dyDescent="0.3">
      <c r="A371" s="48" t="s">
        <v>694</v>
      </c>
      <c r="B371" s="49" t="s">
        <v>695</v>
      </c>
      <c r="C371" s="49" t="s">
        <v>696</v>
      </c>
      <c r="D371" s="49" t="s">
        <v>673</v>
      </c>
      <c r="E371" s="49" t="s">
        <v>674</v>
      </c>
      <c r="F371" s="49" t="s">
        <v>675</v>
      </c>
      <c r="G371" s="49" t="s">
        <v>676</v>
      </c>
      <c r="H371" s="49" t="s">
        <v>677</v>
      </c>
      <c r="I371" s="49" t="s">
        <v>697</v>
      </c>
      <c r="J371" s="49" t="s">
        <v>698</v>
      </c>
      <c r="K371" s="49" t="s">
        <v>690</v>
      </c>
      <c r="L371" s="49" t="s">
        <v>699</v>
      </c>
      <c r="M371" s="49">
        <v>1</v>
      </c>
      <c r="N371" s="49" t="s">
        <v>77</v>
      </c>
      <c r="O371" s="49" t="s">
        <v>665</v>
      </c>
      <c r="P371" s="49" t="s">
        <v>746</v>
      </c>
      <c r="Q371" s="49" t="s">
        <v>683</v>
      </c>
      <c r="R371" s="49" t="s">
        <v>188</v>
      </c>
      <c r="S371" s="52" t="s">
        <v>673</v>
      </c>
      <c r="T371" s="49" t="s">
        <v>1821</v>
      </c>
      <c r="U371" s="49" t="s">
        <v>1824</v>
      </c>
      <c r="V371" s="50" t="s">
        <v>1823</v>
      </c>
    </row>
    <row r="372" spans="1:22" x14ac:dyDescent="0.3">
      <c r="A372" s="51" t="s">
        <v>1190</v>
      </c>
      <c r="B372" s="52" t="s">
        <v>154</v>
      </c>
      <c r="C372" s="52" t="s">
        <v>1023</v>
      </c>
      <c r="D372" s="52" t="s">
        <v>673</v>
      </c>
      <c r="E372" s="52" t="s">
        <v>674</v>
      </c>
      <c r="F372" s="52" t="s">
        <v>716</v>
      </c>
      <c r="G372" s="52" t="s">
        <v>744</v>
      </c>
      <c r="H372" s="52" t="s">
        <v>935</v>
      </c>
      <c r="I372" s="49" t="s">
        <v>688</v>
      </c>
      <c r="J372" s="52" t="s">
        <v>710</v>
      </c>
      <c r="K372" s="52" t="s">
        <v>690</v>
      </c>
      <c r="L372" s="52" t="s">
        <v>681</v>
      </c>
      <c r="M372" s="52">
        <v>1</v>
      </c>
      <c r="N372" s="52" t="s">
        <v>162</v>
      </c>
      <c r="O372" s="52" t="s">
        <v>665</v>
      </c>
      <c r="P372" s="52" t="s">
        <v>746</v>
      </c>
      <c r="Q372" s="52" t="s">
        <v>683</v>
      </c>
      <c r="R372" s="52" t="s">
        <v>188</v>
      </c>
      <c r="S372" s="52" t="s">
        <v>673</v>
      </c>
      <c r="T372" s="52" t="s">
        <v>1821</v>
      </c>
      <c r="U372" s="52" t="s">
        <v>1824</v>
      </c>
      <c r="V372" s="50" t="s">
        <v>1823</v>
      </c>
    </row>
    <row r="373" spans="1:22" x14ac:dyDescent="0.3">
      <c r="A373" s="48" t="s">
        <v>1190</v>
      </c>
      <c r="B373" s="49" t="s">
        <v>154</v>
      </c>
      <c r="C373" s="49" t="s">
        <v>1023</v>
      </c>
      <c r="D373" s="49" t="s">
        <v>673</v>
      </c>
      <c r="E373" s="49" t="s">
        <v>674</v>
      </c>
      <c r="F373" s="49" t="s">
        <v>716</v>
      </c>
      <c r="G373" s="49" t="s">
        <v>744</v>
      </c>
      <c r="H373" s="49" t="s">
        <v>935</v>
      </c>
      <c r="I373" s="49" t="s">
        <v>688</v>
      </c>
      <c r="J373" s="49" t="s">
        <v>710</v>
      </c>
      <c r="K373" s="49" t="s">
        <v>690</v>
      </c>
      <c r="L373" s="49" t="s">
        <v>681</v>
      </c>
      <c r="M373" s="49">
        <v>1</v>
      </c>
      <c r="N373" s="49" t="s">
        <v>575</v>
      </c>
      <c r="O373" s="49" t="s">
        <v>665</v>
      </c>
      <c r="P373" s="49" t="s">
        <v>746</v>
      </c>
      <c r="Q373" s="49" t="s">
        <v>683</v>
      </c>
      <c r="R373" s="49" t="s">
        <v>188</v>
      </c>
      <c r="S373" s="52" t="s">
        <v>673</v>
      </c>
      <c r="T373" s="49" t="s">
        <v>1821</v>
      </c>
      <c r="U373" s="49" t="s">
        <v>1824</v>
      </c>
      <c r="V373" s="50" t="s">
        <v>1823</v>
      </c>
    </row>
    <row r="374" spans="1:22" x14ac:dyDescent="0.3">
      <c r="A374" s="51" t="s">
        <v>879</v>
      </c>
      <c r="B374" s="52" t="s">
        <v>142</v>
      </c>
      <c r="C374" s="52" t="s">
        <v>880</v>
      </c>
      <c r="D374" s="52" t="s">
        <v>673</v>
      </c>
      <c r="E374" s="52" t="s">
        <v>674</v>
      </c>
      <c r="F374" s="52" t="s">
        <v>716</v>
      </c>
      <c r="G374" s="52" t="s">
        <v>744</v>
      </c>
      <c r="H374" s="52" t="s">
        <v>677</v>
      </c>
      <c r="I374" s="49" t="s">
        <v>678</v>
      </c>
      <c r="J374" s="52" t="s">
        <v>698</v>
      </c>
      <c r="K374" s="52" t="s">
        <v>690</v>
      </c>
      <c r="L374" s="52" t="s">
        <v>699</v>
      </c>
      <c r="M374" s="52">
        <v>1</v>
      </c>
      <c r="N374" s="52" t="s">
        <v>531</v>
      </c>
      <c r="O374" s="52" t="s">
        <v>767</v>
      </c>
      <c r="P374" s="52" t="s">
        <v>746</v>
      </c>
      <c r="Q374" s="52" t="s">
        <v>683</v>
      </c>
      <c r="R374" s="52" t="s">
        <v>142</v>
      </c>
      <c r="S374" s="52" t="s">
        <v>673</v>
      </c>
      <c r="T374" s="52" t="s">
        <v>1821</v>
      </c>
      <c r="U374" s="52" t="s">
        <v>1824</v>
      </c>
      <c r="V374" s="50" t="s">
        <v>1823</v>
      </c>
    </row>
    <row r="375" spans="1:22" x14ac:dyDescent="0.3">
      <c r="A375" s="48" t="s">
        <v>879</v>
      </c>
      <c r="B375" s="49" t="s">
        <v>142</v>
      </c>
      <c r="C375" s="49" t="s">
        <v>880</v>
      </c>
      <c r="D375" s="49" t="s">
        <v>673</v>
      </c>
      <c r="E375" s="49" t="s">
        <v>674</v>
      </c>
      <c r="F375" s="49" t="s">
        <v>716</v>
      </c>
      <c r="G375" s="49" t="s">
        <v>744</v>
      </c>
      <c r="H375" s="49" t="s">
        <v>677</v>
      </c>
      <c r="I375" s="49" t="s">
        <v>678</v>
      </c>
      <c r="J375" s="49" t="s">
        <v>698</v>
      </c>
      <c r="K375" s="49" t="s">
        <v>690</v>
      </c>
      <c r="L375" s="49" t="s">
        <v>699</v>
      </c>
      <c r="M375" s="49">
        <v>1</v>
      </c>
      <c r="N375" s="49" t="s">
        <v>396</v>
      </c>
      <c r="O375" s="49" t="s">
        <v>665</v>
      </c>
      <c r="P375" s="49" t="s">
        <v>746</v>
      </c>
      <c r="Q375" s="49" t="s">
        <v>683</v>
      </c>
      <c r="R375" s="49" t="s">
        <v>142</v>
      </c>
      <c r="S375" s="52" t="s">
        <v>673</v>
      </c>
      <c r="T375" s="49" t="s">
        <v>1821</v>
      </c>
      <c r="U375" s="49" t="s">
        <v>1824</v>
      </c>
      <c r="V375" s="50" t="s">
        <v>1823</v>
      </c>
    </row>
    <row r="376" spans="1:22" x14ac:dyDescent="0.3">
      <c r="A376" s="51" t="s">
        <v>809</v>
      </c>
      <c r="B376" s="52" t="s">
        <v>704</v>
      </c>
      <c r="C376" s="52" t="s">
        <v>810</v>
      </c>
      <c r="D376" s="52" t="s">
        <v>673</v>
      </c>
      <c r="E376" s="52" t="s">
        <v>674</v>
      </c>
      <c r="F376" s="52" t="s">
        <v>675</v>
      </c>
      <c r="G376" s="52" t="s">
        <v>676</v>
      </c>
      <c r="H376" s="52" t="s">
        <v>677</v>
      </c>
      <c r="I376" s="52" t="s">
        <v>811</v>
      </c>
      <c r="J376" s="52" t="s">
        <v>710</v>
      </c>
      <c r="K376" s="52" t="s">
        <v>690</v>
      </c>
      <c r="L376" s="52" t="s">
        <v>681</v>
      </c>
      <c r="M376" s="52">
        <v>1</v>
      </c>
      <c r="N376" s="52" t="s">
        <v>140</v>
      </c>
      <c r="O376" s="52" t="s">
        <v>665</v>
      </c>
      <c r="P376" s="52" t="s">
        <v>682</v>
      </c>
      <c r="Q376" s="52" t="s">
        <v>683</v>
      </c>
      <c r="R376" s="52" t="s">
        <v>565</v>
      </c>
      <c r="S376" s="52" t="s">
        <v>673</v>
      </c>
      <c r="T376" s="52" t="s">
        <v>1821</v>
      </c>
      <c r="U376" s="52" t="s">
        <v>1824</v>
      </c>
      <c r="V376" s="50" t="s">
        <v>1823</v>
      </c>
    </row>
    <row r="377" spans="1:22" x14ac:dyDescent="0.3">
      <c r="A377" s="48" t="s">
        <v>834</v>
      </c>
      <c r="B377" s="49" t="s">
        <v>835</v>
      </c>
      <c r="C377" s="49" t="s">
        <v>836</v>
      </c>
      <c r="D377" s="49" t="s">
        <v>673</v>
      </c>
      <c r="E377" s="49" t="s">
        <v>674</v>
      </c>
      <c r="F377" s="49" t="s">
        <v>675</v>
      </c>
      <c r="G377" s="49" t="s">
        <v>676</v>
      </c>
      <c r="H377" s="49" t="s">
        <v>702</v>
      </c>
      <c r="I377" s="49" t="s">
        <v>678</v>
      </c>
      <c r="J377" s="49" t="s">
        <v>713</v>
      </c>
      <c r="K377" s="49" t="s">
        <v>690</v>
      </c>
      <c r="L377" s="49" t="s">
        <v>681</v>
      </c>
      <c r="M377" s="49">
        <v>0.5</v>
      </c>
      <c r="N377" s="49" t="s">
        <v>170</v>
      </c>
      <c r="O377" s="49" t="s">
        <v>665</v>
      </c>
      <c r="P377" s="49" t="s">
        <v>682</v>
      </c>
      <c r="Q377" s="49" t="s">
        <v>683</v>
      </c>
      <c r="R377" s="49" t="s">
        <v>565</v>
      </c>
      <c r="S377" s="52" t="s">
        <v>673</v>
      </c>
      <c r="T377" s="49" t="s">
        <v>1821</v>
      </c>
      <c r="U377" s="49" t="s">
        <v>1824</v>
      </c>
      <c r="V377" s="50" t="s">
        <v>1823</v>
      </c>
    </row>
    <row r="378" spans="1:22" x14ac:dyDescent="0.3">
      <c r="A378" s="51" t="s">
        <v>793</v>
      </c>
      <c r="B378" s="52" t="s">
        <v>178</v>
      </c>
      <c r="C378" s="52" t="s">
        <v>794</v>
      </c>
      <c r="D378" s="52" t="s">
        <v>673</v>
      </c>
      <c r="E378" s="52" t="s">
        <v>674</v>
      </c>
      <c r="F378" s="52" t="s">
        <v>675</v>
      </c>
      <c r="G378" s="52" t="s">
        <v>676</v>
      </c>
      <c r="H378" s="52" t="s">
        <v>702</v>
      </c>
      <c r="I378" s="49" t="s">
        <v>688</v>
      </c>
      <c r="J378" s="52" t="s">
        <v>713</v>
      </c>
      <c r="K378" s="52" t="s">
        <v>690</v>
      </c>
      <c r="L378" s="52" t="s">
        <v>699</v>
      </c>
      <c r="M378" s="52">
        <v>0.5</v>
      </c>
      <c r="N378" s="52" t="s">
        <v>170</v>
      </c>
      <c r="O378" s="52" t="s">
        <v>665</v>
      </c>
      <c r="P378" s="52" t="s">
        <v>682</v>
      </c>
      <c r="Q378" s="52" t="s">
        <v>683</v>
      </c>
      <c r="R378" s="52" t="s">
        <v>565</v>
      </c>
      <c r="S378" s="52" t="s">
        <v>673</v>
      </c>
      <c r="T378" s="52" t="s">
        <v>1821</v>
      </c>
      <c r="U378" s="52" t="s">
        <v>1824</v>
      </c>
      <c r="V378" s="50" t="s">
        <v>1823</v>
      </c>
    </row>
    <row r="379" spans="1:22" x14ac:dyDescent="0.3">
      <c r="A379" s="48" t="s">
        <v>844</v>
      </c>
      <c r="B379" s="49" t="s">
        <v>704</v>
      </c>
      <c r="C379" s="49" t="s">
        <v>845</v>
      </c>
      <c r="D379" s="49" t="s">
        <v>673</v>
      </c>
      <c r="E379" s="49" t="s">
        <v>674</v>
      </c>
      <c r="F379" s="49" t="s">
        <v>716</v>
      </c>
      <c r="G379" s="49" t="s">
        <v>676</v>
      </c>
      <c r="H379" s="49" t="s">
        <v>702</v>
      </c>
      <c r="I379" s="49" t="s">
        <v>811</v>
      </c>
      <c r="J379" s="49" t="s">
        <v>713</v>
      </c>
      <c r="K379" s="49" t="s">
        <v>690</v>
      </c>
      <c r="L379" s="49" t="s">
        <v>691</v>
      </c>
      <c r="M379" s="49">
        <v>0.5</v>
      </c>
      <c r="N379" s="49" t="s">
        <v>175</v>
      </c>
      <c r="O379" s="49" t="s">
        <v>665</v>
      </c>
      <c r="P379" s="49" t="s">
        <v>682</v>
      </c>
      <c r="Q379" s="49" t="s">
        <v>683</v>
      </c>
      <c r="R379" s="49" t="s">
        <v>565</v>
      </c>
      <c r="S379" s="52" t="s">
        <v>673</v>
      </c>
      <c r="T379" s="49" t="s">
        <v>1821</v>
      </c>
      <c r="U379" s="49" t="s">
        <v>1824</v>
      </c>
      <c r="V379" s="50" t="s">
        <v>1823</v>
      </c>
    </row>
    <row r="380" spans="1:22" x14ac:dyDescent="0.3">
      <c r="A380" s="51" t="s">
        <v>846</v>
      </c>
      <c r="B380" s="52" t="s">
        <v>178</v>
      </c>
      <c r="C380" s="52" t="s">
        <v>847</v>
      </c>
      <c r="D380" s="52" t="s">
        <v>673</v>
      </c>
      <c r="E380" s="52" t="s">
        <v>674</v>
      </c>
      <c r="F380" s="52" t="s">
        <v>675</v>
      </c>
      <c r="G380" s="52" t="s">
        <v>676</v>
      </c>
      <c r="H380" s="52" t="s">
        <v>702</v>
      </c>
      <c r="I380" s="49" t="s">
        <v>678</v>
      </c>
      <c r="J380" s="52" t="s">
        <v>713</v>
      </c>
      <c r="K380" s="52" t="s">
        <v>690</v>
      </c>
      <c r="L380" s="52" t="s">
        <v>681</v>
      </c>
      <c r="M380" s="52">
        <v>0.3</v>
      </c>
      <c r="N380" s="52" t="s">
        <v>175</v>
      </c>
      <c r="O380" s="52" t="s">
        <v>665</v>
      </c>
      <c r="P380" s="52" t="s">
        <v>682</v>
      </c>
      <c r="Q380" s="52" t="s">
        <v>683</v>
      </c>
      <c r="R380" s="52" t="s">
        <v>565</v>
      </c>
      <c r="S380" s="52" t="s">
        <v>673</v>
      </c>
      <c r="T380" s="52" t="s">
        <v>1821</v>
      </c>
      <c r="U380" s="52" t="s">
        <v>1824</v>
      </c>
      <c r="V380" s="50" t="s">
        <v>1823</v>
      </c>
    </row>
    <row r="381" spans="1:22" x14ac:dyDescent="0.3">
      <c r="A381" s="48" t="s">
        <v>1192</v>
      </c>
      <c r="B381" s="49" t="s">
        <v>178</v>
      </c>
      <c r="C381" s="49" t="s">
        <v>1193</v>
      </c>
      <c r="D381" s="49" t="s">
        <v>673</v>
      </c>
      <c r="E381" s="49" t="s">
        <v>674</v>
      </c>
      <c r="F381" s="49" t="s">
        <v>716</v>
      </c>
      <c r="G381" s="49" t="s">
        <v>676</v>
      </c>
      <c r="H381" s="49" t="s">
        <v>702</v>
      </c>
      <c r="I381" s="49" t="s">
        <v>811</v>
      </c>
      <c r="J381" s="49" t="s">
        <v>713</v>
      </c>
      <c r="K381" s="49" t="s">
        <v>690</v>
      </c>
      <c r="L381" s="49" t="s">
        <v>691</v>
      </c>
      <c r="M381" s="49">
        <v>0.2</v>
      </c>
      <c r="N381" s="49" t="s">
        <v>175</v>
      </c>
      <c r="O381" s="49" t="s">
        <v>665</v>
      </c>
      <c r="P381" s="49" t="s">
        <v>682</v>
      </c>
      <c r="Q381" s="49" t="s">
        <v>683</v>
      </c>
      <c r="R381" s="49" t="s">
        <v>565</v>
      </c>
      <c r="S381" s="52" t="s">
        <v>673</v>
      </c>
      <c r="T381" s="49" t="s">
        <v>1821</v>
      </c>
      <c r="U381" s="49" t="s">
        <v>1824</v>
      </c>
      <c r="V381" s="50" t="s">
        <v>1823</v>
      </c>
    </row>
    <row r="382" spans="1:22" x14ac:dyDescent="0.3">
      <c r="A382" s="51" t="s">
        <v>793</v>
      </c>
      <c r="B382" s="52" t="s">
        <v>178</v>
      </c>
      <c r="C382" s="52" t="s">
        <v>794</v>
      </c>
      <c r="D382" s="52" t="s">
        <v>673</v>
      </c>
      <c r="E382" s="52" t="s">
        <v>674</v>
      </c>
      <c r="F382" s="52" t="s">
        <v>675</v>
      </c>
      <c r="G382" s="52" t="s">
        <v>676</v>
      </c>
      <c r="H382" s="52" t="s">
        <v>702</v>
      </c>
      <c r="I382" s="49" t="s">
        <v>688</v>
      </c>
      <c r="J382" s="52" t="s">
        <v>713</v>
      </c>
      <c r="K382" s="52" t="s">
        <v>690</v>
      </c>
      <c r="L382" s="52" t="s">
        <v>699</v>
      </c>
      <c r="M382" s="52">
        <v>1</v>
      </c>
      <c r="N382" s="52" t="s">
        <v>196</v>
      </c>
      <c r="O382" s="52" t="s">
        <v>665</v>
      </c>
      <c r="P382" s="52" t="s">
        <v>682</v>
      </c>
      <c r="Q382" s="52" t="s">
        <v>683</v>
      </c>
      <c r="R382" s="52" t="s">
        <v>565</v>
      </c>
      <c r="S382" s="52" t="s">
        <v>673</v>
      </c>
      <c r="T382" s="52" t="s">
        <v>1821</v>
      </c>
      <c r="U382" s="52" t="s">
        <v>1824</v>
      </c>
      <c r="V382" s="50" t="s">
        <v>1823</v>
      </c>
    </row>
    <row r="383" spans="1:22" x14ac:dyDescent="0.3">
      <c r="A383" s="48" t="s">
        <v>671</v>
      </c>
      <c r="B383" s="49" t="s">
        <v>178</v>
      </c>
      <c r="C383" s="49" t="s">
        <v>672</v>
      </c>
      <c r="D383" s="49" t="s">
        <v>673</v>
      </c>
      <c r="E383" s="49" t="s">
        <v>674</v>
      </c>
      <c r="F383" s="49" t="s">
        <v>675</v>
      </c>
      <c r="G383" s="49" t="s">
        <v>676</v>
      </c>
      <c r="H383" s="49" t="s">
        <v>677</v>
      </c>
      <c r="I383" s="49" t="s">
        <v>678</v>
      </c>
      <c r="J383" s="49" t="s">
        <v>679</v>
      </c>
      <c r="K383" s="49" t="s">
        <v>680</v>
      </c>
      <c r="L383" s="49" t="s">
        <v>681</v>
      </c>
      <c r="M383" s="49">
        <v>1</v>
      </c>
      <c r="N383" s="49" t="s">
        <v>198</v>
      </c>
      <c r="O383" s="49" t="s">
        <v>665</v>
      </c>
      <c r="P383" s="49" t="s">
        <v>682</v>
      </c>
      <c r="Q383" s="49" t="s">
        <v>683</v>
      </c>
      <c r="R383" s="49" t="s">
        <v>565</v>
      </c>
      <c r="S383" s="52" t="s">
        <v>673</v>
      </c>
      <c r="T383" s="49" t="s">
        <v>1821</v>
      </c>
      <c r="U383" s="49" t="s">
        <v>1824</v>
      </c>
      <c r="V383" s="50" t="s">
        <v>1823</v>
      </c>
    </row>
    <row r="384" spans="1:22" x14ac:dyDescent="0.3">
      <c r="A384" s="51" t="s">
        <v>1194</v>
      </c>
      <c r="B384" s="52" t="s">
        <v>704</v>
      </c>
      <c r="C384" s="52" t="s">
        <v>1195</v>
      </c>
      <c r="D384" s="52" t="s">
        <v>673</v>
      </c>
      <c r="E384" s="52" t="s">
        <v>674</v>
      </c>
      <c r="F384" s="52" t="s">
        <v>716</v>
      </c>
      <c r="G384" s="52" t="s">
        <v>731</v>
      </c>
      <c r="H384" s="52" t="s">
        <v>702</v>
      </c>
      <c r="I384" s="49" t="s">
        <v>688</v>
      </c>
      <c r="J384" s="52" t="s">
        <v>710</v>
      </c>
      <c r="K384" s="52" t="s">
        <v>690</v>
      </c>
      <c r="L384" s="52" t="s">
        <v>691</v>
      </c>
      <c r="M384" s="52">
        <v>1</v>
      </c>
      <c r="N384" s="52" t="s">
        <v>215</v>
      </c>
      <c r="O384" s="52" t="s">
        <v>665</v>
      </c>
      <c r="P384" s="52" t="s">
        <v>682</v>
      </c>
      <c r="Q384" s="52" t="s">
        <v>683</v>
      </c>
      <c r="R384" s="52" t="s">
        <v>565</v>
      </c>
      <c r="S384" s="52" t="s">
        <v>673</v>
      </c>
      <c r="T384" s="52" t="s">
        <v>1821</v>
      </c>
      <c r="U384" s="52" t="s">
        <v>1824</v>
      </c>
      <c r="V384" s="50" t="s">
        <v>1823</v>
      </c>
    </row>
    <row r="385" spans="1:22" x14ac:dyDescent="0.3">
      <c r="A385" s="48" t="s">
        <v>834</v>
      </c>
      <c r="B385" s="49" t="s">
        <v>835</v>
      </c>
      <c r="C385" s="49" t="s">
        <v>836</v>
      </c>
      <c r="D385" s="49" t="s">
        <v>673</v>
      </c>
      <c r="E385" s="49" t="s">
        <v>674</v>
      </c>
      <c r="F385" s="49" t="s">
        <v>675</v>
      </c>
      <c r="G385" s="49" t="s">
        <v>676</v>
      </c>
      <c r="H385" s="49" t="s">
        <v>702</v>
      </c>
      <c r="I385" s="49" t="s">
        <v>678</v>
      </c>
      <c r="J385" s="49" t="s">
        <v>713</v>
      </c>
      <c r="K385" s="49" t="s">
        <v>690</v>
      </c>
      <c r="L385" s="49" t="s">
        <v>681</v>
      </c>
      <c r="M385" s="49">
        <v>1</v>
      </c>
      <c r="N385" s="49" t="s">
        <v>223</v>
      </c>
      <c r="O385" s="49" t="s">
        <v>665</v>
      </c>
      <c r="P385" s="49" t="s">
        <v>682</v>
      </c>
      <c r="Q385" s="49" t="s">
        <v>683</v>
      </c>
      <c r="R385" s="49" t="s">
        <v>565</v>
      </c>
      <c r="S385" s="52" t="s">
        <v>673</v>
      </c>
      <c r="T385" s="49" t="s">
        <v>1821</v>
      </c>
      <c r="U385" s="49" t="s">
        <v>1824</v>
      </c>
      <c r="V385" s="50" t="s">
        <v>1823</v>
      </c>
    </row>
    <row r="386" spans="1:22" x14ac:dyDescent="0.3">
      <c r="A386" s="51" t="s">
        <v>703</v>
      </c>
      <c r="B386" s="52" t="s">
        <v>704</v>
      </c>
      <c r="C386" s="52" t="s">
        <v>705</v>
      </c>
      <c r="D386" s="52" t="s">
        <v>673</v>
      </c>
      <c r="E386" s="52" t="s">
        <v>674</v>
      </c>
      <c r="F386" s="52" t="s">
        <v>675</v>
      </c>
      <c r="G386" s="52" t="s">
        <v>676</v>
      </c>
      <c r="H386" s="52" t="s">
        <v>677</v>
      </c>
      <c r="I386" s="49" t="s">
        <v>678</v>
      </c>
      <c r="J386" s="52" t="s">
        <v>679</v>
      </c>
      <c r="K386" s="52" t="s">
        <v>680</v>
      </c>
      <c r="L386" s="52" t="s">
        <v>681</v>
      </c>
      <c r="M386" s="52">
        <v>1</v>
      </c>
      <c r="N386" s="52" t="s">
        <v>226</v>
      </c>
      <c r="O386" s="52" t="s">
        <v>665</v>
      </c>
      <c r="P386" s="52" t="s">
        <v>682</v>
      </c>
      <c r="Q386" s="52" t="s">
        <v>683</v>
      </c>
      <c r="R386" s="52" t="s">
        <v>565</v>
      </c>
      <c r="S386" s="52" t="s">
        <v>673</v>
      </c>
      <c r="T386" s="52" t="s">
        <v>1821</v>
      </c>
      <c r="U386" s="52" t="s">
        <v>1824</v>
      </c>
      <c r="V386" s="50" t="s">
        <v>1823</v>
      </c>
    </row>
    <row r="387" spans="1:22" x14ac:dyDescent="0.3">
      <c r="A387" s="48" t="s">
        <v>851</v>
      </c>
      <c r="B387" s="49" t="s">
        <v>849</v>
      </c>
      <c r="C387" s="49" t="s">
        <v>852</v>
      </c>
      <c r="D387" s="49" t="s">
        <v>673</v>
      </c>
      <c r="E387" s="49" t="s">
        <v>674</v>
      </c>
      <c r="F387" s="49" t="s">
        <v>675</v>
      </c>
      <c r="G387" s="49" t="s">
        <v>731</v>
      </c>
      <c r="H387" s="49" t="s">
        <v>702</v>
      </c>
      <c r="I387" s="49" t="s">
        <v>688</v>
      </c>
      <c r="J387" s="49" t="s">
        <v>713</v>
      </c>
      <c r="K387" s="49" t="s">
        <v>690</v>
      </c>
      <c r="L387" s="49" t="s">
        <v>681</v>
      </c>
      <c r="M387" s="49">
        <v>0.5</v>
      </c>
      <c r="N387" s="49" t="s">
        <v>227</v>
      </c>
      <c r="O387" s="49" t="s">
        <v>665</v>
      </c>
      <c r="P387" s="49" t="s">
        <v>682</v>
      </c>
      <c r="Q387" s="49" t="s">
        <v>683</v>
      </c>
      <c r="R387" s="49" t="s">
        <v>565</v>
      </c>
      <c r="S387" s="52" t="s">
        <v>673</v>
      </c>
      <c r="T387" s="49" t="s">
        <v>1821</v>
      </c>
      <c r="U387" s="49" t="s">
        <v>1824</v>
      </c>
      <c r="V387" s="50" t="s">
        <v>1823</v>
      </c>
    </row>
    <row r="388" spans="1:22" x14ac:dyDescent="0.3">
      <c r="A388" s="51" t="s">
        <v>848</v>
      </c>
      <c r="B388" s="52" t="s">
        <v>849</v>
      </c>
      <c r="C388" s="52" t="s">
        <v>850</v>
      </c>
      <c r="D388" s="52" t="s">
        <v>673</v>
      </c>
      <c r="E388" s="52" t="s">
        <v>674</v>
      </c>
      <c r="F388" s="52" t="s">
        <v>675</v>
      </c>
      <c r="G388" s="52" t="s">
        <v>731</v>
      </c>
      <c r="H388" s="52" t="s">
        <v>702</v>
      </c>
      <c r="I388" s="52" t="s">
        <v>811</v>
      </c>
      <c r="J388" s="52" t="s">
        <v>713</v>
      </c>
      <c r="K388" s="52" t="s">
        <v>690</v>
      </c>
      <c r="L388" s="52" t="s">
        <v>681</v>
      </c>
      <c r="M388" s="52">
        <v>0.5</v>
      </c>
      <c r="N388" s="52" t="s">
        <v>227</v>
      </c>
      <c r="O388" s="52" t="s">
        <v>665</v>
      </c>
      <c r="P388" s="52" t="s">
        <v>682</v>
      </c>
      <c r="Q388" s="52" t="s">
        <v>683</v>
      </c>
      <c r="R388" s="52" t="s">
        <v>565</v>
      </c>
      <c r="S388" s="52" t="s">
        <v>673</v>
      </c>
      <c r="T388" s="52" t="s">
        <v>1821</v>
      </c>
      <c r="U388" s="52" t="s">
        <v>1824</v>
      </c>
      <c r="V388" s="50" t="s">
        <v>1823</v>
      </c>
    </row>
    <row r="389" spans="1:22" x14ac:dyDescent="0.3">
      <c r="A389" s="48" t="s">
        <v>837</v>
      </c>
      <c r="B389" s="49" t="s">
        <v>686</v>
      </c>
      <c r="C389" s="49" t="s">
        <v>838</v>
      </c>
      <c r="D389" s="49" t="s">
        <v>673</v>
      </c>
      <c r="E389" s="49" t="s">
        <v>674</v>
      </c>
      <c r="F389" s="49" t="s">
        <v>716</v>
      </c>
      <c r="G389" s="49" t="s">
        <v>731</v>
      </c>
      <c r="H389" s="49" t="s">
        <v>702</v>
      </c>
      <c r="I389" s="49" t="s">
        <v>688</v>
      </c>
      <c r="J389" s="49" t="s">
        <v>689</v>
      </c>
      <c r="K389" s="49" t="s">
        <v>690</v>
      </c>
      <c r="L389" s="49" t="s">
        <v>691</v>
      </c>
      <c r="M389" s="49">
        <v>1</v>
      </c>
      <c r="N389" s="49" t="s">
        <v>229</v>
      </c>
      <c r="O389" s="49" t="s">
        <v>665</v>
      </c>
      <c r="P389" s="49" t="s">
        <v>682</v>
      </c>
      <c r="Q389" s="49" t="s">
        <v>683</v>
      </c>
      <c r="R389" s="49" t="s">
        <v>565</v>
      </c>
      <c r="S389" s="52" t="s">
        <v>673</v>
      </c>
      <c r="T389" s="49" t="s">
        <v>1821</v>
      </c>
      <c r="U389" s="49" t="s">
        <v>1824</v>
      </c>
      <c r="V389" s="50" t="s">
        <v>1823</v>
      </c>
    </row>
    <row r="390" spans="1:22" x14ac:dyDescent="0.3">
      <c r="A390" s="51" t="s">
        <v>1196</v>
      </c>
      <c r="B390" s="52" t="s">
        <v>704</v>
      </c>
      <c r="C390" s="52" t="s">
        <v>1197</v>
      </c>
      <c r="D390" s="52" t="s">
        <v>673</v>
      </c>
      <c r="E390" s="52" t="s">
        <v>674</v>
      </c>
      <c r="F390" s="52" t="s">
        <v>675</v>
      </c>
      <c r="G390" s="52" t="s">
        <v>676</v>
      </c>
      <c r="H390" s="52" t="s">
        <v>677</v>
      </c>
      <c r="I390" s="49" t="s">
        <v>678</v>
      </c>
      <c r="J390" s="52" t="s">
        <v>679</v>
      </c>
      <c r="K390" s="52" t="s">
        <v>680</v>
      </c>
      <c r="L390" s="52" t="s">
        <v>681</v>
      </c>
      <c r="M390" s="52">
        <v>1</v>
      </c>
      <c r="N390" s="52" t="s">
        <v>233</v>
      </c>
      <c r="O390" s="52" t="s">
        <v>665</v>
      </c>
      <c r="P390" s="52" t="s">
        <v>682</v>
      </c>
      <c r="Q390" s="52" t="s">
        <v>683</v>
      </c>
      <c r="R390" s="52" t="s">
        <v>565</v>
      </c>
      <c r="S390" s="52" t="s">
        <v>673</v>
      </c>
      <c r="T390" s="52" t="s">
        <v>1821</v>
      </c>
      <c r="U390" s="52" t="s">
        <v>1824</v>
      </c>
      <c r="V390" s="50" t="s">
        <v>1823</v>
      </c>
    </row>
    <row r="391" spans="1:22" x14ac:dyDescent="0.3">
      <c r="A391" s="48" t="s">
        <v>793</v>
      </c>
      <c r="B391" s="49" t="s">
        <v>178</v>
      </c>
      <c r="C391" s="49" t="s">
        <v>794</v>
      </c>
      <c r="D391" s="49" t="s">
        <v>673</v>
      </c>
      <c r="E391" s="49" t="s">
        <v>674</v>
      </c>
      <c r="F391" s="49" t="s">
        <v>675</v>
      </c>
      <c r="G391" s="49" t="s">
        <v>676</v>
      </c>
      <c r="H391" s="49" t="s">
        <v>702</v>
      </c>
      <c r="I391" s="49" t="s">
        <v>688</v>
      </c>
      <c r="J391" s="49" t="s">
        <v>713</v>
      </c>
      <c r="K391" s="49" t="s">
        <v>690</v>
      </c>
      <c r="L391" s="49" t="s">
        <v>699</v>
      </c>
      <c r="M391" s="49">
        <v>1</v>
      </c>
      <c r="N391" s="49" t="s">
        <v>235</v>
      </c>
      <c r="O391" s="49" t="s">
        <v>665</v>
      </c>
      <c r="P391" s="49" t="s">
        <v>682</v>
      </c>
      <c r="Q391" s="49" t="s">
        <v>683</v>
      </c>
      <c r="R391" s="49" t="s">
        <v>565</v>
      </c>
      <c r="S391" s="52" t="s">
        <v>673</v>
      </c>
      <c r="T391" s="49" t="s">
        <v>1821</v>
      </c>
      <c r="U391" s="49" t="s">
        <v>1824</v>
      </c>
      <c r="V391" s="50" t="s">
        <v>1823</v>
      </c>
    </row>
    <row r="392" spans="1:22" x14ac:dyDescent="0.3">
      <c r="A392" s="51" t="s">
        <v>729</v>
      </c>
      <c r="B392" s="52" t="s">
        <v>704</v>
      </c>
      <c r="C392" s="52" t="s">
        <v>730</v>
      </c>
      <c r="D392" s="52" t="s">
        <v>673</v>
      </c>
      <c r="E392" s="52" t="s">
        <v>674</v>
      </c>
      <c r="F392" s="52" t="s">
        <v>675</v>
      </c>
      <c r="G392" s="52" t="s">
        <v>731</v>
      </c>
      <c r="H392" s="52" t="s">
        <v>702</v>
      </c>
      <c r="I392" s="49" t="s">
        <v>688</v>
      </c>
      <c r="J392" s="52" t="s">
        <v>713</v>
      </c>
      <c r="K392" s="52" t="s">
        <v>690</v>
      </c>
      <c r="L392" s="52" t="s">
        <v>681</v>
      </c>
      <c r="M392" s="52">
        <v>1</v>
      </c>
      <c r="N392" s="52" t="s">
        <v>237</v>
      </c>
      <c r="O392" s="52" t="s">
        <v>665</v>
      </c>
      <c r="P392" s="52" t="s">
        <v>682</v>
      </c>
      <c r="Q392" s="52" t="s">
        <v>683</v>
      </c>
      <c r="R392" s="52" t="s">
        <v>565</v>
      </c>
      <c r="S392" s="52" t="s">
        <v>673</v>
      </c>
      <c r="T392" s="52" t="s">
        <v>1821</v>
      </c>
      <c r="U392" s="52" t="s">
        <v>1824</v>
      </c>
      <c r="V392" s="50" t="s">
        <v>1823</v>
      </c>
    </row>
    <row r="393" spans="1:22" x14ac:dyDescent="0.3">
      <c r="A393" s="48" t="s">
        <v>1198</v>
      </c>
      <c r="B393" s="49" t="s">
        <v>704</v>
      </c>
      <c r="C393" s="49" t="s">
        <v>1199</v>
      </c>
      <c r="D393" s="49" t="s">
        <v>673</v>
      </c>
      <c r="E393" s="49" t="s">
        <v>674</v>
      </c>
      <c r="F393" s="49" t="s">
        <v>675</v>
      </c>
      <c r="G393" s="49" t="s">
        <v>676</v>
      </c>
      <c r="H393" s="49" t="s">
        <v>677</v>
      </c>
      <c r="I393" s="49" t="s">
        <v>688</v>
      </c>
      <c r="J393" s="49" t="s">
        <v>710</v>
      </c>
      <c r="K393" s="49" t="s">
        <v>690</v>
      </c>
      <c r="L393" s="49" t="s">
        <v>681</v>
      </c>
      <c r="M393" s="49">
        <v>1</v>
      </c>
      <c r="N393" s="49" t="s">
        <v>238</v>
      </c>
      <c r="O393" s="49" t="s">
        <v>665</v>
      </c>
      <c r="P393" s="49" t="s">
        <v>682</v>
      </c>
      <c r="Q393" s="49" t="s">
        <v>683</v>
      </c>
      <c r="R393" s="49" t="s">
        <v>565</v>
      </c>
      <c r="S393" s="52" t="s">
        <v>673</v>
      </c>
      <c r="T393" s="49" t="s">
        <v>1821</v>
      </c>
      <c r="U393" s="49" t="s">
        <v>1824</v>
      </c>
      <c r="V393" s="50" t="s">
        <v>1823</v>
      </c>
    </row>
    <row r="394" spans="1:22" x14ac:dyDescent="0.3">
      <c r="A394" s="51" t="s">
        <v>834</v>
      </c>
      <c r="B394" s="52" t="s">
        <v>835</v>
      </c>
      <c r="C394" s="52" t="s">
        <v>836</v>
      </c>
      <c r="D394" s="52" t="s">
        <v>673</v>
      </c>
      <c r="E394" s="52" t="s">
        <v>674</v>
      </c>
      <c r="F394" s="52" t="s">
        <v>675</v>
      </c>
      <c r="G394" s="52" t="s">
        <v>676</v>
      </c>
      <c r="H394" s="52" t="s">
        <v>702</v>
      </c>
      <c r="I394" s="49" t="s">
        <v>678</v>
      </c>
      <c r="J394" s="52" t="s">
        <v>713</v>
      </c>
      <c r="K394" s="52" t="s">
        <v>690</v>
      </c>
      <c r="L394" s="52" t="s">
        <v>681</v>
      </c>
      <c r="M394" s="52">
        <v>0.2</v>
      </c>
      <c r="N394" s="52" t="s">
        <v>239</v>
      </c>
      <c r="O394" s="52" t="s">
        <v>665</v>
      </c>
      <c r="P394" s="52" t="s">
        <v>682</v>
      </c>
      <c r="Q394" s="52" t="s">
        <v>683</v>
      </c>
      <c r="R394" s="52" t="s">
        <v>565</v>
      </c>
      <c r="S394" s="52" t="s">
        <v>673</v>
      </c>
      <c r="T394" s="52" t="s">
        <v>1821</v>
      </c>
      <c r="U394" s="52" t="s">
        <v>1824</v>
      </c>
      <c r="V394" s="50" t="s">
        <v>1823</v>
      </c>
    </row>
    <row r="395" spans="1:22" x14ac:dyDescent="0.3">
      <c r="A395" s="48" t="s">
        <v>793</v>
      </c>
      <c r="B395" s="49" t="s">
        <v>178</v>
      </c>
      <c r="C395" s="49" t="s">
        <v>794</v>
      </c>
      <c r="D395" s="49" t="s">
        <v>673</v>
      </c>
      <c r="E395" s="49" t="s">
        <v>674</v>
      </c>
      <c r="F395" s="49" t="s">
        <v>675</v>
      </c>
      <c r="G395" s="49" t="s">
        <v>676</v>
      </c>
      <c r="H395" s="49" t="s">
        <v>702</v>
      </c>
      <c r="I395" s="49" t="s">
        <v>688</v>
      </c>
      <c r="J395" s="49" t="s">
        <v>713</v>
      </c>
      <c r="K395" s="49" t="s">
        <v>690</v>
      </c>
      <c r="L395" s="49" t="s">
        <v>699</v>
      </c>
      <c r="M395" s="49">
        <v>0.8</v>
      </c>
      <c r="N395" s="49" t="s">
        <v>239</v>
      </c>
      <c r="O395" s="49" t="s">
        <v>665</v>
      </c>
      <c r="P395" s="49" t="s">
        <v>682</v>
      </c>
      <c r="Q395" s="49" t="s">
        <v>683</v>
      </c>
      <c r="R395" s="49" t="s">
        <v>565</v>
      </c>
      <c r="S395" s="52" t="s">
        <v>673</v>
      </c>
      <c r="T395" s="49" t="s">
        <v>1821</v>
      </c>
      <c r="U395" s="49" t="s">
        <v>1824</v>
      </c>
      <c r="V395" s="50" t="s">
        <v>1823</v>
      </c>
    </row>
    <row r="396" spans="1:22" x14ac:dyDescent="0.3">
      <c r="A396" s="51" t="s">
        <v>729</v>
      </c>
      <c r="B396" s="52" t="s">
        <v>704</v>
      </c>
      <c r="C396" s="52" t="s">
        <v>730</v>
      </c>
      <c r="D396" s="52" t="s">
        <v>673</v>
      </c>
      <c r="E396" s="52" t="s">
        <v>674</v>
      </c>
      <c r="F396" s="52" t="s">
        <v>675</v>
      </c>
      <c r="G396" s="52" t="s">
        <v>731</v>
      </c>
      <c r="H396" s="52" t="s">
        <v>702</v>
      </c>
      <c r="I396" s="49" t="s">
        <v>688</v>
      </c>
      <c r="J396" s="52" t="s">
        <v>713</v>
      </c>
      <c r="K396" s="52" t="s">
        <v>690</v>
      </c>
      <c r="L396" s="52" t="s">
        <v>681</v>
      </c>
      <c r="M396" s="52">
        <v>1</v>
      </c>
      <c r="N396" s="52" t="s">
        <v>271</v>
      </c>
      <c r="O396" s="52" t="s">
        <v>665</v>
      </c>
      <c r="P396" s="52" t="s">
        <v>682</v>
      </c>
      <c r="Q396" s="52" t="s">
        <v>683</v>
      </c>
      <c r="R396" s="52" t="s">
        <v>565</v>
      </c>
      <c r="S396" s="52" t="s">
        <v>673</v>
      </c>
      <c r="T396" s="52" t="s">
        <v>1821</v>
      </c>
      <c r="U396" s="52" t="s">
        <v>1824</v>
      </c>
      <c r="V396" s="50" t="s">
        <v>1823</v>
      </c>
    </row>
    <row r="397" spans="1:22" x14ac:dyDescent="0.3">
      <c r="A397" s="48" t="s">
        <v>671</v>
      </c>
      <c r="B397" s="49" t="s">
        <v>178</v>
      </c>
      <c r="C397" s="49" t="s">
        <v>672</v>
      </c>
      <c r="D397" s="49" t="s">
        <v>673</v>
      </c>
      <c r="E397" s="49" t="s">
        <v>674</v>
      </c>
      <c r="F397" s="49" t="s">
        <v>675</v>
      </c>
      <c r="G397" s="49" t="s">
        <v>676</v>
      </c>
      <c r="H397" s="49" t="s">
        <v>677</v>
      </c>
      <c r="I397" s="49" t="s">
        <v>678</v>
      </c>
      <c r="J397" s="49" t="s">
        <v>679</v>
      </c>
      <c r="K397" s="49" t="s">
        <v>680</v>
      </c>
      <c r="L397" s="49" t="s">
        <v>681</v>
      </c>
      <c r="M397" s="49">
        <v>0.4</v>
      </c>
      <c r="N397" s="49" t="s">
        <v>485</v>
      </c>
      <c r="O397" s="49" t="s">
        <v>665</v>
      </c>
      <c r="P397" s="49" t="s">
        <v>682</v>
      </c>
      <c r="Q397" s="49" t="s">
        <v>683</v>
      </c>
      <c r="R397" s="49" t="s">
        <v>565</v>
      </c>
      <c r="S397" s="52" t="s">
        <v>673</v>
      </c>
      <c r="T397" s="49" t="s">
        <v>1821</v>
      </c>
      <c r="U397" s="49" t="s">
        <v>1824</v>
      </c>
      <c r="V397" s="50" t="s">
        <v>1823</v>
      </c>
    </row>
    <row r="398" spans="1:22" x14ac:dyDescent="0.3">
      <c r="A398" s="51" t="s">
        <v>779</v>
      </c>
      <c r="B398" s="52" t="s">
        <v>704</v>
      </c>
      <c r="C398" s="52" t="s">
        <v>780</v>
      </c>
      <c r="D398" s="52" t="s">
        <v>673</v>
      </c>
      <c r="E398" s="52" t="s">
        <v>674</v>
      </c>
      <c r="F398" s="52" t="s">
        <v>675</v>
      </c>
      <c r="G398" s="52" t="s">
        <v>676</v>
      </c>
      <c r="H398" s="52" t="s">
        <v>677</v>
      </c>
      <c r="I398" s="49" t="s">
        <v>678</v>
      </c>
      <c r="J398" s="52" t="s">
        <v>679</v>
      </c>
      <c r="K398" s="52" t="s">
        <v>680</v>
      </c>
      <c r="L398" s="52" t="s">
        <v>681</v>
      </c>
      <c r="M398" s="52">
        <v>0.6</v>
      </c>
      <c r="N398" s="52" t="s">
        <v>485</v>
      </c>
      <c r="O398" s="52" t="s">
        <v>665</v>
      </c>
      <c r="P398" s="52" t="s">
        <v>682</v>
      </c>
      <c r="Q398" s="52" t="s">
        <v>683</v>
      </c>
      <c r="R398" s="52" t="s">
        <v>565</v>
      </c>
      <c r="S398" s="52" t="s">
        <v>673</v>
      </c>
      <c r="T398" s="52" t="s">
        <v>1821</v>
      </c>
      <c r="U398" s="52" t="s">
        <v>1824</v>
      </c>
      <c r="V398" s="50" t="s">
        <v>1823</v>
      </c>
    </row>
    <row r="399" spans="1:22" x14ac:dyDescent="0.3">
      <c r="A399" s="48" t="s">
        <v>729</v>
      </c>
      <c r="B399" s="49" t="s">
        <v>704</v>
      </c>
      <c r="C399" s="49" t="s">
        <v>730</v>
      </c>
      <c r="D399" s="49" t="s">
        <v>673</v>
      </c>
      <c r="E399" s="49" t="s">
        <v>674</v>
      </c>
      <c r="F399" s="49" t="s">
        <v>675</v>
      </c>
      <c r="G399" s="49" t="s">
        <v>731</v>
      </c>
      <c r="H399" s="49" t="s">
        <v>702</v>
      </c>
      <c r="I399" s="49" t="s">
        <v>688</v>
      </c>
      <c r="J399" s="49" t="s">
        <v>713</v>
      </c>
      <c r="K399" s="49" t="s">
        <v>690</v>
      </c>
      <c r="L399" s="49" t="s">
        <v>681</v>
      </c>
      <c r="M399" s="49">
        <v>1</v>
      </c>
      <c r="N399" s="49" t="s">
        <v>486</v>
      </c>
      <c r="O399" s="49" t="s">
        <v>665</v>
      </c>
      <c r="P399" s="49" t="s">
        <v>682</v>
      </c>
      <c r="Q399" s="49" t="s">
        <v>683</v>
      </c>
      <c r="R399" s="49" t="s">
        <v>565</v>
      </c>
      <c r="S399" s="52" t="s">
        <v>673</v>
      </c>
      <c r="T399" s="49" t="s">
        <v>1821</v>
      </c>
      <c r="U399" s="49" t="s">
        <v>1824</v>
      </c>
      <c r="V399" s="50" t="s">
        <v>1823</v>
      </c>
    </row>
    <row r="400" spans="1:22" x14ac:dyDescent="0.3">
      <c r="A400" s="51" t="s">
        <v>837</v>
      </c>
      <c r="B400" s="52" t="s">
        <v>686</v>
      </c>
      <c r="C400" s="52" t="s">
        <v>838</v>
      </c>
      <c r="D400" s="52" t="s">
        <v>673</v>
      </c>
      <c r="E400" s="52" t="s">
        <v>674</v>
      </c>
      <c r="F400" s="52" t="s">
        <v>716</v>
      </c>
      <c r="G400" s="52" t="s">
        <v>731</v>
      </c>
      <c r="H400" s="52" t="s">
        <v>702</v>
      </c>
      <c r="I400" s="49" t="s">
        <v>688</v>
      </c>
      <c r="J400" s="52" t="s">
        <v>689</v>
      </c>
      <c r="K400" s="52" t="s">
        <v>690</v>
      </c>
      <c r="L400" s="52" t="s">
        <v>691</v>
      </c>
      <c r="M400" s="52">
        <v>1</v>
      </c>
      <c r="N400" s="52" t="s">
        <v>487</v>
      </c>
      <c r="O400" s="52" t="s">
        <v>665</v>
      </c>
      <c r="P400" s="52" t="s">
        <v>682</v>
      </c>
      <c r="Q400" s="52" t="s">
        <v>683</v>
      </c>
      <c r="R400" s="52" t="s">
        <v>565</v>
      </c>
      <c r="S400" s="52" t="s">
        <v>673</v>
      </c>
      <c r="T400" s="52" t="s">
        <v>1821</v>
      </c>
      <c r="U400" s="52" t="s">
        <v>1824</v>
      </c>
      <c r="V400" s="50" t="s">
        <v>1823</v>
      </c>
    </row>
    <row r="401" spans="1:22" x14ac:dyDescent="0.3">
      <c r="A401" s="48" t="s">
        <v>834</v>
      </c>
      <c r="B401" s="49" t="s">
        <v>835</v>
      </c>
      <c r="C401" s="49" t="s">
        <v>836</v>
      </c>
      <c r="D401" s="49" t="s">
        <v>673</v>
      </c>
      <c r="E401" s="49" t="s">
        <v>674</v>
      </c>
      <c r="F401" s="49" t="s">
        <v>675</v>
      </c>
      <c r="G401" s="49" t="s">
        <v>676</v>
      </c>
      <c r="H401" s="49" t="s">
        <v>702</v>
      </c>
      <c r="I401" s="49" t="s">
        <v>678</v>
      </c>
      <c r="J401" s="49" t="s">
        <v>713</v>
      </c>
      <c r="K401" s="49" t="s">
        <v>690</v>
      </c>
      <c r="L401" s="49" t="s">
        <v>681</v>
      </c>
      <c r="M401" s="49">
        <v>1</v>
      </c>
      <c r="N401" s="49" t="s">
        <v>488</v>
      </c>
      <c r="O401" s="49" t="s">
        <v>665</v>
      </c>
      <c r="P401" s="49" t="s">
        <v>682</v>
      </c>
      <c r="Q401" s="49" t="s">
        <v>683</v>
      </c>
      <c r="R401" s="49" t="s">
        <v>565</v>
      </c>
      <c r="S401" s="52" t="s">
        <v>673</v>
      </c>
      <c r="T401" s="49" t="s">
        <v>1821</v>
      </c>
      <c r="U401" s="49" t="s">
        <v>1824</v>
      </c>
      <c r="V401" s="50" t="s">
        <v>1823</v>
      </c>
    </row>
    <row r="402" spans="1:22" x14ac:dyDescent="0.3">
      <c r="A402" s="51" t="s">
        <v>729</v>
      </c>
      <c r="B402" s="52" t="s">
        <v>704</v>
      </c>
      <c r="C402" s="52" t="s">
        <v>730</v>
      </c>
      <c r="D402" s="52" t="s">
        <v>673</v>
      </c>
      <c r="E402" s="52" t="s">
        <v>674</v>
      </c>
      <c r="F402" s="52" t="s">
        <v>675</v>
      </c>
      <c r="G402" s="52" t="s">
        <v>731</v>
      </c>
      <c r="H402" s="52" t="s">
        <v>702</v>
      </c>
      <c r="I402" s="49" t="s">
        <v>688</v>
      </c>
      <c r="J402" s="52" t="s">
        <v>713</v>
      </c>
      <c r="K402" s="52" t="s">
        <v>690</v>
      </c>
      <c r="L402" s="52" t="s">
        <v>681</v>
      </c>
      <c r="M402" s="52">
        <v>1</v>
      </c>
      <c r="N402" s="52" t="s">
        <v>611</v>
      </c>
      <c r="O402" s="52" t="s">
        <v>665</v>
      </c>
      <c r="P402" s="52" t="s">
        <v>682</v>
      </c>
      <c r="Q402" s="52" t="s">
        <v>683</v>
      </c>
      <c r="R402" s="52" t="s">
        <v>565</v>
      </c>
      <c r="S402" s="52" t="s">
        <v>673</v>
      </c>
      <c r="T402" s="52" t="s">
        <v>1821</v>
      </c>
      <c r="U402" s="52" t="s">
        <v>1824</v>
      </c>
      <c r="V402" s="50" t="s">
        <v>1823</v>
      </c>
    </row>
    <row r="403" spans="1:22" x14ac:dyDescent="0.3">
      <c r="A403" s="48" t="s">
        <v>703</v>
      </c>
      <c r="B403" s="49" t="s">
        <v>704</v>
      </c>
      <c r="C403" s="49" t="s">
        <v>705</v>
      </c>
      <c r="D403" s="49" t="s">
        <v>673</v>
      </c>
      <c r="E403" s="49" t="s">
        <v>674</v>
      </c>
      <c r="F403" s="49" t="s">
        <v>675</v>
      </c>
      <c r="G403" s="49" t="s">
        <v>676</v>
      </c>
      <c r="H403" s="49" t="s">
        <v>677</v>
      </c>
      <c r="I403" s="49" t="s">
        <v>678</v>
      </c>
      <c r="J403" s="49" t="s">
        <v>679</v>
      </c>
      <c r="K403" s="49" t="s">
        <v>680</v>
      </c>
      <c r="L403" s="49" t="s">
        <v>681</v>
      </c>
      <c r="M403" s="49">
        <v>1</v>
      </c>
      <c r="N403" s="49" t="s">
        <v>615</v>
      </c>
      <c r="O403" s="49" t="s">
        <v>665</v>
      </c>
      <c r="P403" s="49" t="s">
        <v>682</v>
      </c>
      <c r="Q403" s="49" t="s">
        <v>683</v>
      </c>
      <c r="R403" s="49" t="s">
        <v>565</v>
      </c>
      <c r="S403" s="52" t="s">
        <v>673</v>
      </c>
      <c r="T403" s="49" t="s">
        <v>1821</v>
      </c>
      <c r="U403" s="49" t="s">
        <v>1824</v>
      </c>
      <c r="V403" s="50" t="s">
        <v>1823</v>
      </c>
    </row>
    <row r="404" spans="1:22" x14ac:dyDescent="0.3">
      <c r="A404" s="51" t="s">
        <v>834</v>
      </c>
      <c r="B404" s="52" t="s">
        <v>835</v>
      </c>
      <c r="C404" s="52" t="s">
        <v>836</v>
      </c>
      <c r="D404" s="52" t="s">
        <v>673</v>
      </c>
      <c r="E404" s="52" t="s">
        <v>674</v>
      </c>
      <c r="F404" s="52" t="s">
        <v>675</v>
      </c>
      <c r="G404" s="52" t="s">
        <v>676</v>
      </c>
      <c r="H404" s="52" t="s">
        <v>702</v>
      </c>
      <c r="I404" s="49" t="s">
        <v>678</v>
      </c>
      <c r="J404" s="52" t="s">
        <v>713</v>
      </c>
      <c r="K404" s="52" t="s">
        <v>690</v>
      </c>
      <c r="L404" s="52" t="s">
        <v>681</v>
      </c>
      <c r="M404" s="52">
        <v>0.4</v>
      </c>
      <c r="N404" s="52" t="s">
        <v>619</v>
      </c>
      <c r="O404" s="52" t="s">
        <v>665</v>
      </c>
      <c r="P404" s="52" t="s">
        <v>682</v>
      </c>
      <c r="Q404" s="52" t="s">
        <v>683</v>
      </c>
      <c r="R404" s="52" t="s">
        <v>565</v>
      </c>
      <c r="S404" s="52" t="s">
        <v>673</v>
      </c>
      <c r="T404" s="52" t="s">
        <v>1821</v>
      </c>
      <c r="U404" s="52" t="s">
        <v>1824</v>
      </c>
      <c r="V404" s="50" t="s">
        <v>1823</v>
      </c>
    </row>
    <row r="405" spans="1:22" x14ac:dyDescent="0.3">
      <c r="A405" s="48" t="s">
        <v>793</v>
      </c>
      <c r="B405" s="49" t="s">
        <v>178</v>
      </c>
      <c r="C405" s="49" t="s">
        <v>794</v>
      </c>
      <c r="D405" s="49" t="s">
        <v>673</v>
      </c>
      <c r="E405" s="49" t="s">
        <v>674</v>
      </c>
      <c r="F405" s="49" t="s">
        <v>675</v>
      </c>
      <c r="G405" s="49" t="s">
        <v>676</v>
      </c>
      <c r="H405" s="49" t="s">
        <v>702</v>
      </c>
      <c r="I405" s="49" t="s">
        <v>688</v>
      </c>
      <c r="J405" s="49" t="s">
        <v>713</v>
      </c>
      <c r="K405" s="49" t="s">
        <v>690</v>
      </c>
      <c r="L405" s="49" t="s">
        <v>699</v>
      </c>
      <c r="M405" s="49">
        <v>0.2</v>
      </c>
      <c r="N405" s="49" t="s">
        <v>619</v>
      </c>
      <c r="O405" s="49" t="s">
        <v>665</v>
      </c>
      <c r="P405" s="49" t="s">
        <v>682</v>
      </c>
      <c r="Q405" s="49" t="s">
        <v>683</v>
      </c>
      <c r="R405" s="49" t="s">
        <v>565</v>
      </c>
      <c r="S405" s="52" t="s">
        <v>673</v>
      </c>
      <c r="T405" s="49" t="s">
        <v>1821</v>
      </c>
      <c r="U405" s="49" t="s">
        <v>1824</v>
      </c>
      <c r="V405" s="50" t="s">
        <v>1823</v>
      </c>
    </row>
    <row r="406" spans="1:22" x14ac:dyDescent="0.3">
      <c r="A406" s="51" t="s">
        <v>844</v>
      </c>
      <c r="B406" s="52" t="s">
        <v>704</v>
      </c>
      <c r="C406" s="52" t="s">
        <v>845</v>
      </c>
      <c r="D406" s="52" t="s">
        <v>673</v>
      </c>
      <c r="E406" s="52" t="s">
        <v>674</v>
      </c>
      <c r="F406" s="52" t="s">
        <v>716</v>
      </c>
      <c r="G406" s="52" t="s">
        <v>676</v>
      </c>
      <c r="H406" s="52" t="s">
        <v>702</v>
      </c>
      <c r="I406" s="52" t="s">
        <v>811</v>
      </c>
      <c r="J406" s="52" t="s">
        <v>713</v>
      </c>
      <c r="K406" s="52" t="s">
        <v>690</v>
      </c>
      <c r="L406" s="52" t="s">
        <v>691</v>
      </c>
      <c r="M406" s="52">
        <v>0.4</v>
      </c>
      <c r="N406" s="52" t="s">
        <v>619</v>
      </c>
      <c r="O406" s="52" t="s">
        <v>665</v>
      </c>
      <c r="P406" s="52" t="s">
        <v>682</v>
      </c>
      <c r="Q406" s="52" t="s">
        <v>683</v>
      </c>
      <c r="R406" s="52" t="s">
        <v>565</v>
      </c>
      <c r="S406" s="52" t="s">
        <v>673</v>
      </c>
      <c r="T406" s="52" t="s">
        <v>1821</v>
      </c>
      <c r="U406" s="52" t="s">
        <v>1824</v>
      </c>
      <c r="V406" s="50" t="s">
        <v>1823</v>
      </c>
    </row>
    <row r="407" spans="1:22" x14ac:dyDescent="0.3">
      <c r="A407" s="48" t="s">
        <v>729</v>
      </c>
      <c r="B407" s="49" t="s">
        <v>704</v>
      </c>
      <c r="C407" s="49" t="s">
        <v>730</v>
      </c>
      <c r="D407" s="49" t="s">
        <v>673</v>
      </c>
      <c r="E407" s="49" t="s">
        <v>674</v>
      </c>
      <c r="F407" s="49" t="s">
        <v>675</v>
      </c>
      <c r="G407" s="49" t="s">
        <v>731</v>
      </c>
      <c r="H407" s="49" t="s">
        <v>702</v>
      </c>
      <c r="I407" s="49" t="s">
        <v>688</v>
      </c>
      <c r="J407" s="49" t="s">
        <v>713</v>
      </c>
      <c r="K407" s="49" t="s">
        <v>690</v>
      </c>
      <c r="L407" s="49" t="s">
        <v>681</v>
      </c>
      <c r="M407" s="49">
        <v>1</v>
      </c>
      <c r="N407" s="49" t="s">
        <v>623</v>
      </c>
      <c r="O407" s="49" t="s">
        <v>665</v>
      </c>
      <c r="P407" s="49" t="s">
        <v>682</v>
      </c>
      <c r="Q407" s="49" t="s">
        <v>683</v>
      </c>
      <c r="R407" s="49" t="s">
        <v>565</v>
      </c>
      <c r="S407" s="52" t="s">
        <v>673</v>
      </c>
      <c r="T407" s="49" t="s">
        <v>1821</v>
      </c>
      <c r="U407" s="49" t="s">
        <v>1824</v>
      </c>
      <c r="V407" s="50" t="s">
        <v>1823</v>
      </c>
    </row>
    <row r="408" spans="1:22" x14ac:dyDescent="0.3">
      <c r="A408" s="51" t="s">
        <v>1198</v>
      </c>
      <c r="B408" s="52" t="s">
        <v>704</v>
      </c>
      <c r="C408" s="52" t="s">
        <v>1199</v>
      </c>
      <c r="D408" s="52" t="s">
        <v>673</v>
      </c>
      <c r="E408" s="52" t="s">
        <v>674</v>
      </c>
      <c r="F408" s="52" t="s">
        <v>675</v>
      </c>
      <c r="G408" s="52" t="s">
        <v>676</v>
      </c>
      <c r="H408" s="52" t="s">
        <v>677</v>
      </c>
      <c r="I408" s="49" t="s">
        <v>688</v>
      </c>
      <c r="J408" s="52" t="s">
        <v>710</v>
      </c>
      <c r="K408" s="52" t="s">
        <v>690</v>
      </c>
      <c r="L408" s="52" t="s">
        <v>681</v>
      </c>
      <c r="M408" s="52">
        <v>1</v>
      </c>
      <c r="N408" s="52" t="s">
        <v>625</v>
      </c>
      <c r="O408" s="52" t="s">
        <v>665</v>
      </c>
      <c r="P408" s="52" t="s">
        <v>682</v>
      </c>
      <c r="Q408" s="52" t="s">
        <v>683</v>
      </c>
      <c r="R408" s="52" t="s">
        <v>565</v>
      </c>
      <c r="S408" s="52" t="s">
        <v>673</v>
      </c>
      <c r="T408" s="52" t="s">
        <v>1821</v>
      </c>
      <c r="U408" s="52" t="s">
        <v>1824</v>
      </c>
      <c r="V408" s="50" t="s">
        <v>1823</v>
      </c>
    </row>
    <row r="409" spans="1:22" x14ac:dyDescent="0.3">
      <c r="A409" s="48" t="s">
        <v>793</v>
      </c>
      <c r="B409" s="49" t="s">
        <v>178</v>
      </c>
      <c r="C409" s="49" t="s">
        <v>794</v>
      </c>
      <c r="D409" s="49" t="s">
        <v>673</v>
      </c>
      <c r="E409" s="49" t="s">
        <v>674</v>
      </c>
      <c r="F409" s="49" t="s">
        <v>675</v>
      </c>
      <c r="G409" s="49" t="s">
        <v>676</v>
      </c>
      <c r="H409" s="49" t="s">
        <v>702</v>
      </c>
      <c r="I409" s="49" t="s">
        <v>688</v>
      </c>
      <c r="J409" s="49" t="s">
        <v>713</v>
      </c>
      <c r="K409" s="49" t="s">
        <v>690</v>
      </c>
      <c r="L409" s="49" t="s">
        <v>699</v>
      </c>
      <c r="M409" s="49">
        <v>1</v>
      </c>
      <c r="N409" s="49" t="s">
        <v>630</v>
      </c>
      <c r="O409" s="49" t="s">
        <v>665</v>
      </c>
      <c r="P409" s="49" t="s">
        <v>682</v>
      </c>
      <c r="Q409" s="49" t="s">
        <v>683</v>
      </c>
      <c r="R409" s="49" t="s">
        <v>565</v>
      </c>
      <c r="S409" s="52" t="s">
        <v>673</v>
      </c>
      <c r="T409" s="49" t="s">
        <v>1821</v>
      </c>
      <c r="U409" s="49" t="s">
        <v>1824</v>
      </c>
      <c r="V409" s="50" t="s">
        <v>1823</v>
      </c>
    </row>
    <row r="410" spans="1:22" x14ac:dyDescent="0.3">
      <c r="A410" s="51" t="s">
        <v>844</v>
      </c>
      <c r="B410" s="52" t="s">
        <v>704</v>
      </c>
      <c r="C410" s="52" t="s">
        <v>845</v>
      </c>
      <c r="D410" s="52" t="s">
        <v>673</v>
      </c>
      <c r="E410" s="52" t="s">
        <v>674</v>
      </c>
      <c r="F410" s="52" t="s">
        <v>716</v>
      </c>
      <c r="G410" s="52" t="s">
        <v>676</v>
      </c>
      <c r="H410" s="52" t="s">
        <v>702</v>
      </c>
      <c r="I410" s="52" t="s">
        <v>811</v>
      </c>
      <c r="J410" s="52" t="s">
        <v>713</v>
      </c>
      <c r="K410" s="52" t="s">
        <v>690</v>
      </c>
      <c r="L410" s="52" t="s">
        <v>691</v>
      </c>
      <c r="M410" s="52">
        <v>0.5</v>
      </c>
      <c r="N410" s="52" t="s">
        <v>645</v>
      </c>
      <c r="O410" s="52" t="s">
        <v>665</v>
      </c>
      <c r="P410" s="52" t="s">
        <v>682</v>
      </c>
      <c r="Q410" s="52" t="s">
        <v>683</v>
      </c>
      <c r="R410" s="52" t="s">
        <v>565</v>
      </c>
      <c r="S410" s="52" t="s">
        <v>673</v>
      </c>
      <c r="T410" s="52" t="s">
        <v>1821</v>
      </c>
      <c r="U410" s="52" t="s">
        <v>1824</v>
      </c>
      <c r="V410" s="50" t="s">
        <v>1823</v>
      </c>
    </row>
    <row r="411" spans="1:22" x14ac:dyDescent="0.3">
      <c r="A411" s="48" t="s">
        <v>793</v>
      </c>
      <c r="B411" s="49" t="s">
        <v>178</v>
      </c>
      <c r="C411" s="49" t="s">
        <v>794</v>
      </c>
      <c r="D411" s="49" t="s">
        <v>673</v>
      </c>
      <c r="E411" s="49" t="s">
        <v>674</v>
      </c>
      <c r="F411" s="49" t="s">
        <v>675</v>
      </c>
      <c r="G411" s="49" t="s">
        <v>676</v>
      </c>
      <c r="H411" s="49" t="s">
        <v>702</v>
      </c>
      <c r="I411" s="49" t="s">
        <v>688</v>
      </c>
      <c r="J411" s="49" t="s">
        <v>713</v>
      </c>
      <c r="K411" s="49" t="s">
        <v>690</v>
      </c>
      <c r="L411" s="49" t="s">
        <v>699</v>
      </c>
      <c r="M411" s="49">
        <v>0.5</v>
      </c>
      <c r="N411" s="49" t="s">
        <v>645</v>
      </c>
      <c r="O411" s="49" t="s">
        <v>665</v>
      </c>
      <c r="P411" s="49" t="s">
        <v>682</v>
      </c>
      <c r="Q411" s="49" t="s">
        <v>683</v>
      </c>
      <c r="R411" s="49" t="s">
        <v>565</v>
      </c>
      <c r="S411" s="52" t="s">
        <v>673</v>
      </c>
      <c r="T411" s="49" t="s">
        <v>1821</v>
      </c>
      <c r="U411" s="49" t="s">
        <v>1824</v>
      </c>
      <c r="V411" s="50" t="s">
        <v>1823</v>
      </c>
    </row>
    <row r="412" spans="1:22" x14ac:dyDescent="0.3">
      <c r="A412" s="51" t="s">
        <v>1194</v>
      </c>
      <c r="B412" s="52" t="s">
        <v>704</v>
      </c>
      <c r="C412" s="52" t="s">
        <v>1195</v>
      </c>
      <c r="D412" s="52" t="s">
        <v>673</v>
      </c>
      <c r="E412" s="52" t="s">
        <v>674</v>
      </c>
      <c r="F412" s="52" t="s">
        <v>716</v>
      </c>
      <c r="G412" s="52" t="s">
        <v>731</v>
      </c>
      <c r="H412" s="52" t="s">
        <v>702</v>
      </c>
      <c r="I412" s="49" t="s">
        <v>688</v>
      </c>
      <c r="J412" s="52" t="s">
        <v>710</v>
      </c>
      <c r="K412" s="52" t="s">
        <v>690</v>
      </c>
      <c r="L412" s="52" t="s">
        <v>691</v>
      </c>
      <c r="M412" s="52">
        <v>1</v>
      </c>
      <c r="N412" s="52" t="s">
        <v>646</v>
      </c>
      <c r="O412" s="52" t="s">
        <v>665</v>
      </c>
      <c r="P412" s="52" t="s">
        <v>682</v>
      </c>
      <c r="Q412" s="52" t="s">
        <v>683</v>
      </c>
      <c r="R412" s="52" t="s">
        <v>565</v>
      </c>
      <c r="S412" s="52" t="s">
        <v>673</v>
      </c>
      <c r="T412" s="52" t="s">
        <v>1821</v>
      </c>
      <c r="U412" s="52" t="s">
        <v>1824</v>
      </c>
      <c r="V412" s="50" t="s">
        <v>1823</v>
      </c>
    </row>
    <row r="413" spans="1:22" x14ac:dyDescent="0.3">
      <c r="A413" s="48" t="s">
        <v>1194</v>
      </c>
      <c r="B413" s="49" t="s">
        <v>704</v>
      </c>
      <c r="C413" s="49" t="s">
        <v>1195</v>
      </c>
      <c r="D413" s="49" t="s">
        <v>673</v>
      </c>
      <c r="E413" s="49" t="s">
        <v>674</v>
      </c>
      <c r="F413" s="49" t="s">
        <v>716</v>
      </c>
      <c r="G413" s="49" t="s">
        <v>731</v>
      </c>
      <c r="H413" s="49" t="s">
        <v>702</v>
      </c>
      <c r="I413" s="49" t="s">
        <v>688</v>
      </c>
      <c r="J413" s="49" t="s">
        <v>710</v>
      </c>
      <c r="K413" s="49" t="s">
        <v>690</v>
      </c>
      <c r="L413" s="49" t="s">
        <v>691</v>
      </c>
      <c r="M413" s="49">
        <v>0.5</v>
      </c>
      <c r="N413" s="49" t="s">
        <v>648</v>
      </c>
      <c r="O413" s="49" t="s">
        <v>665</v>
      </c>
      <c r="P413" s="49" t="s">
        <v>682</v>
      </c>
      <c r="Q413" s="49" t="s">
        <v>683</v>
      </c>
      <c r="R413" s="49" t="s">
        <v>565</v>
      </c>
      <c r="S413" s="52" t="s">
        <v>673</v>
      </c>
      <c r="T413" s="49" t="s">
        <v>1821</v>
      </c>
      <c r="U413" s="49" t="s">
        <v>1824</v>
      </c>
      <c r="V413" s="50" t="s">
        <v>1823</v>
      </c>
    </row>
    <row r="414" spans="1:22" x14ac:dyDescent="0.3">
      <c r="A414" s="51" t="s">
        <v>809</v>
      </c>
      <c r="B414" s="52" t="s">
        <v>704</v>
      </c>
      <c r="C414" s="52" t="s">
        <v>810</v>
      </c>
      <c r="D414" s="52" t="s">
        <v>673</v>
      </c>
      <c r="E414" s="52" t="s">
        <v>674</v>
      </c>
      <c r="F414" s="52" t="s">
        <v>675</v>
      </c>
      <c r="G414" s="52" t="s">
        <v>676</v>
      </c>
      <c r="H414" s="52" t="s">
        <v>677</v>
      </c>
      <c r="I414" s="52" t="s">
        <v>811</v>
      </c>
      <c r="J414" s="52" t="s">
        <v>710</v>
      </c>
      <c r="K414" s="52" t="s">
        <v>690</v>
      </c>
      <c r="L414" s="52" t="s">
        <v>681</v>
      </c>
      <c r="M414" s="52">
        <v>0.5</v>
      </c>
      <c r="N414" s="52" t="s">
        <v>648</v>
      </c>
      <c r="O414" s="52" t="s">
        <v>665</v>
      </c>
      <c r="P414" s="52" t="s">
        <v>682</v>
      </c>
      <c r="Q414" s="52" t="s">
        <v>683</v>
      </c>
      <c r="R414" s="52" t="s">
        <v>565</v>
      </c>
      <c r="S414" s="52" t="s">
        <v>673</v>
      </c>
      <c r="T414" s="52" t="s">
        <v>1821</v>
      </c>
      <c r="U414" s="52" t="s">
        <v>1824</v>
      </c>
      <c r="V414" s="50" t="s">
        <v>1823</v>
      </c>
    </row>
    <row r="415" spans="1:22" x14ac:dyDescent="0.3">
      <c r="A415" s="48" t="s">
        <v>793</v>
      </c>
      <c r="B415" s="49" t="s">
        <v>178</v>
      </c>
      <c r="C415" s="49" t="s">
        <v>794</v>
      </c>
      <c r="D415" s="49" t="s">
        <v>673</v>
      </c>
      <c r="E415" s="49" t="s">
        <v>674</v>
      </c>
      <c r="F415" s="49" t="s">
        <v>675</v>
      </c>
      <c r="G415" s="49" t="s">
        <v>676</v>
      </c>
      <c r="H415" s="49" t="s">
        <v>702</v>
      </c>
      <c r="I415" s="49" t="s">
        <v>688</v>
      </c>
      <c r="J415" s="49" t="s">
        <v>713</v>
      </c>
      <c r="K415" s="49" t="s">
        <v>690</v>
      </c>
      <c r="L415" s="49" t="s">
        <v>699</v>
      </c>
      <c r="M415" s="49">
        <v>0.3</v>
      </c>
      <c r="N415" s="49" t="s">
        <v>565</v>
      </c>
      <c r="O415" s="49" t="s">
        <v>665</v>
      </c>
      <c r="P415" s="49" t="s">
        <v>682</v>
      </c>
      <c r="Q415" s="49" t="s">
        <v>683</v>
      </c>
      <c r="R415" s="49" t="s">
        <v>366</v>
      </c>
      <c r="S415" s="52" t="s">
        <v>673</v>
      </c>
      <c r="T415" s="49" t="s">
        <v>1821</v>
      </c>
      <c r="U415" s="49" t="s">
        <v>1824</v>
      </c>
      <c r="V415" s="50" t="s">
        <v>1823</v>
      </c>
    </row>
    <row r="416" spans="1:22" x14ac:dyDescent="0.3">
      <c r="A416" s="51" t="s">
        <v>809</v>
      </c>
      <c r="B416" s="52" t="s">
        <v>704</v>
      </c>
      <c r="C416" s="52" t="s">
        <v>810</v>
      </c>
      <c r="D416" s="52" t="s">
        <v>673</v>
      </c>
      <c r="E416" s="52" t="s">
        <v>674</v>
      </c>
      <c r="F416" s="52" t="s">
        <v>675</v>
      </c>
      <c r="G416" s="52" t="s">
        <v>676</v>
      </c>
      <c r="H416" s="52" t="s">
        <v>677</v>
      </c>
      <c r="I416" s="52" t="s">
        <v>811</v>
      </c>
      <c r="J416" s="52" t="s">
        <v>710</v>
      </c>
      <c r="K416" s="52" t="s">
        <v>690</v>
      </c>
      <c r="L416" s="52" t="s">
        <v>681</v>
      </c>
      <c r="M416" s="52">
        <v>0.2</v>
      </c>
      <c r="N416" s="52" t="s">
        <v>565</v>
      </c>
      <c r="O416" s="52" t="s">
        <v>665</v>
      </c>
      <c r="P416" s="52" t="s">
        <v>682</v>
      </c>
      <c r="Q416" s="52" t="s">
        <v>683</v>
      </c>
      <c r="R416" s="52" t="s">
        <v>366</v>
      </c>
      <c r="S416" s="52" t="s">
        <v>673</v>
      </c>
      <c r="T416" s="52" t="s">
        <v>1821</v>
      </c>
      <c r="U416" s="52" t="s">
        <v>1824</v>
      </c>
      <c r="V416" s="50" t="s">
        <v>1823</v>
      </c>
    </row>
    <row r="417" spans="1:22" x14ac:dyDescent="0.3">
      <c r="A417" s="48" t="s">
        <v>671</v>
      </c>
      <c r="B417" s="49" t="s">
        <v>178</v>
      </c>
      <c r="C417" s="49" t="s">
        <v>672</v>
      </c>
      <c r="D417" s="49" t="s">
        <v>673</v>
      </c>
      <c r="E417" s="49" t="s">
        <v>674</v>
      </c>
      <c r="F417" s="49" t="s">
        <v>675</v>
      </c>
      <c r="G417" s="49" t="s">
        <v>676</v>
      </c>
      <c r="H417" s="49" t="s">
        <v>677</v>
      </c>
      <c r="I417" s="49" t="s">
        <v>678</v>
      </c>
      <c r="J417" s="49" t="s">
        <v>679</v>
      </c>
      <c r="K417" s="49" t="s">
        <v>680</v>
      </c>
      <c r="L417" s="49" t="s">
        <v>681</v>
      </c>
      <c r="M417" s="49">
        <v>0.3</v>
      </c>
      <c r="N417" s="49" t="s">
        <v>565</v>
      </c>
      <c r="O417" s="49" t="s">
        <v>665</v>
      </c>
      <c r="P417" s="49" t="s">
        <v>682</v>
      </c>
      <c r="Q417" s="49" t="s">
        <v>683</v>
      </c>
      <c r="R417" s="49" t="s">
        <v>366</v>
      </c>
      <c r="S417" s="52" t="s">
        <v>673</v>
      </c>
      <c r="T417" s="49" t="s">
        <v>1821</v>
      </c>
      <c r="U417" s="49" t="s">
        <v>1824</v>
      </c>
      <c r="V417" s="50" t="s">
        <v>1823</v>
      </c>
    </row>
    <row r="418" spans="1:22" x14ac:dyDescent="0.3">
      <c r="A418" s="51" t="s">
        <v>837</v>
      </c>
      <c r="B418" s="52" t="s">
        <v>686</v>
      </c>
      <c r="C418" s="52" t="s">
        <v>838</v>
      </c>
      <c r="D418" s="52" t="s">
        <v>673</v>
      </c>
      <c r="E418" s="52" t="s">
        <v>674</v>
      </c>
      <c r="F418" s="52" t="s">
        <v>716</v>
      </c>
      <c r="G418" s="52" t="s">
        <v>731</v>
      </c>
      <c r="H418" s="52" t="s">
        <v>702</v>
      </c>
      <c r="I418" s="49" t="s">
        <v>688</v>
      </c>
      <c r="J418" s="52" t="s">
        <v>689</v>
      </c>
      <c r="K418" s="52" t="s">
        <v>690</v>
      </c>
      <c r="L418" s="52" t="s">
        <v>691</v>
      </c>
      <c r="M418" s="52">
        <v>0.2</v>
      </c>
      <c r="N418" s="52" t="s">
        <v>565</v>
      </c>
      <c r="O418" s="52" t="s">
        <v>665</v>
      </c>
      <c r="P418" s="52" t="s">
        <v>682</v>
      </c>
      <c r="Q418" s="52" t="s">
        <v>683</v>
      </c>
      <c r="R418" s="52" t="s">
        <v>366</v>
      </c>
      <c r="S418" s="52" t="s">
        <v>673</v>
      </c>
      <c r="T418" s="52" t="s">
        <v>1821</v>
      </c>
      <c r="U418" s="52" t="s">
        <v>1824</v>
      </c>
      <c r="V418" s="50" t="s">
        <v>1823</v>
      </c>
    </row>
    <row r="419" spans="1:22" x14ac:dyDescent="0.3">
      <c r="A419" s="48" t="s">
        <v>1202</v>
      </c>
      <c r="B419" s="49" t="s">
        <v>154</v>
      </c>
      <c r="C419" s="49" t="s">
        <v>862</v>
      </c>
      <c r="D419" s="49" t="s">
        <v>673</v>
      </c>
      <c r="E419" s="49" t="s">
        <v>674</v>
      </c>
      <c r="F419" s="49" t="s">
        <v>716</v>
      </c>
      <c r="G419" s="49" t="s">
        <v>744</v>
      </c>
      <c r="H419" s="49" t="s">
        <v>935</v>
      </c>
      <c r="I419" s="49" t="s">
        <v>678</v>
      </c>
      <c r="J419" s="49" t="s">
        <v>713</v>
      </c>
      <c r="K419" s="49" t="s">
        <v>690</v>
      </c>
      <c r="L419" s="49" t="s">
        <v>681</v>
      </c>
      <c r="M419" s="49">
        <v>0.3</v>
      </c>
      <c r="N419" s="49" t="s">
        <v>536</v>
      </c>
      <c r="O419" s="49" t="s">
        <v>767</v>
      </c>
      <c r="P419" s="52" t="s">
        <v>746</v>
      </c>
      <c r="Q419" s="49" t="s">
        <v>683</v>
      </c>
      <c r="R419" s="49" t="s">
        <v>123</v>
      </c>
      <c r="S419" s="52" t="s">
        <v>673</v>
      </c>
      <c r="T419" s="49" t="s">
        <v>1821</v>
      </c>
      <c r="U419" s="49" t="s">
        <v>1824</v>
      </c>
      <c r="V419" s="50" t="s">
        <v>1823</v>
      </c>
    </row>
    <row r="420" spans="1:22" x14ac:dyDescent="0.3">
      <c r="A420" s="51" t="s">
        <v>1203</v>
      </c>
      <c r="B420" s="52" t="s">
        <v>154</v>
      </c>
      <c r="C420" s="52" t="s">
        <v>1204</v>
      </c>
      <c r="D420" s="52" t="s">
        <v>673</v>
      </c>
      <c r="E420" s="52" t="s">
        <v>674</v>
      </c>
      <c r="F420" s="52" t="s">
        <v>716</v>
      </c>
      <c r="G420" s="52" t="s">
        <v>744</v>
      </c>
      <c r="H420" s="52" t="s">
        <v>935</v>
      </c>
      <c r="I420" s="49" t="s">
        <v>678</v>
      </c>
      <c r="J420" s="52" t="s">
        <v>713</v>
      </c>
      <c r="K420" s="52" t="s">
        <v>690</v>
      </c>
      <c r="L420" s="52" t="s">
        <v>681</v>
      </c>
      <c r="M420" s="52">
        <v>0.5</v>
      </c>
      <c r="N420" s="52" t="s">
        <v>536</v>
      </c>
      <c r="O420" s="52" t="s">
        <v>767</v>
      </c>
      <c r="P420" s="52" t="s">
        <v>746</v>
      </c>
      <c r="Q420" s="52" t="s">
        <v>683</v>
      </c>
      <c r="R420" s="52" t="s">
        <v>123</v>
      </c>
      <c r="S420" s="52" t="s">
        <v>673</v>
      </c>
      <c r="T420" s="52" t="s">
        <v>1821</v>
      </c>
      <c r="U420" s="52" t="s">
        <v>1824</v>
      </c>
      <c r="V420" s="50" t="s">
        <v>1823</v>
      </c>
    </row>
    <row r="421" spans="1:22" x14ac:dyDescent="0.3">
      <c r="A421" s="48" t="s">
        <v>1205</v>
      </c>
      <c r="B421" s="49" t="s">
        <v>154</v>
      </c>
      <c r="C421" s="49" t="s">
        <v>1206</v>
      </c>
      <c r="D421" s="49" t="s">
        <v>673</v>
      </c>
      <c r="E421" s="49" t="s">
        <v>674</v>
      </c>
      <c r="F421" s="49" t="s">
        <v>716</v>
      </c>
      <c r="G421" s="49" t="s">
        <v>744</v>
      </c>
      <c r="H421" s="49" t="s">
        <v>935</v>
      </c>
      <c r="I421" s="49" t="s">
        <v>688</v>
      </c>
      <c r="J421" s="49" t="s">
        <v>713</v>
      </c>
      <c r="K421" s="49" t="s">
        <v>690</v>
      </c>
      <c r="L421" s="49" t="s">
        <v>681</v>
      </c>
      <c r="M421" s="49">
        <v>0.5</v>
      </c>
      <c r="N421" s="49" t="s">
        <v>469</v>
      </c>
      <c r="O421" s="49" t="s">
        <v>665</v>
      </c>
      <c r="P421" s="49" t="s">
        <v>746</v>
      </c>
      <c r="Q421" s="49" t="s">
        <v>683</v>
      </c>
      <c r="R421" s="49" t="s">
        <v>123</v>
      </c>
      <c r="S421" s="52" t="s">
        <v>673</v>
      </c>
      <c r="T421" s="49" t="s">
        <v>1821</v>
      </c>
      <c r="U421" s="49" t="s">
        <v>1824</v>
      </c>
      <c r="V421" s="50" t="s">
        <v>1823</v>
      </c>
    </row>
    <row r="422" spans="1:22" x14ac:dyDescent="0.3">
      <c r="A422" s="51" t="s">
        <v>822</v>
      </c>
      <c r="B422" s="52" t="s">
        <v>760</v>
      </c>
      <c r="C422" s="52" t="s">
        <v>823</v>
      </c>
      <c r="D422" s="52" t="s">
        <v>673</v>
      </c>
      <c r="E422" s="52" t="s">
        <v>674</v>
      </c>
      <c r="F422" s="52" t="s">
        <v>675</v>
      </c>
      <c r="G422" s="52" t="s">
        <v>676</v>
      </c>
      <c r="H422" s="52" t="s">
        <v>677</v>
      </c>
      <c r="I422" s="49" t="s">
        <v>678</v>
      </c>
      <c r="J422" s="52" t="s">
        <v>713</v>
      </c>
      <c r="K422" s="52" t="s">
        <v>690</v>
      </c>
      <c r="L422" s="52" t="s">
        <v>699</v>
      </c>
      <c r="M422" s="52">
        <v>0.3</v>
      </c>
      <c r="N422" s="52" t="s">
        <v>469</v>
      </c>
      <c r="O422" s="52" t="s">
        <v>665</v>
      </c>
      <c r="P422" s="52" t="s">
        <v>746</v>
      </c>
      <c r="Q422" s="52" t="s">
        <v>683</v>
      </c>
      <c r="R422" s="52" t="s">
        <v>123</v>
      </c>
      <c r="S422" s="52" t="s">
        <v>673</v>
      </c>
      <c r="T422" s="52" t="s">
        <v>1821</v>
      </c>
      <c r="U422" s="52" t="s">
        <v>1824</v>
      </c>
      <c r="V422" s="50" t="s">
        <v>1823</v>
      </c>
    </row>
    <row r="423" spans="1:22" x14ac:dyDescent="0.3">
      <c r="A423" s="48" t="s">
        <v>941</v>
      </c>
      <c r="B423" s="49" t="s">
        <v>154</v>
      </c>
      <c r="C423" s="49" t="s">
        <v>942</v>
      </c>
      <c r="D423" s="49" t="s">
        <v>673</v>
      </c>
      <c r="E423" s="49" t="s">
        <v>674</v>
      </c>
      <c r="F423" s="49" t="s">
        <v>716</v>
      </c>
      <c r="G423" s="49" t="s">
        <v>744</v>
      </c>
      <c r="H423" s="49" t="s">
        <v>935</v>
      </c>
      <c r="I423" s="49" t="s">
        <v>678</v>
      </c>
      <c r="J423" s="49" t="s">
        <v>713</v>
      </c>
      <c r="K423" s="49" t="s">
        <v>690</v>
      </c>
      <c r="L423" s="49" t="s">
        <v>681</v>
      </c>
      <c r="M423" s="49">
        <v>1</v>
      </c>
      <c r="N423" s="49" t="s">
        <v>440</v>
      </c>
      <c r="O423" s="49" t="s">
        <v>665</v>
      </c>
      <c r="P423" s="49" t="s">
        <v>746</v>
      </c>
      <c r="Q423" s="49" t="s">
        <v>683</v>
      </c>
      <c r="R423" s="49" t="s">
        <v>123</v>
      </c>
      <c r="S423" s="52" t="s">
        <v>673</v>
      </c>
      <c r="T423" s="49" t="s">
        <v>1821</v>
      </c>
      <c r="U423" s="49" t="s">
        <v>1824</v>
      </c>
      <c r="V423" s="50" t="s">
        <v>1823</v>
      </c>
    </row>
    <row r="424" spans="1:22" x14ac:dyDescent="0.3">
      <c r="A424" s="51" t="s">
        <v>1202</v>
      </c>
      <c r="B424" s="52" t="s">
        <v>154</v>
      </c>
      <c r="C424" s="52" t="s">
        <v>862</v>
      </c>
      <c r="D424" s="52" t="s">
        <v>673</v>
      </c>
      <c r="E424" s="52" t="s">
        <v>674</v>
      </c>
      <c r="F424" s="52" t="s">
        <v>716</v>
      </c>
      <c r="G424" s="52" t="s">
        <v>744</v>
      </c>
      <c r="H424" s="52" t="s">
        <v>935</v>
      </c>
      <c r="I424" s="49" t="s">
        <v>678</v>
      </c>
      <c r="J424" s="52" t="s">
        <v>713</v>
      </c>
      <c r="K424" s="52" t="s">
        <v>690</v>
      </c>
      <c r="L424" s="52" t="s">
        <v>681</v>
      </c>
      <c r="M424" s="52">
        <v>0.3</v>
      </c>
      <c r="N424" s="52" t="s">
        <v>430</v>
      </c>
      <c r="O424" s="52" t="s">
        <v>665</v>
      </c>
      <c r="P424" s="52" t="s">
        <v>746</v>
      </c>
      <c r="Q424" s="52" t="s">
        <v>683</v>
      </c>
      <c r="R424" s="52" t="s">
        <v>123</v>
      </c>
      <c r="S424" s="52" t="s">
        <v>673</v>
      </c>
      <c r="T424" s="52" t="s">
        <v>1821</v>
      </c>
      <c r="U424" s="52" t="s">
        <v>1824</v>
      </c>
      <c r="V424" s="50" t="s">
        <v>1823</v>
      </c>
    </row>
    <row r="425" spans="1:22" x14ac:dyDescent="0.3">
      <c r="A425" s="48" t="s">
        <v>1205</v>
      </c>
      <c r="B425" s="49" t="s">
        <v>154</v>
      </c>
      <c r="C425" s="49" t="s">
        <v>1206</v>
      </c>
      <c r="D425" s="49" t="s">
        <v>673</v>
      </c>
      <c r="E425" s="49" t="s">
        <v>674</v>
      </c>
      <c r="F425" s="49" t="s">
        <v>716</v>
      </c>
      <c r="G425" s="49" t="s">
        <v>744</v>
      </c>
      <c r="H425" s="49" t="s">
        <v>935</v>
      </c>
      <c r="I425" s="49" t="s">
        <v>688</v>
      </c>
      <c r="J425" s="49" t="s">
        <v>713</v>
      </c>
      <c r="K425" s="49" t="s">
        <v>690</v>
      </c>
      <c r="L425" s="49" t="s">
        <v>681</v>
      </c>
      <c r="M425" s="49">
        <v>0.5</v>
      </c>
      <c r="N425" s="49" t="s">
        <v>430</v>
      </c>
      <c r="O425" s="49" t="s">
        <v>665</v>
      </c>
      <c r="P425" s="49" t="s">
        <v>746</v>
      </c>
      <c r="Q425" s="49" t="s">
        <v>683</v>
      </c>
      <c r="R425" s="49" t="s">
        <v>123</v>
      </c>
      <c r="S425" s="52" t="s">
        <v>673</v>
      </c>
      <c r="T425" s="49" t="s">
        <v>1821</v>
      </c>
      <c r="U425" s="49" t="s">
        <v>1824</v>
      </c>
      <c r="V425" s="50" t="s">
        <v>1823</v>
      </c>
    </row>
    <row r="426" spans="1:22" x14ac:dyDescent="0.3">
      <c r="A426" s="51" t="s">
        <v>1207</v>
      </c>
      <c r="B426" s="52" t="s">
        <v>967</v>
      </c>
      <c r="C426" s="52" t="s">
        <v>1208</v>
      </c>
      <c r="D426" s="52" t="s">
        <v>673</v>
      </c>
      <c r="E426" s="52" t="s">
        <v>674</v>
      </c>
      <c r="F426" s="52" t="s">
        <v>716</v>
      </c>
      <c r="G426" s="52" t="s">
        <v>744</v>
      </c>
      <c r="H426" s="52" t="s">
        <v>935</v>
      </c>
      <c r="I426" s="49" t="s">
        <v>688</v>
      </c>
      <c r="J426" s="52" t="s">
        <v>713</v>
      </c>
      <c r="K426" s="52" t="s">
        <v>690</v>
      </c>
      <c r="L426" s="52" t="s">
        <v>681</v>
      </c>
      <c r="M426" s="52">
        <v>1</v>
      </c>
      <c r="N426" s="52" t="s">
        <v>382</v>
      </c>
      <c r="O426" s="52" t="s">
        <v>665</v>
      </c>
      <c r="P426" s="52" t="s">
        <v>746</v>
      </c>
      <c r="Q426" s="52" t="s">
        <v>683</v>
      </c>
      <c r="R426" s="52" t="s">
        <v>123</v>
      </c>
      <c r="S426" s="52" t="s">
        <v>673</v>
      </c>
      <c r="T426" s="52" t="s">
        <v>1821</v>
      </c>
      <c r="U426" s="52" t="s">
        <v>1824</v>
      </c>
      <c r="V426" s="50" t="s">
        <v>1823</v>
      </c>
    </row>
    <row r="427" spans="1:22" x14ac:dyDescent="0.3">
      <c r="A427" s="48" t="s">
        <v>1202</v>
      </c>
      <c r="B427" s="49" t="s">
        <v>154</v>
      </c>
      <c r="C427" s="49" t="s">
        <v>862</v>
      </c>
      <c r="D427" s="49" t="s">
        <v>673</v>
      </c>
      <c r="E427" s="49" t="s">
        <v>674</v>
      </c>
      <c r="F427" s="49" t="s">
        <v>716</v>
      </c>
      <c r="G427" s="49" t="s">
        <v>744</v>
      </c>
      <c r="H427" s="49" t="s">
        <v>935</v>
      </c>
      <c r="I427" s="49" t="s">
        <v>678</v>
      </c>
      <c r="J427" s="49" t="s">
        <v>713</v>
      </c>
      <c r="K427" s="49" t="s">
        <v>690</v>
      </c>
      <c r="L427" s="49" t="s">
        <v>681</v>
      </c>
      <c r="M427" s="49">
        <v>0.1</v>
      </c>
      <c r="N427" s="49" t="s">
        <v>347</v>
      </c>
      <c r="O427" s="49" t="s">
        <v>665</v>
      </c>
      <c r="P427" s="49" t="s">
        <v>746</v>
      </c>
      <c r="Q427" s="49" t="s">
        <v>683</v>
      </c>
      <c r="R427" s="49" t="s">
        <v>123</v>
      </c>
      <c r="S427" s="52" t="s">
        <v>673</v>
      </c>
      <c r="T427" s="49" t="s">
        <v>1821</v>
      </c>
      <c r="U427" s="49" t="s">
        <v>1824</v>
      </c>
      <c r="V427" s="50" t="s">
        <v>1823</v>
      </c>
    </row>
    <row r="428" spans="1:22" x14ac:dyDescent="0.3">
      <c r="A428" s="51" t="s">
        <v>1205</v>
      </c>
      <c r="B428" s="52" t="s">
        <v>154</v>
      </c>
      <c r="C428" s="52" t="s">
        <v>1206</v>
      </c>
      <c r="D428" s="52" t="s">
        <v>673</v>
      </c>
      <c r="E428" s="52" t="s">
        <v>674</v>
      </c>
      <c r="F428" s="52" t="s">
        <v>716</v>
      </c>
      <c r="G428" s="52" t="s">
        <v>744</v>
      </c>
      <c r="H428" s="52" t="s">
        <v>935</v>
      </c>
      <c r="I428" s="49" t="s">
        <v>688</v>
      </c>
      <c r="J428" s="52" t="s">
        <v>713</v>
      </c>
      <c r="K428" s="52" t="s">
        <v>690</v>
      </c>
      <c r="L428" s="52" t="s">
        <v>681</v>
      </c>
      <c r="M428" s="52">
        <v>0.1</v>
      </c>
      <c r="N428" s="52" t="s">
        <v>69</v>
      </c>
      <c r="O428" s="52" t="s">
        <v>665</v>
      </c>
      <c r="P428" s="52" t="s">
        <v>746</v>
      </c>
      <c r="Q428" s="52" t="s">
        <v>683</v>
      </c>
      <c r="R428" s="52" t="s">
        <v>123</v>
      </c>
      <c r="S428" s="52" t="s">
        <v>673</v>
      </c>
      <c r="T428" s="52" t="s">
        <v>1821</v>
      </c>
      <c r="U428" s="52" t="s">
        <v>1824</v>
      </c>
      <c r="V428" s="50" t="s">
        <v>1823</v>
      </c>
    </row>
    <row r="429" spans="1:22" x14ac:dyDescent="0.3">
      <c r="A429" s="48" t="s">
        <v>957</v>
      </c>
      <c r="B429" s="49" t="s">
        <v>154</v>
      </c>
      <c r="C429" s="49" t="s">
        <v>958</v>
      </c>
      <c r="D429" s="49" t="s">
        <v>673</v>
      </c>
      <c r="E429" s="49" t="s">
        <v>674</v>
      </c>
      <c r="F429" s="49" t="s">
        <v>716</v>
      </c>
      <c r="G429" s="49" t="s">
        <v>744</v>
      </c>
      <c r="H429" s="49" t="s">
        <v>935</v>
      </c>
      <c r="I429" s="49" t="s">
        <v>678</v>
      </c>
      <c r="J429" s="49" t="s">
        <v>713</v>
      </c>
      <c r="K429" s="49" t="s">
        <v>690</v>
      </c>
      <c r="L429" s="49" t="s">
        <v>681</v>
      </c>
      <c r="M429" s="49">
        <v>0.5</v>
      </c>
      <c r="N429" s="49" t="s">
        <v>66</v>
      </c>
      <c r="O429" s="49" t="s">
        <v>767</v>
      </c>
      <c r="P429" s="52" t="s">
        <v>746</v>
      </c>
      <c r="Q429" s="49" t="s">
        <v>683</v>
      </c>
      <c r="R429" s="49" t="s">
        <v>123</v>
      </c>
      <c r="S429" s="52" t="s">
        <v>673</v>
      </c>
      <c r="T429" s="49" t="s">
        <v>1821</v>
      </c>
      <c r="U429" s="49" t="s">
        <v>1824</v>
      </c>
      <c r="V429" s="50" t="s">
        <v>1823</v>
      </c>
    </row>
    <row r="430" spans="1:22" x14ac:dyDescent="0.3">
      <c r="A430" s="51" t="s">
        <v>971</v>
      </c>
      <c r="B430" s="52" t="s">
        <v>753</v>
      </c>
      <c r="C430" s="52" t="s">
        <v>972</v>
      </c>
      <c r="D430" s="52" t="s">
        <v>755</v>
      </c>
      <c r="E430" s="52" t="s">
        <v>674</v>
      </c>
      <c r="F430" s="52" t="s">
        <v>675</v>
      </c>
      <c r="G430" s="52" t="s">
        <v>676</v>
      </c>
      <c r="H430" s="52" t="s">
        <v>702</v>
      </c>
      <c r="I430" s="49" t="s">
        <v>678</v>
      </c>
      <c r="J430" s="52" t="s">
        <v>679</v>
      </c>
      <c r="K430" s="52" t="s">
        <v>680</v>
      </c>
      <c r="L430" s="52" t="s">
        <v>699</v>
      </c>
      <c r="M430" s="52">
        <v>0.5</v>
      </c>
      <c r="N430" s="52" t="s">
        <v>97</v>
      </c>
      <c r="O430" s="52" t="s">
        <v>767</v>
      </c>
      <c r="P430" s="52" t="s">
        <v>746</v>
      </c>
      <c r="Q430" s="52" t="s">
        <v>683</v>
      </c>
      <c r="R430" s="52" t="s">
        <v>753</v>
      </c>
      <c r="S430" s="49" t="s">
        <v>755</v>
      </c>
      <c r="T430" s="52" t="s">
        <v>1821</v>
      </c>
      <c r="U430" s="52" t="s">
        <v>1824</v>
      </c>
      <c r="V430" s="50" t="s">
        <v>1823</v>
      </c>
    </row>
    <row r="431" spans="1:22" x14ac:dyDescent="0.3">
      <c r="A431" s="48" t="s">
        <v>756</v>
      </c>
      <c r="B431" s="49" t="s">
        <v>753</v>
      </c>
      <c r="C431" s="49" t="s">
        <v>756</v>
      </c>
      <c r="D431" s="49" t="s">
        <v>755</v>
      </c>
      <c r="E431" s="49" t="s">
        <v>674</v>
      </c>
      <c r="F431" s="49" t="s">
        <v>716</v>
      </c>
      <c r="G431" s="49" t="s">
        <v>744</v>
      </c>
      <c r="H431" s="49" t="s">
        <v>702</v>
      </c>
      <c r="I431" s="49" t="s">
        <v>678</v>
      </c>
      <c r="J431" s="49" t="s">
        <v>679</v>
      </c>
      <c r="K431" s="49" t="s">
        <v>680</v>
      </c>
      <c r="L431" s="49" t="s">
        <v>681</v>
      </c>
      <c r="M431" s="49">
        <v>1</v>
      </c>
      <c r="N431" s="49" t="s">
        <v>63</v>
      </c>
      <c r="O431" s="49" t="s">
        <v>665</v>
      </c>
      <c r="P431" s="49" t="s">
        <v>746</v>
      </c>
      <c r="Q431" s="49" t="s">
        <v>683</v>
      </c>
      <c r="R431" s="49" t="s">
        <v>34</v>
      </c>
      <c r="S431" s="49" t="s">
        <v>755</v>
      </c>
      <c r="T431" s="49" t="s">
        <v>1821</v>
      </c>
      <c r="U431" s="49" t="s">
        <v>1824</v>
      </c>
      <c r="V431" s="50" t="s">
        <v>1823</v>
      </c>
    </row>
    <row r="432" spans="1:22" x14ac:dyDescent="0.3">
      <c r="A432" s="51" t="s">
        <v>1004</v>
      </c>
      <c r="B432" s="52" t="s">
        <v>858</v>
      </c>
      <c r="C432" s="52" t="s">
        <v>1005</v>
      </c>
      <c r="D432" s="52" t="s">
        <v>684</v>
      </c>
      <c r="E432" s="52" t="s">
        <v>674</v>
      </c>
      <c r="F432" s="52" t="s">
        <v>716</v>
      </c>
      <c r="G432" s="52" t="s">
        <v>744</v>
      </c>
      <c r="H432" s="52" t="s">
        <v>677</v>
      </c>
      <c r="I432" s="49" t="s">
        <v>678</v>
      </c>
      <c r="J432" s="52" t="s">
        <v>860</v>
      </c>
      <c r="K432" s="52" t="s">
        <v>861</v>
      </c>
      <c r="L432" s="52" t="s">
        <v>699</v>
      </c>
      <c r="M432" s="52">
        <v>0.25</v>
      </c>
      <c r="N432" s="52" t="s">
        <v>472</v>
      </c>
      <c r="O432" s="52" t="s">
        <v>665</v>
      </c>
      <c r="P432" s="52" t="s">
        <v>746</v>
      </c>
      <c r="Q432" s="52" t="s">
        <v>683</v>
      </c>
      <c r="R432" s="52" t="s">
        <v>300</v>
      </c>
      <c r="S432" s="49" t="s">
        <v>684</v>
      </c>
      <c r="T432" s="52" t="s">
        <v>1821</v>
      </c>
      <c r="U432" s="52" t="s">
        <v>1824</v>
      </c>
      <c r="V432" s="50" t="s">
        <v>1823</v>
      </c>
    </row>
    <row r="433" spans="1:22" x14ac:dyDescent="0.3">
      <c r="A433" s="48" t="s">
        <v>809</v>
      </c>
      <c r="B433" s="49" t="s">
        <v>704</v>
      </c>
      <c r="C433" s="49" t="s">
        <v>810</v>
      </c>
      <c r="D433" s="49" t="s">
        <v>673</v>
      </c>
      <c r="E433" s="49" t="s">
        <v>674</v>
      </c>
      <c r="F433" s="49" t="s">
        <v>675</v>
      </c>
      <c r="G433" s="49" t="s">
        <v>676</v>
      </c>
      <c r="H433" s="49" t="s">
        <v>677</v>
      </c>
      <c r="I433" s="49" t="s">
        <v>811</v>
      </c>
      <c r="J433" s="49" t="s">
        <v>710</v>
      </c>
      <c r="K433" s="49" t="s">
        <v>690</v>
      </c>
      <c r="L433" s="49" t="s">
        <v>681</v>
      </c>
      <c r="M433" s="49">
        <v>0.2</v>
      </c>
      <c r="N433" s="49" t="s">
        <v>217</v>
      </c>
      <c r="O433" s="49" t="s">
        <v>665</v>
      </c>
      <c r="P433" s="49" t="s">
        <v>682</v>
      </c>
      <c r="Q433" s="49" t="s">
        <v>683</v>
      </c>
      <c r="R433" s="49" t="s">
        <v>89</v>
      </c>
      <c r="S433" s="49" t="s">
        <v>684</v>
      </c>
      <c r="T433" s="49" t="s">
        <v>1821</v>
      </c>
      <c r="U433" s="49" t="s">
        <v>1824</v>
      </c>
      <c r="V433" s="50" t="s">
        <v>1823</v>
      </c>
    </row>
    <row r="434" spans="1:22" x14ac:dyDescent="0.3">
      <c r="A434" s="51" t="s">
        <v>694</v>
      </c>
      <c r="B434" s="52" t="s">
        <v>695</v>
      </c>
      <c r="C434" s="52" t="s">
        <v>696</v>
      </c>
      <c r="D434" s="52" t="s">
        <v>673</v>
      </c>
      <c r="E434" s="52" t="s">
        <v>674</v>
      </c>
      <c r="F434" s="52" t="s">
        <v>675</v>
      </c>
      <c r="G434" s="52" t="s">
        <v>676</v>
      </c>
      <c r="H434" s="52" t="s">
        <v>677</v>
      </c>
      <c r="I434" s="52" t="s">
        <v>697</v>
      </c>
      <c r="J434" s="52" t="s">
        <v>698</v>
      </c>
      <c r="K434" s="52" t="s">
        <v>690</v>
      </c>
      <c r="L434" s="52" t="s">
        <v>699</v>
      </c>
      <c r="M434" s="52">
        <v>0.2</v>
      </c>
      <c r="N434" s="52" t="s">
        <v>217</v>
      </c>
      <c r="O434" s="52" t="s">
        <v>665</v>
      </c>
      <c r="P434" s="52" t="s">
        <v>682</v>
      </c>
      <c r="Q434" s="52" t="s">
        <v>683</v>
      </c>
      <c r="R434" s="52" t="s">
        <v>89</v>
      </c>
      <c r="S434" s="49" t="s">
        <v>684</v>
      </c>
      <c r="T434" s="52" t="s">
        <v>1821</v>
      </c>
      <c r="U434" s="52" t="s">
        <v>1824</v>
      </c>
      <c r="V434" s="50" t="s">
        <v>1823</v>
      </c>
    </row>
    <row r="435" spans="1:22" x14ac:dyDescent="0.3">
      <c r="A435" s="48" t="s">
        <v>694</v>
      </c>
      <c r="B435" s="49" t="s">
        <v>695</v>
      </c>
      <c r="C435" s="49" t="s">
        <v>696</v>
      </c>
      <c r="D435" s="49" t="s">
        <v>673</v>
      </c>
      <c r="E435" s="49" t="s">
        <v>674</v>
      </c>
      <c r="F435" s="49" t="s">
        <v>675</v>
      </c>
      <c r="G435" s="49" t="s">
        <v>676</v>
      </c>
      <c r="H435" s="49" t="s">
        <v>677</v>
      </c>
      <c r="I435" s="49" t="s">
        <v>697</v>
      </c>
      <c r="J435" s="49" t="s">
        <v>698</v>
      </c>
      <c r="K435" s="49" t="s">
        <v>690</v>
      </c>
      <c r="L435" s="49" t="s">
        <v>699</v>
      </c>
      <c r="M435" s="49">
        <v>0.9</v>
      </c>
      <c r="N435" s="49" t="s">
        <v>302</v>
      </c>
      <c r="O435" s="49" t="s">
        <v>665</v>
      </c>
      <c r="P435" s="49" t="s">
        <v>866</v>
      </c>
      <c r="Q435" s="49" t="s">
        <v>683</v>
      </c>
      <c r="R435" s="49" t="s">
        <v>89</v>
      </c>
      <c r="S435" s="49" t="s">
        <v>684</v>
      </c>
      <c r="T435" s="49" t="s">
        <v>1821</v>
      </c>
      <c r="U435" s="49" t="s">
        <v>1824</v>
      </c>
      <c r="V435" s="50" t="s">
        <v>1823</v>
      </c>
    </row>
    <row r="436" spans="1:22" x14ac:dyDescent="0.3">
      <c r="A436" s="51" t="s">
        <v>1061</v>
      </c>
      <c r="B436" s="52" t="s">
        <v>864</v>
      </c>
      <c r="C436" s="52" t="s">
        <v>1062</v>
      </c>
      <c r="D436" s="52" t="s">
        <v>755</v>
      </c>
      <c r="E436" s="52" t="s">
        <v>674</v>
      </c>
      <c r="F436" s="52" t="s">
        <v>675</v>
      </c>
      <c r="G436" s="52" t="s">
        <v>676</v>
      </c>
      <c r="H436" s="52" t="s">
        <v>702</v>
      </c>
      <c r="I436" s="49" t="s">
        <v>678</v>
      </c>
      <c r="J436" s="52" t="s">
        <v>774</v>
      </c>
      <c r="K436" s="52" t="s">
        <v>680</v>
      </c>
      <c r="L436" s="52" t="s">
        <v>699</v>
      </c>
      <c r="M436" s="52">
        <v>0.1</v>
      </c>
      <c r="N436" s="52" t="s">
        <v>458</v>
      </c>
      <c r="O436" s="52" t="s">
        <v>665</v>
      </c>
      <c r="P436" s="52" t="s">
        <v>746</v>
      </c>
      <c r="Q436" s="52" t="s">
        <v>683</v>
      </c>
      <c r="R436" s="52" t="s">
        <v>89</v>
      </c>
      <c r="S436" s="49" t="s">
        <v>684</v>
      </c>
      <c r="T436" s="52" t="s">
        <v>1821</v>
      </c>
      <c r="U436" s="52" t="s">
        <v>1824</v>
      </c>
      <c r="V436" s="50" t="s">
        <v>1823</v>
      </c>
    </row>
    <row r="437" spans="1:22" x14ac:dyDescent="0.3">
      <c r="A437" s="48" t="s">
        <v>1209</v>
      </c>
      <c r="B437" s="49" t="s">
        <v>707</v>
      </c>
      <c r="C437" s="49" t="s">
        <v>715</v>
      </c>
      <c r="D437" s="49" t="s">
        <v>755</v>
      </c>
      <c r="E437" s="49" t="s">
        <v>674</v>
      </c>
      <c r="F437" s="49" t="s">
        <v>716</v>
      </c>
      <c r="G437" s="49" t="s">
        <v>717</v>
      </c>
      <c r="H437" s="49" t="s">
        <v>717</v>
      </c>
      <c r="I437" s="49" t="s">
        <v>717</v>
      </c>
      <c r="J437" s="49" t="s">
        <v>679</v>
      </c>
      <c r="K437" s="49" t="s">
        <v>680</v>
      </c>
      <c r="L437" s="49" t="s">
        <v>699</v>
      </c>
      <c r="M437" s="49">
        <v>0.4</v>
      </c>
      <c r="N437" s="49" t="s">
        <v>1210</v>
      </c>
      <c r="O437" s="49" t="s">
        <v>665</v>
      </c>
      <c r="P437" s="49" t="s">
        <v>746</v>
      </c>
      <c r="Q437" s="49" t="s">
        <v>683</v>
      </c>
      <c r="R437" s="49" t="s">
        <v>1211</v>
      </c>
      <c r="S437" s="49" t="s">
        <v>755</v>
      </c>
      <c r="T437" s="49" t="s">
        <v>1821</v>
      </c>
      <c r="U437" s="49" t="s">
        <v>1824</v>
      </c>
      <c r="V437" s="50" t="s">
        <v>1823</v>
      </c>
    </row>
    <row r="438" spans="1:22" x14ac:dyDescent="0.3">
      <c r="A438" s="51" t="s">
        <v>1009</v>
      </c>
      <c r="B438" s="52" t="s">
        <v>707</v>
      </c>
      <c r="C438" s="52" t="s">
        <v>715</v>
      </c>
      <c r="D438" s="52" t="s">
        <v>684</v>
      </c>
      <c r="E438" s="52" t="s">
        <v>674</v>
      </c>
      <c r="F438" s="52" t="s">
        <v>716</v>
      </c>
      <c r="G438" s="52" t="s">
        <v>717</v>
      </c>
      <c r="H438" s="52" t="s">
        <v>717</v>
      </c>
      <c r="I438" s="52" t="s">
        <v>717</v>
      </c>
      <c r="J438" s="52" t="s">
        <v>737</v>
      </c>
      <c r="K438" s="52" t="s">
        <v>738</v>
      </c>
      <c r="L438" s="52" t="s">
        <v>699</v>
      </c>
      <c r="M438" s="52">
        <v>0.3</v>
      </c>
      <c r="N438" s="52" t="s">
        <v>1210</v>
      </c>
      <c r="O438" s="52" t="s">
        <v>665</v>
      </c>
      <c r="P438" s="52" t="s">
        <v>746</v>
      </c>
      <c r="Q438" s="52" t="s">
        <v>683</v>
      </c>
      <c r="R438" s="52" t="s">
        <v>1211</v>
      </c>
      <c r="S438" s="49" t="s">
        <v>755</v>
      </c>
      <c r="T438" s="52" t="s">
        <v>1821</v>
      </c>
      <c r="U438" s="52" t="s">
        <v>1824</v>
      </c>
      <c r="V438" s="50" t="s">
        <v>1823</v>
      </c>
    </row>
    <row r="439" spans="1:22" x14ac:dyDescent="0.3">
      <c r="A439" s="48" t="s">
        <v>841</v>
      </c>
      <c r="B439" s="49" t="s">
        <v>707</v>
      </c>
      <c r="C439" s="49" t="s">
        <v>715</v>
      </c>
      <c r="D439" s="49" t="s">
        <v>673</v>
      </c>
      <c r="E439" s="49" t="s">
        <v>674</v>
      </c>
      <c r="F439" s="49" t="s">
        <v>716</v>
      </c>
      <c r="G439" s="49" t="s">
        <v>717</v>
      </c>
      <c r="H439" s="49" t="s">
        <v>717</v>
      </c>
      <c r="I439" s="49" t="s">
        <v>717</v>
      </c>
      <c r="J439" s="49" t="s">
        <v>713</v>
      </c>
      <c r="K439" s="49" t="s">
        <v>690</v>
      </c>
      <c r="L439" s="49" t="s">
        <v>699</v>
      </c>
      <c r="M439" s="49">
        <v>0.3</v>
      </c>
      <c r="N439" s="49" t="s">
        <v>1210</v>
      </c>
      <c r="O439" s="49" t="s">
        <v>665</v>
      </c>
      <c r="P439" s="49" t="s">
        <v>746</v>
      </c>
      <c r="Q439" s="49" t="s">
        <v>683</v>
      </c>
      <c r="R439" s="49" t="s">
        <v>1211</v>
      </c>
      <c r="S439" s="49" t="s">
        <v>755</v>
      </c>
      <c r="T439" s="49" t="s">
        <v>1821</v>
      </c>
      <c r="U439" s="49" t="s">
        <v>1824</v>
      </c>
      <c r="V439" s="50" t="s">
        <v>1823</v>
      </c>
    </row>
    <row r="440" spans="1:22" x14ac:dyDescent="0.3">
      <c r="A440" s="51" t="s">
        <v>1212</v>
      </c>
      <c r="B440" s="52" t="s">
        <v>704</v>
      </c>
      <c r="C440" s="52" t="s">
        <v>1213</v>
      </c>
      <c r="D440" s="52" t="s">
        <v>673</v>
      </c>
      <c r="E440" s="52" t="s">
        <v>674</v>
      </c>
      <c r="F440" s="52" t="s">
        <v>675</v>
      </c>
      <c r="G440" s="52" t="s">
        <v>676</v>
      </c>
      <c r="H440" s="52" t="s">
        <v>677</v>
      </c>
      <c r="I440" s="49" t="s">
        <v>678</v>
      </c>
      <c r="J440" s="52" t="s">
        <v>713</v>
      </c>
      <c r="K440" s="52" t="s">
        <v>690</v>
      </c>
      <c r="L440" s="52" t="s">
        <v>681</v>
      </c>
      <c r="M440" s="52">
        <v>0.7</v>
      </c>
      <c r="N440" s="52" t="s">
        <v>211</v>
      </c>
      <c r="O440" s="52" t="s">
        <v>665</v>
      </c>
      <c r="P440" s="52" t="s">
        <v>682</v>
      </c>
      <c r="Q440" s="52" t="s">
        <v>683</v>
      </c>
      <c r="R440" s="52" t="s">
        <v>178</v>
      </c>
      <c r="S440" s="52" t="s">
        <v>673</v>
      </c>
      <c r="T440" s="52" t="s">
        <v>1821</v>
      </c>
      <c r="U440" s="52" t="s">
        <v>1824</v>
      </c>
      <c r="V440" s="50" t="s">
        <v>1823</v>
      </c>
    </row>
    <row r="441" spans="1:22" x14ac:dyDescent="0.3">
      <c r="A441" s="48" t="s">
        <v>2299</v>
      </c>
      <c r="B441" s="49" t="s">
        <v>704</v>
      </c>
      <c r="C441" s="49" t="s">
        <v>2300</v>
      </c>
      <c r="D441" s="49" t="s">
        <v>673</v>
      </c>
      <c r="E441" s="49" t="s">
        <v>674</v>
      </c>
      <c r="F441" s="49" t="s">
        <v>675</v>
      </c>
      <c r="G441" s="49" t="s">
        <v>676</v>
      </c>
      <c r="H441" s="49" t="s">
        <v>677</v>
      </c>
      <c r="I441" s="49" t="s">
        <v>678</v>
      </c>
      <c r="J441" s="49" t="s">
        <v>713</v>
      </c>
      <c r="K441" s="49" t="s">
        <v>690</v>
      </c>
      <c r="L441" s="49" t="s">
        <v>681</v>
      </c>
      <c r="M441" s="49">
        <v>0.3</v>
      </c>
      <c r="N441" s="49" t="s">
        <v>211</v>
      </c>
      <c r="O441" s="49" t="s">
        <v>665</v>
      </c>
      <c r="P441" s="49" t="s">
        <v>682</v>
      </c>
      <c r="Q441" s="49" t="s">
        <v>683</v>
      </c>
      <c r="R441" s="49" t="s">
        <v>178</v>
      </c>
      <c r="S441" s="52" t="s">
        <v>673</v>
      </c>
      <c r="T441" s="49" t="s">
        <v>1821</v>
      </c>
      <c r="U441" s="49" t="s">
        <v>1824</v>
      </c>
      <c r="V441" s="50" t="s">
        <v>1823</v>
      </c>
    </row>
    <row r="442" spans="1:22" x14ac:dyDescent="0.3">
      <c r="A442" s="51" t="s">
        <v>804</v>
      </c>
      <c r="B442" s="52" t="s">
        <v>704</v>
      </c>
      <c r="C442" s="52" t="s">
        <v>805</v>
      </c>
      <c r="D442" s="52" t="s">
        <v>673</v>
      </c>
      <c r="E442" s="52" t="s">
        <v>674</v>
      </c>
      <c r="F442" s="52" t="s">
        <v>675</v>
      </c>
      <c r="G442" s="52" t="s">
        <v>676</v>
      </c>
      <c r="H442" s="52" t="s">
        <v>677</v>
      </c>
      <c r="I442" s="49" t="s">
        <v>678</v>
      </c>
      <c r="J442" s="52" t="s">
        <v>679</v>
      </c>
      <c r="K442" s="52" t="s">
        <v>680</v>
      </c>
      <c r="L442" s="52" t="s">
        <v>681</v>
      </c>
      <c r="M442" s="52">
        <v>0.3</v>
      </c>
      <c r="N442" s="52" t="s">
        <v>224</v>
      </c>
      <c r="O442" s="52" t="s">
        <v>665</v>
      </c>
      <c r="P442" s="52" t="s">
        <v>682</v>
      </c>
      <c r="Q442" s="52" t="s">
        <v>683</v>
      </c>
      <c r="R442" s="52" t="s">
        <v>178</v>
      </c>
      <c r="S442" s="52" t="s">
        <v>673</v>
      </c>
      <c r="T442" s="52" t="s">
        <v>1821</v>
      </c>
      <c r="U442" s="52" t="s">
        <v>1824</v>
      </c>
      <c r="V442" s="50" t="s">
        <v>1823</v>
      </c>
    </row>
    <row r="443" spans="1:22" x14ac:dyDescent="0.3">
      <c r="A443" s="48" t="s">
        <v>1196</v>
      </c>
      <c r="B443" s="49" t="s">
        <v>704</v>
      </c>
      <c r="C443" s="49" t="s">
        <v>1197</v>
      </c>
      <c r="D443" s="49" t="s">
        <v>673</v>
      </c>
      <c r="E443" s="49" t="s">
        <v>674</v>
      </c>
      <c r="F443" s="49" t="s">
        <v>675</v>
      </c>
      <c r="G443" s="49" t="s">
        <v>676</v>
      </c>
      <c r="H443" s="49" t="s">
        <v>677</v>
      </c>
      <c r="I443" s="49" t="s">
        <v>678</v>
      </c>
      <c r="J443" s="49" t="s">
        <v>679</v>
      </c>
      <c r="K443" s="49" t="s">
        <v>680</v>
      </c>
      <c r="L443" s="49" t="s">
        <v>681</v>
      </c>
      <c r="M443" s="49">
        <v>0.2</v>
      </c>
      <c r="N443" s="49" t="s">
        <v>224</v>
      </c>
      <c r="O443" s="49" t="s">
        <v>665</v>
      </c>
      <c r="P443" s="49" t="s">
        <v>682</v>
      </c>
      <c r="Q443" s="49" t="s">
        <v>683</v>
      </c>
      <c r="R443" s="49" t="s">
        <v>178</v>
      </c>
      <c r="S443" s="52" t="s">
        <v>673</v>
      </c>
      <c r="T443" s="49" t="s">
        <v>1821</v>
      </c>
      <c r="U443" s="49" t="s">
        <v>1824</v>
      </c>
      <c r="V443" s="50" t="s">
        <v>1823</v>
      </c>
    </row>
    <row r="444" spans="1:22" x14ac:dyDescent="0.3">
      <c r="A444" s="51" t="s">
        <v>1216</v>
      </c>
      <c r="B444" s="52" t="s">
        <v>1217</v>
      </c>
      <c r="C444" s="52" t="s">
        <v>1218</v>
      </c>
      <c r="D444" s="52" t="s">
        <v>684</v>
      </c>
      <c r="E444" s="52" t="s">
        <v>674</v>
      </c>
      <c r="F444" s="52" t="s">
        <v>675</v>
      </c>
      <c r="G444" s="52" t="s">
        <v>744</v>
      </c>
      <c r="H444" s="52" t="s">
        <v>677</v>
      </c>
      <c r="I444" s="49" t="s">
        <v>688</v>
      </c>
      <c r="J444" s="52" t="s">
        <v>860</v>
      </c>
      <c r="K444" s="52" t="s">
        <v>861</v>
      </c>
      <c r="L444" s="52" t="s">
        <v>681</v>
      </c>
      <c r="M444" s="52">
        <v>0.5</v>
      </c>
      <c r="N444" s="52" t="s">
        <v>224</v>
      </c>
      <c r="O444" s="52" t="s">
        <v>665</v>
      </c>
      <c r="P444" s="52" t="s">
        <v>682</v>
      </c>
      <c r="Q444" s="52" t="s">
        <v>683</v>
      </c>
      <c r="R444" s="52" t="s">
        <v>178</v>
      </c>
      <c r="S444" s="52" t="s">
        <v>673</v>
      </c>
      <c r="T444" s="52" t="s">
        <v>1821</v>
      </c>
      <c r="U444" s="52" t="s">
        <v>1824</v>
      </c>
      <c r="V444" s="50" t="s">
        <v>1823</v>
      </c>
    </row>
    <row r="445" spans="1:22" x14ac:dyDescent="0.3">
      <c r="A445" s="48" t="s">
        <v>1219</v>
      </c>
      <c r="B445" s="49" t="s">
        <v>704</v>
      </c>
      <c r="C445" s="49" t="s">
        <v>1220</v>
      </c>
      <c r="D445" s="49" t="s">
        <v>673</v>
      </c>
      <c r="E445" s="49" t="s">
        <v>674</v>
      </c>
      <c r="F445" s="49" t="s">
        <v>675</v>
      </c>
      <c r="G445" s="49" t="s">
        <v>676</v>
      </c>
      <c r="H445" s="49" t="s">
        <v>677</v>
      </c>
      <c r="I445" s="49" t="s">
        <v>678</v>
      </c>
      <c r="J445" s="49" t="s">
        <v>679</v>
      </c>
      <c r="K445" s="49" t="s">
        <v>680</v>
      </c>
      <c r="L445" s="49" t="s">
        <v>681</v>
      </c>
      <c r="M445" s="49">
        <v>0.5</v>
      </c>
      <c r="N445" s="49" t="s">
        <v>253</v>
      </c>
      <c r="O445" s="49" t="s">
        <v>665</v>
      </c>
      <c r="P445" s="49" t="s">
        <v>682</v>
      </c>
      <c r="Q445" s="49" t="s">
        <v>683</v>
      </c>
      <c r="R445" s="49" t="s">
        <v>178</v>
      </c>
      <c r="S445" s="52" t="s">
        <v>673</v>
      </c>
      <c r="T445" s="49" t="s">
        <v>1821</v>
      </c>
      <c r="U445" s="49" t="s">
        <v>1824</v>
      </c>
      <c r="V445" s="50" t="s">
        <v>1823</v>
      </c>
    </row>
    <row r="446" spans="1:22" x14ac:dyDescent="0.3">
      <c r="A446" s="51" t="s">
        <v>1221</v>
      </c>
      <c r="B446" s="52" t="s">
        <v>704</v>
      </c>
      <c r="C446" s="52" t="s">
        <v>1222</v>
      </c>
      <c r="D446" s="52" t="s">
        <v>673</v>
      </c>
      <c r="E446" s="52" t="s">
        <v>674</v>
      </c>
      <c r="F446" s="52" t="s">
        <v>675</v>
      </c>
      <c r="G446" s="52" t="s">
        <v>676</v>
      </c>
      <c r="H446" s="52" t="s">
        <v>677</v>
      </c>
      <c r="I446" s="49" t="s">
        <v>678</v>
      </c>
      <c r="J446" s="52" t="s">
        <v>679</v>
      </c>
      <c r="K446" s="52" t="s">
        <v>680</v>
      </c>
      <c r="L446" s="52" t="s">
        <v>699</v>
      </c>
      <c r="M446" s="52">
        <v>0.5</v>
      </c>
      <c r="N446" s="52" t="s">
        <v>253</v>
      </c>
      <c r="O446" s="52" t="s">
        <v>665</v>
      </c>
      <c r="P446" s="52" t="s">
        <v>682</v>
      </c>
      <c r="Q446" s="52" t="s">
        <v>683</v>
      </c>
      <c r="R446" s="52" t="s">
        <v>178</v>
      </c>
      <c r="S446" s="52" t="s">
        <v>673</v>
      </c>
      <c r="T446" s="52" t="s">
        <v>1821</v>
      </c>
      <c r="U446" s="52" t="s">
        <v>1824</v>
      </c>
      <c r="V446" s="50" t="s">
        <v>1823</v>
      </c>
    </row>
    <row r="447" spans="1:22" x14ac:dyDescent="0.3">
      <c r="A447" s="48" t="s">
        <v>809</v>
      </c>
      <c r="B447" s="49" t="s">
        <v>704</v>
      </c>
      <c r="C447" s="49" t="s">
        <v>810</v>
      </c>
      <c r="D447" s="49" t="s">
        <v>673</v>
      </c>
      <c r="E447" s="49" t="s">
        <v>674</v>
      </c>
      <c r="F447" s="49" t="s">
        <v>675</v>
      </c>
      <c r="G447" s="49" t="s">
        <v>676</v>
      </c>
      <c r="H447" s="49" t="s">
        <v>677</v>
      </c>
      <c r="I447" s="49" t="s">
        <v>811</v>
      </c>
      <c r="J447" s="49" t="s">
        <v>710</v>
      </c>
      <c r="K447" s="49" t="s">
        <v>690</v>
      </c>
      <c r="L447" s="49" t="s">
        <v>681</v>
      </c>
      <c r="M447" s="49">
        <v>0.1</v>
      </c>
      <c r="N447" s="49" t="s">
        <v>474</v>
      </c>
      <c r="O447" s="49" t="s">
        <v>665</v>
      </c>
      <c r="P447" s="49" t="s">
        <v>682</v>
      </c>
      <c r="Q447" s="49" t="s">
        <v>683</v>
      </c>
      <c r="R447" s="49" t="s">
        <v>178</v>
      </c>
      <c r="S447" s="52" t="s">
        <v>673</v>
      </c>
      <c r="T447" s="49" t="s">
        <v>1821</v>
      </c>
      <c r="U447" s="49" t="s">
        <v>1824</v>
      </c>
      <c r="V447" s="50" t="s">
        <v>1823</v>
      </c>
    </row>
    <row r="448" spans="1:22" x14ac:dyDescent="0.3">
      <c r="A448" s="51" t="s">
        <v>1198</v>
      </c>
      <c r="B448" s="52" t="s">
        <v>704</v>
      </c>
      <c r="C448" s="52" t="s">
        <v>1199</v>
      </c>
      <c r="D448" s="52" t="s">
        <v>673</v>
      </c>
      <c r="E448" s="52" t="s">
        <v>674</v>
      </c>
      <c r="F448" s="52" t="s">
        <v>675</v>
      </c>
      <c r="G448" s="52" t="s">
        <v>676</v>
      </c>
      <c r="H448" s="52" t="s">
        <v>677</v>
      </c>
      <c r="I448" s="49" t="s">
        <v>688</v>
      </c>
      <c r="J448" s="52" t="s">
        <v>710</v>
      </c>
      <c r="K448" s="52" t="s">
        <v>690</v>
      </c>
      <c r="L448" s="52" t="s">
        <v>681</v>
      </c>
      <c r="M448" s="52">
        <v>0.4</v>
      </c>
      <c r="N448" s="52" t="s">
        <v>474</v>
      </c>
      <c r="O448" s="52" t="s">
        <v>665</v>
      </c>
      <c r="P448" s="52" t="s">
        <v>682</v>
      </c>
      <c r="Q448" s="52" t="s">
        <v>683</v>
      </c>
      <c r="R448" s="52" t="s">
        <v>178</v>
      </c>
      <c r="S448" s="52" t="s">
        <v>673</v>
      </c>
      <c r="T448" s="52" t="s">
        <v>1821</v>
      </c>
      <c r="U448" s="52" t="s">
        <v>1824</v>
      </c>
      <c r="V448" s="50" t="s">
        <v>1823</v>
      </c>
    </row>
    <row r="449" spans="1:22" x14ac:dyDescent="0.3">
      <c r="A449" s="48" t="s">
        <v>790</v>
      </c>
      <c r="B449" s="49" t="s">
        <v>791</v>
      </c>
      <c r="C449" s="49" t="s">
        <v>792</v>
      </c>
      <c r="D449" s="49" t="s">
        <v>673</v>
      </c>
      <c r="E449" s="49" t="s">
        <v>674</v>
      </c>
      <c r="F449" s="49" t="s">
        <v>675</v>
      </c>
      <c r="G449" s="49" t="s">
        <v>676</v>
      </c>
      <c r="H449" s="49" t="s">
        <v>677</v>
      </c>
      <c r="I449" s="49" t="s">
        <v>678</v>
      </c>
      <c r="J449" s="49" t="s">
        <v>710</v>
      </c>
      <c r="K449" s="49" t="s">
        <v>690</v>
      </c>
      <c r="L449" s="49" t="s">
        <v>739</v>
      </c>
      <c r="M449" s="49">
        <v>0.2</v>
      </c>
      <c r="N449" s="49" t="s">
        <v>474</v>
      </c>
      <c r="O449" s="49" t="s">
        <v>665</v>
      </c>
      <c r="P449" s="49" t="s">
        <v>682</v>
      </c>
      <c r="Q449" s="49" t="s">
        <v>683</v>
      </c>
      <c r="R449" s="49" t="s">
        <v>178</v>
      </c>
      <c r="S449" s="52" t="s">
        <v>673</v>
      </c>
      <c r="T449" s="49" t="s">
        <v>1821</v>
      </c>
      <c r="U449" s="49" t="s">
        <v>1824</v>
      </c>
      <c r="V449" s="50" t="s">
        <v>1823</v>
      </c>
    </row>
    <row r="450" spans="1:22" x14ac:dyDescent="0.3">
      <c r="A450" s="51" t="s">
        <v>740</v>
      </c>
      <c r="B450" s="52" t="s">
        <v>704</v>
      </c>
      <c r="C450" s="52" t="s">
        <v>741</v>
      </c>
      <c r="D450" s="52" t="s">
        <v>673</v>
      </c>
      <c r="E450" s="52" t="s">
        <v>674</v>
      </c>
      <c r="F450" s="52" t="s">
        <v>675</v>
      </c>
      <c r="G450" s="52" t="s">
        <v>676</v>
      </c>
      <c r="H450" s="52" t="s">
        <v>677</v>
      </c>
      <c r="I450" s="49" t="s">
        <v>678</v>
      </c>
      <c r="J450" s="52" t="s">
        <v>710</v>
      </c>
      <c r="K450" s="52" t="s">
        <v>690</v>
      </c>
      <c r="L450" s="52" t="s">
        <v>681</v>
      </c>
      <c r="M450" s="52">
        <v>0.2</v>
      </c>
      <c r="N450" s="52" t="s">
        <v>474</v>
      </c>
      <c r="O450" s="52" t="s">
        <v>665</v>
      </c>
      <c r="P450" s="52" t="s">
        <v>682</v>
      </c>
      <c r="Q450" s="52" t="s">
        <v>683</v>
      </c>
      <c r="R450" s="52" t="s">
        <v>178</v>
      </c>
      <c r="S450" s="52" t="s">
        <v>673</v>
      </c>
      <c r="T450" s="52" t="s">
        <v>1821</v>
      </c>
      <c r="U450" s="52" t="s">
        <v>1824</v>
      </c>
      <c r="V450" s="50" t="s">
        <v>1823</v>
      </c>
    </row>
    <row r="451" spans="1:22" x14ac:dyDescent="0.3">
      <c r="A451" s="48" t="s">
        <v>1223</v>
      </c>
      <c r="B451" s="49" t="s">
        <v>56</v>
      </c>
      <c r="C451" s="49" t="s">
        <v>1224</v>
      </c>
      <c r="D451" s="49" t="s">
        <v>673</v>
      </c>
      <c r="E451" s="49" t="s">
        <v>674</v>
      </c>
      <c r="F451" s="49" t="s">
        <v>675</v>
      </c>
      <c r="G451" s="49" t="s">
        <v>676</v>
      </c>
      <c r="H451" s="49" t="s">
        <v>702</v>
      </c>
      <c r="I451" s="49" t="s">
        <v>678</v>
      </c>
      <c r="J451" s="49" t="s">
        <v>710</v>
      </c>
      <c r="K451" s="49" t="s">
        <v>690</v>
      </c>
      <c r="L451" s="49" t="s">
        <v>739</v>
      </c>
      <c r="M451" s="49">
        <v>0.1</v>
      </c>
      <c r="N451" s="49" t="s">
        <v>474</v>
      </c>
      <c r="O451" s="49" t="s">
        <v>665</v>
      </c>
      <c r="P451" s="49" t="s">
        <v>682</v>
      </c>
      <c r="Q451" s="49" t="s">
        <v>683</v>
      </c>
      <c r="R451" s="49" t="s">
        <v>178</v>
      </c>
      <c r="S451" s="52" t="s">
        <v>673</v>
      </c>
      <c r="T451" s="49" t="s">
        <v>1821</v>
      </c>
      <c r="U451" s="49" t="s">
        <v>1824</v>
      </c>
      <c r="V451" s="50" t="s">
        <v>1823</v>
      </c>
    </row>
    <row r="452" spans="1:22" x14ac:dyDescent="0.3">
      <c r="A452" s="51" t="s">
        <v>779</v>
      </c>
      <c r="B452" s="52" t="s">
        <v>704</v>
      </c>
      <c r="C452" s="52" t="s">
        <v>780</v>
      </c>
      <c r="D452" s="52" t="s">
        <v>673</v>
      </c>
      <c r="E452" s="52" t="s">
        <v>674</v>
      </c>
      <c r="F452" s="52" t="s">
        <v>675</v>
      </c>
      <c r="G452" s="52" t="s">
        <v>676</v>
      </c>
      <c r="H452" s="52" t="s">
        <v>677</v>
      </c>
      <c r="I452" s="49" t="s">
        <v>678</v>
      </c>
      <c r="J452" s="52" t="s">
        <v>679</v>
      </c>
      <c r="K452" s="52" t="s">
        <v>680</v>
      </c>
      <c r="L452" s="52" t="s">
        <v>681</v>
      </c>
      <c r="M452" s="52">
        <v>0.5</v>
      </c>
      <c r="N452" s="52" t="s">
        <v>612</v>
      </c>
      <c r="O452" s="52" t="s">
        <v>665</v>
      </c>
      <c r="P452" s="52" t="s">
        <v>682</v>
      </c>
      <c r="Q452" s="52" t="s">
        <v>683</v>
      </c>
      <c r="R452" s="52" t="s">
        <v>178</v>
      </c>
      <c r="S452" s="52" t="s">
        <v>673</v>
      </c>
      <c r="T452" s="52" t="s">
        <v>1821</v>
      </c>
      <c r="U452" s="52" t="s">
        <v>1824</v>
      </c>
      <c r="V452" s="50" t="s">
        <v>1823</v>
      </c>
    </row>
    <row r="453" spans="1:22" x14ac:dyDescent="0.3">
      <c r="A453" s="48" t="s">
        <v>1225</v>
      </c>
      <c r="B453" s="49" t="s">
        <v>178</v>
      </c>
      <c r="C453" s="49" t="s">
        <v>1226</v>
      </c>
      <c r="D453" s="49" t="s">
        <v>673</v>
      </c>
      <c r="E453" s="49" t="s">
        <v>674</v>
      </c>
      <c r="F453" s="49" t="s">
        <v>675</v>
      </c>
      <c r="G453" s="49" t="s">
        <v>724</v>
      </c>
      <c r="H453" s="49" t="s">
        <v>677</v>
      </c>
      <c r="I453" s="49" t="s">
        <v>678</v>
      </c>
      <c r="J453" s="49" t="s">
        <v>710</v>
      </c>
      <c r="K453" s="49" t="s">
        <v>690</v>
      </c>
      <c r="L453" s="49" t="s">
        <v>681</v>
      </c>
      <c r="M453" s="49">
        <v>0.5</v>
      </c>
      <c r="N453" s="49" t="s">
        <v>644</v>
      </c>
      <c r="O453" s="49" t="s">
        <v>665</v>
      </c>
      <c r="P453" s="49" t="s">
        <v>682</v>
      </c>
      <c r="Q453" s="49" t="s">
        <v>683</v>
      </c>
      <c r="R453" s="49" t="s">
        <v>178</v>
      </c>
      <c r="S453" s="52" t="s">
        <v>673</v>
      </c>
      <c r="T453" s="49" t="s">
        <v>1821</v>
      </c>
      <c r="U453" s="49" t="s">
        <v>1824</v>
      </c>
      <c r="V453" s="50" t="s">
        <v>1823</v>
      </c>
    </row>
    <row r="454" spans="1:22" x14ac:dyDescent="0.3">
      <c r="A454" s="51" t="s">
        <v>1200</v>
      </c>
      <c r="B454" s="52" t="s">
        <v>178</v>
      </c>
      <c r="C454" s="52" t="s">
        <v>1201</v>
      </c>
      <c r="D454" s="52" t="s">
        <v>673</v>
      </c>
      <c r="E454" s="52" t="s">
        <v>674</v>
      </c>
      <c r="F454" s="52" t="s">
        <v>675</v>
      </c>
      <c r="G454" s="52" t="s">
        <v>676</v>
      </c>
      <c r="H454" s="52" t="s">
        <v>702</v>
      </c>
      <c r="I454" s="49" t="s">
        <v>678</v>
      </c>
      <c r="J454" s="52" t="s">
        <v>710</v>
      </c>
      <c r="K454" s="52" t="s">
        <v>690</v>
      </c>
      <c r="L454" s="52" t="s">
        <v>681</v>
      </c>
      <c r="M454" s="52">
        <v>0.5</v>
      </c>
      <c r="N454" s="52" t="s">
        <v>644</v>
      </c>
      <c r="O454" s="52" t="s">
        <v>665</v>
      </c>
      <c r="P454" s="52" t="s">
        <v>682</v>
      </c>
      <c r="Q454" s="52" t="s">
        <v>683</v>
      </c>
      <c r="R454" s="52" t="s">
        <v>178</v>
      </c>
      <c r="S454" s="52" t="s">
        <v>673</v>
      </c>
      <c r="T454" s="52" t="s">
        <v>1821</v>
      </c>
      <c r="U454" s="52" t="s">
        <v>1824</v>
      </c>
      <c r="V454" s="50" t="s">
        <v>1823</v>
      </c>
    </row>
    <row r="455" spans="1:22" x14ac:dyDescent="0.3">
      <c r="A455" s="48" t="s">
        <v>714</v>
      </c>
      <c r="B455" s="49" t="s">
        <v>707</v>
      </c>
      <c r="C455" s="49" t="s">
        <v>715</v>
      </c>
      <c r="D455" s="49" t="s">
        <v>673</v>
      </c>
      <c r="E455" s="49" t="s">
        <v>674</v>
      </c>
      <c r="F455" s="49" t="s">
        <v>716</v>
      </c>
      <c r="G455" s="49" t="s">
        <v>717</v>
      </c>
      <c r="H455" s="49" t="s">
        <v>717</v>
      </c>
      <c r="I455" s="49" t="s">
        <v>717</v>
      </c>
      <c r="J455" s="49" t="s">
        <v>710</v>
      </c>
      <c r="K455" s="49" t="s">
        <v>690</v>
      </c>
      <c r="L455" s="49" t="s">
        <v>699</v>
      </c>
      <c r="M455" s="49">
        <v>0.1</v>
      </c>
      <c r="N455" s="49" t="s">
        <v>178</v>
      </c>
      <c r="O455" s="49" t="s">
        <v>665</v>
      </c>
      <c r="P455" s="49" t="s">
        <v>682</v>
      </c>
      <c r="Q455" s="49" t="s">
        <v>683</v>
      </c>
      <c r="R455" s="49" t="s">
        <v>366</v>
      </c>
      <c r="S455" s="52" t="s">
        <v>673</v>
      </c>
      <c r="T455" s="49" t="s">
        <v>1821</v>
      </c>
      <c r="U455" s="49" t="s">
        <v>1824</v>
      </c>
      <c r="V455" s="50" t="s">
        <v>1823</v>
      </c>
    </row>
    <row r="456" spans="1:22" x14ac:dyDescent="0.3">
      <c r="A456" s="51" t="s">
        <v>1227</v>
      </c>
      <c r="B456" s="52" t="s">
        <v>704</v>
      </c>
      <c r="C456" s="52" t="s">
        <v>1228</v>
      </c>
      <c r="D456" s="52" t="s">
        <v>673</v>
      </c>
      <c r="E456" s="52" t="s">
        <v>674</v>
      </c>
      <c r="F456" s="52" t="s">
        <v>675</v>
      </c>
      <c r="G456" s="52" t="s">
        <v>676</v>
      </c>
      <c r="H456" s="52" t="s">
        <v>677</v>
      </c>
      <c r="I456" s="49" t="s">
        <v>678</v>
      </c>
      <c r="J456" s="52" t="s">
        <v>710</v>
      </c>
      <c r="K456" s="52" t="s">
        <v>690</v>
      </c>
      <c r="L456" s="52" t="s">
        <v>681</v>
      </c>
      <c r="M456" s="52">
        <v>0.2</v>
      </c>
      <c r="N456" s="52" t="s">
        <v>178</v>
      </c>
      <c r="O456" s="52" t="s">
        <v>665</v>
      </c>
      <c r="P456" s="52" t="s">
        <v>682</v>
      </c>
      <c r="Q456" s="52" t="s">
        <v>683</v>
      </c>
      <c r="R456" s="52" t="s">
        <v>366</v>
      </c>
      <c r="S456" s="52" t="s">
        <v>673</v>
      </c>
      <c r="T456" s="52" t="s">
        <v>1821</v>
      </c>
      <c r="U456" s="52" t="s">
        <v>1824</v>
      </c>
      <c r="V456" s="50" t="s">
        <v>1823</v>
      </c>
    </row>
    <row r="457" spans="1:22" x14ac:dyDescent="0.3">
      <c r="A457" s="48" t="s">
        <v>802</v>
      </c>
      <c r="B457" s="49" t="s">
        <v>704</v>
      </c>
      <c r="C457" s="49" t="s">
        <v>803</v>
      </c>
      <c r="D457" s="49" t="s">
        <v>673</v>
      </c>
      <c r="E457" s="49" t="s">
        <v>674</v>
      </c>
      <c r="F457" s="49" t="s">
        <v>675</v>
      </c>
      <c r="G457" s="49" t="s">
        <v>676</v>
      </c>
      <c r="H457" s="49" t="s">
        <v>677</v>
      </c>
      <c r="I457" s="49" t="s">
        <v>678</v>
      </c>
      <c r="J457" s="49" t="s">
        <v>710</v>
      </c>
      <c r="K457" s="49" t="s">
        <v>690</v>
      </c>
      <c r="L457" s="49" t="s">
        <v>681</v>
      </c>
      <c r="M457" s="49">
        <v>0.3</v>
      </c>
      <c r="N457" s="49" t="s">
        <v>178</v>
      </c>
      <c r="O457" s="49" t="s">
        <v>665</v>
      </c>
      <c r="P457" s="49" t="s">
        <v>682</v>
      </c>
      <c r="Q457" s="49" t="s">
        <v>683</v>
      </c>
      <c r="R457" s="49" t="s">
        <v>366</v>
      </c>
      <c r="S457" s="52" t="s">
        <v>673</v>
      </c>
      <c r="T457" s="49" t="s">
        <v>1821</v>
      </c>
      <c r="U457" s="49" t="s">
        <v>1824</v>
      </c>
      <c r="V457" s="50" t="s">
        <v>1823</v>
      </c>
    </row>
    <row r="458" spans="1:22" x14ac:dyDescent="0.3">
      <c r="A458" s="51" t="s">
        <v>841</v>
      </c>
      <c r="B458" s="52" t="s">
        <v>707</v>
      </c>
      <c r="C458" s="52" t="s">
        <v>715</v>
      </c>
      <c r="D458" s="52" t="s">
        <v>673</v>
      </c>
      <c r="E458" s="52" t="s">
        <v>674</v>
      </c>
      <c r="F458" s="52" t="s">
        <v>716</v>
      </c>
      <c r="G458" s="52" t="s">
        <v>717</v>
      </c>
      <c r="H458" s="52" t="s">
        <v>717</v>
      </c>
      <c r="I458" s="52" t="s">
        <v>717</v>
      </c>
      <c r="J458" s="52" t="s">
        <v>713</v>
      </c>
      <c r="K458" s="52" t="s">
        <v>690</v>
      </c>
      <c r="L458" s="52" t="s">
        <v>699</v>
      </c>
      <c r="M458" s="52">
        <v>0.2</v>
      </c>
      <c r="N458" s="52" t="s">
        <v>178</v>
      </c>
      <c r="O458" s="52" t="s">
        <v>665</v>
      </c>
      <c r="P458" s="52" t="s">
        <v>682</v>
      </c>
      <c r="Q458" s="52" t="s">
        <v>683</v>
      </c>
      <c r="R458" s="52" t="s">
        <v>366</v>
      </c>
      <c r="S458" s="52" t="s">
        <v>673</v>
      </c>
      <c r="T458" s="52" t="s">
        <v>1821</v>
      </c>
      <c r="U458" s="52" t="s">
        <v>1824</v>
      </c>
      <c r="V458" s="50" t="s">
        <v>1823</v>
      </c>
    </row>
    <row r="459" spans="1:22" x14ac:dyDescent="0.3">
      <c r="A459" s="48" t="s">
        <v>1209</v>
      </c>
      <c r="B459" s="49" t="s">
        <v>707</v>
      </c>
      <c r="C459" s="49" t="s">
        <v>715</v>
      </c>
      <c r="D459" s="49" t="s">
        <v>755</v>
      </c>
      <c r="E459" s="49" t="s">
        <v>674</v>
      </c>
      <c r="F459" s="49" t="s">
        <v>716</v>
      </c>
      <c r="G459" s="49" t="s">
        <v>717</v>
      </c>
      <c r="H459" s="49" t="s">
        <v>717</v>
      </c>
      <c r="I459" s="49" t="s">
        <v>717</v>
      </c>
      <c r="J459" s="49" t="s">
        <v>679</v>
      </c>
      <c r="K459" s="49" t="s">
        <v>680</v>
      </c>
      <c r="L459" s="49" t="s">
        <v>699</v>
      </c>
      <c r="M459" s="49">
        <v>0.2</v>
      </c>
      <c r="N459" s="49" t="s">
        <v>178</v>
      </c>
      <c r="O459" s="49" t="s">
        <v>665</v>
      </c>
      <c r="P459" s="49" t="s">
        <v>682</v>
      </c>
      <c r="Q459" s="49" t="s">
        <v>683</v>
      </c>
      <c r="R459" s="49" t="s">
        <v>366</v>
      </c>
      <c r="S459" s="52" t="s">
        <v>673</v>
      </c>
      <c r="T459" s="49" t="s">
        <v>1821</v>
      </c>
      <c r="U459" s="49" t="s">
        <v>1824</v>
      </c>
      <c r="V459" s="50" t="s">
        <v>1823</v>
      </c>
    </row>
    <row r="460" spans="1:22" x14ac:dyDescent="0.3">
      <c r="A460" s="51" t="s">
        <v>1190</v>
      </c>
      <c r="B460" s="52" t="s">
        <v>154</v>
      </c>
      <c r="C460" s="52" t="s">
        <v>1023</v>
      </c>
      <c r="D460" s="52" t="s">
        <v>673</v>
      </c>
      <c r="E460" s="52" t="s">
        <v>674</v>
      </c>
      <c r="F460" s="52" t="s">
        <v>716</v>
      </c>
      <c r="G460" s="52" t="s">
        <v>744</v>
      </c>
      <c r="H460" s="52" t="s">
        <v>935</v>
      </c>
      <c r="I460" s="49" t="s">
        <v>688</v>
      </c>
      <c r="J460" s="52" t="s">
        <v>710</v>
      </c>
      <c r="K460" s="52" t="s">
        <v>690</v>
      </c>
      <c r="L460" s="52" t="s">
        <v>681</v>
      </c>
      <c r="M460" s="52">
        <v>0.5</v>
      </c>
      <c r="N460" s="52" t="s">
        <v>1241</v>
      </c>
      <c r="O460" s="52" t="s">
        <v>767</v>
      </c>
      <c r="P460" s="52" t="s">
        <v>746</v>
      </c>
      <c r="Q460" s="52" t="s">
        <v>683</v>
      </c>
      <c r="R460" s="52" t="s">
        <v>1242</v>
      </c>
      <c r="S460" s="52" t="s">
        <v>673</v>
      </c>
      <c r="T460" s="52" t="s">
        <v>1821</v>
      </c>
      <c r="U460" s="52" t="s">
        <v>1824</v>
      </c>
      <c r="V460" s="50" t="s">
        <v>1823</v>
      </c>
    </row>
    <row r="461" spans="1:22" x14ac:dyDescent="0.3">
      <c r="A461" s="48" t="s">
        <v>1243</v>
      </c>
      <c r="B461" s="49" t="s">
        <v>1239</v>
      </c>
      <c r="C461" s="49" t="s">
        <v>1244</v>
      </c>
      <c r="D461" s="49" t="s">
        <v>684</v>
      </c>
      <c r="E461" s="49" t="s">
        <v>674</v>
      </c>
      <c r="F461" s="49" t="s">
        <v>675</v>
      </c>
      <c r="G461" s="49" t="s">
        <v>676</v>
      </c>
      <c r="H461" s="49" t="s">
        <v>677</v>
      </c>
      <c r="I461" s="49" t="s">
        <v>688</v>
      </c>
      <c r="J461" s="49" t="s">
        <v>860</v>
      </c>
      <c r="K461" s="49" t="s">
        <v>861</v>
      </c>
      <c r="L461" s="49" t="s">
        <v>739</v>
      </c>
      <c r="M461" s="49">
        <v>0.5</v>
      </c>
      <c r="N461" s="49" t="s">
        <v>1241</v>
      </c>
      <c r="O461" s="49" t="s">
        <v>767</v>
      </c>
      <c r="P461" s="52" t="s">
        <v>746</v>
      </c>
      <c r="Q461" s="49" t="s">
        <v>683</v>
      </c>
      <c r="R461" s="49" t="s">
        <v>1242</v>
      </c>
      <c r="S461" s="52" t="s">
        <v>673</v>
      </c>
      <c r="T461" s="49" t="s">
        <v>1821</v>
      </c>
      <c r="U461" s="49" t="s">
        <v>1824</v>
      </c>
      <c r="V461" s="50" t="s">
        <v>1823</v>
      </c>
    </row>
    <row r="462" spans="1:22" x14ac:dyDescent="0.3">
      <c r="A462" s="51" t="s">
        <v>694</v>
      </c>
      <c r="B462" s="52" t="s">
        <v>695</v>
      </c>
      <c r="C462" s="52" t="s">
        <v>696</v>
      </c>
      <c r="D462" s="52" t="s">
        <v>673</v>
      </c>
      <c r="E462" s="52" t="s">
        <v>674</v>
      </c>
      <c r="F462" s="52" t="s">
        <v>675</v>
      </c>
      <c r="G462" s="52" t="s">
        <v>676</v>
      </c>
      <c r="H462" s="52" t="s">
        <v>677</v>
      </c>
      <c r="I462" s="52" t="s">
        <v>697</v>
      </c>
      <c r="J462" s="52" t="s">
        <v>698</v>
      </c>
      <c r="K462" s="52" t="s">
        <v>690</v>
      </c>
      <c r="L462" s="52" t="s">
        <v>699</v>
      </c>
      <c r="M462" s="52">
        <v>1</v>
      </c>
      <c r="N462" s="52" t="s">
        <v>1442</v>
      </c>
      <c r="O462" s="52" t="s">
        <v>767</v>
      </c>
      <c r="P462" s="52" t="s">
        <v>746</v>
      </c>
      <c r="Q462" s="52" t="s">
        <v>683</v>
      </c>
      <c r="R462" s="52" t="s">
        <v>1242</v>
      </c>
      <c r="S462" s="52" t="s">
        <v>673</v>
      </c>
      <c r="T462" s="52" t="s">
        <v>1821</v>
      </c>
      <c r="U462" s="52" t="s">
        <v>1824</v>
      </c>
      <c r="V462" s="50" t="s">
        <v>1823</v>
      </c>
    </row>
    <row r="463" spans="1:22" x14ac:dyDescent="0.3">
      <c r="A463" s="48" t="s">
        <v>1044</v>
      </c>
      <c r="B463" s="49" t="s">
        <v>142</v>
      </c>
      <c r="C463" s="49" t="s">
        <v>1045</v>
      </c>
      <c r="D463" s="49" t="s">
        <v>673</v>
      </c>
      <c r="E463" s="49" t="s">
        <v>674</v>
      </c>
      <c r="F463" s="49" t="s">
        <v>675</v>
      </c>
      <c r="G463" s="49" t="s">
        <v>676</v>
      </c>
      <c r="H463" s="49" t="s">
        <v>702</v>
      </c>
      <c r="I463" s="49" t="s">
        <v>678</v>
      </c>
      <c r="J463" s="49" t="s">
        <v>698</v>
      </c>
      <c r="K463" s="49" t="s">
        <v>690</v>
      </c>
      <c r="L463" s="49" t="s">
        <v>691</v>
      </c>
      <c r="M463" s="49">
        <v>1</v>
      </c>
      <c r="N463" s="49" t="s">
        <v>46</v>
      </c>
      <c r="O463" s="49" t="s">
        <v>665</v>
      </c>
      <c r="P463" s="49" t="s">
        <v>746</v>
      </c>
      <c r="Q463" s="49" t="s">
        <v>683</v>
      </c>
      <c r="R463" s="49" t="s">
        <v>142</v>
      </c>
      <c r="S463" s="52" t="s">
        <v>673</v>
      </c>
      <c r="T463" s="49" t="s">
        <v>1821</v>
      </c>
      <c r="U463" s="49" t="s">
        <v>1824</v>
      </c>
      <c r="V463" s="50" t="s">
        <v>1823</v>
      </c>
    </row>
    <row r="464" spans="1:22" x14ac:dyDescent="0.3">
      <c r="A464" s="51" t="s">
        <v>879</v>
      </c>
      <c r="B464" s="52" t="s">
        <v>142</v>
      </c>
      <c r="C464" s="52" t="s">
        <v>880</v>
      </c>
      <c r="D464" s="52" t="s">
        <v>673</v>
      </c>
      <c r="E464" s="52" t="s">
        <v>674</v>
      </c>
      <c r="F464" s="52" t="s">
        <v>716</v>
      </c>
      <c r="G464" s="52" t="s">
        <v>744</v>
      </c>
      <c r="H464" s="52" t="s">
        <v>677</v>
      </c>
      <c r="I464" s="49" t="s">
        <v>678</v>
      </c>
      <c r="J464" s="52" t="s">
        <v>698</v>
      </c>
      <c r="K464" s="52" t="s">
        <v>690</v>
      </c>
      <c r="L464" s="52" t="s">
        <v>699</v>
      </c>
      <c r="M464" s="52">
        <v>1</v>
      </c>
      <c r="N464" s="52" t="s">
        <v>596</v>
      </c>
      <c r="O464" s="52" t="s">
        <v>665</v>
      </c>
      <c r="P464" s="52" t="s">
        <v>746</v>
      </c>
      <c r="Q464" s="52" t="s">
        <v>683</v>
      </c>
      <c r="R464" s="52" t="s">
        <v>142</v>
      </c>
      <c r="S464" s="52" t="s">
        <v>673</v>
      </c>
      <c r="T464" s="52" t="s">
        <v>1821</v>
      </c>
      <c r="U464" s="52" t="s">
        <v>1824</v>
      </c>
      <c r="V464" s="50" t="s">
        <v>1823</v>
      </c>
    </row>
    <row r="465" spans="1:22" x14ac:dyDescent="0.3">
      <c r="A465" s="48" t="s">
        <v>879</v>
      </c>
      <c r="B465" s="49" t="s">
        <v>142</v>
      </c>
      <c r="C465" s="49" t="s">
        <v>880</v>
      </c>
      <c r="D465" s="49" t="s">
        <v>673</v>
      </c>
      <c r="E465" s="49" t="s">
        <v>674</v>
      </c>
      <c r="F465" s="49" t="s">
        <v>716</v>
      </c>
      <c r="G465" s="49" t="s">
        <v>744</v>
      </c>
      <c r="H465" s="49" t="s">
        <v>677</v>
      </c>
      <c r="I465" s="49" t="s">
        <v>678</v>
      </c>
      <c r="J465" s="49" t="s">
        <v>698</v>
      </c>
      <c r="K465" s="49" t="s">
        <v>690</v>
      </c>
      <c r="L465" s="49" t="s">
        <v>699</v>
      </c>
      <c r="M465" s="49">
        <v>1</v>
      </c>
      <c r="N465" s="49" t="s">
        <v>409</v>
      </c>
      <c r="O465" s="49" t="s">
        <v>665</v>
      </c>
      <c r="P465" s="49" t="s">
        <v>746</v>
      </c>
      <c r="Q465" s="49" t="s">
        <v>683</v>
      </c>
      <c r="R465" s="49" t="s">
        <v>142</v>
      </c>
      <c r="S465" s="52" t="s">
        <v>673</v>
      </c>
      <c r="T465" s="49" t="s">
        <v>1821</v>
      </c>
      <c r="U465" s="49" t="s">
        <v>1824</v>
      </c>
      <c r="V465" s="50" t="s">
        <v>1823</v>
      </c>
    </row>
    <row r="466" spans="1:22" x14ac:dyDescent="0.3">
      <c r="A466" s="51" t="s">
        <v>879</v>
      </c>
      <c r="B466" s="52" t="s">
        <v>142</v>
      </c>
      <c r="C466" s="52" t="s">
        <v>880</v>
      </c>
      <c r="D466" s="52" t="s">
        <v>673</v>
      </c>
      <c r="E466" s="52" t="s">
        <v>674</v>
      </c>
      <c r="F466" s="52" t="s">
        <v>716</v>
      </c>
      <c r="G466" s="52" t="s">
        <v>744</v>
      </c>
      <c r="H466" s="52" t="s">
        <v>677</v>
      </c>
      <c r="I466" s="49" t="s">
        <v>678</v>
      </c>
      <c r="J466" s="52" t="s">
        <v>698</v>
      </c>
      <c r="K466" s="52" t="s">
        <v>690</v>
      </c>
      <c r="L466" s="52" t="s">
        <v>699</v>
      </c>
      <c r="M466" s="52">
        <v>1</v>
      </c>
      <c r="N466" s="52" t="s">
        <v>142</v>
      </c>
      <c r="O466" s="52" t="s">
        <v>665</v>
      </c>
      <c r="P466" s="52" t="s">
        <v>711</v>
      </c>
      <c r="Q466" s="52" t="s">
        <v>683</v>
      </c>
      <c r="R466" s="52" t="s">
        <v>366</v>
      </c>
      <c r="S466" s="52" t="s">
        <v>673</v>
      </c>
      <c r="T466" s="52" t="s">
        <v>1821</v>
      </c>
      <c r="U466" s="52" t="s">
        <v>1824</v>
      </c>
      <c r="V466" s="50" t="s">
        <v>1823</v>
      </c>
    </row>
    <row r="467" spans="1:22" x14ac:dyDescent="0.3">
      <c r="A467" s="48" t="s">
        <v>1167</v>
      </c>
      <c r="B467" s="49" t="s">
        <v>753</v>
      </c>
      <c r="C467" s="49" t="s">
        <v>1168</v>
      </c>
      <c r="D467" s="49" t="s">
        <v>755</v>
      </c>
      <c r="E467" s="49" t="s">
        <v>674</v>
      </c>
      <c r="F467" s="49" t="s">
        <v>716</v>
      </c>
      <c r="G467" s="49" t="s">
        <v>744</v>
      </c>
      <c r="H467" s="49" t="s">
        <v>702</v>
      </c>
      <c r="I467" s="49" t="s">
        <v>688</v>
      </c>
      <c r="J467" s="49" t="s">
        <v>679</v>
      </c>
      <c r="K467" s="49" t="s">
        <v>680</v>
      </c>
      <c r="L467" s="49" t="s">
        <v>699</v>
      </c>
      <c r="M467" s="49">
        <v>0.1</v>
      </c>
      <c r="N467" s="49" t="s">
        <v>115</v>
      </c>
      <c r="O467" s="49" t="s">
        <v>665</v>
      </c>
      <c r="P467" s="49" t="s">
        <v>746</v>
      </c>
      <c r="Q467" s="49" t="s">
        <v>683</v>
      </c>
      <c r="R467" s="49" t="s">
        <v>132</v>
      </c>
      <c r="S467" s="52" t="s">
        <v>673</v>
      </c>
      <c r="T467" s="49" t="s">
        <v>1821</v>
      </c>
      <c r="U467" s="49" t="s">
        <v>1824</v>
      </c>
      <c r="V467" s="50" t="s">
        <v>1823</v>
      </c>
    </row>
    <row r="468" spans="1:22" x14ac:dyDescent="0.3">
      <c r="A468" s="51" t="s">
        <v>1050</v>
      </c>
      <c r="B468" s="52" t="s">
        <v>132</v>
      </c>
      <c r="C468" s="52" t="s">
        <v>1051</v>
      </c>
      <c r="D468" s="52" t="s">
        <v>673</v>
      </c>
      <c r="E468" s="52" t="s">
        <v>674</v>
      </c>
      <c r="F468" s="52" t="s">
        <v>716</v>
      </c>
      <c r="G468" s="52" t="s">
        <v>731</v>
      </c>
      <c r="H468" s="52" t="s">
        <v>702</v>
      </c>
      <c r="I468" s="49" t="s">
        <v>688</v>
      </c>
      <c r="J468" s="52" t="s">
        <v>713</v>
      </c>
      <c r="K468" s="52" t="s">
        <v>690</v>
      </c>
      <c r="L468" s="52" t="s">
        <v>691</v>
      </c>
      <c r="M468" s="52">
        <v>0.1</v>
      </c>
      <c r="N468" s="52" t="s">
        <v>115</v>
      </c>
      <c r="O468" s="52" t="s">
        <v>665</v>
      </c>
      <c r="P468" s="52" t="s">
        <v>746</v>
      </c>
      <c r="Q468" s="52" t="s">
        <v>683</v>
      </c>
      <c r="R468" s="52" t="s">
        <v>132</v>
      </c>
      <c r="S468" s="52" t="s">
        <v>673</v>
      </c>
      <c r="T468" s="52" t="s">
        <v>1821</v>
      </c>
      <c r="U468" s="52" t="s">
        <v>1824</v>
      </c>
      <c r="V468" s="50" t="s">
        <v>1823</v>
      </c>
    </row>
    <row r="469" spans="1:22" x14ac:dyDescent="0.3">
      <c r="A469" s="48" t="s">
        <v>1050</v>
      </c>
      <c r="B469" s="49" t="s">
        <v>132</v>
      </c>
      <c r="C469" s="49" t="s">
        <v>1051</v>
      </c>
      <c r="D469" s="49" t="s">
        <v>673</v>
      </c>
      <c r="E469" s="49" t="s">
        <v>674</v>
      </c>
      <c r="F469" s="49" t="s">
        <v>716</v>
      </c>
      <c r="G469" s="49" t="s">
        <v>731</v>
      </c>
      <c r="H469" s="49" t="s">
        <v>702</v>
      </c>
      <c r="I469" s="49" t="s">
        <v>688</v>
      </c>
      <c r="J469" s="49" t="s">
        <v>713</v>
      </c>
      <c r="K469" s="49" t="s">
        <v>690</v>
      </c>
      <c r="L469" s="49" t="s">
        <v>691</v>
      </c>
      <c r="M469" s="49">
        <v>1</v>
      </c>
      <c r="N469" s="49" t="s">
        <v>113</v>
      </c>
      <c r="O469" s="49" t="s">
        <v>665</v>
      </c>
      <c r="P469" s="49" t="s">
        <v>746</v>
      </c>
      <c r="Q469" s="49" t="s">
        <v>683</v>
      </c>
      <c r="R469" s="49" t="s">
        <v>132</v>
      </c>
      <c r="S469" s="52" t="s">
        <v>673</v>
      </c>
      <c r="T469" s="49" t="s">
        <v>1821</v>
      </c>
      <c r="U469" s="49" t="s">
        <v>1824</v>
      </c>
      <c r="V469" s="50" t="s">
        <v>1823</v>
      </c>
    </row>
    <row r="470" spans="1:22" x14ac:dyDescent="0.3">
      <c r="A470" s="51" t="s">
        <v>1050</v>
      </c>
      <c r="B470" s="52" t="s">
        <v>132</v>
      </c>
      <c r="C470" s="52" t="s">
        <v>1051</v>
      </c>
      <c r="D470" s="52" t="s">
        <v>673</v>
      </c>
      <c r="E470" s="52" t="s">
        <v>674</v>
      </c>
      <c r="F470" s="52" t="s">
        <v>716</v>
      </c>
      <c r="G470" s="52" t="s">
        <v>731</v>
      </c>
      <c r="H470" s="52" t="s">
        <v>702</v>
      </c>
      <c r="I470" s="49" t="s">
        <v>688</v>
      </c>
      <c r="J470" s="52" t="s">
        <v>713</v>
      </c>
      <c r="K470" s="52" t="s">
        <v>690</v>
      </c>
      <c r="L470" s="52" t="s">
        <v>691</v>
      </c>
      <c r="M470" s="52">
        <v>0.2</v>
      </c>
      <c r="N470" s="52" t="s">
        <v>496</v>
      </c>
      <c r="O470" s="52" t="s">
        <v>665</v>
      </c>
      <c r="P470" s="52" t="s">
        <v>746</v>
      </c>
      <c r="Q470" s="52" t="s">
        <v>683</v>
      </c>
      <c r="R470" s="52" t="s">
        <v>132</v>
      </c>
      <c r="S470" s="52" t="s">
        <v>673</v>
      </c>
      <c r="T470" s="52" t="s">
        <v>1821</v>
      </c>
      <c r="U470" s="52" t="s">
        <v>1824</v>
      </c>
      <c r="V470" s="50" t="s">
        <v>1823</v>
      </c>
    </row>
    <row r="471" spans="1:22" x14ac:dyDescent="0.3">
      <c r="A471" s="48" t="s">
        <v>2291</v>
      </c>
      <c r="B471" s="49" t="s">
        <v>760</v>
      </c>
      <c r="C471" s="49" t="s">
        <v>2292</v>
      </c>
      <c r="D471" s="49" t="s">
        <v>673</v>
      </c>
      <c r="E471" s="49" t="s">
        <v>674</v>
      </c>
      <c r="F471" s="49" t="s">
        <v>716</v>
      </c>
      <c r="G471" s="49" t="s">
        <v>744</v>
      </c>
      <c r="H471" s="49" t="s">
        <v>702</v>
      </c>
      <c r="I471" s="49" t="s">
        <v>688</v>
      </c>
      <c r="J471" s="49" t="s">
        <v>751</v>
      </c>
      <c r="K471" s="49" t="s">
        <v>690</v>
      </c>
      <c r="L471" s="49" t="s">
        <v>699</v>
      </c>
      <c r="M471" s="49">
        <v>0.8</v>
      </c>
      <c r="N471" s="49" t="s">
        <v>496</v>
      </c>
      <c r="O471" s="49" t="s">
        <v>665</v>
      </c>
      <c r="P471" s="49" t="s">
        <v>746</v>
      </c>
      <c r="Q471" s="49" t="s">
        <v>683</v>
      </c>
      <c r="R471" s="49" t="s">
        <v>132</v>
      </c>
      <c r="S471" s="52" t="s">
        <v>673</v>
      </c>
      <c r="T471" s="49" t="s">
        <v>1821</v>
      </c>
      <c r="U471" s="49" t="s">
        <v>1824</v>
      </c>
      <c r="V471" s="50" t="s">
        <v>1823</v>
      </c>
    </row>
    <row r="472" spans="1:22" x14ac:dyDescent="0.3">
      <c r="A472" s="51" t="s">
        <v>921</v>
      </c>
      <c r="B472" s="52" t="s">
        <v>544</v>
      </c>
      <c r="C472" s="52" t="s">
        <v>922</v>
      </c>
      <c r="D472" s="52" t="s">
        <v>684</v>
      </c>
      <c r="E472" s="52" t="s">
        <v>674</v>
      </c>
      <c r="F472" s="52" t="s">
        <v>716</v>
      </c>
      <c r="G472" s="52" t="s">
        <v>744</v>
      </c>
      <c r="H472" s="52" t="s">
        <v>702</v>
      </c>
      <c r="I472" s="52" t="s">
        <v>736</v>
      </c>
      <c r="J472" s="52" t="s">
        <v>737</v>
      </c>
      <c r="K472" s="52" t="s">
        <v>738</v>
      </c>
      <c r="L472" s="52" t="s">
        <v>808</v>
      </c>
      <c r="M472" s="52">
        <v>0.2</v>
      </c>
      <c r="N472" s="52" t="s">
        <v>1594</v>
      </c>
      <c r="O472" s="52" t="s">
        <v>767</v>
      </c>
      <c r="P472" s="52" t="s">
        <v>746</v>
      </c>
      <c r="Q472" s="52" t="s">
        <v>683</v>
      </c>
      <c r="R472" s="52" t="s">
        <v>132</v>
      </c>
      <c r="S472" s="52" t="s">
        <v>673</v>
      </c>
      <c r="T472" s="52" t="s">
        <v>1821</v>
      </c>
      <c r="U472" s="52" t="s">
        <v>1824</v>
      </c>
      <c r="V472" s="50" t="s">
        <v>1823</v>
      </c>
    </row>
    <row r="473" spans="1:22" x14ac:dyDescent="0.3">
      <c r="A473" s="48" t="s">
        <v>857</v>
      </c>
      <c r="B473" s="49" t="s">
        <v>858</v>
      </c>
      <c r="C473" s="49" t="s">
        <v>859</v>
      </c>
      <c r="D473" s="49" t="s">
        <v>684</v>
      </c>
      <c r="E473" s="49" t="s">
        <v>674</v>
      </c>
      <c r="F473" s="49" t="s">
        <v>716</v>
      </c>
      <c r="G473" s="49" t="s">
        <v>744</v>
      </c>
      <c r="H473" s="49" t="s">
        <v>677</v>
      </c>
      <c r="I473" s="49" t="s">
        <v>688</v>
      </c>
      <c r="J473" s="49" t="s">
        <v>860</v>
      </c>
      <c r="K473" s="49" t="s">
        <v>861</v>
      </c>
      <c r="L473" s="49" t="s">
        <v>699</v>
      </c>
      <c r="M473" s="49">
        <v>1</v>
      </c>
      <c r="N473" s="49" t="s">
        <v>1008</v>
      </c>
      <c r="O473" s="49" t="s">
        <v>767</v>
      </c>
      <c r="P473" s="52" t="s">
        <v>746</v>
      </c>
      <c r="Q473" s="49" t="s">
        <v>683</v>
      </c>
      <c r="R473" s="49" t="s">
        <v>300</v>
      </c>
      <c r="S473" s="49" t="s">
        <v>684</v>
      </c>
      <c r="T473" s="49" t="s">
        <v>1821</v>
      </c>
      <c r="U473" s="49" t="s">
        <v>1824</v>
      </c>
      <c r="V473" s="50" t="s">
        <v>1823</v>
      </c>
    </row>
    <row r="474" spans="1:22" x14ac:dyDescent="0.3">
      <c r="A474" s="51" t="s">
        <v>1247</v>
      </c>
      <c r="B474" s="52" t="s">
        <v>952</v>
      </c>
      <c r="C474" s="52" t="s">
        <v>953</v>
      </c>
      <c r="D474" s="52" t="s">
        <v>673</v>
      </c>
      <c r="E474" s="52" t="s">
        <v>674</v>
      </c>
      <c r="F474" s="52" t="s">
        <v>716</v>
      </c>
      <c r="G474" s="52" t="s">
        <v>744</v>
      </c>
      <c r="H474" s="52" t="s">
        <v>702</v>
      </c>
      <c r="I474" s="49" t="s">
        <v>678</v>
      </c>
      <c r="J474" s="52" t="s">
        <v>713</v>
      </c>
      <c r="K474" s="52" t="s">
        <v>690</v>
      </c>
      <c r="L474" s="52" t="s">
        <v>681</v>
      </c>
      <c r="M474" s="52">
        <v>1</v>
      </c>
      <c r="N474" s="52" t="s">
        <v>28</v>
      </c>
      <c r="O474" s="52" t="s">
        <v>767</v>
      </c>
      <c r="P474" s="52" t="s">
        <v>746</v>
      </c>
      <c r="Q474" s="52" t="s">
        <v>683</v>
      </c>
      <c r="R474" s="52" t="s">
        <v>84</v>
      </c>
      <c r="S474" s="52" t="s">
        <v>673</v>
      </c>
      <c r="T474" s="52" t="s">
        <v>1821</v>
      </c>
      <c r="U474" s="52" t="s">
        <v>1824</v>
      </c>
      <c r="V474" s="50" t="s">
        <v>1823</v>
      </c>
    </row>
    <row r="475" spans="1:22" x14ac:dyDescent="0.3">
      <c r="A475" s="48" t="s">
        <v>1248</v>
      </c>
      <c r="B475" s="49" t="s">
        <v>154</v>
      </c>
      <c r="C475" s="49" t="s">
        <v>1249</v>
      </c>
      <c r="D475" s="49" t="s">
        <v>673</v>
      </c>
      <c r="E475" s="49" t="s">
        <v>674</v>
      </c>
      <c r="F475" s="49" t="s">
        <v>716</v>
      </c>
      <c r="G475" s="49" t="s">
        <v>744</v>
      </c>
      <c r="H475" s="49" t="s">
        <v>935</v>
      </c>
      <c r="I475" s="49" t="s">
        <v>688</v>
      </c>
      <c r="J475" s="49" t="s">
        <v>713</v>
      </c>
      <c r="K475" s="49" t="s">
        <v>690</v>
      </c>
      <c r="L475" s="49" t="s">
        <v>681</v>
      </c>
      <c r="M475" s="49">
        <v>0.7</v>
      </c>
      <c r="N475" s="49" t="s">
        <v>241</v>
      </c>
      <c r="O475" s="49" t="s">
        <v>767</v>
      </c>
      <c r="P475" s="52" t="s">
        <v>746</v>
      </c>
      <c r="Q475" s="49" t="s">
        <v>683</v>
      </c>
      <c r="R475" s="49" t="s">
        <v>84</v>
      </c>
      <c r="S475" s="52" t="s">
        <v>673</v>
      </c>
      <c r="T475" s="49" t="s">
        <v>1821</v>
      </c>
      <c r="U475" s="49" t="s">
        <v>1824</v>
      </c>
      <c r="V475" s="50" t="s">
        <v>1823</v>
      </c>
    </row>
    <row r="476" spans="1:22" x14ac:dyDescent="0.3">
      <c r="A476" s="51" t="s">
        <v>1250</v>
      </c>
      <c r="B476" s="52" t="s">
        <v>154</v>
      </c>
      <c r="C476" s="52" t="s">
        <v>1251</v>
      </c>
      <c r="D476" s="52" t="s">
        <v>673</v>
      </c>
      <c r="E476" s="52" t="s">
        <v>674</v>
      </c>
      <c r="F476" s="52" t="s">
        <v>716</v>
      </c>
      <c r="G476" s="52" t="s">
        <v>744</v>
      </c>
      <c r="H476" s="52" t="s">
        <v>935</v>
      </c>
      <c r="I476" s="49" t="s">
        <v>688</v>
      </c>
      <c r="J476" s="52" t="s">
        <v>713</v>
      </c>
      <c r="K476" s="52" t="s">
        <v>690</v>
      </c>
      <c r="L476" s="52" t="s">
        <v>681</v>
      </c>
      <c r="M476" s="52">
        <v>0.3</v>
      </c>
      <c r="N476" s="52" t="s">
        <v>241</v>
      </c>
      <c r="O476" s="52" t="s">
        <v>767</v>
      </c>
      <c r="P476" s="52" t="s">
        <v>746</v>
      </c>
      <c r="Q476" s="52" t="s">
        <v>683</v>
      </c>
      <c r="R476" s="52" t="s">
        <v>84</v>
      </c>
      <c r="S476" s="52" t="s">
        <v>673</v>
      </c>
      <c r="T476" s="52" t="s">
        <v>1821</v>
      </c>
      <c r="U476" s="52" t="s">
        <v>1824</v>
      </c>
      <c r="V476" s="50" t="s">
        <v>1823</v>
      </c>
    </row>
    <row r="477" spans="1:22" x14ac:dyDescent="0.3">
      <c r="A477" s="48" t="s">
        <v>1247</v>
      </c>
      <c r="B477" s="49" t="s">
        <v>952</v>
      </c>
      <c r="C477" s="49" t="s">
        <v>953</v>
      </c>
      <c r="D477" s="49" t="s">
        <v>673</v>
      </c>
      <c r="E477" s="49" t="s">
        <v>674</v>
      </c>
      <c r="F477" s="49" t="s">
        <v>716</v>
      </c>
      <c r="G477" s="49" t="s">
        <v>744</v>
      </c>
      <c r="H477" s="49" t="s">
        <v>702</v>
      </c>
      <c r="I477" s="49" t="s">
        <v>678</v>
      </c>
      <c r="J477" s="49" t="s">
        <v>713</v>
      </c>
      <c r="K477" s="49" t="s">
        <v>690</v>
      </c>
      <c r="L477" s="49" t="s">
        <v>681</v>
      </c>
      <c r="M477" s="49">
        <v>1</v>
      </c>
      <c r="N477" s="49" t="s">
        <v>332</v>
      </c>
      <c r="O477" s="49" t="s">
        <v>767</v>
      </c>
      <c r="P477" s="52" t="s">
        <v>746</v>
      </c>
      <c r="Q477" s="49" t="s">
        <v>683</v>
      </c>
      <c r="R477" s="49" t="s">
        <v>84</v>
      </c>
      <c r="S477" s="52" t="s">
        <v>673</v>
      </c>
      <c r="T477" s="49" t="s">
        <v>1821</v>
      </c>
      <c r="U477" s="49" t="s">
        <v>1824</v>
      </c>
      <c r="V477" s="50" t="s">
        <v>1823</v>
      </c>
    </row>
    <row r="478" spans="1:22" x14ac:dyDescent="0.3">
      <c r="A478" s="51" t="s">
        <v>1247</v>
      </c>
      <c r="B478" s="52" t="s">
        <v>952</v>
      </c>
      <c r="C478" s="52" t="s">
        <v>953</v>
      </c>
      <c r="D478" s="52" t="s">
        <v>673</v>
      </c>
      <c r="E478" s="52" t="s">
        <v>674</v>
      </c>
      <c r="F478" s="52" t="s">
        <v>716</v>
      </c>
      <c r="G478" s="52" t="s">
        <v>744</v>
      </c>
      <c r="H478" s="52" t="s">
        <v>702</v>
      </c>
      <c r="I478" s="49" t="s">
        <v>678</v>
      </c>
      <c r="J478" s="52" t="s">
        <v>713</v>
      </c>
      <c r="K478" s="52" t="s">
        <v>690</v>
      </c>
      <c r="L478" s="52" t="s">
        <v>681</v>
      </c>
      <c r="M478" s="52">
        <v>0.5</v>
      </c>
      <c r="N478" s="52" t="s">
        <v>476</v>
      </c>
      <c r="O478" s="52" t="s">
        <v>665</v>
      </c>
      <c r="P478" s="52" t="s">
        <v>746</v>
      </c>
      <c r="Q478" s="52" t="s">
        <v>683</v>
      </c>
      <c r="R478" s="52" t="s">
        <v>84</v>
      </c>
      <c r="S478" s="52" t="s">
        <v>673</v>
      </c>
      <c r="T478" s="52" t="s">
        <v>1821</v>
      </c>
      <c r="U478" s="52" t="s">
        <v>1824</v>
      </c>
      <c r="V478" s="50" t="s">
        <v>1823</v>
      </c>
    </row>
    <row r="479" spans="1:22" x14ac:dyDescent="0.3">
      <c r="A479" s="48" t="s">
        <v>2301</v>
      </c>
      <c r="B479" s="49" t="s">
        <v>952</v>
      </c>
      <c r="C479" s="49" t="s">
        <v>1846</v>
      </c>
      <c r="D479" s="49" t="s">
        <v>673</v>
      </c>
      <c r="E479" s="49" t="s">
        <v>674</v>
      </c>
      <c r="F479" s="49" t="s">
        <v>716</v>
      </c>
      <c r="G479" s="49" t="s">
        <v>744</v>
      </c>
      <c r="H479" s="49" t="s">
        <v>702</v>
      </c>
      <c r="I479" s="49" t="s">
        <v>811</v>
      </c>
      <c r="J479" s="49" t="s">
        <v>713</v>
      </c>
      <c r="K479" s="49" t="s">
        <v>690</v>
      </c>
      <c r="L479" s="49" t="s">
        <v>681</v>
      </c>
      <c r="M479" s="49">
        <v>0.5</v>
      </c>
      <c r="N479" s="49" t="s">
        <v>476</v>
      </c>
      <c r="O479" s="49" t="s">
        <v>665</v>
      </c>
      <c r="P479" s="49" t="s">
        <v>746</v>
      </c>
      <c r="Q479" s="49" t="s">
        <v>683</v>
      </c>
      <c r="R479" s="49" t="s">
        <v>84</v>
      </c>
      <c r="S479" s="52" t="s">
        <v>673</v>
      </c>
      <c r="T479" s="49" t="s">
        <v>1821</v>
      </c>
      <c r="U479" s="49" t="s">
        <v>1824</v>
      </c>
      <c r="V479" s="50" t="s">
        <v>1823</v>
      </c>
    </row>
    <row r="480" spans="1:22" x14ac:dyDescent="0.3">
      <c r="A480" s="51" t="s">
        <v>1247</v>
      </c>
      <c r="B480" s="52" t="s">
        <v>952</v>
      </c>
      <c r="C480" s="52" t="s">
        <v>953</v>
      </c>
      <c r="D480" s="52" t="s">
        <v>673</v>
      </c>
      <c r="E480" s="52" t="s">
        <v>674</v>
      </c>
      <c r="F480" s="52" t="s">
        <v>716</v>
      </c>
      <c r="G480" s="52" t="s">
        <v>744</v>
      </c>
      <c r="H480" s="52" t="s">
        <v>702</v>
      </c>
      <c r="I480" s="49" t="s">
        <v>678</v>
      </c>
      <c r="J480" s="52" t="s">
        <v>713</v>
      </c>
      <c r="K480" s="52" t="s">
        <v>690</v>
      </c>
      <c r="L480" s="52" t="s">
        <v>681</v>
      </c>
      <c r="M480" s="52">
        <v>1</v>
      </c>
      <c r="N480" s="52" t="s">
        <v>453</v>
      </c>
      <c r="O480" s="52" t="s">
        <v>767</v>
      </c>
      <c r="P480" s="52" t="s">
        <v>746</v>
      </c>
      <c r="Q480" s="52" t="s">
        <v>683</v>
      </c>
      <c r="R480" s="52" t="s">
        <v>84</v>
      </c>
      <c r="S480" s="52" t="s">
        <v>673</v>
      </c>
      <c r="T480" s="52" t="s">
        <v>1821</v>
      </c>
      <c r="U480" s="52" t="s">
        <v>1824</v>
      </c>
      <c r="V480" s="50" t="s">
        <v>1823</v>
      </c>
    </row>
    <row r="481" spans="1:22" x14ac:dyDescent="0.3">
      <c r="A481" s="48" t="s">
        <v>1248</v>
      </c>
      <c r="B481" s="49" t="s">
        <v>154</v>
      </c>
      <c r="C481" s="49" t="s">
        <v>1249</v>
      </c>
      <c r="D481" s="49" t="s">
        <v>673</v>
      </c>
      <c r="E481" s="49" t="s">
        <v>674</v>
      </c>
      <c r="F481" s="49" t="s">
        <v>716</v>
      </c>
      <c r="G481" s="49" t="s">
        <v>744</v>
      </c>
      <c r="H481" s="49" t="s">
        <v>935</v>
      </c>
      <c r="I481" s="49" t="s">
        <v>688</v>
      </c>
      <c r="J481" s="49" t="s">
        <v>713</v>
      </c>
      <c r="K481" s="49" t="s">
        <v>690</v>
      </c>
      <c r="L481" s="49" t="s">
        <v>681</v>
      </c>
      <c r="M481" s="49">
        <v>0.7</v>
      </c>
      <c r="N481" s="49" t="s">
        <v>39</v>
      </c>
      <c r="O481" s="49" t="s">
        <v>665</v>
      </c>
      <c r="P481" s="49" t="s">
        <v>746</v>
      </c>
      <c r="Q481" s="49" t="s">
        <v>683</v>
      </c>
      <c r="R481" s="49" t="s">
        <v>84</v>
      </c>
      <c r="S481" s="52" t="s">
        <v>673</v>
      </c>
      <c r="T481" s="49" t="s">
        <v>1821</v>
      </c>
      <c r="U481" s="49" t="s">
        <v>1824</v>
      </c>
      <c r="V481" s="50" t="s">
        <v>1823</v>
      </c>
    </row>
    <row r="482" spans="1:22" x14ac:dyDescent="0.3">
      <c r="A482" s="51" t="s">
        <v>1250</v>
      </c>
      <c r="B482" s="52" t="s">
        <v>154</v>
      </c>
      <c r="C482" s="52" t="s">
        <v>1251</v>
      </c>
      <c r="D482" s="52" t="s">
        <v>673</v>
      </c>
      <c r="E482" s="52" t="s">
        <v>674</v>
      </c>
      <c r="F482" s="52" t="s">
        <v>716</v>
      </c>
      <c r="G482" s="52" t="s">
        <v>744</v>
      </c>
      <c r="H482" s="52" t="s">
        <v>935</v>
      </c>
      <c r="I482" s="49" t="s">
        <v>688</v>
      </c>
      <c r="J482" s="52" t="s">
        <v>713</v>
      </c>
      <c r="K482" s="52" t="s">
        <v>690</v>
      </c>
      <c r="L482" s="52" t="s">
        <v>681</v>
      </c>
      <c r="M482" s="52">
        <v>0.3</v>
      </c>
      <c r="N482" s="52" t="s">
        <v>39</v>
      </c>
      <c r="O482" s="52" t="s">
        <v>665</v>
      </c>
      <c r="P482" s="52" t="s">
        <v>746</v>
      </c>
      <c r="Q482" s="52" t="s">
        <v>683</v>
      </c>
      <c r="R482" s="52" t="s">
        <v>84</v>
      </c>
      <c r="S482" s="52" t="s">
        <v>673</v>
      </c>
      <c r="T482" s="52" t="s">
        <v>1821</v>
      </c>
      <c r="U482" s="52" t="s">
        <v>1824</v>
      </c>
      <c r="V482" s="50" t="s">
        <v>1823</v>
      </c>
    </row>
    <row r="483" spans="1:22" x14ac:dyDescent="0.3">
      <c r="A483" s="48" t="s">
        <v>1247</v>
      </c>
      <c r="B483" s="49" t="s">
        <v>952</v>
      </c>
      <c r="C483" s="49" t="s">
        <v>953</v>
      </c>
      <c r="D483" s="49" t="s">
        <v>673</v>
      </c>
      <c r="E483" s="49" t="s">
        <v>674</v>
      </c>
      <c r="F483" s="49" t="s">
        <v>716</v>
      </c>
      <c r="G483" s="49" t="s">
        <v>744</v>
      </c>
      <c r="H483" s="49" t="s">
        <v>702</v>
      </c>
      <c r="I483" s="49" t="s">
        <v>678</v>
      </c>
      <c r="J483" s="49" t="s">
        <v>713</v>
      </c>
      <c r="K483" s="49" t="s">
        <v>690</v>
      </c>
      <c r="L483" s="49" t="s">
        <v>681</v>
      </c>
      <c r="M483" s="49">
        <v>0.7</v>
      </c>
      <c r="N483" s="49" t="s">
        <v>301</v>
      </c>
      <c r="O483" s="49" t="s">
        <v>665</v>
      </c>
      <c r="P483" s="49" t="s">
        <v>746</v>
      </c>
      <c r="Q483" s="49" t="s">
        <v>683</v>
      </c>
      <c r="R483" s="49" t="s">
        <v>84</v>
      </c>
      <c r="S483" s="52" t="s">
        <v>673</v>
      </c>
      <c r="T483" s="49" t="s">
        <v>1821</v>
      </c>
      <c r="U483" s="49" t="s">
        <v>1824</v>
      </c>
      <c r="V483" s="50" t="s">
        <v>1823</v>
      </c>
    </row>
    <row r="484" spans="1:22" x14ac:dyDescent="0.3">
      <c r="A484" s="51" t="s">
        <v>1252</v>
      </c>
      <c r="B484" s="52" t="s">
        <v>1253</v>
      </c>
      <c r="C484" s="52" t="s">
        <v>1254</v>
      </c>
      <c r="D484" s="52" t="s">
        <v>673</v>
      </c>
      <c r="E484" s="52" t="s">
        <v>674</v>
      </c>
      <c r="F484" s="52" t="s">
        <v>716</v>
      </c>
      <c r="G484" s="52" t="s">
        <v>744</v>
      </c>
      <c r="H484" s="52" t="s">
        <v>935</v>
      </c>
      <c r="I484" s="49" t="s">
        <v>688</v>
      </c>
      <c r="J484" s="52" t="s">
        <v>710</v>
      </c>
      <c r="K484" s="52" t="s">
        <v>690</v>
      </c>
      <c r="L484" s="52" t="s">
        <v>681</v>
      </c>
      <c r="M484" s="52">
        <v>1</v>
      </c>
      <c r="N484" s="52" t="s">
        <v>1255</v>
      </c>
      <c r="O484" s="52" t="s">
        <v>767</v>
      </c>
      <c r="P484" s="52" t="s">
        <v>746</v>
      </c>
      <c r="Q484" s="52" t="s">
        <v>683</v>
      </c>
      <c r="R484" s="52" t="s">
        <v>49</v>
      </c>
      <c r="S484" s="52" t="s">
        <v>673</v>
      </c>
      <c r="T484" s="52" t="s">
        <v>1821</v>
      </c>
      <c r="U484" s="52" t="s">
        <v>1824</v>
      </c>
      <c r="V484" s="50" t="s">
        <v>1823</v>
      </c>
    </row>
    <row r="485" spans="1:22" x14ac:dyDescent="0.3">
      <c r="A485" s="48" t="s">
        <v>694</v>
      </c>
      <c r="B485" s="49" t="s">
        <v>695</v>
      </c>
      <c r="C485" s="49" t="s">
        <v>696</v>
      </c>
      <c r="D485" s="49" t="s">
        <v>673</v>
      </c>
      <c r="E485" s="49" t="s">
        <v>674</v>
      </c>
      <c r="F485" s="49" t="s">
        <v>675</v>
      </c>
      <c r="G485" s="49" t="s">
        <v>676</v>
      </c>
      <c r="H485" s="49" t="s">
        <v>677</v>
      </c>
      <c r="I485" s="49" t="s">
        <v>697</v>
      </c>
      <c r="J485" s="49" t="s">
        <v>698</v>
      </c>
      <c r="K485" s="49" t="s">
        <v>690</v>
      </c>
      <c r="L485" s="49" t="s">
        <v>699</v>
      </c>
      <c r="M485" s="49">
        <v>1</v>
      </c>
      <c r="N485" s="49" t="s">
        <v>1256</v>
      </c>
      <c r="O485" s="49" t="s">
        <v>665</v>
      </c>
      <c r="P485" s="49" t="s">
        <v>746</v>
      </c>
      <c r="Q485" s="49" t="s">
        <v>683</v>
      </c>
      <c r="R485" s="49" t="s">
        <v>49</v>
      </c>
      <c r="S485" s="52" t="s">
        <v>673</v>
      </c>
      <c r="T485" s="49" t="s">
        <v>1821</v>
      </c>
      <c r="U485" s="49" t="s">
        <v>1824</v>
      </c>
      <c r="V485" s="50" t="s">
        <v>1823</v>
      </c>
    </row>
    <row r="486" spans="1:22" x14ac:dyDescent="0.3">
      <c r="A486" s="51" t="s">
        <v>1257</v>
      </c>
      <c r="B486" s="52" t="s">
        <v>1258</v>
      </c>
      <c r="C486" s="52" t="s">
        <v>1259</v>
      </c>
      <c r="D486" s="52" t="s">
        <v>755</v>
      </c>
      <c r="E486" s="52" t="s">
        <v>674</v>
      </c>
      <c r="F486" s="52" t="s">
        <v>716</v>
      </c>
      <c r="G486" s="52" t="s">
        <v>724</v>
      </c>
      <c r="H486" s="52" t="s">
        <v>677</v>
      </c>
      <c r="I486" s="49" t="s">
        <v>688</v>
      </c>
      <c r="J486" s="52" t="s">
        <v>950</v>
      </c>
      <c r="K486" s="52" t="s">
        <v>680</v>
      </c>
      <c r="L486" s="52" t="s">
        <v>699</v>
      </c>
      <c r="M486" s="52">
        <v>1</v>
      </c>
      <c r="N486" s="52" t="s">
        <v>337</v>
      </c>
      <c r="O486" s="52" t="s">
        <v>665</v>
      </c>
      <c r="P486" s="52" t="s">
        <v>746</v>
      </c>
      <c r="Q486" s="52" t="s">
        <v>683</v>
      </c>
      <c r="R486" s="52" t="s">
        <v>293</v>
      </c>
      <c r="S486" s="49" t="s">
        <v>755</v>
      </c>
      <c r="T486" s="52" t="s">
        <v>1821</v>
      </c>
      <c r="U486" s="52" t="s">
        <v>1824</v>
      </c>
      <c r="V486" s="50" t="s">
        <v>1823</v>
      </c>
    </row>
    <row r="487" spans="1:22" x14ac:dyDescent="0.3">
      <c r="A487" s="48" t="s">
        <v>1339</v>
      </c>
      <c r="B487" s="49" t="s">
        <v>1340</v>
      </c>
      <c r="C487" s="49" t="s">
        <v>1341</v>
      </c>
      <c r="D487" s="49" t="s">
        <v>673</v>
      </c>
      <c r="E487" s="49" t="s">
        <v>674</v>
      </c>
      <c r="F487" s="49" t="s">
        <v>675</v>
      </c>
      <c r="G487" s="49" t="s">
        <v>744</v>
      </c>
      <c r="H487" s="49" t="s">
        <v>677</v>
      </c>
      <c r="I487" s="49" t="s">
        <v>688</v>
      </c>
      <c r="J487" s="49" t="s">
        <v>713</v>
      </c>
      <c r="K487" s="49" t="s">
        <v>690</v>
      </c>
      <c r="L487" s="49" t="s">
        <v>681</v>
      </c>
      <c r="M487" s="49">
        <v>1</v>
      </c>
      <c r="N487" s="49" t="s">
        <v>100</v>
      </c>
      <c r="O487" s="49" t="s">
        <v>665</v>
      </c>
      <c r="P487" s="49" t="s">
        <v>746</v>
      </c>
      <c r="Q487" s="49" t="s">
        <v>683</v>
      </c>
      <c r="R487" s="49" t="s">
        <v>411</v>
      </c>
      <c r="S487" s="52" t="s">
        <v>673</v>
      </c>
      <c r="T487" s="49" t="s">
        <v>1821</v>
      </c>
      <c r="U487" s="49" t="s">
        <v>1824</v>
      </c>
      <c r="V487" s="50" t="s">
        <v>1823</v>
      </c>
    </row>
    <row r="488" spans="1:22" x14ac:dyDescent="0.3">
      <c r="A488" s="51" t="s">
        <v>1024</v>
      </c>
      <c r="B488" s="52" t="s">
        <v>154</v>
      </c>
      <c r="C488" s="52" t="s">
        <v>1025</v>
      </c>
      <c r="D488" s="52" t="s">
        <v>673</v>
      </c>
      <c r="E488" s="52" t="s">
        <v>674</v>
      </c>
      <c r="F488" s="52" t="s">
        <v>675</v>
      </c>
      <c r="G488" s="52" t="s">
        <v>676</v>
      </c>
      <c r="H488" s="52" t="s">
        <v>677</v>
      </c>
      <c r="I488" s="49" t="s">
        <v>688</v>
      </c>
      <c r="J488" s="52" t="s">
        <v>713</v>
      </c>
      <c r="K488" s="52" t="s">
        <v>690</v>
      </c>
      <c r="L488" s="52" t="s">
        <v>681</v>
      </c>
      <c r="M488" s="52">
        <v>1</v>
      </c>
      <c r="N488" s="52" t="s">
        <v>493</v>
      </c>
      <c r="O488" s="52" t="s">
        <v>665</v>
      </c>
      <c r="P488" s="52" t="s">
        <v>746</v>
      </c>
      <c r="Q488" s="52" t="s">
        <v>683</v>
      </c>
      <c r="R488" s="52" t="s">
        <v>411</v>
      </c>
      <c r="S488" s="52" t="s">
        <v>673</v>
      </c>
      <c r="T488" s="52" t="s">
        <v>1821</v>
      </c>
      <c r="U488" s="52" t="s">
        <v>1824</v>
      </c>
      <c r="V488" s="50" t="s">
        <v>1823</v>
      </c>
    </row>
    <row r="489" spans="1:22" x14ac:dyDescent="0.3">
      <c r="A489" s="48" t="s">
        <v>966</v>
      </c>
      <c r="B489" s="49" t="s">
        <v>967</v>
      </c>
      <c r="C489" s="49" t="s">
        <v>968</v>
      </c>
      <c r="D489" s="49" t="s">
        <v>673</v>
      </c>
      <c r="E489" s="49" t="s">
        <v>674</v>
      </c>
      <c r="F489" s="49" t="s">
        <v>716</v>
      </c>
      <c r="G489" s="49" t="s">
        <v>744</v>
      </c>
      <c r="H489" s="49" t="s">
        <v>935</v>
      </c>
      <c r="I489" s="49" t="s">
        <v>678</v>
      </c>
      <c r="J489" s="49" t="s">
        <v>713</v>
      </c>
      <c r="K489" s="49" t="s">
        <v>690</v>
      </c>
      <c r="L489" s="49" t="s">
        <v>681</v>
      </c>
      <c r="M489" s="49">
        <v>0.1</v>
      </c>
      <c r="N489" s="49" t="s">
        <v>560</v>
      </c>
      <c r="O489" s="49" t="s">
        <v>665</v>
      </c>
      <c r="P489" s="49" t="s">
        <v>746</v>
      </c>
      <c r="Q489" s="49" t="s">
        <v>683</v>
      </c>
      <c r="R489" s="49" t="s">
        <v>411</v>
      </c>
      <c r="S489" s="52" t="s">
        <v>673</v>
      </c>
      <c r="T489" s="49" t="s">
        <v>1821</v>
      </c>
      <c r="U489" s="49" t="s">
        <v>1824</v>
      </c>
      <c r="V489" s="50" t="s">
        <v>1823</v>
      </c>
    </row>
    <row r="490" spans="1:22" x14ac:dyDescent="0.3">
      <c r="A490" s="51" t="s">
        <v>1202</v>
      </c>
      <c r="B490" s="52" t="s">
        <v>154</v>
      </c>
      <c r="C490" s="52" t="s">
        <v>862</v>
      </c>
      <c r="D490" s="52" t="s">
        <v>673</v>
      </c>
      <c r="E490" s="52" t="s">
        <v>674</v>
      </c>
      <c r="F490" s="52" t="s">
        <v>716</v>
      </c>
      <c r="G490" s="52" t="s">
        <v>744</v>
      </c>
      <c r="H490" s="52" t="s">
        <v>935</v>
      </c>
      <c r="I490" s="49" t="s">
        <v>678</v>
      </c>
      <c r="J490" s="52" t="s">
        <v>713</v>
      </c>
      <c r="K490" s="52" t="s">
        <v>690</v>
      </c>
      <c r="L490" s="52" t="s">
        <v>681</v>
      </c>
      <c r="M490" s="52">
        <v>0.1</v>
      </c>
      <c r="N490" s="52" t="s">
        <v>560</v>
      </c>
      <c r="O490" s="52" t="s">
        <v>665</v>
      </c>
      <c r="P490" s="52" t="s">
        <v>746</v>
      </c>
      <c r="Q490" s="52" t="s">
        <v>683</v>
      </c>
      <c r="R490" s="52" t="s">
        <v>411</v>
      </c>
      <c r="S490" s="52" t="s">
        <v>673</v>
      </c>
      <c r="T490" s="52" t="s">
        <v>1821</v>
      </c>
      <c r="U490" s="52" t="s">
        <v>1824</v>
      </c>
      <c r="V490" s="50" t="s">
        <v>1823</v>
      </c>
    </row>
    <row r="491" spans="1:22" x14ac:dyDescent="0.3">
      <c r="A491" s="48" t="s">
        <v>1334</v>
      </c>
      <c r="B491" s="49" t="s">
        <v>154</v>
      </c>
      <c r="C491" s="49" t="s">
        <v>1335</v>
      </c>
      <c r="D491" s="49" t="s">
        <v>673</v>
      </c>
      <c r="E491" s="49" t="s">
        <v>674</v>
      </c>
      <c r="F491" s="49" t="s">
        <v>716</v>
      </c>
      <c r="G491" s="49" t="s">
        <v>744</v>
      </c>
      <c r="H491" s="49" t="s">
        <v>935</v>
      </c>
      <c r="I491" s="49" t="s">
        <v>678</v>
      </c>
      <c r="J491" s="49" t="s">
        <v>713</v>
      </c>
      <c r="K491" s="49" t="s">
        <v>690</v>
      </c>
      <c r="L491" s="49" t="s">
        <v>681</v>
      </c>
      <c r="M491" s="49">
        <v>0.2</v>
      </c>
      <c r="N491" s="49" t="s">
        <v>560</v>
      </c>
      <c r="O491" s="49" t="s">
        <v>665</v>
      </c>
      <c r="P491" s="49" t="s">
        <v>746</v>
      </c>
      <c r="Q491" s="49" t="s">
        <v>683</v>
      </c>
      <c r="R491" s="49" t="s">
        <v>411</v>
      </c>
      <c r="S491" s="52" t="s">
        <v>673</v>
      </c>
      <c r="T491" s="49" t="s">
        <v>1821</v>
      </c>
      <c r="U491" s="49" t="s">
        <v>1824</v>
      </c>
      <c r="V491" s="50" t="s">
        <v>1823</v>
      </c>
    </row>
    <row r="492" spans="1:22" x14ac:dyDescent="0.3">
      <c r="A492" s="51" t="s">
        <v>954</v>
      </c>
      <c r="B492" s="52" t="s">
        <v>955</v>
      </c>
      <c r="C492" s="52" t="s">
        <v>956</v>
      </c>
      <c r="D492" s="52" t="s">
        <v>673</v>
      </c>
      <c r="E492" s="52" t="s">
        <v>674</v>
      </c>
      <c r="F492" s="52" t="s">
        <v>675</v>
      </c>
      <c r="G492" s="52" t="s">
        <v>676</v>
      </c>
      <c r="H492" s="52" t="s">
        <v>677</v>
      </c>
      <c r="I492" s="49" t="s">
        <v>688</v>
      </c>
      <c r="J492" s="52" t="s">
        <v>713</v>
      </c>
      <c r="K492" s="52" t="s">
        <v>690</v>
      </c>
      <c r="L492" s="52" t="s">
        <v>699</v>
      </c>
      <c r="M492" s="52">
        <v>0.2</v>
      </c>
      <c r="N492" s="52" t="s">
        <v>560</v>
      </c>
      <c r="O492" s="52" t="s">
        <v>665</v>
      </c>
      <c r="P492" s="52" t="s">
        <v>746</v>
      </c>
      <c r="Q492" s="52" t="s">
        <v>683</v>
      </c>
      <c r="R492" s="52" t="s">
        <v>411</v>
      </c>
      <c r="S492" s="52" t="s">
        <v>673</v>
      </c>
      <c r="T492" s="52" t="s">
        <v>1821</v>
      </c>
      <c r="U492" s="52" t="s">
        <v>1824</v>
      </c>
      <c r="V492" s="50" t="s">
        <v>1823</v>
      </c>
    </row>
    <row r="493" spans="1:22" x14ac:dyDescent="0.3">
      <c r="A493" s="48" t="s">
        <v>1205</v>
      </c>
      <c r="B493" s="49" t="s">
        <v>154</v>
      </c>
      <c r="C493" s="49" t="s">
        <v>1206</v>
      </c>
      <c r="D493" s="49" t="s">
        <v>673</v>
      </c>
      <c r="E493" s="49" t="s">
        <v>674</v>
      </c>
      <c r="F493" s="49" t="s">
        <v>716</v>
      </c>
      <c r="G493" s="49" t="s">
        <v>744</v>
      </c>
      <c r="H493" s="49" t="s">
        <v>935</v>
      </c>
      <c r="I493" s="49" t="s">
        <v>688</v>
      </c>
      <c r="J493" s="49" t="s">
        <v>713</v>
      </c>
      <c r="K493" s="49" t="s">
        <v>690</v>
      </c>
      <c r="L493" s="49" t="s">
        <v>681</v>
      </c>
      <c r="M493" s="49">
        <v>0.2</v>
      </c>
      <c r="N493" s="49" t="s">
        <v>560</v>
      </c>
      <c r="O493" s="49" t="s">
        <v>665</v>
      </c>
      <c r="P493" s="49" t="s">
        <v>746</v>
      </c>
      <c r="Q493" s="49" t="s">
        <v>683</v>
      </c>
      <c r="R493" s="49" t="s">
        <v>411</v>
      </c>
      <c r="S493" s="52" t="s">
        <v>673</v>
      </c>
      <c r="T493" s="49" t="s">
        <v>1821</v>
      </c>
      <c r="U493" s="49" t="s">
        <v>1824</v>
      </c>
      <c r="V493" s="50" t="s">
        <v>1823</v>
      </c>
    </row>
    <row r="494" spans="1:22" x14ac:dyDescent="0.3">
      <c r="A494" s="51" t="s">
        <v>1016</v>
      </c>
      <c r="B494" s="52" t="s">
        <v>955</v>
      </c>
      <c r="C494" s="52" t="s">
        <v>1017</v>
      </c>
      <c r="D494" s="52" t="s">
        <v>673</v>
      </c>
      <c r="E494" s="52" t="s">
        <v>674</v>
      </c>
      <c r="F494" s="52" t="s">
        <v>675</v>
      </c>
      <c r="G494" s="52" t="s">
        <v>676</v>
      </c>
      <c r="H494" s="52" t="s">
        <v>677</v>
      </c>
      <c r="I494" s="49" t="s">
        <v>688</v>
      </c>
      <c r="J494" s="52" t="s">
        <v>713</v>
      </c>
      <c r="K494" s="52" t="s">
        <v>690</v>
      </c>
      <c r="L494" s="52" t="s">
        <v>699</v>
      </c>
      <c r="M494" s="52">
        <v>0.2</v>
      </c>
      <c r="N494" s="52" t="s">
        <v>560</v>
      </c>
      <c r="O494" s="52" t="s">
        <v>665</v>
      </c>
      <c r="P494" s="52" t="s">
        <v>746</v>
      </c>
      <c r="Q494" s="52" t="s">
        <v>683</v>
      </c>
      <c r="R494" s="52" t="s">
        <v>411</v>
      </c>
      <c r="S494" s="52" t="s">
        <v>673</v>
      </c>
      <c r="T494" s="52" t="s">
        <v>1821</v>
      </c>
      <c r="U494" s="52" t="s">
        <v>1824</v>
      </c>
      <c r="V494" s="50" t="s">
        <v>1823</v>
      </c>
    </row>
    <row r="495" spans="1:22" x14ac:dyDescent="0.3">
      <c r="A495" s="48" t="s">
        <v>1016</v>
      </c>
      <c r="B495" s="49" t="s">
        <v>955</v>
      </c>
      <c r="C495" s="49" t="s">
        <v>1017</v>
      </c>
      <c r="D495" s="49" t="s">
        <v>673</v>
      </c>
      <c r="E495" s="49" t="s">
        <v>674</v>
      </c>
      <c r="F495" s="49" t="s">
        <v>675</v>
      </c>
      <c r="G495" s="49" t="s">
        <v>676</v>
      </c>
      <c r="H495" s="49" t="s">
        <v>677</v>
      </c>
      <c r="I495" s="49" t="s">
        <v>688</v>
      </c>
      <c r="J495" s="49" t="s">
        <v>713</v>
      </c>
      <c r="K495" s="49" t="s">
        <v>690</v>
      </c>
      <c r="L495" s="49" t="s">
        <v>699</v>
      </c>
      <c r="M495" s="49">
        <v>0.5</v>
      </c>
      <c r="N495" s="49" t="s">
        <v>287</v>
      </c>
      <c r="O495" s="49" t="s">
        <v>665</v>
      </c>
      <c r="P495" s="49" t="s">
        <v>746</v>
      </c>
      <c r="Q495" s="49" t="s">
        <v>683</v>
      </c>
      <c r="R495" s="49" t="s">
        <v>411</v>
      </c>
      <c r="S495" s="52" t="s">
        <v>673</v>
      </c>
      <c r="T495" s="49" t="s">
        <v>1821</v>
      </c>
      <c r="U495" s="49" t="s">
        <v>1824</v>
      </c>
      <c r="V495" s="50" t="s">
        <v>1823</v>
      </c>
    </row>
    <row r="496" spans="1:22" x14ac:dyDescent="0.3">
      <c r="A496" s="51" t="s">
        <v>954</v>
      </c>
      <c r="B496" s="52" t="s">
        <v>955</v>
      </c>
      <c r="C496" s="52" t="s">
        <v>956</v>
      </c>
      <c r="D496" s="52" t="s">
        <v>673</v>
      </c>
      <c r="E496" s="52" t="s">
        <v>674</v>
      </c>
      <c r="F496" s="52" t="s">
        <v>675</v>
      </c>
      <c r="G496" s="52" t="s">
        <v>676</v>
      </c>
      <c r="H496" s="52" t="s">
        <v>677</v>
      </c>
      <c r="I496" s="49" t="s">
        <v>688</v>
      </c>
      <c r="J496" s="52" t="s">
        <v>713</v>
      </c>
      <c r="K496" s="52" t="s">
        <v>690</v>
      </c>
      <c r="L496" s="52" t="s">
        <v>699</v>
      </c>
      <c r="M496" s="52">
        <v>1</v>
      </c>
      <c r="N496" s="52" t="s">
        <v>513</v>
      </c>
      <c r="O496" s="52" t="s">
        <v>665</v>
      </c>
      <c r="P496" s="52" t="s">
        <v>746</v>
      </c>
      <c r="Q496" s="52" t="s">
        <v>683</v>
      </c>
      <c r="R496" s="52" t="s">
        <v>411</v>
      </c>
      <c r="S496" s="52" t="s">
        <v>673</v>
      </c>
      <c r="T496" s="52" t="s">
        <v>1821</v>
      </c>
      <c r="U496" s="52" t="s">
        <v>1824</v>
      </c>
      <c r="V496" s="50" t="s">
        <v>1823</v>
      </c>
    </row>
    <row r="497" spans="1:22" x14ac:dyDescent="0.3">
      <c r="A497" s="48" t="s">
        <v>966</v>
      </c>
      <c r="B497" s="49" t="s">
        <v>967</v>
      </c>
      <c r="C497" s="49" t="s">
        <v>968</v>
      </c>
      <c r="D497" s="49" t="s">
        <v>673</v>
      </c>
      <c r="E497" s="49" t="s">
        <v>674</v>
      </c>
      <c r="F497" s="49" t="s">
        <v>716</v>
      </c>
      <c r="G497" s="49" t="s">
        <v>744</v>
      </c>
      <c r="H497" s="49" t="s">
        <v>935</v>
      </c>
      <c r="I497" s="49" t="s">
        <v>678</v>
      </c>
      <c r="J497" s="49" t="s">
        <v>713</v>
      </c>
      <c r="K497" s="49" t="s">
        <v>690</v>
      </c>
      <c r="L497" s="49" t="s">
        <v>681</v>
      </c>
      <c r="M497" s="49">
        <v>0.5</v>
      </c>
      <c r="N497" s="49" t="s">
        <v>489</v>
      </c>
      <c r="O497" s="49" t="s">
        <v>665</v>
      </c>
      <c r="P497" s="49" t="s">
        <v>746</v>
      </c>
      <c r="Q497" s="49" t="s">
        <v>683</v>
      </c>
      <c r="R497" s="49" t="s">
        <v>411</v>
      </c>
      <c r="S497" s="52" t="s">
        <v>673</v>
      </c>
      <c r="T497" s="49" t="s">
        <v>1821</v>
      </c>
      <c r="U497" s="49" t="s">
        <v>1824</v>
      </c>
      <c r="V497" s="50" t="s">
        <v>1823</v>
      </c>
    </row>
    <row r="498" spans="1:22" x14ac:dyDescent="0.3">
      <c r="A498" s="51" t="s">
        <v>1334</v>
      </c>
      <c r="B498" s="52" t="s">
        <v>154</v>
      </c>
      <c r="C498" s="52" t="s">
        <v>1335</v>
      </c>
      <c r="D498" s="52" t="s">
        <v>673</v>
      </c>
      <c r="E498" s="52" t="s">
        <v>674</v>
      </c>
      <c r="F498" s="52" t="s">
        <v>716</v>
      </c>
      <c r="G498" s="52" t="s">
        <v>744</v>
      </c>
      <c r="H498" s="52" t="s">
        <v>935</v>
      </c>
      <c r="I498" s="49" t="s">
        <v>678</v>
      </c>
      <c r="J498" s="52" t="s">
        <v>713</v>
      </c>
      <c r="K498" s="52" t="s">
        <v>690</v>
      </c>
      <c r="L498" s="52" t="s">
        <v>681</v>
      </c>
      <c r="M498" s="52">
        <v>0.5</v>
      </c>
      <c r="N498" s="52" t="s">
        <v>489</v>
      </c>
      <c r="O498" s="52" t="s">
        <v>665</v>
      </c>
      <c r="P498" s="52" t="s">
        <v>746</v>
      </c>
      <c r="Q498" s="52" t="s">
        <v>683</v>
      </c>
      <c r="R498" s="52" t="s">
        <v>411</v>
      </c>
      <c r="S498" s="52" t="s">
        <v>673</v>
      </c>
      <c r="T498" s="52" t="s">
        <v>1821</v>
      </c>
      <c r="U498" s="52" t="s">
        <v>1824</v>
      </c>
      <c r="V498" s="50" t="s">
        <v>1823</v>
      </c>
    </row>
    <row r="499" spans="1:22" x14ac:dyDescent="0.3">
      <c r="A499" s="48" t="s">
        <v>1336</v>
      </c>
      <c r="B499" s="49" t="s">
        <v>1337</v>
      </c>
      <c r="C499" s="49" t="s">
        <v>1338</v>
      </c>
      <c r="D499" s="49" t="s">
        <v>673</v>
      </c>
      <c r="E499" s="49" t="s">
        <v>674</v>
      </c>
      <c r="F499" s="49" t="s">
        <v>675</v>
      </c>
      <c r="G499" s="49" t="s">
        <v>744</v>
      </c>
      <c r="H499" s="49" t="s">
        <v>677</v>
      </c>
      <c r="I499" s="49" t="s">
        <v>688</v>
      </c>
      <c r="J499" s="49" t="s">
        <v>713</v>
      </c>
      <c r="K499" s="49" t="s">
        <v>690</v>
      </c>
      <c r="L499" s="49" t="s">
        <v>681</v>
      </c>
      <c r="M499" s="49">
        <v>1</v>
      </c>
      <c r="N499" s="49" t="s">
        <v>361</v>
      </c>
      <c r="O499" s="49" t="s">
        <v>665</v>
      </c>
      <c r="P499" s="49" t="s">
        <v>746</v>
      </c>
      <c r="Q499" s="49" t="s">
        <v>683</v>
      </c>
      <c r="R499" s="49" t="s">
        <v>411</v>
      </c>
      <c r="S499" s="52" t="s">
        <v>673</v>
      </c>
      <c r="T499" s="49" t="s">
        <v>1821</v>
      </c>
      <c r="U499" s="49" t="s">
        <v>1824</v>
      </c>
      <c r="V499" s="50" t="s">
        <v>1823</v>
      </c>
    </row>
    <row r="500" spans="1:22" x14ac:dyDescent="0.3">
      <c r="A500" s="51" t="s">
        <v>957</v>
      </c>
      <c r="B500" s="52" t="s">
        <v>154</v>
      </c>
      <c r="C500" s="52" t="s">
        <v>958</v>
      </c>
      <c r="D500" s="52" t="s">
        <v>673</v>
      </c>
      <c r="E500" s="52" t="s">
        <v>674</v>
      </c>
      <c r="F500" s="52" t="s">
        <v>716</v>
      </c>
      <c r="G500" s="52" t="s">
        <v>744</v>
      </c>
      <c r="H500" s="52" t="s">
        <v>935</v>
      </c>
      <c r="I500" s="49" t="s">
        <v>678</v>
      </c>
      <c r="J500" s="52" t="s">
        <v>713</v>
      </c>
      <c r="K500" s="52" t="s">
        <v>690</v>
      </c>
      <c r="L500" s="52" t="s">
        <v>681</v>
      </c>
      <c r="M500" s="52">
        <v>0.5</v>
      </c>
      <c r="N500" s="52" t="s">
        <v>552</v>
      </c>
      <c r="O500" s="52" t="s">
        <v>665</v>
      </c>
      <c r="P500" s="52" t="s">
        <v>746</v>
      </c>
      <c r="Q500" s="52" t="s">
        <v>683</v>
      </c>
      <c r="R500" s="52" t="s">
        <v>411</v>
      </c>
      <c r="S500" s="52" t="s">
        <v>673</v>
      </c>
      <c r="T500" s="52" t="s">
        <v>1821</v>
      </c>
      <c r="U500" s="52" t="s">
        <v>1824</v>
      </c>
      <c r="V500" s="50" t="s">
        <v>1823</v>
      </c>
    </row>
    <row r="501" spans="1:22" x14ac:dyDescent="0.3">
      <c r="A501" s="48" t="s">
        <v>1334</v>
      </c>
      <c r="B501" s="49" t="s">
        <v>154</v>
      </c>
      <c r="C501" s="49" t="s">
        <v>1335</v>
      </c>
      <c r="D501" s="49" t="s">
        <v>673</v>
      </c>
      <c r="E501" s="49" t="s">
        <v>674</v>
      </c>
      <c r="F501" s="49" t="s">
        <v>716</v>
      </c>
      <c r="G501" s="49" t="s">
        <v>744</v>
      </c>
      <c r="H501" s="49" t="s">
        <v>935</v>
      </c>
      <c r="I501" s="49" t="s">
        <v>678</v>
      </c>
      <c r="J501" s="49" t="s">
        <v>713</v>
      </c>
      <c r="K501" s="49" t="s">
        <v>690</v>
      </c>
      <c r="L501" s="49" t="s">
        <v>681</v>
      </c>
      <c r="M501" s="49">
        <v>0.5</v>
      </c>
      <c r="N501" s="49" t="s">
        <v>552</v>
      </c>
      <c r="O501" s="49" t="s">
        <v>665</v>
      </c>
      <c r="P501" s="49" t="s">
        <v>746</v>
      </c>
      <c r="Q501" s="49" t="s">
        <v>683</v>
      </c>
      <c r="R501" s="49" t="s">
        <v>411</v>
      </c>
      <c r="S501" s="52" t="s">
        <v>673</v>
      </c>
      <c r="T501" s="49" t="s">
        <v>1821</v>
      </c>
      <c r="U501" s="49" t="s">
        <v>1824</v>
      </c>
      <c r="V501" s="50" t="s">
        <v>1823</v>
      </c>
    </row>
    <row r="502" spans="1:22" x14ac:dyDescent="0.3">
      <c r="A502" s="51" t="s">
        <v>966</v>
      </c>
      <c r="B502" s="52" t="s">
        <v>967</v>
      </c>
      <c r="C502" s="52" t="s">
        <v>968</v>
      </c>
      <c r="D502" s="52" t="s">
        <v>673</v>
      </c>
      <c r="E502" s="52" t="s">
        <v>674</v>
      </c>
      <c r="F502" s="52" t="s">
        <v>716</v>
      </c>
      <c r="G502" s="52" t="s">
        <v>744</v>
      </c>
      <c r="H502" s="52" t="s">
        <v>935</v>
      </c>
      <c r="I502" s="49" t="s">
        <v>678</v>
      </c>
      <c r="J502" s="52" t="s">
        <v>713</v>
      </c>
      <c r="K502" s="52" t="s">
        <v>690</v>
      </c>
      <c r="L502" s="52" t="s">
        <v>681</v>
      </c>
      <c r="M502" s="52">
        <v>0.5</v>
      </c>
      <c r="N502" s="52" t="s">
        <v>147</v>
      </c>
      <c r="O502" s="52" t="s">
        <v>767</v>
      </c>
      <c r="P502" s="52" t="s">
        <v>746</v>
      </c>
      <c r="Q502" s="52" t="s">
        <v>683</v>
      </c>
      <c r="R502" s="52" t="s">
        <v>2174</v>
      </c>
      <c r="S502" s="52" t="s">
        <v>673</v>
      </c>
      <c r="T502" s="52" t="s">
        <v>1821</v>
      </c>
      <c r="U502" s="52" t="s">
        <v>1824</v>
      </c>
      <c r="V502" s="50" t="s">
        <v>1823</v>
      </c>
    </row>
    <row r="503" spans="1:22" x14ac:dyDescent="0.3">
      <c r="A503" s="48" t="s">
        <v>957</v>
      </c>
      <c r="B503" s="49" t="s">
        <v>154</v>
      </c>
      <c r="C503" s="49" t="s">
        <v>958</v>
      </c>
      <c r="D503" s="49" t="s">
        <v>673</v>
      </c>
      <c r="E503" s="49" t="s">
        <v>674</v>
      </c>
      <c r="F503" s="49" t="s">
        <v>716</v>
      </c>
      <c r="G503" s="49" t="s">
        <v>744</v>
      </c>
      <c r="H503" s="49" t="s">
        <v>935</v>
      </c>
      <c r="I503" s="49" t="s">
        <v>678</v>
      </c>
      <c r="J503" s="49" t="s">
        <v>713</v>
      </c>
      <c r="K503" s="49" t="s">
        <v>690</v>
      </c>
      <c r="L503" s="49" t="s">
        <v>681</v>
      </c>
      <c r="M503" s="49">
        <v>0.5</v>
      </c>
      <c r="N503" s="49" t="s">
        <v>147</v>
      </c>
      <c r="O503" s="49" t="s">
        <v>767</v>
      </c>
      <c r="P503" s="52" t="s">
        <v>746</v>
      </c>
      <c r="Q503" s="49" t="s">
        <v>683</v>
      </c>
      <c r="R503" s="49" t="s">
        <v>2174</v>
      </c>
      <c r="S503" s="52" t="s">
        <v>673</v>
      </c>
      <c r="T503" s="49" t="s">
        <v>1821</v>
      </c>
      <c r="U503" s="49" t="s">
        <v>1824</v>
      </c>
      <c r="V503" s="50" t="s">
        <v>1823</v>
      </c>
    </row>
    <row r="504" spans="1:22" x14ac:dyDescent="0.3">
      <c r="A504" s="51" t="s">
        <v>1202</v>
      </c>
      <c r="B504" s="52" t="s">
        <v>154</v>
      </c>
      <c r="C504" s="52" t="s">
        <v>862</v>
      </c>
      <c r="D504" s="52" t="s">
        <v>673</v>
      </c>
      <c r="E504" s="52" t="s">
        <v>674</v>
      </c>
      <c r="F504" s="52" t="s">
        <v>716</v>
      </c>
      <c r="G504" s="52" t="s">
        <v>744</v>
      </c>
      <c r="H504" s="52" t="s">
        <v>935</v>
      </c>
      <c r="I504" s="49" t="s">
        <v>678</v>
      </c>
      <c r="J504" s="52" t="s">
        <v>713</v>
      </c>
      <c r="K504" s="52" t="s">
        <v>690</v>
      </c>
      <c r="L504" s="52" t="s">
        <v>681</v>
      </c>
      <c r="M504" s="52">
        <v>0.5</v>
      </c>
      <c r="N504" s="52" t="s">
        <v>72</v>
      </c>
      <c r="O504" s="52" t="s">
        <v>665</v>
      </c>
      <c r="P504" s="52" t="s">
        <v>746</v>
      </c>
      <c r="Q504" s="52" t="s">
        <v>683</v>
      </c>
      <c r="R504" s="52" t="s">
        <v>411</v>
      </c>
      <c r="S504" s="52" t="s">
        <v>673</v>
      </c>
      <c r="T504" s="52" t="s">
        <v>1821</v>
      </c>
      <c r="U504" s="52" t="s">
        <v>1824</v>
      </c>
      <c r="V504" s="50" t="s">
        <v>1823</v>
      </c>
    </row>
    <row r="505" spans="1:22" x14ac:dyDescent="0.3">
      <c r="A505" s="48" t="s">
        <v>1205</v>
      </c>
      <c r="B505" s="49" t="s">
        <v>154</v>
      </c>
      <c r="C505" s="49" t="s">
        <v>1206</v>
      </c>
      <c r="D505" s="49" t="s">
        <v>673</v>
      </c>
      <c r="E505" s="49" t="s">
        <v>674</v>
      </c>
      <c r="F505" s="49" t="s">
        <v>716</v>
      </c>
      <c r="G505" s="49" t="s">
        <v>744</v>
      </c>
      <c r="H505" s="49" t="s">
        <v>935</v>
      </c>
      <c r="I505" s="49" t="s">
        <v>688</v>
      </c>
      <c r="J505" s="49" t="s">
        <v>713</v>
      </c>
      <c r="K505" s="49" t="s">
        <v>690</v>
      </c>
      <c r="L505" s="49" t="s">
        <v>681</v>
      </c>
      <c r="M505" s="49">
        <v>0.5</v>
      </c>
      <c r="N505" s="49" t="s">
        <v>72</v>
      </c>
      <c r="O505" s="49" t="s">
        <v>665</v>
      </c>
      <c r="P505" s="49" t="s">
        <v>746</v>
      </c>
      <c r="Q505" s="49" t="s">
        <v>683</v>
      </c>
      <c r="R505" s="49" t="s">
        <v>411</v>
      </c>
      <c r="S505" s="52" t="s">
        <v>673</v>
      </c>
      <c r="T505" s="49" t="s">
        <v>1821</v>
      </c>
      <c r="U505" s="49" t="s">
        <v>1824</v>
      </c>
      <c r="V505" s="50" t="s">
        <v>1823</v>
      </c>
    </row>
    <row r="506" spans="1:22" x14ac:dyDescent="0.3">
      <c r="A506" s="51" t="s">
        <v>954</v>
      </c>
      <c r="B506" s="52" t="s">
        <v>955</v>
      </c>
      <c r="C506" s="52" t="s">
        <v>956</v>
      </c>
      <c r="D506" s="52" t="s">
        <v>673</v>
      </c>
      <c r="E506" s="52" t="s">
        <v>674</v>
      </c>
      <c r="F506" s="52" t="s">
        <v>675</v>
      </c>
      <c r="G506" s="52" t="s">
        <v>676</v>
      </c>
      <c r="H506" s="52" t="s">
        <v>677</v>
      </c>
      <c r="I506" s="49" t="s">
        <v>688</v>
      </c>
      <c r="J506" s="52" t="s">
        <v>713</v>
      </c>
      <c r="K506" s="52" t="s">
        <v>690</v>
      </c>
      <c r="L506" s="52" t="s">
        <v>699</v>
      </c>
      <c r="M506" s="52">
        <v>1</v>
      </c>
      <c r="N506" s="52" t="s">
        <v>384</v>
      </c>
      <c r="O506" s="52" t="s">
        <v>665</v>
      </c>
      <c r="P506" s="52" t="s">
        <v>746</v>
      </c>
      <c r="Q506" s="52" t="s">
        <v>683</v>
      </c>
      <c r="R506" s="52" t="s">
        <v>411</v>
      </c>
      <c r="S506" s="52" t="s">
        <v>673</v>
      </c>
      <c r="T506" s="52" t="s">
        <v>1821</v>
      </c>
      <c r="U506" s="52" t="s">
        <v>1824</v>
      </c>
      <c r="V506" s="50" t="s">
        <v>1823</v>
      </c>
    </row>
    <row r="507" spans="1:22" x14ac:dyDescent="0.3">
      <c r="A507" s="48" t="s">
        <v>957</v>
      </c>
      <c r="B507" s="49" t="s">
        <v>154</v>
      </c>
      <c r="C507" s="49" t="s">
        <v>958</v>
      </c>
      <c r="D507" s="49" t="s">
        <v>673</v>
      </c>
      <c r="E507" s="49" t="s">
        <v>674</v>
      </c>
      <c r="F507" s="49" t="s">
        <v>716</v>
      </c>
      <c r="G507" s="49" t="s">
        <v>744</v>
      </c>
      <c r="H507" s="49" t="s">
        <v>935</v>
      </c>
      <c r="I507" s="49" t="s">
        <v>678</v>
      </c>
      <c r="J507" s="49" t="s">
        <v>713</v>
      </c>
      <c r="K507" s="49" t="s">
        <v>690</v>
      </c>
      <c r="L507" s="49" t="s">
        <v>681</v>
      </c>
      <c r="M507" s="49">
        <v>0.1</v>
      </c>
      <c r="N507" s="49" t="s">
        <v>411</v>
      </c>
      <c r="O507" s="49" t="s">
        <v>665</v>
      </c>
      <c r="P507" s="49" t="s">
        <v>746</v>
      </c>
      <c r="Q507" s="49" t="s">
        <v>683</v>
      </c>
      <c r="R507" s="49" t="s">
        <v>123</v>
      </c>
      <c r="S507" s="52" t="s">
        <v>673</v>
      </c>
      <c r="T507" s="49" t="s">
        <v>1821</v>
      </c>
      <c r="U507" s="49" t="s">
        <v>1824</v>
      </c>
      <c r="V507" s="50" t="s">
        <v>1823</v>
      </c>
    </row>
    <row r="508" spans="1:22" x14ac:dyDescent="0.3">
      <c r="A508" s="51" t="s">
        <v>1202</v>
      </c>
      <c r="B508" s="52" t="s">
        <v>154</v>
      </c>
      <c r="C508" s="52" t="s">
        <v>862</v>
      </c>
      <c r="D508" s="52" t="s">
        <v>673</v>
      </c>
      <c r="E508" s="52" t="s">
        <v>674</v>
      </c>
      <c r="F508" s="52" t="s">
        <v>716</v>
      </c>
      <c r="G508" s="52" t="s">
        <v>744</v>
      </c>
      <c r="H508" s="52" t="s">
        <v>935</v>
      </c>
      <c r="I508" s="49" t="s">
        <v>678</v>
      </c>
      <c r="J508" s="52" t="s">
        <v>713</v>
      </c>
      <c r="K508" s="52" t="s">
        <v>690</v>
      </c>
      <c r="L508" s="52" t="s">
        <v>681</v>
      </c>
      <c r="M508" s="52">
        <v>0.1</v>
      </c>
      <c r="N508" s="52" t="s">
        <v>411</v>
      </c>
      <c r="O508" s="52" t="s">
        <v>665</v>
      </c>
      <c r="P508" s="52" t="s">
        <v>746</v>
      </c>
      <c r="Q508" s="52" t="s">
        <v>683</v>
      </c>
      <c r="R508" s="52" t="s">
        <v>123</v>
      </c>
      <c r="S508" s="52" t="s">
        <v>673</v>
      </c>
      <c r="T508" s="52" t="s">
        <v>1821</v>
      </c>
      <c r="U508" s="52" t="s">
        <v>1824</v>
      </c>
      <c r="V508" s="50" t="s">
        <v>1823</v>
      </c>
    </row>
    <row r="509" spans="1:22" x14ac:dyDescent="0.3">
      <c r="A509" s="48" t="s">
        <v>1203</v>
      </c>
      <c r="B509" s="49" t="s">
        <v>154</v>
      </c>
      <c r="C509" s="49" t="s">
        <v>1204</v>
      </c>
      <c r="D509" s="49" t="s">
        <v>673</v>
      </c>
      <c r="E509" s="49" t="s">
        <v>674</v>
      </c>
      <c r="F509" s="49" t="s">
        <v>716</v>
      </c>
      <c r="G509" s="49" t="s">
        <v>744</v>
      </c>
      <c r="H509" s="49" t="s">
        <v>935</v>
      </c>
      <c r="I509" s="49" t="s">
        <v>678</v>
      </c>
      <c r="J509" s="49" t="s">
        <v>713</v>
      </c>
      <c r="K509" s="49" t="s">
        <v>690</v>
      </c>
      <c r="L509" s="49" t="s">
        <v>681</v>
      </c>
      <c r="M509" s="49">
        <v>0.1</v>
      </c>
      <c r="N509" s="49" t="s">
        <v>411</v>
      </c>
      <c r="O509" s="49" t="s">
        <v>665</v>
      </c>
      <c r="P509" s="49" t="s">
        <v>746</v>
      </c>
      <c r="Q509" s="49" t="s">
        <v>683</v>
      </c>
      <c r="R509" s="49" t="s">
        <v>123</v>
      </c>
      <c r="S509" s="52" t="s">
        <v>673</v>
      </c>
      <c r="T509" s="49" t="s">
        <v>1821</v>
      </c>
      <c r="U509" s="49" t="s">
        <v>1824</v>
      </c>
      <c r="V509" s="50" t="s">
        <v>1823</v>
      </c>
    </row>
    <row r="510" spans="1:22" x14ac:dyDescent="0.3">
      <c r="A510" s="51" t="s">
        <v>1016</v>
      </c>
      <c r="B510" s="52" t="s">
        <v>955</v>
      </c>
      <c r="C510" s="52" t="s">
        <v>1017</v>
      </c>
      <c r="D510" s="52" t="s">
        <v>673</v>
      </c>
      <c r="E510" s="52" t="s">
        <v>674</v>
      </c>
      <c r="F510" s="52" t="s">
        <v>675</v>
      </c>
      <c r="G510" s="52" t="s">
        <v>676</v>
      </c>
      <c r="H510" s="52" t="s">
        <v>677</v>
      </c>
      <c r="I510" s="49" t="s">
        <v>688</v>
      </c>
      <c r="J510" s="52" t="s">
        <v>713</v>
      </c>
      <c r="K510" s="52" t="s">
        <v>690</v>
      </c>
      <c r="L510" s="52" t="s">
        <v>699</v>
      </c>
      <c r="M510" s="52">
        <v>0.2</v>
      </c>
      <c r="N510" s="52" t="s">
        <v>411</v>
      </c>
      <c r="O510" s="52" t="s">
        <v>665</v>
      </c>
      <c r="P510" s="52" t="s">
        <v>746</v>
      </c>
      <c r="Q510" s="52" t="s">
        <v>683</v>
      </c>
      <c r="R510" s="52" t="s">
        <v>123</v>
      </c>
      <c r="S510" s="52" t="s">
        <v>673</v>
      </c>
      <c r="T510" s="52" t="s">
        <v>1821</v>
      </c>
      <c r="U510" s="52" t="s">
        <v>1824</v>
      </c>
      <c r="V510" s="50" t="s">
        <v>1823</v>
      </c>
    </row>
    <row r="511" spans="1:22" x14ac:dyDescent="0.3">
      <c r="A511" s="48" t="s">
        <v>1205</v>
      </c>
      <c r="B511" s="49" t="s">
        <v>154</v>
      </c>
      <c r="C511" s="49" t="s">
        <v>1206</v>
      </c>
      <c r="D511" s="49" t="s">
        <v>673</v>
      </c>
      <c r="E511" s="49" t="s">
        <v>674</v>
      </c>
      <c r="F511" s="49" t="s">
        <v>716</v>
      </c>
      <c r="G511" s="49" t="s">
        <v>744</v>
      </c>
      <c r="H511" s="49" t="s">
        <v>935</v>
      </c>
      <c r="I511" s="49" t="s">
        <v>688</v>
      </c>
      <c r="J511" s="49" t="s">
        <v>713</v>
      </c>
      <c r="K511" s="49" t="s">
        <v>690</v>
      </c>
      <c r="L511" s="49" t="s">
        <v>681</v>
      </c>
      <c r="M511" s="49">
        <v>0.1</v>
      </c>
      <c r="N511" s="49" t="s">
        <v>411</v>
      </c>
      <c r="O511" s="49" t="s">
        <v>665</v>
      </c>
      <c r="P511" s="49" t="s">
        <v>746</v>
      </c>
      <c r="Q511" s="49" t="s">
        <v>683</v>
      </c>
      <c r="R511" s="49" t="s">
        <v>123</v>
      </c>
      <c r="S511" s="52" t="s">
        <v>673</v>
      </c>
      <c r="T511" s="49" t="s">
        <v>1821</v>
      </c>
      <c r="U511" s="49" t="s">
        <v>1824</v>
      </c>
      <c r="V511" s="50" t="s">
        <v>1823</v>
      </c>
    </row>
    <row r="512" spans="1:22" x14ac:dyDescent="0.3">
      <c r="A512" s="51" t="s">
        <v>966</v>
      </c>
      <c r="B512" s="52" t="s">
        <v>967</v>
      </c>
      <c r="C512" s="52" t="s">
        <v>968</v>
      </c>
      <c r="D512" s="52" t="s">
        <v>673</v>
      </c>
      <c r="E512" s="52" t="s">
        <v>674</v>
      </c>
      <c r="F512" s="52" t="s">
        <v>716</v>
      </c>
      <c r="G512" s="52" t="s">
        <v>744</v>
      </c>
      <c r="H512" s="52" t="s">
        <v>935</v>
      </c>
      <c r="I512" s="49" t="s">
        <v>678</v>
      </c>
      <c r="J512" s="52" t="s">
        <v>713</v>
      </c>
      <c r="K512" s="52" t="s">
        <v>690</v>
      </c>
      <c r="L512" s="52" t="s">
        <v>681</v>
      </c>
      <c r="M512" s="52">
        <v>0.1</v>
      </c>
      <c r="N512" s="52" t="s">
        <v>411</v>
      </c>
      <c r="O512" s="52" t="s">
        <v>665</v>
      </c>
      <c r="P512" s="52" t="s">
        <v>746</v>
      </c>
      <c r="Q512" s="52" t="s">
        <v>683</v>
      </c>
      <c r="R512" s="52" t="s">
        <v>123</v>
      </c>
      <c r="S512" s="52" t="s">
        <v>673</v>
      </c>
      <c r="T512" s="52" t="s">
        <v>1821</v>
      </c>
      <c r="U512" s="52" t="s">
        <v>1824</v>
      </c>
      <c r="V512" s="50" t="s">
        <v>1823</v>
      </c>
    </row>
    <row r="513" spans="1:22" x14ac:dyDescent="0.3">
      <c r="A513" s="48" t="s">
        <v>954</v>
      </c>
      <c r="B513" s="49" t="s">
        <v>955</v>
      </c>
      <c r="C513" s="49" t="s">
        <v>956</v>
      </c>
      <c r="D513" s="49" t="s">
        <v>673</v>
      </c>
      <c r="E513" s="49" t="s">
        <v>674</v>
      </c>
      <c r="F513" s="49" t="s">
        <v>675</v>
      </c>
      <c r="G513" s="49" t="s">
        <v>676</v>
      </c>
      <c r="H513" s="49" t="s">
        <v>677</v>
      </c>
      <c r="I513" s="49" t="s">
        <v>688</v>
      </c>
      <c r="J513" s="49" t="s">
        <v>713</v>
      </c>
      <c r="K513" s="49" t="s">
        <v>690</v>
      </c>
      <c r="L513" s="49" t="s">
        <v>699</v>
      </c>
      <c r="M513" s="49">
        <v>0.2</v>
      </c>
      <c r="N513" s="49" t="s">
        <v>411</v>
      </c>
      <c r="O513" s="49" t="s">
        <v>665</v>
      </c>
      <c r="P513" s="49" t="s">
        <v>746</v>
      </c>
      <c r="Q513" s="49" t="s">
        <v>683</v>
      </c>
      <c r="R513" s="49" t="s">
        <v>123</v>
      </c>
      <c r="S513" s="52" t="s">
        <v>673</v>
      </c>
      <c r="T513" s="49" t="s">
        <v>1821</v>
      </c>
      <c r="U513" s="49" t="s">
        <v>1824</v>
      </c>
      <c r="V513" s="50" t="s">
        <v>1823</v>
      </c>
    </row>
    <row r="514" spans="1:22" x14ac:dyDescent="0.3">
      <c r="A514" s="51" t="s">
        <v>1334</v>
      </c>
      <c r="B514" s="52" t="s">
        <v>154</v>
      </c>
      <c r="C514" s="52" t="s">
        <v>1335</v>
      </c>
      <c r="D514" s="52" t="s">
        <v>673</v>
      </c>
      <c r="E514" s="52" t="s">
        <v>674</v>
      </c>
      <c r="F514" s="52" t="s">
        <v>716</v>
      </c>
      <c r="G514" s="52" t="s">
        <v>744</v>
      </c>
      <c r="H514" s="52" t="s">
        <v>935</v>
      </c>
      <c r="I514" s="49" t="s">
        <v>678</v>
      </c>
      <c r="J514" s="52" t="s">
        <v>713</v>
      </c>
      <c r="K514" s="52" t="s">
        <v>690</v>
      </c>
      <c r="L514" s="52" t="s">
        <v>681</v>
      </c>
      <c r="M514" s="52">
        <v>0.1</v>
      </c>
      <c r="N514" s="52" t="s">
        <v>411</v>
      </c>
      <c r="O514" s="52" t="s">
        <v>665</v>
      </c>
      <c r="P514" s="52" t="s">
        <v>746</v>
      </c>
      <c r="Q514" s="52" t="s">
        <v>683</v>
      </c>
      <c r="R514" s="52" t="s">
        <v>123</v>
      </c>
      <c r="S514" s="52" t="s">
        <v>673</v>
      </c>
      <c r="T514" s="52" t="s">
        <v>1821</v>
      </c>
      <c r="U514" s="52" t="s">
        <v>1824</v>
      </c>
      <c r="V514" s="50" t="s">
        <v>1823</v>
      </c>
    </row>
    <row r="515" spans="1:22" x14ac:dyDescent="0.3">
      <c r="A515" s="48" t="s">
        <v>911</v>
      </c>
      <c r="B515" s="49" t="s">
        <v>544</v>
      </c>
      <c r="C515" s="49" t="s">
        <v>912</v>
      </c>
      <c r="D515" s="49" t="s">
        <v>684</v>
      </c>
      <c r="E515" s="49" t="s">
        <v>674</v>
      </c>
      <c r="F515" s="49" t="s">
        <v>716</v>
      </c>
      <c r="G515" s="49" t="s">
        <v>744</v>
      </c>
      <c r="H515" s="49" t="s">
        <v>702</v>
      </c>
      <c r="I515" s="49" t="s">
        <v>736</v>
      </c>
      <c r="J515" s="49" t="s">
        <v>737</v>
      </c>
      <c r="K515" s="49" t="s">
        <v>738</v>
      </c>
      <c r="L515" s="49" t="s">
        <v>808</v>
      </c>
      <c r="M515" s="49">
        <v>0.2</v>
      </c>
      <c r="N515" s="49" t="s">
        <v>1346</v>
      </c>
      <c r="O515" s="49" t="s">
        <v>665</v>
      </c>
      <c r="P515" s="49" t="s">
        <v>746</v>
      </c>
      <c r="Q515" s="49" t="s">
        <v>683</v>
      </c>
      <c r="R515" s="49" t="s">
        <v>639</v>
      </c>
      <c r="S515" s="49" t="s">
        <v>684</v>
      </c>
      <c r="T515" s="49" t="s">
        <v>1821</v>
      </c>
      <c r="U515" s="49" t="s">
        <v>1824</v>
      </c>
      <c r="V515" s="50" t="s">
        <v>1823</v>
      </c>
    </row>
    <row r="516" spans="1:22" x14ac:dyDescent="0.3">
      <c r="A516" s="51" t="s">
        <v>898</v>
      </c>
      <c r="B516" s="52" t="s">
        <v>544</v>
      </c>
      <c r="C516" s="52" t="s">
        <v>899</v>
      </c>
      <c r="D516" s="52" t="s">
        <v>684</v>
      </c>
      <c r="E516" s="52" t="s">
        <v>674</v>
      </c>
      <c r="F516" s="52" t="s">
        <v>716</v>
      </c>
      <c r="G516" s="52" t="s">
        <v>744</v>
      </c>
      <c r="H516" s="52" t="s">
        <v>702</v>
      </c>
      <c r="I516" s="52" t="s">
        <v>736</v>
      </c>
      <c r="J516" s="52" t="s">
        <v>737</v>
      </c>
      <c r="K516" s="52" t="s">
        <v>738</v>
      </c>
      <c r="L516" s="52" t="s">
        <v>808</v>
      </c>
      <c r="M516" s="52">
        <v>0.2</v>
      </c>
      <c r="N516" s="52" t="s">
        <v>1346</v>
      </c>
      <c r="O516" s="52" t="s">
        <v>665</v>
      </c>
      <c r="P516" s="52" t="s">
        <v>746</v>
      </c>
      <c r="Q516" s="52" t="s">
        <v>683</v>
      </c>
      <c r="R516" s="52" t="s">
        <v>639</v>
      </c>
      <c r="S516" s="49" t="s">
        <v>684</v>
      </c>
      <c r="T516" s="52" t="s">
        <v>1821</v>
      </c>
      <c r="U516" s="52" t="s">
        <v>1824</v>
      </c>
      <c r="V516" s="50" t="s">
        <v>1823</v>
      </c>
    </row>
    <row r="517" spans="1:22" x14ac:dyDescent="0.3">
      <c r="A517" s="48" t="s">
        <v>913</v>
      </c>
      <c r="B517" s="49" t="s">
        <v>544</v>
      </c>
      <c r="C517" s="49" t="s">
        <v>914</v>
      </c>
      <c r="D517" s="49" t="s">
        <v>684</v>
      </c>
      <c r="E517" s="49" t="s">
        <v>674</v>
      </c>
      <c r="F517" s="49" t="s">
        <v>716</v>
      </c>
      <c r="G517" s="49" t="s">
        <v>744</v>
      </c>
      <c r="H517" s="49" t="s">
        <v>702</v>
      </c>
      <c r="I517" s="49" t="s">
        <v>736</v>
      </c>
      <c r="J517" s="49" t="s">
        <v>737</v>
      </c>
      <c r="K517" s="49" t="s">
        <v>738</v>
      </c>
      <c r="L517" s="49" t="s">
        <v>808</v>
      </c>
      <c r="M517" s="49">
        <v>0.2</v>
      </c>
      <c r="N517" s="49" t="s">
        <v>1346</v>
      </c>
      <c r="O517" s="49" t="s">
        <v>665</v>
      </c>
      <c r="P517" s="49" t="s">
        <v>746</v>
      </c>
      <c r="Q517" s="49" t="s">
        <v>683</v>
      </c>
      <c r="R517" s="49" t="s">
        <v>639</v>
      </c>
      <c r="S517" s="49" t="s">
        <v>684</v>
      </c>
      <c r="T517" s="49" t="s">
        <v>1821</v>
      </c>
      <c r="U517" s="49" t="s">
        <v>1824</v>
      </c>
      <c r="V517" s="50" t="s">
        <v>1823</v>
      </c>
    </row>
    <row r="518" spans="1:22" x14ac:dyDescent="0.3">
      <c r="A518" s="51" t="s">
        <v>915</v>
      </c>
      <c r="B518" s="52" t="s">
        <v>544</v>
      </c>
      <c r="C518" s="52" t="s">
        <v>916</v>
      </c>
      <c r="D518" s="52" t="s">
        <v>684</v>
      </c>
      <c r="E518" s="52" t="s">
        <v>674</v>
      </c>
      <c r="F518" s="52" t="s">
        <v>716</v>
      </c>
      <c r="G518" s="52" t="s">
        <v>744</v>
      </c>
      <c r="H518" s="52" t="s">
        <v>702</v>
      </c>
      <c r="I518" s="52" t="s">
        <v>736</v>
      </c>
      <c r="J518" s="52" t="s">
        <v>737</v>
      </c>
      <c r="K518" s="52" t="s">
        <v>738</v>
      </c>
      <c r="L518" s="52" t="s">
        <v>681</v>
      </c>
      <c r="M518" s="52">
        <v>0.4</v>
      </c>
      <c r="N518" s="52" t="s">
        <v>1346</v>
      </c>
      <c r="O518" s="52" t="s">
        <v>665</v>
      </c>
      <c r="P518" s="52" t="s">
        <v>746</v>
      </c>
      <c r="Q518" s="52" t="s">
        <v>683</v>
      </c>
      <c r="R518" s="52" t="s">
        <v>639</v>
      </c>
      <c r="S518" s="49" t="s">
        <v>684</v>
      </c>
      <c r="T518" s="52" t="s">
        <v>1821</v>
      </c>
      <c r="U518" s="52" t="s">
        <v>1824</v>
      </c>
      <c r="V518" s="50" t="s">
        <v>1823</v>
      </c>
    </row>
    <row r="519" spans="1:22" x14ac:dyDescent="0.3">
      <c r="A519" s="48" t="s">
        <v>1190</v>
      </c>
      <c r="B519" s="49" t="s">
        <v>154</v>
      </c>
      <c r="C519" s="49" t="s">
        <v>1023</v>
      </c>
      <c r="D519" s="49" t="s">
        <v>673</v>
      </c>
      <c r="E519" s="49" t="s">
        <v>674</v>
      </c>
      <c r="F519" s="49" t="s">
        <v>716</v>
      </c>
      <c r="G519" s="49" t="s">
        <v>744</v>
      </c>
      <c r="H519" s="49" t="s">
        <v>935</v>
      </c>
      <c r="I519" s="49" t="s">
        <v>688</v>
      </c>
      <c r="J519" s="49" t="s">
        <v>710</v>
      </c>
      <c r="K519" s="49" t="s">
        <v>690</v>
      </c>
      <c r="L519" s="49" t="s">
        <v>681</v>
      </c>
      <c r="M519" s="49">
        <v>1</v>
      </c>
      <c r="N519" s="49" t="s">
        <v>53</v>
      </c>
      <c r="O519" s="49" t="s">
        <v>665</v>
      </c>
      <c r="P519" s="49" t="s">
        <v>746</v>
      </c>
      <c r="Q519" s="49" t="s">
        <v>683</v>
      </c>
      <c r="R519" s="49" t="s">
        <v>49</v>
      </c>
      <c r="S519" s="52" t="s">
        <v>673</v>
      </c>
      <c r="T519" s="49" t="s">
        <v>1821</v>
      </c>
      <c r="U519" s="49" t="s">
        <v>1824</v>
      </c>
      <c r="V519" s="50" t="s">
        <v>1823</v>
      </c>
    </row>
    <row r="520" spans="1:22" x14ac:dyDescent="0.3">
      <c r="A520" s="51" t="s">
        <v>1190</v>
      </c>
      <c r="B520" s="52" t="s">
        <v>154</v>
      </c>
      <c r="C520" s="52" t="s">
        <v>1023</v>
      </c>
      <c r="D520" s="52" t="s">
        <v>673</v>
      </c>
      <c r="E520" s="52" t="s">
        <v>674</v>
      </c>
      <c r="F520" s="52" t="s">
        <v>716</v>
      </c>
      <c r="G520" s="52" t="s">
        <v>744</v>
      </c>
      <c r="H520" s="52" t="s">
        <v>935</v>
      </c>
      <c r="I520" s="49" t="s">
        <v>688</v>
      </c>
      <c r="J520" s="52" t="s">
        <v>710</v>
      </c>
      <c r="K520" s="52" t="s">
        <v>690</v>
      </c>
      <c r="L520" s="52" t="s">
        <v>681</v>
      </c>
      <c r="M520" s="52">
        <v>1</v>
      </c>
      <c r="N520" s="52" t="s">
        <v>600</v>
      </c>
      <c r="O520" s="52" t="s">
        <v>665</v>
      </c>
      <c r="P520" s="52" t="s">
        <v>746</v>
      </c>
      <c r="Q520" s="52" t="s">
        <v>683</v>
      </c>
      <c r="R520" s="52" t="s">
        <v>49</v>
      </c>
      <c r="S520" s="52" t="s">
        <v>673</v>
      </c>
      <c r="T520" s="52" t="s">
        <v>1821</v>
      </c>
      <c r="U520" s="52" t="s">
        <v>1824</v>
      </c>
      <c r="V520" s="50" t="s">
        <v>1823</v>
      </c>
    </row>
    <row r="521" spans="1:22" x14ac:dyDescent="0.3">
      <c r="A521" s="48" t="s">
        <v>1190</v>
      </c>
      <c r="B521" s="49" t="s">
        <v>154</v>
      </c>
      <c r="C521" s="49" t="s">
        <v>1023</v>
      </c>
      <c r="D521" s="49" t="s">
        <v>673</v>
      </c>
      <c r="E521" s="49" t="s">
        <v>674</v>
      </c>
      <c r="F521" s="49" t="s">
        <v>716</v>
      </c>
      <c r="G521" s="49" t="s">
        <v>744</v>
      </c>
      <c r="H521" s="49" t="s">
        <v>935</v>
      </c>
      <c r="I521" s="49" t="s">
        <v>688</v>
      </c>
      <c r="J521" s="49" t="s">
        <v>710</v>
      </c>
      <c r="K521" s="49" t="s">
        <v>690</v>
      </c>
      <c r="L521" s="49" t="s">
        <v>681</v>
      </c>
      <c r="M521" s="49">
        <v>1</v>
      </c>
      <c r="N521" s="49" t="s">
        <v>230</v>
      </c>
      <c r="O521" s="49" t="s">
        <v>665</v>
      </c>
      <c r="P521" s="49" t="s">
        <v>746</v>
      </c>
      <c r="Q521" s="49" t="s">
        <v>683</v>
      </c>
      <c r="R521" s="49" t="s">
        <v>49</v>
      </c>
      <c r="S521" s="52" t="s">
        <v>673</v>
      </c>
      <c r="T521" s="49" t="s">
        <v>1821</v>
      </c>
      <c r="U521" s="49" t="s">
        <v>1824</v>
      </c>
      <c r="V521" s="50" t="s">
        <v>1823</v>
      </c>
    </row>
    <row r="522" spans="1:22" x14ac:dyDescent="0.3">
      <c r="A522" s="51" t="s">
        <v>1252</v>
      </c>
      <c r="B522" s="52" t="s">
        <v>1253</v>
      </c>
      <c r="C522" s="52" t="s">
        <v>1254</v>
      </c>
      <c r="D522" s="52" t="s">
        <v>673</v>
      </c>
      <c r="E522" s="52" t="s">
        <v>674</v>
      </c>
      <c r="F522" s="52" t="s">
        <v>716</v>
      </c>
      <c r="G522" s="52" t="s">
        <v>744</v>
      </c>
      <c r="H522" s="52" t="s">
        <v>935</v>
      </c>
      <c r="I522" s="49" t="s">
        <v>688</v>
      </c>
      <c r="J522" s="52" t="s">
        <v>710</v>
      </c>
      <c r="K522" s="52" t="s">
        <v>690</v>
      </c>
      <c r="L522" s="52" t="s">
        <v>681</v>
      </c>
      <c r="M522" s="52">
        <v>0.2</v>
      </c>
      <c r="N522" s="52" t="s">
        <v>460</v>
      </c>
      <c r="O522" s="52" t="s">
        <v>665</v>
      </c>
      <c r="P522" s="52" t="s">
        <v>746</v>
      </c>
      <c r="Q522" s="52" t="s">
        <v>683</v>
      </c>
      <c r="R522" s="52" t="s">
        <v>49</v>
      </c>
      <c r="S522" s="52" t="s">
        <v>673</v>
      </c>
      <c r="T522" s="52" t="s">
        <v>1821</v>
      </c>
      <c r="U522" s="52" t="s">
        <v>1824</v>
      </c>
      <c r="V522" s="50" t="s">
        <v>1823</v>
      </c>
    </row>
    <row r="523" spans="1:22" x14ac:dyDescent="0.3">
      <c r="A523" s="48" t="s">
        <v>1328</v>
      </c>
      <c r="B523" s="49" t="s">
        <v>1253</v>
      </c>
      <c r="C523" s="49" t="s">
        <v>1329</v>
      </c>
      <c r="D523" s="49" t="s">
        <v>673</v>
      </c>
      <c r="E523" s="49" t="s">
        <v>674</v>
      </c>
      <c r="F523" s="49" t="s">
        <v>716</v>
      </c>
      <c r="G523" s="49" t="s">
        <v>744</v>
      </c>
      <c r="H523" s="49" t="s">
        <v>677</v>
      </c>
      <c r="I523" s="49" t="s">
        <v>688</v>
      </c>
      <c r="J523" s="49" t="s">
        <v>906</v>
      </c>
      <c r="K523" s="49" t="s">
        <v>690</v>
      </c>
      <c r="L523" s="49" t="s">
        <v>681</v>
      </c>
      <c r="M523" s="49">
        <v>0.3</v>
      </c>
      <c r="N523" s="49" t="s">
        <v>460</v>
      </c>
      <c r="O523" s="49" t="s">
        <v>665</v>
      </c>
      <c r="P523" s="49" t="s">
        <v>746</v>
      </c>
      <c r="Q523" s="49" t="s">
        <v>683</v>
      </c>
      <c r="R523" s="49" t="s">
        <v>49</v>
      </c>
      <c r="S523" s="52" t="s">
        <v>673</v>
      </c>
      <c r="T523" s="49" t="s">
        <v>1821</v>
      </c>
      <c r="U523" s="49" t="s">
        <v>1824</v>
      </c>
      <c r="V523" s="50" t="s">
        <v>1823</v>
      </c>
    </row>
    <row r="524" spans="1:22" x14ac:dyDescent="0.3">
      <c r="A524" s="51" t="s">
        <v>1332</v>
      </c>
      <c r="B524" s="52" t="s">
        <v>1253</v>
      </c>
      <c r="C524" s="52" t="s">
        <v>1333</v>
      </c>
      <c r="D524" s="52" t="s">
        <v>673</v>
      </c>
      <c r="E524" s="52" t="s">
        <v>674</v>
      </c>
      <c r="F524" s="52" t="s">
        <v>716</v>
      </c>
      <c r="G524" s="52" t="s">
        <v>744</v>
      </c>
      <c r="H524" s="52" t="s">
        <v>677</v>
      </c>
      <c r="I524" s="49" t="s">
        <v>688</v>
      </c>
      <c r="J524" s="52" t="s">
        <v>906</v>
      </c>
      <c r="K524" s="52" t="s">
        <v>690</v>
      </c>
      <c r="L524" s="52" t="s">
        <v>681</v>
      </c>
      <c r="M524" s="52">
        <v>0.2</v>
      </c>
      <c r="N524" s="52" t="s">
        <v>460</v>
      </c>
      <c r="O524" s="52" t="s">
        <v>665</v>
      </c>
      <c r="P524" s="52" t="s">
        <v>746</v>
      </c>
      <c r="Q524" s="52" t="s">
        <v>683</v>
      </c>
      <c r="R524" s="52" t="s">
        <v>49</v>
      </c>
      <c r="S524" s="52" t="s">
        <v>673</v>
      </c>
      <c r="T524" s="52" t="s">
        <v>1821</v>
      </c>
      <c r="U524" s="52" t="s">
        <v>1824</v>
      </c>
      <c r="V524" s="50" t="s">
        <v>1823</v>
      </c>
    </row>
    <row r="525" spans="1:22" x14ac:dyDescent="0.3">
      <c r="A525" s="48" t="s">
        <v>1326</v>
      </c>
      <c r="B525" s="49" t="s">
        <v>1253</v>
      </c>
      <c r="C525" s="49" t="s">
        <v>1327</v>
      </c>
      <c r="D525" s="49" t="s">
        <v>673</v>
      </c>
      <c r="E525" s="49" t="s">
        <v>674</v>
      </c>
      <c r="F525" s="49" t="s">
        <v>716</v>
      </c>
      <c r="G525" s="49" t="s">
        <v>744</v>
      </c>
      <c r="H525" s="49" t="s">
        <v>677</v>
      </c>
      <c r="I525" s="49" t="s">
        <v>688</v>
      </c>
      <c r="J525" s="49" t="s">
        <v>906</v>
      </c>
      <c r="K525" s="49" t="s">
        <v>690</v>
      </c>
      <c r="L525" s="49" t="s">
        <v>681</v>
      </c>
      <c r="M525" s="49">
        <v>0.3</v>
      </c>
      <c r="N525" s="49" t="s">
        <v>460</v>
      </c>
      <c r="O525" s="49" t="s">
        <v>665</v>
      </c>
      <c r="P525" s="49" t="s">
        <v>746</v>
      </c>
      <c r="Q525" s="49" t="s">
        <v>683</v>
      </c>
      <c r="R525" s="49" t="s">
        <v>49</v>
      </c>
      <c r="S525" s="52" t="s">
        <v>673</v>
      </c>
      <c r="T525" s="49" t="s">
        <v>1821</v>
      </c>
      <c r="U525" s="49" t="s">
        <v>1824</v>
      </c>
      <c r="V525" s="50" t="s">
        <v>1823</v>
      </c>
    </row>
    <row r="526" spans="1:22" x14ac:dyDescent="0.3">
      <c r="A526" s="51" t="s">
        <v>1324</v>
      </c>
      <c r="B526" s="52" t="s">
        <v>1253</v>
      </c>
      <c r="C526" s="52" t="s">
        <v>1325</v>
      </c>
      <c r="D526" s="52" t="s">
        <v>673</v>
      </c>
      <c r="E526" s="52" t="s">
        <v>674</v>
      </c>
      <c r="F526" s="52" t="s">
        <v>716</v>
      </c>
      <c r="G526" s="52" t="s">
        <v>744</v>
      </c>
      <c r="H526" s="52" t="s">
        <v>677</v>
      </c>
      <c r="I526" s="49" t="s">
        <v>688</v>
      </c>
      <c r="J526" s="52" t="s">
        <v>713</v>
      </c>
      <c r="K526" s="52" t="s">
        <v>690</v>
      </c>
      <c r="L526" s="52" t="s">
        <v>681</v>
      </c>
      <c r="M526" s="52">
        <v>1</v>
      </c>
      <c r="N526" s="52" t="s">
        <v>408</v>
      </c>
      <c r="O526" s="52" t="s">
        <v>767</v>
      </c>
      <c r="P526" s="52" t="s">
        <v>746</v>
      </c>
      <c r="Q526" s="52" t="s">
        <v>683</v>
      </c>
      <c r="R526" s="52" t="s">
        <v>49</v>
      </c>
      <c r="S526" s="52" t="s">
        <v>673</v>
      </c>
      <c r="T526" s="52" t="s">
        <v>1821</v>
      </c>
      <c r="U526" s="52" t="s">
        <v>1824</v>
      </c>
      <c r="V526" s="50" t="s">
        <v>1823</v>
      </c>
    </row>
    <row r="527" spans="1:22" x14ac:dyDescent="0.3">
      <c r="A527" s="48" t="s">
        <v>1324</v>
      </c>
      <c r="B527" s="49" t="s">
        <v>1253</v>
      </c>
      <c r="C527" s="49" t="s">
        <v>1325</v>
      </c>
      <c r="D527" s="49" t="s">
        <v>673</v>
      </c>
      <c r="E527" s="49" t="s">
        <v>674</v>
      </c>
      <c r="F527" s="49" t="s">
        <v>716</v>
      </c>
      <c r="G527" s="49" t="s">
        <v>744</v>
      </c>
      <c r="H527" s="49" t="s">
        <v>677</v>
      </c>
      <c r="I527" s="49" t="s">
        <v>688</v>
      </c>
      <c r="J527" s="49" t="s">
        <v>713</v>
      </c>
      <c r="K527" s="49" t="s">
        <v>690</v>
      </c>
      <c r="L527" s="49" t="s">
        <v>681</v>
      </c>
      <c r="M527" s="49">
        <v>0.2</v>
      </c>
      <c r="N527" s="49" t="s">
        <v>467</v>
      </c>
      <c r="O527" s="49" t="s">
        <v>665</v>
      </c>
      <c r="P527" s="49" t="s">
        <v>746</v>
      </c>
      <c r="Q527" s="49" t="s">
        <v>683</v>
      </c>
      <c r="R527" s="49" t="s">
        <v>49</v>
      </c>
      <c r="S527" s="52" t="s">
        <v>673</v>
      </c>
      <c r="T527" s="49" t="s">
        <v>1821</v>
      </c>
      <c r="U527" s="49" t="s">
        <v>1824</v>
      </c>
      <c r="V527" s="50" t="s">
        <v>1823</v>
      </c>
    </row>
    <row r="528" spans="1:22" x14ac:dyDescent="0.3">
      <c r="A528" s="51" t="s">
        <v>1317</v>
      </c>
      <c r="B528" s="52" t="s">
        <v>1049</v>
      </c>
      <c r="C528" s="52" t="s">
        <v>1318</v>
      </c>
      <c r="D528" s="52" t="s">
        <v>673</v>
      </c>
      <c r="E528" s="52" t="s">
        <v>674</v>
      </c>
      <c r="F528" s="52" t="s">
        <v>716</v>
      </c>
      <c r="G528" s="52" t="s">
        <v>744</v>
      </c>
      <c r="H528" s="52" t="s">
        <v>677</v>
      </c>
      <c r="I528" s="49" t="s">
        <v>688</v>
      </c>
      <c r="J528" s="52" t="s">
        <v>710</v>
      </c>
      <c r="K528" s="52" t="s">
        <v>690</v>
      </c>
      <c r="L528" s="52" t="s">
        <v>681</v>
      </c>
      <c r="M528" s="52">
        <v>0.8</v>
      </c>
      <c r="N528" s="52" t="s">
        <v>467</v>
      </c>
      <c r="O528" s="52" t="s">
        <v>665</v>
      </c>
      <c r="P528" s="52" t="s">
        <v>746</v>
      </c>
      <c r="Q528" s="52" t="s">
        <v>683</v>
      </c>
      <c r="R528" s="52" t="s">
        <v>49</v>
      </c>
      <c r="S528" s="52" t="s">
        <v>673</v>
      </c>
      <c r="T528" s="52" t="s">
        <v>1821</v>
      </c>
      <c r="U528" s="52" t="s">
        <v>1824</v>
      </c>
      <c r="V528" s="50" t="s">
        <v>1823</v>
      </c>
    </row>
    <row r="529" spans="1:22" x14ac:dyDescent="0.3">
      <c r="A529" s="48" t="s">
        <v>1257</v>
      </c>
      <c r="B529" s="49" t="s">
        <v>1258</v>
      </c>
      <c r="C529" s="49" t="s">
        <v>1259</v>
      </c>
      <c r="D529" s="49" t="s">
        <v>755</v>
      </c>
      <c r="E529" s="49" t="s">
        <v>674</v>
      </c>
      <c r="F529" s="49" t="s">
        <v>716</v>
      </c>
      <c r="G529" s="49" t="s">
        <v>724</v>
      </c>
      <c r="H529" s="49" t="s">
        <v>677</v>
      </c>
      <c r="I529" s="49" t="s">
        <v>688</v>
      </c>
      <c r="J529" s="49" t="s">
        <v>950</v>
      </c>
      <c r="K529" s="49" t="s">
        <v>680</v>
      </c>
      <c r="L529" s="49" t="s">
        <v>699</v>
      </c>
      <c r="M529" s="49">
        <v>1</v>
      </c>
      <c r="N529" s="49" t="s">
        <v>420</v>
      </c>
      <c r="O529" s="49" t="s">
        <v>665</v>
      </c>
      <c r="P529" s="49" t="s">
        <v>746</v>
      </c>
      <c r="Q529" s="49" t="s">
        <v>683</v>
      </c>
      <c r="R529" s="49" t="s">
        <v>293</v>
      </c>
      <c r="S529" s="49" t="s">
        <v>755</v>
      </c>
      <c r="T529" s="49" t="s">
        <v>1821</v>
      </c>
      <c r="U529" s="49" t="s">
        <v>1824</v>
      </c>
      <c r="V529" s="50" t="s">
        <v>1823</v>
      </c>
    </row>
    <row r="530" spans="1:22" x14ac:dyDescent="0.3">
      <c r="A530" s="51" t="s">
        <v>1379</v>
      </c>
      <c r="B530" s="52" t="s">
        <v>1258</v>
      </c>
      <c r="C530" s="52" t="s">
        <v>1380</v>
      </c>
      <c r="D530" s="52" t="s">
        <v>755</v>
      </c>
      <c r="E530" s="52" t="s">
        <v>674</v>
      </c>
      <c r="F530" s="52" t="s">
        <v>716</v>
      </c>
      <c r="G530" s="52" t="s">
        <v>724</v>
      </c>
      <c r="H530" s="52" t="s">
        <v>677</v>
      </c>
      <c r="I530" s="49" t="s">
        <v>688</v>
      </c>
      <c r="J530" s="52" t="s">
        <v>950</v>
      </c>
      <c r="K530" s="52" t="s">
        <v>680</v>
      </c>
      <c r="L530" s="52" t="s">
        <v>699</v>
      </c>
      <c r="M530" s="52">
        <v>1</v>
      </c>
      <c r="N530" s="52" t="s">
        <v>568</v>
      </c>
      <c r="O530" s="52" t="s">
        <v>665</v>
      </c>
      <c r="P530" s="52" t="s">
        <v>746</v>
      </c>
      <c r="Q530" s="52" t="s">
        <v>683</v>
      </c>
      <c r="R530" s="52" t="s">
        <v>293</v>
      </c>
      <c r="S530" s="49" t="s">
        <v>755</v>
      </c>
      <c r="T530" s="52" t="s">
        <v>1821</v>
      </c>
      <c r="U530" s="52" t="s">
        <v>1824</v>
      </c>
      <c r="V530" s="50" t="s">
        <v>1823</v>
      </c>
    </row>
    <row r="531" spans="1:22" x14ac:dyDescent="0.3">
      <c r="A531" s="48" t="s">
        <v>1381</v>
      </c>
      <c r="B531" s="49" t="s">
        <v>1258</v>
      </c>
      <c r="C531" s="49" t="s">
        <v>1382</v>
      </c>
      <c r="D531" s="49" t="s">
        <v>755</v>
      </c>
      <c r="E531" s="49" t="s">
        <v>674</v>
      </c>
      <c r="F531" s="49" t="s">
        <v>716</v>
      </c>
      <c r="G531" s="49" t="s">
        <v>744</v>
      </c>
      <c r="H531" s="49" t="s">
        <v>677</v>
      </c>
      <c r="I531" s="49" t="s">
        <v>678</v>
      </c>
      <c r="J531" s="49" t="s">
        <v>950</v>
      </c>
      <c r="K531" s="49" t="s">
        <v>680</v>
      </c>
      <c r="L531" s="49" t="s">
        <v>699</v>
      </c>
      <c r="M531" s="49">
        <v>1</v>
      </c>
      <c r="N531" s="49" t="s">
        <v>102</v>
      </c>
      <c r="O531" s="49" t="s">
        <v>665</v>
      </c>
      <c r="P531" s="49" t="s">
        <v>746</v>
      </c>
      <c r="Q531" s="49" t="s">
        <v>683</v>
      </c>
      <c r="R531" s="49" t="s">
        <v>293</v>
      </c>
      <c r="S531" s="49" t="s">
        <v>755</v>
      </c>
      <c r="T531" s="49" t="s">
        <v>1821</v>
      </c>
      <c r="U531" s="49" t="s">
        <v>1824</v>
      </c>
      <c r="V531" s="50" t="s">
        <v>1823</v>
      </c>
    </row>
    <row r="532" spans="1:22" x14ac:dyDescent="0.3">
      <c r="A532" s="51" t="s">
        <v>1383</v>
      </c>
      <c r="B532" s="52" t="s">
        <v>1258</v>
      </c>
      <c r="C532" s="52" t="s">
        <v>1384</v>
      </c>
      <c r="D532" s="52" t="s">
        <v>755</v>
      </c>
      <c r="E532" s="52" t="s">
        <v>674</v>
      </c>
      <c r="F532" s="52" t="s">
        <v>716</v>
      </c>
      <c r="G532" s="52" t="s">
        <v>744</v>
      </c>
      <c r="H532" s="52" t="s">
        <v>677</v>
      </c>
      <c r="I532" s="49" t="s">
        <v>688</v>
      </c>
      <c r="J532" s="52" t="s">
        <v>950</v>
      </c>
      <c r="K532" s="52" t="s">
        <v>680</v>
      </c>
      <c r="L532" s="52" t="s">
        <v>699</v>
      </c>
      <c r="M532" s="52">
        <v>1</v>
      </c>
      <c r="N532" s="52" t="s">
        <v>436</v>
      </c>
      <c r="O532" s="52" t="s">
        <v>665</v>
      </c>
      <c r="P532" s="52" t="s">
        <v>746</v>
      </c>
      <c r="Q532" s="52" t="s">
        <v>683</v>
      </c>
      <c r="R532" s="52" t="s">
        <v>293</v>
      </c>
      <c r="S532" s="49" t="s">
        <v>755</v>
      </c>
      <c r="T532" s="52" t="s">
        <v>1821</v>
      </c>
      <c r="U532" s="52" t="s">
        <v>1824</v>
      </c>
      <c r="V532" s="50" t="s">
        <v>1823</v>
      </c>
    </row>
    <row r="533" spans="1:22" x14ac:dyDescent="0.3">
      <c r="A533" s="48" t="s">
        <v>1383</v>
      </c>
      <c r="B533" s="49" t="s">
        <v>1258</v>
      </c>
      <c r="C533" s="49" t="s">
        <v>1384</v>
      </c>
      <c r="D533" s="49" t="s">
        <v>755</v>
      </c>
      <c r="E533" s="49" t="s">
        <v>674</v>
      </c>
      <c r="F533" s="49" t="s">
        <v>716</v>
      </c>
      <c r="G533" s="49" t="s">
        <v>744</v>
      </c>
      <c r="H533" s="49" t="s">
        <v>677</v>
      </c>
      <c r="I533" s="49" t="s">
        <v>688</v>
      </c>
      <c r="J533" s="49" t="s">
        <v>950</v>
      </c>
      <c r="K533" s="49" t="s">
        <v>680</v>
      </c>
      <c r="L533" s="49" t="s">
        <v>699</v>
      </c>
      <c r="M533" s="49">
        <v>1</v>
      </c>
      <c r="N533" s="49" t="s">
        <v>149</v>
      </c>
      <c r="O533" s="49" t="s">
        <v>767</v>
      </c>
      <c r="P533" s="52" t="s">
        <v>746</v>
      </c>
      <c r="Q533" s="49" t="s">
        <v>683</v>
      </c>
      <c r="R533" s="49" t="s">
        <v>293</v>
      </c>
      <c r="S533" s="49" t="s">
        <v>755</v>
      </c>
      <c r="T533" s="49" t="s">
        <v>1821</v>
      </c>
      <c r="U533" s="49" t="s">
        <v>1824</v>
      </c>
      <c r="V533" s="50" t="s">
        <v>1823</v>
      </c>
    </row>
    <row r="534" spans="1:22" x14ac:dyDescent="0.3">
      <c r="A534" s="51" t="s">
        <v>1385</v>
      </c>
      <c r="B534" s="52" t="s">
        <v>1258</v>
      </c>
      <c r="C534" s="52" t="s">
        <v>1386</v>
      </c>
      <c r="D534" s="52" t="s">
        <v>755</v>
      </c>
      <c r="E534" s="52" t="s">
        <v>674</v>
      </c>
      <c r="F534" s="52" t="s">
        <v>716</v>
      </c>
      <c r="G534" s="52" t="s">
        <v>744</v>
      </c>
      <c r="H534" s="52" t="s">
        <v>677</v>
      </c>
      <c r="I534" s="49" t="s">
        <v>688</v>
      </c>
      <c r="J534" s="52" t="s">
        <v>950</v>
      </c>
      <c r="K534" s="52" t="s">
        <v>680</v>
      </c>
      <c r="L534" s="52" t="s">
        <v>699</v>
      </c>
      <c r="M534" s="52">
        <v>1</v>
      </c>
      <c r="N534" s="52" t="s">
        <v>437</v>
      </c>
      <c r="O534" s="52" t="s">
        <v>767</v>
      </c>
      <c r="P534" s="52" t="s">
        <v>746</v>
      </c>
      <c r="Q534" s="52" t="s">
        <v>683</v>
      </c>
      <c r="R534" s="52" t="s">
        <v>293</v>
      </c>
      <c r="S534" s="49" t="s">
        <v>755</v>
      </c>
      <c r="T534" s="52" t="s">
        <v>1821</v>
      </c>
      <c r="U534" s="52" t="s">
        <v>1824</v>
      </c>
      <c r="V534" s="50" t="s">
        <v>1823</v>
      </c>
    </row>
    <row r="535" spans="1:22" x14ac:dyDescent="0.3">
      <c r="A535" s="48" t="s">
        <v>1379</v>
      </c>
      <c r="B535" s="49" t="s">
        <v>1258</v>
      </c>
      <c r="C535" s="49" t="s">
        <v>1380</v>
      </c>
      <c r="D535" s="49" t="s">
        <v>755</v>
      </c>
      <c r="E535" s="49" t="s">
        <v>674</v>
      </c>
      <c r="F535" s="49" t="s">
        <v>716</v>
      </c>
      <c r="G535" s="49" t="s">
        <v>724</v>
      </c>
      <c r="H535" s="49" t="s">
        <v>677</v>
      </c>
      <c r="I535" s="49" t="s">
        <v>688</v>
      </c>
      <c r="J535" s="49" t="s">
        <v>950</v>
      </c>
      <c r="K535" s="49" t="s">
        <v>680</v>
      </c>
      <c r="L535" s="49" t="s">
        <v>699</v>
      </c>
      <c r="M535" s="49">
        <v>1</v>
      </c>
      <c r="N535" s="49" t="s">
        <v>555</v>
      </c>
      <c r="O535" s="49" t="s">
        <v>665</v>
      </c>
      <c r="P535" s="49" t="s">
        <v>746</v>
      </c>
      <c r="Q535" s="49" t="s">
        <v>683</v>
      </c>
      <c r="R535" s="49" t="s">
        <v>293</v>
      </c>
      <c r="S535" s="49" t="s">
        <v>755</v>
      </c>
      <c r="T535" s="49" t="s">
        <v>1821</v>
      </c>
      <c r="U535" s="49" t="s">
        <v>1824</v>
      </c>
      <c r="V535" s="50" t="s">
        <v>1823</v>
      </c>
    </row>
    <row r="536" spans="1:22" x14ac:dyDescent="0.3">
      <c r="A536" s="51" t="s">
        <v>1379</v>
      </c>
      <c r="B536" s="52" t="s">
        <v>1258</v>
      </c>
      <c r="C536" s="52" t="s">
        <v>1380</v>
      </c>
      <c r="D536" s="52" t="s">
        <v>755</v>
      </c>
      <c r="E536" s="52" t="s">
        <v>674</v>
      </c>
      <c r="F536" s="52" t="s">
        <v>716</v>
      </c>
      <c r="G536" s="52" t="s">
        <v>724</v>
      </c>
      <c r="H536" s="52" t="s">
        <v>677</v>
      </c>
      <c r="I536" s="49" t="s">
        <v>688</v>
      </c>
      <c r="J536" s="52" t="s">
        <v>950</v>
      </c>
      <c r="K536" s="52" t="s">
        <v>680</v>
      </c>
      <c r="L536" s="52" t="s">
        <v>699</v>
      </c>
      <c r="M536" s="52">
        <v>1</v>
      </c>
      <c r="N536" s="52" t="s">
        <v>595</v>
      </c>
      <c r="O536" s="52" t="s">
        <v>665</v>
      </c>
      <c r="P536" s="52" t="s">
        <v>746</v>
      </c>
      <c r="Q536" s="52" t="s">
        <v>683</v>
      </c>
      <c r="R536" s="52" t="s">
        <v>293</v>
      </c>
      <c r="S536" s="49" t="s">
        <v>755</v>
      </c>
      <c r="T536" s="52" t="s">
        <v>1821</v>
      </c>
      <c r="U536" s="52" t="s">
        <v>1824</v>
      </c>
      <c r="V536" s="50" t="s">
        <v>1823</v>
      </c>
    </row>
    <row r="537" spans="1:22" x14ac:dyDescent="0.3">
      <c r="A537" s="48" t="s">
        <v>1387</v>
      </c>
      <c r="B537" s="49" t="s">
        <v>1258</v>
      </c>
      <c r="C537" s="49" t="s">
        <v>1388</v>
      </c>
      <c r="D537" s="49" t="s">
        <v>755</v>
      </c>
      <c r="E537" s="49" t="s">
        <v>674</v>
      </c>
      <c r="F537" s="49" t="s">
        <v>716</v>
      </c>
      <c r="G537" s="49" t="s">
        <v>724</v>
      </c>
      <c r="H537" s="49" t="s">
        <v>677</v>
      </c>
      <c r="I537" s="49" t="s">
        <v>688</v>
      </c>
      <c r="J537" s="49" t="s">
        <v>950</v>
      </c>
      <c r="K537" s="49" t="s">
        <v>680</v>
      </c>
      <c r="L537" s="49" t="s">
        <v>699</v>
      </c>
      <c r="M537" s="49">
        <v>1</v>
      </c>
      <c r="N537" s="49" t="s">
        <v>209</v>
      </c>
      <c r="O537" s="49" t="s">
        <v>665</v>
      </c>
      <c r="P537" s="49" t="s">
        <v>746</v>
      </c>
      <c r="Q537" s="49" t="s">
        <v>683</v>
      </c>
      <c r="R537" s="49" t="s">
        <v>293</v>
      </c>
      <c r="S537" s="49" t="s">
        <v>755</v>
      </c>
      <c r="T537" s="49" t="s">
        <v>1821</v>
      </c>
      <c r="U537" s="49" t="s">
        <v>1824</v>
      </c>
      <c r="V537" s="50" t="s">
        <v>1823</v>
      </c>
    </row>
    <row r="538" spans="1:22" x14ac:dyDescent="0.3">
      <c r="A538" s="51" t="s">
        <v>1387</v>
      </c>
      <c r="B538" s="52" t="s">
        <v>1258</v>
      </c>
      <c r="C538" s="52" t="s">
        <v>1388</v>
      </c>
      <c r="D538" s="52" t="s">
        <v>755</v>
      </c>
      <c r="E538" s="52" t="s">
        <v>674</v>
      </c>
      <c r="F538" s="52" t="s">
        <v>716</v>
      </c>
      <c r="G538" s="52" t="s">
        <v>724</v>
      </c>
      <c r="H538" s="52" t="s">
        <v>677</v>
      </c>
      <c r="I538" s="49" t="s">
        <v>688</v>
      </c>
      <c r="J538" s="52" t="s">
        <v>950</v>
      </c>
      <c r="K538" s="52" t="s">
        <v>680</v>
      </c>
      <c r="L538" s="52" t="s">
        <v>699</v>
      </c>
      <c r="M538" s="52">
        <v>1</v>
      </c>
      <c r="N538" s="52" t="s">
        <v>590</v>
      </c>
      <c r="O538" s="52" t="s">
        <v>767</v>
      </c>
      <c r="P538" s="52" t="s">
        <v>746</v>
      </c>
      <c r="Q538" s="52" t="s">
        <v>683</v>
      </c>
      <c r="R538" s="52" t="s">
        <v>293</v>
      </c>
      <c r="S538" s="49" t="s">
        <v>755</v>
      </c>
      <c r="T538" s="52" t="s">
        <v>1821</v>
      </c>
      <c r="U538" s="52" t="s">
        <v>1824</v>
      </c>
      <c r="V538" s="50" t="s">
        <v>1823</v>
      </c>
    </row>
    <row r="539" spans="1:22" x14ac:dyDescent="0.3">
      <c r="A539" s="48" t="s">
        <v>1387</v>
      </c>
      <c r="B539" s="49" t="s">
        <v>1258</v>
      </c>
      <c r="C539" s="49" t="s">
        <v>1388</v>
      </c>
      <c r="D539" s="49" t="s">
        <v>755</v>
      </c>
      <c r="E539" s="49" t="s">
        <v>674</v>
      </c>
      <c r="F539" s="49" t="s">
        <v>716</v>
      </c>
      <c r="G539" s="49" t="s">
        <v>724</v>
      </c>
      <c r="H539" s="49" t="s">
        <v>677</v>
      </c>
      <c r="I539" s="49" t="s">
        <v>688</v>
      </c>
      <c r="J539" s="49" t="s">
        <v>950</v>
      </c>
      <c r="K539" s="49" t="s">
        <v>680</v>
      </c>
      <c r="L539" s="49" t="s">
        <v>699</v>
      </c>
      <c r="M539" s="49">
        <v>1</v>
      </c>
      <c r="N539" s="49" t="s">
        <v>182</v>
      </c>
      <c r="O539" s="49" t="s">
        <v>767</v>
      </c>
      <c r="P539" s="52" t="s">
        <v>746</v>
      </c>
      <c r="Q539" s="49" t="s">
        <v>683</v>
      </c>
      <c r="R539" s="49" t="s">
        <v>293</v>
      </c>
      <c r="S539" s="49" t="s">
        <v>755</v>
      </c>
      <c r="T539" s="49" t="s">
        <v>1821</v>
      </c>
      <c r="U539" s="49" t="s">
        <v>1824</v>
      </c>
      <c r="V539" s="50" t="s">
        <v>1823</v>
      </c>
    </row>
    <row r="540" spans="1:22" x14ac:dyDescent="0.3">
      <c r="A540" s="51" t="s">
        <v>1379</v>
      </c>
      <c r="B540" s="52" t="s">
        <v>1258</v>
      </c>
      <c r="C540" s="52" t="s">
        <v>1380</v>
      </c>
      <c r="D540" s="52" t="s">
        <v>755</v>
      </c>
      <c r="E540" s="52" t="s">
        <v>674</v>
      </c>
      <c r="F540" s="52" t="s">
        <v>716</v>
      </c>
      <c r="G540" s="52" t="s">
        <v>724</v>
      </c>
      <c r="H540" s="52" t="s">
        <v>677</v>
      </c>
      <c r="I540" s="49" t="s">
        <v>688</v>
      </c>
      <c r="J540" s="52" t="s">
        <v>950</v>
      </c>
      <c r="K540" s="52" t="s">
        <v>680</v>
      </c>
      <c r="L540" s="52" t="s">
        <v>699</v>
      </c>
      <c r="M540" s="52">
        <v>0.25</v>
      </c>
      <c r="N540" s="52" t="s">
        <v>1389</v>
      </c>
      <c r="O540" s="52" t="s">
        <v>665</v>
      </c>
      <c r="P540" s="52" t="s">
        <v>746</v>
      </c>
      <c r="Q540" s="52" t="s">
        <v>683</v>
      </c>
      <c r="R540" s="52" t="s">
        <v>309</v>
      </c>
      <c r="S540" s="49" t="s">
        <v>755</v>
      </c>
      <c r="T540" s="52" t="s">
        <v>1821</v>
      </c>
      <c r="U540" s="52" t="s">
        <v>1824</v>
      </c>
      <c r="V540" s="50" t="s">
        <v>1823</v>
      </c>
    </row>
    <row r="541" spans="1:22" x14ac:dyDescent="0.3">
      <c r="A541" s="48" t="s">
        <v>1381</v>
      </c>
      <c r="B541" s="49" t="s">
        <v>1258</v>
      </c>
      <c r="C541" s="49" t="s">
        <v>1382</v>
      </c>
      <c r="D541" s="49" t="s">
        <v>755</v>
      </c>
      <c r="E541" s="49" t="s">
        <v>674</v>
      </c>
      <c r="F541" s="49" t="s">
        <v>716</v>
      </c>
      <c r="G541" s="49" t="s">
        <v>744</v>
      </c>
      <c r="H541" s="49" t="s">
        <v>677</v>
      </c>
      <c r="I541" s="49" t="s">
        <v>678</v>
      </c>
      <c r="J541" s="49" t="s">
        <v>950</v>
      </c>
      <c r="K541" s="49" t="s">
        <v>680</v>
      </c>
      <c r="L541" s="49" t="s">
        <v>699</v>
      </c>
      <c r="M541" s="49">
        <v>0.75</v>
      </c>
      <c r="N541" s="49" t="s">
        <v>1389</v>
      </c>
      <c r="O541" s="49" t="s">
        <v>665</v>
      </c>
      <c r="P541" s="49" t="s">
        <v>746</v>
      </c>
      <c r="Q541" s="49" t="s">
        <v>683</v>
      </c>
      <c r="R541" s="49" t="s">
        <v>309</v>
      </c>
      <c r="S541" s="49" t="s">
        <v>755</v>
      </c>
      <c r="T541" s="49" t="s">
        <v>1821</v>
      </c>
      <c r="U541" s="49" t="s">
        <v>1824</v>
      </c>
      <c r="V541" s="50" t="s">
        <v>1823</v>
      </c>
    </row>
    <row r="542" spans="1:22" x14ac:dyDescent="0.3">
      <c r="A542" s="51" t="s">
        <v>1381</v>
      </c>
      <c r="B542" s="52" t="s">
        <v>1258</v>
      </c>
      <c r="C542" s="52" t="s">
        <v>1382</v>
      </c>
      <c r="D542" s="52" t="s">
        <v>755</v>
      </c>
      <c r="E542" s="52" t="s">
        <v>674</v>
      </c>
      <c r="F542" s="52" t="s">
        <v>716</v>
      </c>
      <c r="G542" s="52" t="s">
        <v>744</v>
      </c>
      <c r="H542" s="52" t="s">
        <v>677</v>
      </c>
      <c r="I542" s="49" t="s">
        <v>678</v>
      </c>
      <c r="J542" s="52" t="s">
        <v>950</v>
      </c>
      <c r="K542" s="52" t="s">
        <v>680</v>
      </c>
      <c r="L542" s="52" t="s">
        <v>699</v>
      </c>
      <c r="M542" s="52">
        <v>0.5</v>
      </c>
      <c r="N542" s="52" t="s">
        <v>355</v>
      </c>
      <c r="O542" s="52" t="s">
        <v>665</v>
      </c>
      <c r="P542" s="52" t="s">
        <v>746</v>
      </c>
      <c r="Q542" s="52" t="s">
        <v>683</v>
      </c>
      <c r="R542" s="52" t="s">
        <v>309</v>
      </c>
      <c r="S542" s="49" t="s">
        <v>755</v>
      </c>
      <c r="T542" s="52" t="s">
        <v>1821</v>
      </c>
      <c r="U542" s="52" t="s">
        <v>1824</v>
      </c>
      <c r="V542" s="50" t="s">
        <v>1823</v>
      </c>
    </row>
    <row r="543" spans="1:22" x14ac:dyDescent="0.3">
      <c r="A543" s="48" t="s">
        <v>1379</v>
      </c>
      <c r="B543" s="49" t="s">
        <v>1258</v>
      </c>
      <c r="C543" s="49" t="s">
        <v>1380</v>
      </c>
      <c r="D543" s="49" t="s">
        <v>755</v>
      </c>
      <c r="E543" s="49" t="s">
        <v>674</v>
      </c>
      <c r="F543" s="49" t="s">
        <v>716</v>
      </c>
      <c r="G543" s="49" t="s">
        <v>724</v>
      </c>
      <c r="H543" s="49" t="s">
        <v>677</v>
      </c>
      <c r="I543" s="49" t="s">
        <v>688</v>
      </c>
      <c r="J543" s="49" t="s">
        <v>950</v>
      </c>
      <c r="K543" s="49" t="s">
        <v>680</v>
      </c>
      <c r="L543" s="49" t="s">
        <v>699</v>
      </c>
      <c r="M543" s="49">
        <v>1</v>
      </c>
      <c r="N543" s="49" t="s">
        <v>1391</v>
      </c>
      <c r="O543" s="49" t="s">
        <v>767</v>
      </c>
      <c r="P543" s="52" t="s">
        <v>746</v>
      </c>
      <c r="Q543" s="49" t="s">
        <v>683</v>
      </c>
      <c r="R543" s="49" t="s">
        <v>309</v>
      </c>
      <c r="S543" s="49" t="s">
        <v>755</v>
      </c>
      <c r="T543" s="49" t="s">
        <v>1821</v>
      </c>
      <c r="U543" s="49" t="s">
        <v>1824</v>
      </c>
      <c r="V543" s="50" t="s">
        <v>1823</v>
      </c>
    </row>
    <row r="544" spans="1:22" x14ac:dyDescent="0.3">
      <c r="A544" s="51" t="s">
        <v>1379</v>
      </c>
      <c r="B544" s="52" t="s">
        <v>1258</v>
      </c>
      <c r="C544" s="52" t="s">
        <v>1380</v>
      </c>
      <c r="D544" s="52" t="s">
        <v>755</v>
      </c>
      <c r="E544" s="52" t="s">
        <v>674</v>
      </c>
      <c r="F544" s="52" t="s">
        <v>716</v>
      </c>
      <c r="G544" s="52" t="s">
        <v>724</v>
      </c>
      <c r="H544" s="52" t="s">
        <v>677</v>
      </c>
      <c r="I544" s="49" t="s">
        <v>688</v>
      </c>
      <c r="J544" s="52" t="s">
        <v>950</v>
      </c>
      <c r="K544" s="52" t="s">
        <v>680</v>
      </c>
      <c r="L544" s="52" t="s">
        <v>699</v>
      </c>
      <c r="M544" s="52">
        <v>1</v>
      </c>
      <c r="N544" s="52" t="s">
        <v>146</v>
      </c>
      <c r="O544" s="52" t="s">
        <v>767</v>
      </c>
      <c r="P544" s="52" t="s">
        <v>746</v>
      </c>
      <c r="Q544" s="52" t="s">
        <v>683</v>
      </c>
      <c r="R544" s="52" t="s">
        <v>309</v>
      </c>
      <c r="S544" s="49" t="s">
        <v>755</v>
      </c>
      <c r="T544" s="52" t="s">
        <v>1821</v>
      </c>
      <c r="U544" s="52" t="s">
        <v>1824</v>
      </c>
      <c r="V544" s="50" t="s">
        <v>1823</v>
      </c>
    </row>
    <row r="545" spans="1:22" x14ac:dyDescent="0.3">
      <c r="A545" s="48" t="s">
        <v>1257</v>
      </c>
      <c r="B545" s="49" t="s">
        <v>1258</v>
      </c>
      <c r="C545" s="49" t="s">
        <v>1259</v>
      </c>
      <c r="D545" s="49" t="s">
        <v>755</v>
      </c>
      <c r="E545" s="49" t="s">
        <v>674</v>
      </c>
      <c r="F545" s="49" t="s">
        <v>716</v>
      </c>
      <c r="G545" s="49" t="s">
        <v>724</v>
      </c>
      <c r="H545" s="49" t="s">
        <v>677</v>
      </c>
      <c r="I545" s="49" t="s">
        <v>688</v>
      </c>
      <c r="J545" s="49" t="s">
        <v>950</v>
      </c>
      <c r="K545" s="49" t="s">
        <v>680</v>
      </c>
      <c r="L545" s="49" t="s">
        <v>699</v>
      </c>
      <c r="M545" s="49">
        <v>1</v>
      </c>
      <c r="N545" s="49" t="s">
        <v>605</v>
      </c>
      <c r="O545" s="49" t="s">
        <v>665</v>
      </c>
      <c r="P545" s="49" t="s">
        <v>746</v>
      </c>
      <c r="Q545" s="49" t="s">
        <v>683</v>
      </c>
      <c r="R545" s="49" t="s">
        <v>309</v>
      </c>
      <c r="S545" s="49" t="s">
        <v>755</v>
      </c>
      <c r="T545" s="49" t="s">
        <v>1821</v>
      </c>
      <c r="U545" s="49" t="s">
        <v>1824</v>
      </c>
      <c r="V545" s="50" t="s">
        <v>1823</v>
      </c>
    </row>
    <row r="546" spans="1:22" x14ac:dyDescent="0.3">
      <c r="A546" s="51" t="s">
        <v>1379</v>
      </c>
      <c r="B546" s="52" t="s">
        <v>1258</v>
      </c>
      <c r="C546" s="52" t="s">
        <v>1380</v>
      </c>
      <c r="D546" s="52" t="s">
        <v>755</v>
      </c>
      <c r="E546" s="52" t="s">
        <v>674</v>
      </c>
      <c r="F546" s="52" t="s">
        <v>716</v>
      </c>
      <c r="G546" s="52" t="s">
        <v>724</v>
      </c>
      <c r="H546" s="52" t="s">
        <v>677</v>
      </c>
      <c r="I546" s="49" t="s">
        <v>688</v>
      </c>
      <c r="J546" s="52" t="s">
        <v>950</v>
      </c>
      <c r="K546" s="52" t="s">
        <v>680</v>
      </c>
      <c r="L546" s="52" t="s">
        <v>699</v>
      </c>
      <c r="M546" s="52">
        <v>1</v>
      </c>
      <c r="N546" s="52" t="s">
        <v>428</v>
      </c>
      <c r="O546" s="52" t="s">
        <v>665</v>
      </c>
      <c r="P546" s="52" t="s">
        <v>746</v>
      </c>
      <c r="Q546" s="52" t="s">
        <v>683</v>
      </c>
      <c r="R546" s="52" t="s">
        <v>309</v>
      </c>
      <c r="S546" s="49" t="s">
        <v>755</v>
      </c>
      <c r="T546" s="52" t="s">
        <v>1821</v>
      </c>
      <c r="U546" s="52" t="s">
        <v>1824</v>
      </c>
      <c r="V546" s="50" t="s">
        <v>1823</v>
      </c>
    </row>
    <row r="547" spans="1:22" x14ac:dyDescent="0.3">
      <c r="A547" s="48" t="s">
        <v>1385</v>
      </c>
      <c r="B547" s="49" t="s">
        <v>1258</v>
      </c>
      <c r="C547" s="49" t="s">
        <v>1386</v>
      </c>
      <c r="D547" s="49" t="s">
        <v>755</v>
      </c>
      <c r="E547" s="49" t="s">
        <v>674</v>
      </c>
      <c r="F547" s="49" t="s">
        <v>716</v>
      </c>
      <c r="G547" s="49" t="s">
        <v>744</v>
      </c>
      <c r="H547" s="49" t="s">
        <v>677</v>
      </c>
      <c r="I547" s="49" t="s">
        <v>688</v>
      </c>
      <c r="J547" s="49" t="s">
        <v>950</v>
      </c>
      <c r="K547" s="49" t="s">
        <v>680</v>
      </c>
      <c r="L547" s="49" t="s">
        <v>699</v>
      </c>
      <c r="M547" s="49">
        <v>1</v>
      </c>
      <c r="N547" s="49" t="s">
        <v>1392</v>
      </c>
      <c r="O547" s="49" t="s">
        <v>767</v>
      </c>
      <c r="P547" s="52" t="s">
        <v>746</v>
      </c>
      <c r="Q547" s="49" t="s">
        <v>683</v>
      </c>
      <c r="R547" s="49" t="s">
        <v>309</v>
      </c>
      <c r="S547" s="49" t="s">
        <v>755</v>
      </c>
      <c r="T547" s="49" t="s">
        <v>1821</v>
      </c>
      <c r="U547" s="49" t="s">
        <v>1824</v>
      </c>
      <c r="V547" s="50" t="s">
        <v>1823</v>
      </c>
    </row>
    <row r="548" spans="1:22" x14ac:dyDescent="0.3">
      <c r="A548" s="51" t="s">
        <v>1385</v>
      </c>
      <c r="B548" s="52" t="s">
        <v>1258</v>
      </c>
      <c r="C548" s="52" t="s">
        <v>1386</v>
      </c>
      <c r="D548" s="52" t="s">
        <v>755</v>
      </c>
      <c r="E548" s="52" t="s">
        <v>674</v>
      </c>
      <c r="F548" s="52" t="s">
        <v>716</v>
      </c>
      <c r="G548" s="52" t="s">
        <v>744</v>
      </c>
      <c r="H548" s="52" t="s">
        <v>677</v>
      </c>
      <c r="I548" s="49" t="s">
        <v>688</v>
      </c>
      <c r="J548" s="52" t="s">
        <v>950</v>
      </c>
      <c r="K548" s="52" t="s">
        <v>680</v>
      </c>
      <c r="L548" s="52" t="s">
        <v>699</v>
      </c>
      <c r="M548" s="52">
        <v>1</v>
      </c>
      <c r="N548" s="52" t="s">
        <v>187</v>
      </c>
      <c r="O548" s="52" t="s">
        <v>767</v>
      </c>
      <c r="P548" s="52" t="s">
        <v>746</v>
      </c>
      <c r="Q548" s="52" t="s">
        <v>683</v>
      </c>
      <c r="R548" s="52" t="s">
        <v>309</v>
      </c>
      <c r="S548" s="49" t="s">
        <v>755</v>
      </c>
      <c r="T548" s="52" t="s">
        <v>1821</v>
      </c>
      <c r="U548" s="52" t="s">
        <v>1824</v>
      </c>
      <c r="V548" s="50" t="s">
        <v>1823</v>
      </c>
    </row>
    <row r="549" spans="1:22" x14ac:dyDescent="0.3">
      <c r="A549" s="48" t="s">
        <v>1379</v>
      </c>
      <c r="B549" s="49" t="s">
        <v>1258</v>
      </c>
      <c r="C549" s="49" t="s">
        <v>1380</v>
      </c>
      <c r="D549" s="49" t="s">
        <v>755</v>
      </c>
      <c r="E549" s="49" t="s">
        <v>674</v>
      </c>
      <c r="F549" s="49" t="s">
        <v>716</v>
      </c>
      <c r="G549" s="49" t="s">
        <v>724</v>
      </c>
      <c r="H549" s="49" t="s">
        <v>677</v>
      </c>
      <c r="I549" s="49" t="s">
        <v>688</v>
      </c>
      <c r="J549" s="49" t="s">
        <v>950</v>
      </c>
      <c r="K549" s="49" t="s">
        <v>680</v>
      </c>
      <c r="L549" s="49" t="s">
        <v>699</v>
      </c>
      <c r="M549" s="49">
        <v>1</v>
      </c>
      <c r="N549" s="49" t="s">
        <v>1393</v>
      </c>
      <c r="O549" s="49" t="s">
        <v>665</v>
      </c>
      <c r="P549" s="49" t="s">
        <v>2091</v>
      </c>
      <c r="Q549" s="49" t="s">
        <v>683</v>
      </c>
      <c r="R549" s="49" t="s">
        <v>309</v>
      </c>
      <c r="S549" s="49" t="s">
        <v>755</v>
      </c>
      <c r="T549" s="49" t="s">
        <v>1821</v>
      </c>
      <c r="U549" s="49" t="s">
        <v>1824</v>
      </c>
      <c r="V549" s="50" t="s">
        <v>1823</v>
      </c>
    </row>
    <row r="550" spans="1:22" x14ac:dyDescent="0.3">
      <c r="A550" s="51" t="s">
        <v>1381</v>
      </c>
      <c r="B550" s="52" t="s">
        <v>1258</v>
      </c>
      <c r="C550" s="52" t="s">
        <v>1382</v>
      </c>
      <c r="D550" s="52" t="s">
        <v>755</v>
      </c>
      <c r="E550" s="52" t="s">
        <v>674</v>
      </c>
      <c r="F550" s="52" t="s">
        <v>716</v>
      </c>
      <c r="G550" s="52" t="s">
        <v>744</v>
      </c>
      <c r="H550" s="52" t="s">
        <v>677</v>
      </c>
      <c r="I550" s="49" t="s">
        <v>678</v>
      </c>
      <c r="J550" s="52" t="s">
        <v>950</v>
      </c>
      <c r="K550" s="52" t="s">
        <v>680</v>
      </c>
      <c r="L550" s="52" t="s">
        <v>699</v>
      </c>
      <c r="M550" s="52">
        <v>0.75</v>
      </c>
      <c r="N550" s="52" t="s">
        <v>126</v>
      </c>
      <c r="O550" s="52" t="s">
        <v>665</v>
      </c>
      <c r="P550" s="52" t="s">
        <v>746</v>
      </c>
      <c r="Q550" s="52" t="s">
        <v>683</v>
      </c>
      <c r="R550" s="52" t="s">
        <v>309</v>
      </c>
      <c r="S550" s="49" t="s">
        <v>755</v>
      </c>
      <c r="T550" s="52" t="s">
        <v>1821</v>
      </c>
      <c r="U550" s="52" t="s">
        <v>1824</v>
      </c>
      <c r="V550" s="50" t="s">
        <v>1823</v>
      </c>
    </row>
    <row r="551" spans="1:22" x14ac:dyDescent="0.3">
      <c r="A551" s="48" t="s">
        <v>1381</v>
      </c>
      <c r="B551" s="49" t="s">
        <v>1258</v>
      </c>
      <c r="C551" s="49" t="s">
        <v>1382</v>
      </c>
      <c r="D551" s="49" t="s">
        <v>755</v>
      </c>
      <c r="E551" s="49" t="s">
        <v>674</v>
      </c>
      <c r="F551" s="49" t="s">
        <v>716</v>
      </c>
      <c r="G551" s="49" t="s">
        <v>744</v>
      </c>
      <c r="H551" s="49" t="s">
        <v>677</v>
      </c>
      <c r="I551" s="49" t="s">
        <v>678</v>
      </c>
      <c r="J551" s="49" t="s">
        <v>950</v>
      </c>
      <c r="K551" s="49" t="s">
        <v>680</v>
      </c>
      <c r="L551" s="49" t="s">
        <v>699</v>
      </c>
      <c r="M551" s="49">
        <v>1</v>
      </c>
      <c r="N551" s="49" t="s">
        <v>38</v>
      </c>
      <c r="O551" s="49" t="s">
        <v>665</v>
      </c>
      <c r="P551" s="49" t="s">
        <v>746</v>
      </c>
      <c r="Q551" s="49" t="s">
        <v>683</v>
      </c>
      <c r="R551" s="49" t="s">
        <v>309</v>
      </c>
      <c r="S551" s="49" t="s">
        <v>755</v>
      </c>
      <c r="T551" s="49" t="s">
        <v>1821</v>
      </c>
      <c r="U551" s="49" t="s">
        <v>1824</v>
      </c>
      <c r="V551" s="50" t="s">
        <v>1823</v>
      </c>
    </row>
    <row r="552" spans="1:22" x14ac:dyDescent="0.3">
      <c r="A552" s="51" t="s">
        <v>1379</v>
      </c>
      <c r="B552" s="52" t="s">
        <v>1258</v>
      </c>
      <c r="C552" s="52" t="s">
        <v>1380</v>
      </c>
      <c r="D552" s="52" t="s">
        <v>755</v>
      </c>
      <c r="E552" s="52" t="s">
        <v>674</v>
      </c>
      <c r="F552" s="52" t="s">
        <v>716</v>
      </c>
      <c r="G552" s="52" t="s">
        <v>724</v>
      </c>
      <c r="H552" s="52" t="s">
        <v>677</v>
      </c>
      <c r="I552" s="49" t="s">
        <v>688</v>
      </c>
      <c r="J552" s="52" t="s">
        <v>950</v>
      </c>
      <c r="K552" s="52" t="s">
        <v>680</v>
      </c>
      <c r="L552" s="52" t="s">
        <v>699</v>
      </c>
      <c r="M552" s="52">
        <v>0.25</v>
      </c>
      <c r="N552" s="52" t="s">
        <v>126</v>
      </c>
      <c r="O552" s="52" t="s">
        <v>665</v>
      </c>
      <c r="P552" s="52" t="s">
        <v>746</v>
      </c>
      <c r="Q552" s="52" t="s">
        <v>683</v>
      </c>
      <c r="R552" s="52" t="s">
        <v>309</v>
      </c>
      <c r="S552" s="49" t="s">
        <v>755</v>
      </c>
      <c r="T552" s="52" t="s">
        <v>1821</v>
      </c>
      <c r="U552" s="52" t="s">
        <v>1824</v>
      </c>
      <c r="V552" s="50" t="s">
        <v>1823</v>
      </c>
    </row>
    <row r="553" spans="1:22" x14ac:dyDescent="0.3">
      <c r="A553" s="48" t="s">
        <v>1257</v>
      </c>
      <c r="B553" s="49" t="s">
        <v>1258</v>
      </c>
      <c r="C553" s="49" t="s">
        <v>1259</v>
      </c>
      <c r="D553" s="49" t="s">
        <v>755</v>
      </c>
      <c r="E553" s="49" t="s">
        <v>674</v>
      </c>
      <c r="F553" s="49" t="s">
        <v>716</v>
      </c>
      <c r="G553" s="49" t="s">
        <v>724</v>
      </c>
      <c r="H553" s="49" t="s">
        <v>677</v>
      </c>
      <c r="I553" s="49" t="s">
        <v>688</v>
      </c>
      <c r="J553" s="49" t="s">
        <v>950</v>
      </c>
      <c r="K553" s="49" t="s">
        <v>680</v>
      </c>
      <c r="L553" s="49" t="s">
        <v>699</v>
      </c>
      <c r="M553" s="49">
        <v>1</v>
      </c>
      <c r="N553" s="49" t="s">
        <v>446</v>
      </c>
      <c r="O553" s="49" t="s">
        <v>767</v>
      </c>
      <c r="P553" s="52" t="s">
        <v>746</v>
      </c>
      <c r="Q553" s="49" t="s">
        <v>683</v>
      </c>
      <c r="R553" s="49" t="s">
        <v>309</v>
      </c>
      <c r="S553" s="49" t="s">
        <v>755</v>
      </c>
      <c r="T553" s="49" t="s">
        <v>1821</v>
      </c>
      <c r="U553" s="49" t="s">
        <v>1824</v>
      </c>
      <c r="V553" s="50" t="s">
        <v>1823</v>
      </c>
    </row>
    <row r="554" spans="1:22" x14ac:dyDescent="0.3">
      <c r="A554" s="51" t="s">
        <v>1385</v>
      </c>
      <c r="B554" s="52" t="s">
        <v>1258</v>
      </c>
      <c r="C554" s="52" t="s">
        <v>1386</v>
      </c>
      <c r="D554" s="52" t="s">
        <v>755</v>
      </c>
      <c r="E554" s="52" t="s">
        <v>674</v>
      </c>
      <c r="F554" s="52" t="s">
        <v>716</v>
      </c>
      <c r="G554" s="52" t="s">
        <v>744</v>
      </c>
      <c r="H554" s="52" t="s">
        <v>677</v>
      </c>
      <c r="I554" s="49" t="s">
        <v>688</v>
      </c>
      <c r="J554" s="52" t="s">
        <v>950</v>
      </c>
      <c r="K554" s="52" t="s">
        <v>680</v>
      </c>
      <c r="L554" s="52" t="s">
        <v>699</v>
      </c>
      <c r="M554" s="52">
        <v>1</v>
      </c>
      <c r="N554" s="52" t="s">
        <v>501</v>
      </c>
      <c r="O554" s="52" t="s">
        <v>767</v>
      </c>
      <c r="P554" s="52" t="s">
        <v>746</v>
      </c>
      <c r="Q554" s="52" t="s">
        <v>683</v>
      </c>
      <c r="R554" s="52" t="s">
        <v>309</v>
      </c>
      <c r="S554" s="49" t="s">
        <v>755</v>
      </c>
      <c r="T554" s="52" t="s">
        <v>1821</v>
      </c>
      <c r="U554" s="52" t="s">
        <v>1824</v>
      </c>
      <c r="V554" s="50" t="s">
        <v>1823</v>
      </c>
    </row>
    <row r="555" spans="1:22" x14ac:dyDescent="0.3">
      <c r="A555" s="48" t="s">
        <v>1379</v>
      </c>
      <c r="B555" s="49" t="s">
        <v>1258</v>
      </c>
      <c r="C555" s="49" t="s">
        <v>1380</v>
      </c>
      <c r="D555" s="49" t="s">
        <v>755</v>
      </c>
      <c r="E555" s="49" t="s">
        <v>674</v>
      </c>
      <c r="F555" s="49" t="s">
        <v>716</v>
      </c>
      <c r="G555" s="49" t="s">
        <v>724</v>
      </c>
      <c r="H555" s="49" t="s">
        <v>677</v>
      </c>
      <c r="I555" s="49" t="s">
        <v>688</v>
      </c>
      <c r="J555" s="49" t="s">
        <v>950</v>
      </c>
      <c r="K555" s="49" t="s">
        <v>680</v>
      </c>
      <c r="L555" s="49" t="s">
        <v>699</v>
      </c>
      <c r="M555" s="49">
        <v>0.5</v>
      </c>
      <c r="N555" s="49" t="s">
        <v>355</v>
      </c>
      <c r="O555" s="49" t="s">
        <v>665</v>
      </c>
      <c r="P555" s="49" t="s">
        <v>746</v>
      </c>
      <c r="Q555" s="49" t="s">
        <v>683</v>
      </c>
      <c r="R555" s="49" t="s">
        <v>309</v>
      </c>
      <c r="S555" s="49" t="s">
        <v>755</v>
      </c>
      <c r="T555" s="49" t="s">
        <v>1821</v>
      </c>
      <c r="U555" s="49" t="s">
        <v>1824</v>
      </c>
      <c r="V555" s="50" t="s">
        <v>1823</v>
      </c>
    </row>
    <row r="556" spans="1:22" x14ac:dyDescent="0.3">
      <c r="A556" s="51" t="s">
        <v>1016</v>
      </c>
      <c r="B556" s="52" t="s">
        <v>955</v>
      </c>
      <c r="C556" s="52" t="s">
        <v>1017</v>
      </c>
      <c r="D556" s="52" t="s">
        <v>673</v>
      </c>
      <c r="E556" s="52" t="s">
        <v>674</v>
      </c>
      <c r="F556" s="52" t="s">
        <v>675</v>
      </c>
      <c r="G556" s="52" t="s">
        <v>676</v>
      </c>
      <c r="H556" s="52" t="s">
        <v>677</v>
      </c>
      <c r="I556" s="49" t="s">
        <v>688</v>
      </c>
      <c r="J556" s="52" t="s">
        <v>713</v>
      </c>
      <c r="K556" s="52" t="s">
        <v>690</v>
      </c>
      <c r="L556" s="52" t="s">
        <v>699</v>
      </c>
      <c r="M556" s="52">
        <v>0.8</v>
      </c>
      <c r="N556" s="52" t="s">
        <v>257</v>
      </c>
      <c r="O556" s="52" t="s">
        <v>665</v>
      </c>
      <c r="P556" s="52" t="s">
        <v>746</v>
      </c>
      <c r="Q556" s="52" t="s">
        <v>683</v>
      </c>
      <c r="R556" s="52" t="s">
        <v>154</v>
      </c>
      <c r="S556" s="52" t="s">
        <v>673</v>
      </c>
      <c r="T556" s="52" t="s">
        <v>1821</v>
      </c>
      <c r="U556" s="52" t="s">
        <v>1824</v>
      </c>
      <c r="V556" s="50" t="s">
        <v>1823</v>
      </c>
    </row>
    <row r="557" spans="1:22" x14ac:dyDescent="0.3">
      <c r="A557" s="48" t="s">
        <v>964</v>
      </c>
      <c r="B557" s="49" t="s">
        <v>960</v>
      </c>
      <c r="C557" s="49" t="s">
        <v>965</v>
      </c>
      <c r="D557" s="49" t="s">
        <v>673</v>
      </c>
      <c r="E557" s="49" t="s">
        <v>674</v>
      </c>
      <c r="F557" s="49" t="s">
        <v>675</v>
      </c>
      <c r="G557" s="49" t="s">
        <v>676</v>
      </c>
      <c r="H557" s="49" t="s">
        <v>677</v>
      </c>
      <c r="I557" s="49" t="s">
        <v>678</v>
      </c>
      <c r="J557" s="49" t="s">
        <v>713</v>
      </c>
      <c r="K557" s="49" t="s">
        <v>690</v>
      </c>
      <c r="L557" s="49" t="s">
        <v>699</v>
      </c>
      <c r="M557" s="49">
        <v>0.2</v>
      </c>
      <c r="N557" s="49" t="s">
        <v>257</v>
      </c>
      <c r="O557" s="49" t="s">
        <v>665</v>
      </c>
      <c r="P557" s="49" t="s">
        <v>746</v>
      </c>
      <c r="Q557" s="49" t="s">
        <v>683</v>
      </c>
      <c r="R557" s="49" t="s">
        <v>154</v>
      </c>
      <c r="S557" s="52" t="s">
        <v>673</v>
      </c>
      <c r="T557" s="49" t="s">
        <v>1821</v>
      </c>
      <c r="U557" s="49" t="s">
        <v>1824</v>
      </c>
      <c r="V557" s="50" t="s">
        <v>1823</v>
      </c>
    </row>
    <row r="558" spans="1:22" x14ac:dyDescent="0.3">
      <c r="A558" s="51" t="s">
        <v>1020</v>
      </c>
      <c r="B558" s="52" t="s">
        <v>154</v>
      </c>
      <c r="C558" s="52" t="s">
        <v>1021</v>
      </c>
      <c r="D558" s="52" t="s">
        <v>673</v>
      </c>
      <c r="E558" s="52" t="s">
        <v>674</v>
      </c>
      <c r="F558" s="52" t="s">
        <v>675</v>
      </c>
      <c r="G558" s="52" t="s">
        <v>724</v>
      </c>
      <c r="H558" s="52" t="s">
        <v>677</v>
      </c>
      <c r="I558" s="49" t="s">
        <v>678</v>
      </c>
      <c r="J558" s="52" t="s">
        <v>713</v>
      </c>
      <c r="K558" s="52" t="s">
        <v>690</v>
      </c>
      <c r="L558" s="52" t="s">
        <v>681</v>
      </c>
      <c r="M558" s="52">
        <v>0.1</v>
      </c>
      <c r="N558" s="52" t="s">
        <v>410</v>
      </c>
      <c r="O558" s="52" t="s">
        <v>665</v>
      </c>
      <c r="P558" s="52" t="s">
        <v>746</v>
      </c>
      <c r="Q558" s="52" t="s">
        <v>683</v>
      </c>
      <c r="R558" s="52" t="s">
        <v>154</v>
      </c>
      <c r="S558" s="52" t="s">
        <v>673</v>
      </c>
      <c r="T558" s="52" t="s">
        <v>1821</v>
      </c>
      <c r="U558" s="52" t="s">
        <v>1824</v>
      </c>
      <c r="V558" s="50" t="s">
        <v>1823</v>
      </c>
    </row>
    <row r="559" spans="1:22" x14ac:dyDescent="0.3">
      <c r="A559" s="48" t="s">
        <v>1018</v>
      </c>
      <c r="B559" s="49" t="s">
        <v>154</v>
      </c>
      <c r="C559" s="49" t="s">
        <v>1019</v>
      </c>
      <c r="D559" s="49" t="s">
        <v>673</v>
      </c>
      <c r="E559" s="49" t="s">
        <v>674</v>
      </c>
      <c r="F559" s="49" t="s">
        <v>716</v>
      </c>
      <c r="G559" s="49" t="s">
        <v>744</v>
      </c>
      <c r="H559" s="49" t="s">
        <v>935</v>
      </c>
      <c r="I559" s="49" t="s">
        <v>678</v>
      </c>
      <c r="J559" s="49" t="s">
        <v>713</v>
      </c>
      <c r="K559" s="49" t="s">
        <v>690</v>
      </c>
      <c r="L559" s="49" t="s">
        <v>681</v>
      </c>
      <c r="M559" s="49">
        <v>0.9</v>
      </c>
      <c r="N559" s="49" t="s">
        <v>410</v>
      </c>
      <c r="O559" s="49" t="s">
        <v>665</v>
      </c>
      <c r="P559" s="49" t="s">
        <v>746</v>
      </c>
      <c r="Q559" s="49" t="s">
        <v>683</v>
      </c>
      <c r="R559" s="49" t="s">
        <v>154</v>
      </c>
      <c r="S559" s="52" t="s">
        <v>673</v>
      </c>
      <c r="T559" s="49" t="s">
        <v>1821</v>
      </c>
      <c r="U559" s="49" t="s">
        <v>1824</v>
      </c>
      <c r="V559" s="50" t="s">
        <v>1823</v>
      </c>
    </row>
    <row r="560" spans="1:22" x14ac:dyDescent="0.3">
      <c r="A560" s="51" t="s">
        <v>1022</v>
      </c>
      <c r="B560" s="52" t="s">
        <v>154</v>
      </c>
      <c r="C560" s="52" t="s">
        <v>1023</v>
      </c>
      <c r="D560" s="52" t="s">
        <v>673</v>
      </c>
      <c r="E560" s="52" t="s">
        <v>674</v>
      </c>
      <c r="F560" s="52" t="s">
        <v>675</v>
      </c>
      <c r="G560" s="52" t="s">
        <v>744</v>
      </c>
      <c r="H560" s="52" t="s">
        <v>935</v>
      </c>
      <c r="I560" s="49" t="s">
        <v>678</v>
      </c>
      <c r="J560" s="52" t="s">
        <v>710</v>
      </c>
      <c r="K560" s="52" t="s">
        <v>690</v>
      </c>
      <c r="L560" s="52" t="s">
        <v>681</v>
      </c>
      <c r="M560" s="52">
        <v>1</v>
      </c>
      <c r="N560" s="52" t="s">
        <v>484</v>
      </c>
      <c r="O560" s="52" t="s">
        <v>767</v>
      </c>
      <c r="P560" s="52" t="s">
        <v>746</v>
      </c>
      <c r="Q560" s="52" t="s">
        <v>683</v>
      </c>
      <c r="R560" s="52" t="s">
        <v>154</v>
      </c>
      <c r="S560" s="52" t="s">
        <v>673</v>
      </c>
      <c r="T560" s="52" t="s">
        <v>1821</v>
      </c>
      <c r="U560" s="52" t="s">
        <v>1824</v>
      </c>
      <c r="V560" s="50" t="s">
        <v>1823</v>
      </c>
    </row>
    <row r="561" spans="1:22" x14ac:dyDescent="0.3">
      <c r="A561" s="48" t="s">
        <v>1022</v>
      </c>
      <c r="B561" s="49" t="s">
        <v>154</v>
      </c>
      <c r="C561" s="49" t="s">
        <v>1023</v>
      </c>
      <c r="D561" s="49" t="s">
        <v>673</v>
      </c>
      <c r="E561" s="49" t="s">
        <v>674</v>
      </c>
      <c r="F561" s="49" t="s">
        <v>675</v>
      </c>
      <c r="G561" s="49" t="s">
        <v>744</v>
      </c>
      <c r="H561" s="49" t="s">
        <v>935</v>
      </c>
      <c r="I561" s="49" t="s">
        <v>678</v>
      </c>
      <c r="J561" s="49" t="s">
        <v>710</v>
      </c>
      <c r="K561" s="49" t="s">
        <v>690</v>
      </c>
      <c r="L561" s="49" t="s">
        <v>681</v>
      </c>
      <c r="M561" s="49">
        <v>1</v>
      </c>
      <c r="N561" s="49" t="s">
        <v>509</v>
      </c>
      <c r="O561" s="49" t="s">
        <v>665</v>
      </c>
      <c r="P561" s="49" t="s">
        <v>746</v>
      </c>
      <c r="Q561" s="49" t="s">
        <v>683</v>
      </c>
      <c r="R561" s="49" t="s">
        <v>154</v>
      </c>
      <c r="S561" s="52" t="s">
        <v>673</v>
      </c>
      <c r="T561" s="49" t="s">
        <v>1821</v>
      </c>
      <c r="U561" s="49" t="s">
        <v>1824</v>
      </c>
      <c r="V561" s="50" t="s">
        <v>1823</v>
      </c>
    </row>
    <row r="562" spans="1:22" x14ac:dyDescent="0.3">
      <c r="A562" s="51" t="s">
        <v>824</v>
      </c>
      <c r="B562" s="52" t="s">
        <v>760</v>
      </c>
      <c r="C562" s="52" t="s">
        <v>825</v>
      </c>
      <c r="D562" s="52" t="s">
        <v>673</v>
      </c>
      <c r="E562" s="52" t="s">
        <v>674</v>
      </c>
      <c r="F562" s="52" t="s">
        <v>675</v>
      </c>
      <c r="G562" s="52" t="s">
        <v>676</v>
      </c>
      <c r="H562" s="52" t="s">
        <v>677</v>
      </c>
      <c r="I562" s="49" t="s">
        <v>678</v>
      </c>
      <c r="J562" s="52" t="s">
        <v>713</v>
      </c>
      <c r="K562" s="52" t="s">
        <v>690</v>
      </c>
      <c r="L562" s="52" t="s">
        <v>699</v>
      </c>
      <c r="M562" s="52">
        <v>0.5</v>
      </c>
      <c r="N562" s="52" t="s">
        <v>534</v>
      </c>
      <c r="O562" s="52" t="s">
        <v>767</v>
      </c>
      <c r="P562" s="52" t="s">
        <v>746</v>
      </c>
      <c r="Q562" s="52" t="s">
        <v>683</v>
      </c>
      <c r="R562" s="52" t="s">
        <v>154</v>
      </c>
      <c r="S562" s="52" t="s">
        <v>673</v>
      </c>
      <c r="T562" s="52" t="s">
        <v>1821</v>
      </c>
      <c r="U562" s="52" t="s">
        <v>1824</v>
      </c>
      <c r="V562" s="50" t="s">
        <v>1823</v>
      </c>
    </row>
    <row r="563" spans="1:22" x14ac:dyDescent="0.3">
      <c r="A563" s="48" t="s">
        <v>954</v>
      </c>
      <c r="B563" s="49" t="s">
        <v>955</v>
      </c>
      <c r="C563" s="49" t="s">
        <v>956</v>
      </c>
      <c r="D563" s="49" t="s">
        <v>673</v>
      </c>
      <c r="E563" s="49" t="s">
        <v>674</v>
      </c>
      <c r="F563" s="49" t="s">
        <v>675</v>
      </c>
      <c r="G563" s="49" t="s">
        <v>676</v>
      </c>
      <c r="H563" s="49" t="s">
        <v>677</v>
      </c>
      <c r="I563" s="49" t="s">
        <v>688</v>
      </c>
      <c r="J563" s="49" t="s">
        <v>713</v>
      </c>
      <c r="K563" s="49" t="s">
        <v>690</v>
      </c>
      <c r="L563" s="49" t="s">
        <v>699</v>
      </c>
      <c r="M563" s="49">
        <v>0.5</v>
      </c>
      <c r="N563" s="49" t="s">
        <v>534</v>
      </c>
      <c r="O563" s="49" t="s">
        <v>767</v>
      </c>
      <c r="P563" s="52" t="s">
        <v>746</v>
      </c>
      <c r="Q563" s="49" t="s">
        <v>683</v>
      </c>
      <c r="R563" s="49" t="s">
        <v>154</v>
      </c>
      <c r="S563" s="52" t="s">
        <v>673</v>
      </c>
      <c r="T563" s="49" t="s">
        <v>1821</v>
      </c>
      <c r="U563" s="49" t="s">
        <v>1824</v>
      </c>
      <c r="V563" s="50" t="s">
        <v>1823</v>
      </c>
    </row>
    <row r="564" spans="1:22" x14ac:dyDescent="0.3">
      <c r="A564" s="51" t="s">
        <v>1024</v>
      </c>
      <c r="B564" s="52" t="s">
        <v>154</v>
      </c>
      <c r="C564" s="52" t="s">
        <v>1025</v>
      </c>
      <c r="D564" s="52" t="s">
        <v>673</v>
      </c>
      <c r="E564" s="52" t="s">
        <v>674</v>
      </c>
      <c r="F564" s="52" t="s">
        <v>675</v>
      </c>
      <c r="G564" s="52" t="s">
        <v>676</v>
      </c>
      <c r="H564" s="52" t="s">
        <v>677</v>
      </c>
      <c r="I564" s="49" t="s">
        <v>688</v>
      </c>
      <c r="J564" s="52" t="s">
        <v>713</v>
      </c>
      <c r="K564" s="52" t="s">
        <v>690</v>
      </c>
      <c r="L564" s="52" t="s">
        <v>681</v>
      </c>
      <c r="M564" s="52">
        <v>0.3</v>
      </c>
      <c r="N564" s="52" t="s">
        <v>535</v>
      </c>
      <c r="O564" s="52" t="s">
        <v>665</v>
      </c>
      <c r="P564" s="52" t="s">
        <v>746</v>
      </c>
      <c r="Q564" s="52" t="s">
        <v>683</v>
      </c>
      <c r="R564" s="52" t="s">
        <v>154</v>
      </c>
      <c r="S564" s="52" t="s">
        <v>673</v>
      </c>
      <c r="T564" s="52" t="s">
        <v>1821</v>
      </c>
      <c r="U564" s="52" t="s">
        <v>1824</v>
      </c>
      <c r="V564" s="50" t="s">
        <v>1823</v>
      </c>
    </row>
    <row r="565" spans="1:22" x14ac:dyDescent="0.3">
      <c r="A565" s="48" t="s">
        <v>954</v>
      </c>
      <c r="B565" s="49" t="s">
        <v>955</v>
      </c>
      <c r="C565" s="49" t="s">
        <v>956</v>
      </c>
      <c r="D565" s="49" t="s">
        <v>673</v>
      </c>
      <c r="E565" s="49" t="s">
        <v>674</v>
      </c>
      <c r="F565" s="49" t="s">
        <v>675</v>
      </c>
      <c r="G565" s="49" t="s">
        <v>676</v>
      </c>
      <c r="H565" s="49" t="s">
        <v>677</v>
      </c>
      <c r="I565" s="49" t="s">
        <v>688</v>
      </c>
      <c r="J565" s="49" t="s">
        <v>713</v>
      </c>
      <c r="K565" s="49" t="s">
        <v>690</v>
      </c>
      <c r="L565" s="49" t="s">
        <v>699</v>
      </c>
      <c r="M565" s="49">
        <v>0.7</v>
      </c>
      <c r="N565" s="49" t="s">
        <v>535</v>
      </c>
      <c r="O565" s="49" t="s">
        <v>665</v>
      </c>
      <c r="P565" s="49" t="s">
        <v>746</v>
      </c>
      <c r="Q565" s="49" t="s">
        <v>683</v>
      </c>
      <c r="R565" s="49" t="s">
        <v>154</v>
      </c>
      <c r="S565" s="52" t="s">
        <v>673</v>
      </c>
      <c r="T565" s="49" t="s">
        <v>1821</v>
      </c>
      <c r="U565" s="49" t="s">
        <v>1824</v>
      </c>
      <c r="V565" s="50" t="s">
        <v>1823</v>
      </c>
    </row>
    <row r="566" spans="1:22" x14ac:dyDescent="0.3">
      <c r="A566" s="51" t="s">
        <v>959</v>
      </c>
      <c r="B566" s="52" t="s">
        <v>960</v>
      </c>
      <c r="C566" s="52" t="s">
        <v>961</v>
      </c>
      <c r="D566" s="52" t="s">
        <v>673</v>
      </c>
      <c r="E566" s="52" t="s">
        <v>674</v>
      </c>
      <c r="F566" s="52" t="s">
        <v>675</v>
      </c>
      <c r="G566" s="52" t="s">
        <v>676</v>
      </c>
      <c r="H566" s="52" t="s">
        <v>677</v>
      </c>
      <c r="I566" s="49" t="s">
        <v>678</v>
      </c>
      <c r="J566" s="52" t="s">
        <v>713</v>
      </c>
      <c r="K566" s="52" t="s">
        <v>690</v>
      </c>
      <c r="L566" s="52" t="s">
        <v>699</v>
      </c>
      <c r="M566" s="52">
        <v>0.2</v>
      </c>
      <c r="N566" s="52" t="s">
        <v>584</v>
      </c>
      <c r="O566" s="52" t="s">
        <v>665</v>
      </c>
      <c r="P566" s="52" t="s">
        <v>746</v>
      </c>
      <c r="Q566" s="52" t="s">
        <v>683</v>
      </c>
      <c r="R566" s="52" t="s">
        <v>154</v>
      </c>
      <c r="S566" s="52" t="s">
        <v>673</v>
      </c>
      <c r="T566" s="52" t="s">
        <v>1821</v>
      </c>
      <c r="U566" s="52" t="s">
        <v>1824</v>
      </c>
      <c r="V566" s="50" t="s">
        <v>1823</v>
      </c>
    </row>
    <row r="567" spans="1:22" x14ac:dyDescent="0.3">
      <c r="A567" s="48" t="s">
        <v>962</v>
      </c>
      <c r="B567" s="49" t="s">
        <v>760</v>
      </c>
      <c r="C567" s="49" t="s">
        <v>963</v>
      </c>
      <c r="D567" s="49" t="s">
        <v>673</v>
      </c>
      <c r="E567" s="49" t="s">
        <v>674</v>
      </c>
      <c r="F567" s="49" t="s">
        <v>675</v>
      </c>
      <c r="G567" s="49" t="s">
        <v>676</v>
      </c>
      <c r="H567" s="49" t="s">
        <v>677</v>
      </c>
      <c r="I567" s="49" t="s">
        <v>678</v>
      </c>
      <c r="J567" s="49" t="s">
        <v>713</v>
      </c>
      <c r="K567" s="49" t="s">
        <v>690</v>
      </c>
      <c r="L567" s="49" t="s">
        <v>699</v>
      </c>
      <c r="M567" s="49">
        <v>0.2</v>
      </c>
      <c r="N567" s="49" t="s">
        <v>584</v>
      </c>
      <c r="O567" s="49" t="s">
        <v>665</v>
      </c>
      <c r="P567" s="49" t="s">
        <v>746</v>
      </c>
      <c r="Q567" s="49" t="s">
        <v>683</v>
      </c>
      <c r="R567" s="49" t="s">
        <v>154</v>
      </c>
      <c r="S567" s="52" t="s">
        <v>673</v>
      </c>
      <c r="T567" s="49" t="s">
        <v>1821</v>
      </c>
      <c r="U567" s="49" t="s">
        <v>1824</v>
      </c>
      <c r="V567" s="50" t="s">
        <v>1823</v>
      </c>
    </row>
    <row r="568" spans="1:22" x14ac:dyDescent="0.3">
      <c r="A568" s="51" t="s">
        <v>822</v>
      </c>
      <c r="B568" s="52" t="s">
        <v>760</v>
      </c>
      <c r="C568" s="52" t="s">
        <v>823</v>
      </c>
      <c r="D568" s="52" t="s">
        <v>673</v>
      </c>
      <c r="E568" s="52" t="s">
        <v>674</v>
      </c>
      <c r="F568" s="52" t="s">
        <v>675</v>
      </c>
      <c r="G568" s="52" t="s">
        <v>676</v>
      </c>
      <c r="H568" s="52" t="s">
        <v>677</v>
      </c>
      <c r="I568" s="49" t="s">
        <v>678</v>
      </c>
      <c r="J568" s="52" t="s">
        <v>713</v>
      </c>
      <c r="K568" s="52" t="s">
        <v>690</v>
      </c>
      <c r="L568" s="52" t="s">
        <v>699</v>
      </c>
      <c r="M568" s="52">
        <v>0.6</v>
      </c>
      <c r="N568" s="52" t="s">
        <v>584</v>
      </c>
      <c r="O568" s="52" t="s">
        <v>665</v>
      </c>
      <c r="P568" s="52" t="s">
        <v>746</v>
      </c>
      <c r="Q568" s="52" t="s">
        <v>683</v>
      </c>
      <c r="R568" s="52" t="s">
        <v>154</v>
      </c>
      <c r="S568" s="52" t="s">
        <v>673</v>
      </c>
      <c r="T568" s="52" t="s">
        <v>1821</v>
      </c>
      <c r="U568" s="52" t="s">
        <v>1824</v>
      </c>
      <c r="V568" s="50" t="s">
        <v>1823</v>
      </c>
    </row>
    <row r="569" spans="1:22" x14ac:dyDescent="0.3">
      <c r="A569" s="48" t="s">
        <v>1248</v>
      </c>
      <c r="B569" s="49" t="s">
        <v>154</v>
      </c>
      <c r="C569" s="49" t="s">
        <v>1249</v>
      </c>
      <c r="D569" s="49" t="s">
        <v>673</v>
      </c>
      <c r="E569" s="49" t="s">
        <v>674</v>
      </c>
      <c r="F569" s="49" t="s">
        <v>716</v>
      </c>
      <c r="G569" s="49" t="s">
        <v>744</v>
      </c>
      <c r="H569" s="49" t="s">
        <v>935</v>
      </c>
      <c r="I569" s="49" t="s">
        <v>688</v>
      </c>
      <c r="J569" s="49" t="s">
        <v>713</v>
      </c>
      <c r="K569" s="49" t="s">
        <v>690</v>
      </c>
      <c r="L569" s="49" t="s">
        <v>681</v>
      </c>
      <c r="M569" s="49">
        <v>0.5</v>
      </c>
      <c r="N569" s="49" t="s">
        <v>84</v>
      </c>
      <c r="O569" s="49" t="s">
        <v>665</v>
      </c>
      <c r="P569" s="49" t="s">
        <v>746</v>
      </c>
      <c r="Q569" s="49" t="s">
        <v>683</v>
      </c>
      <c r="R569" s="49" t="s">
        <v>123</v>
      </c>
      <c r="S569" s="52" t="s">
        <v>673</v>
      </c>
      <c r="T569" s="49" t="s">
        <v>1821</v>
      </c>
      <c r="U569" s="49" t="s">
        <v>1824</v>
      </c>
      <c r="V569" s="50" t="s">
        <v>1823</v>
      </c>
    </row>
    <row r="570" spans="1:22" x14ac:dyDescent="0.3">
      <c r="A570" s="51" t="s">
        <v>1247</v>
      </c>
      <c r="B570" s="52" t="s">
        <v>952</v>
      </c>
      <c r="C570" s="52" t="s">
        <v>953</v>
      </c>
      <c r="D570" s="52" t="s">
        <v>673</v>
      </c>
      <c r="E570" s="52" t="s">
        <v>674</v>
      </c>
      <c r="F570" s="52" t="s">
        <v>716</v>
      </c>
      <c r="G570" s="52" t="s">
        <v>744</v>
      </c>
      <c r="H570" s="52" t="s">
        <v>702</v>
      </c>
      <c r="I570" s="49" t="s">
        <v>678</v>
      </c>
      <c r="J570" s="52" t="s">
        <v>713</v>
      </c>
      <c r="K570" s="52" t="s">
        <v>690</v>
      </c>
      <c r="L570" s="52" t="s">
        <v>681</v>
      </c>
      <c r="M570" s="52">
        <v>0.5</v>
      </c>
      <c r="N570" s="52" t="s">
        <v>84</v>
      </c>
      <c r="O570" s="52" t="s">
        <v>665</v>
      </c>
      <c r="P570" s="52" t="s">
        <v>746</v>
      </c>
      <c r="Q570" s="52" t="s">
        <v>683</v>
      </c>
      <c r="R570" s="52" t="s">
        <v>123</v>
      </c>
      <c r="S570" s="52" t="s">
        <v>673</v>
      </c>
      <c r="T570" s="52" t="s">
        <v>1821</v>
      </c>
      <c r="U570" s="52" t="s">
        <v>1824</v>
      </c>
      <c r="V570" s="50" t="s">
        <v>1823</v>
      </c>
    </row>
    <row r="571" spans="1:22" x14ac:dyDescent="0.3">
      <c r="A571" s="48" t="s">
        <v>1248</v>
      </c>
      <c r="B571" s="49" t="s">
        <v>154</v>
      </c>
      <c r="C571" s="49" t="s">
        <v>1249</v>
      </c>
      <c r="D571" s="49" t="s">
        <v>673</v>
      </c>
      <c r="E571" s="49" t="s">
        <v>674</v>
      </c>
      <c r="F571" s="49" t="s">
        <v>716</v>
      </c>
      <c r="G571" s="49" t="s">
        <v>744</v>
      </c>
      <c r="H571" s="49" t="s">
        <v>935</v>
      </c>
      <c r="I571" s="49" t="s">
        <v>688</v>
      </c>
      <c r="J571" s="49" t="s">
        <v>713</v>
      </c>
      <c r="K571" s="49" t="s">
        <v>690</v>
      </c>
      <c r="L571" s="49" t="s">
        <v>681</v>
      </c>
      <c r="M571" s="49">
        <v>0.3</v>
      </c>
      <c r="N571" s="49" t="s">
        <v>301</v>
      </c>
      <c r="O571" s="49" t="s">
        <v>665</v>
      </c>
      <c r="P571" s="49" t="s">
        <v>746</v>
      </c>
      <c r="Q571" s="49" t="s">
        <v>683</v>
      </c>
      <c r="R571" s="49" t="s">
        <v>84</v>
      </c>
      <c r="S571" s="52" t="s">
        <v>673</v>
      </c>
      <c r="T571" s="49" t="s">
        <v>1821</v>
      </c>
      <c r="U571" s="49" t="s">
        <v>1824</v>
      </c>
      <c r="V571" s="50" t="s">
        <v>1823</v>
      </c>
    </row>
    <row r="572" spans="1:22" x14ac:dyDescent="0.3">
      <c r="A572" s="51" t="s">
        <v>1024</v>
      </c>
      <c r="B572" s="52" t="s">
        <v>154</v>
      </c>
      <c r="C572" s="52" t="s">
        <v>1025</v>
      </c>
      <c r="D572" s="52" t="s">
        <v>673</v>
      </c>
      <c r="E572" s="52" t="s">
        <v>674</v>
      </c>
      <c r="F572" s="52" t="s">
        <v>675</v>
      </c>
      <c r="G572" s="52" t="s">
        <v>676</v>
      </c>
      <c r="H572" s="52" t="s">
        <v>677</v>
      </c>
      <c r="I572" s="49" t="s">
        <v>688</v>
      </c>
      <c r="J572" s="52" t="s">
        <v>713</v>
      </c>
      <c r="K572" s="52" t="s">
        <v>690</v>
      </c>
      <c r="L572" s="52" t="s">
        <v>681</v>
      </c>
      <c r="M572" s="52">
        <v>0.5</v>
      </c>
      <c r="N572" s="52" t="s">
        <v>287</v>
      </c>
      <c r="O572" s="52" t="s">
        <v>665</v>
      </c>
      <c r="P572" s="52" t="s">
        <v>746</v>
      </c>
      <c r="Q572" s="52" t="s">
        <v>683</v>
      </c>
      <c r="R572" s="52" t="s">
        <v>411</v>
      </c>
      <c r="S572" s="52" t="s">
        <v>673</v>
      </c>
      <c r="T572" s="52" t="s">
        <v>1821</v>
      </c>
      <c r="U572" s="52" t="s">
        <v>1824</v>
      </c>
      <c r="V572" s="50" t="s">
        <v>1823</v>
      </c>
    </row>
    <row r="573" spans="1:22" x14ac:dyDescent="0.3">
      <c r="A573" s="48" t="s">
        <v>926</v>
      </c>
      <c r="B573" s="49" t="s">
        <v>258</v>
      </c>
      <c r="C573" s="49" t="s">
        <v>927</v>
      </c>
      <c r="D573" s="49" t="s">
        <v>673</v>
      </c>
      <c r="E573" s="49" t="s">
        <v>674</v>
      </c>
      <c r="F573" s="49" t="s">
        <v>716</v>
      </c>
      <c r="G573" s="49" t="s">
        <v>744</v>
      </c>
      <c r="H573" s="49" t="s">
        <v>677</v>
      </c>
      <c r="I573" s="49" t="s">
        <v>678</v>
      </c>
      <c r="J573" s="49" t="s">
        <v>679</v>
      </c>
      <c r="K573" s="49" t="s">
        <v>680</v>
      </c>
      <c r="L573" s="49" t="s">
        <v>681</v>
      </c>
      <c r="M573" s="49">
        <v>1</v>
      </c>
      <c r="N573" s="49" t="s">
        <v>80</v>
      </c>
      <c r="O573" s="49" t="s">
        <v>665</v>
      </c>
      <c r="P573" s="49" t="s">
        <v>746</v>
      </c>
      <c r="Q573" s="49" t="s">
        <v>683</v>
      </c>
      <c r="R573" s="49" t="s">
        <v>258</v>
      </c>
      <c r="S573" s="49" t="s">
        <v>684</v>
      </c>
      <c r="T573" s="49" t="s">
        <v>1821</v>
      </c>
      <c r="U573" s="49" t="s">
        <v>1824</v>
      </c>
      <c r="V573" s="50" t="s">
        <v>1823</v>
      </c>
    </row>
    <row r="574" spans="1:22" x14ac:dyDescent="0.3">
      <c r="A574" s="51" t="s">
        <v>939</v>
      </c>
      <c r="B574" s="52" t="s">
        <v>258</v>
      </c>
      <c r="C574" s="52" t="s">
        <v>940</v>
      </c>
      <c r="D574" s="52" t="s">
        <v>673</v>
      </c>
      <c r="E574" s="52" t="s">
        <v>674</v>
      </c>
      <c r="F574" s="52" t="s">
        <v>716</v>
      </c>
      <c r="G574" s="52" t="s">
        <v>744</v>
      </c>
      <c r="H574" s="52" t="s">
        <v>677</v>
      </c>
      <c r="I574" s="49" t="s">
        <v>678</v>
      </c>
      <c r="J574" s="52" t="s">
        <v>679</v>
      </c>
      <c r="K574" s="52" t="s">
        <v>680</v>
      </c>
      <c r="L574" s="52" t="s">
        <v>681</v>
      </c>
      <c r="M574" s="52">
        <v>1</v>
      </c>
      <c r="N574" s="52" t="s">
        <v>1425</v>
      </c>
      <c r="O574" s="52" t="s">
        <v>767</v>
      </c>
      <c r="P574" s="52" t="s">
        <v>746</v>
      </c>
      <c r="Q574" s="52" t="s">
        <v>683</v>
      </c>
      <c r="R574" s="52" t="s">
        <v>258</v>
      </c>
      <c r="S574" s="52" t="s">
        <v>673</v>
      </c>
      <c r="T574" s="52" t="s">
        <v>1821</v>
      </c>
      <c r="U574" s="52" t="s">
        <v>1824</v>
      </c>
      <c r="V574" s="50" t="s">
        <v>1823</v>
      </c>
    </row>
    <row r="575" spans="1:22" x14ac:dyDescent="0.3">
      <c r="A575" s="48" t="s">
        <v>943</v>
      </c>
      <c r="B575" s="49" t="s">
        <v>944</v>
      </c>
      <c r="C575" s="49" t="s">
        <v>945</v>
      </c>
      <c r="D575" s="49" t="s">
        <v>673</v>
      </c>
      <c r="E575" s="49" t="s">
        <v>674</v>
      </c>
      <c r="F575" s="49" t="s">
        <v>716</v>
      </c>
      <c r="G575" s="49" t="s">
        <v>744</v>
      </c>
      <c r="H575" s="49" t="s">
        <v>935</v>
      </c>
      <c r="I575" s="49" t="s">
        <v>678</v>
      </c>
      <c r="J575" s="49" t="s">
        <v>713</v>
      </c>
      <c r="K575" s="49" t="s">
        <v>690</v>
      </c>
      <c r="L575" s="49" t="s">
        <v>681</v>
      </c>
      <c r="M575" s="49">
        <v>1</v>
      </c>
      <c r="N575" s="49" t="s">
        <v>1437</v>
      </c>
      <c r="O575" s="49" t="s">
        <v>665</v>
      </c>
      <c r="P575" s="49" t="s">
        <v>746</v>
      </c>
      <c r="Q575" s="49" t="s">
        <v>683</v>
      </c>
      <c r="R575" s="49" t="s">
        <v>550</v>
      </c>
      <c r="S575" s="52" t="s">
        <v>673</v>
      </c>
      <c r="T575" s="49" t="s">
        <v>1821</v>
      </c>
      <c r="U575" s="49" t="s">
        <v>1824</v>
      </c>
      <c r="V575" s="50" t="s">
        <v>1823</v>
      </c>
    </row>
    <row r="576" spans="1:22" x14ac:dyDescent="0.3">
      <c r="A576" s="51" t="s">
        <v>928</v>
      </c>
      <c r="B576" s="52" t="s">
        <v>258</v>
      </c>
      <c r="C576" s="52" t="s">
        <v>929</v>
      </c>
      <c r="D576" s="52" t="s">
        <v>673</v>
      </c>
      <c r="E576" s="52" t="s">
        <v>674</v>
      </c>
      <c r="F576" s="52" t="s">
        <v>716</v>
      </c>
      <c r="G576" s="52" t="s">
        <v>744</v>
      </c>
      <c r="H576" s="52" t="s">
        <v>677</v>
      </c>
      <c r="I576" s="49" t="s">
        <v>678</v>
      </c>
      <c r="J576" s="52" t="s">
        <v>698</v>
      </c>
      <c r="K576" s="52" t="s">
        <v>690</v>
      </c>
      <c r="L576" s="52" t="s">
        <v>681</v>
      </c>
      <c r="M576" s="52">
        <v>1</v>
      </c>
      <c r="N576" s="52" t="s">
        <v>977</v>
      </c>
      <c r="O576" s="52" t="s">
        <v>767</v>
      </c>
      <c r="P576" s="52" t="s">
        <v>746</v>
      </c>
      <c r="Q576" s="52" t="s">
        <v>683</v>
      </c>
      <c r="R576" s="52" t="s">
        <v>258</v>
      </c>
      <c r="S576" s="52" t="s">
        <v>673</v>
      </c>
      <c r="T576" s="52" t="s">
        <v>1821</v>
      </c>
      <c r="U576" s="52" t="s">
        <v>1824</v>
      </c>
      <c r="V576" s="50" t="s">
        <v>1823</v>
      </c>
    </row>
    <row r="577" spans="1:22" x14ac:dyDescent="0.3">
      <c r="A577" s="48" t="s">
        <v>946</v>
      </c>
      <c r="B577" s="49" t="s">
        <v>309</v>
      </c>
      <c r="C577" s="49" t="s">
        <v>947</v>
      </c>
      <c r="D577" s="49" t="s">
        <v>673</v>
      </c>
      <c r="E577" s="49" t="s">
        <v>674</v>
      </c>
      <c r="F577" s="49" t="s">
        <v>716</v>
      </c>
      <c r="G577" s="49" t="s">
        <v>744</v>
      </c>
      <c r="H577" s="49" t="s">
        <v>935</v>
      </c>
      <c r="I577" s="49" t="s">
        <v>678</v>
      </c>
      <c r="J577" s="49" t="s">
        <v>774</v>
      </c>
      <c r="K577" s="49" t="s">
        <v>680</v>
      </c>
      <c r="L577" s="49" t="s">
        <v>681</v>
      </c>
      <c r="M577" s="49">
        <v>0.3</v>
      </c>
      <c r="N577" s="49" t="s">
        <v>650</v>
      </c>
      <c r="O577" s="49" t="s">
        <v>665</v>
      </c>
      <c r="P577" s="49" t="s">
        <v>746</v>
      </c>
      <c r="Q577" s="49" t="s">
        <v>683</v>
      </c>
      <c r="R577" s="49" t="s">
        <v>258</v>
      </c>
      <c r="S577" s="52" t="s">
        <v>673</v>
      </c>
      <c r="T577" s="49" t="s">
        <v>1821</v>
      </c>
      <c r="U577" s="49" t="s">
        <v>1824</v>
      </c>
      <c r="V577" s="50" t="s">
        <v>1823</v>
      </c>
    </row>
    <row r="578" spans="1:22" x14ac:dyDescent="0.3">
      <c r="A578" s="51" t="s">
        <v>939</v>
      </c>
      <c r="B578" s="52" t="s">
        <v>258</v>
      </c>
      <c r="C578" s="52" t="s">
        <v>940</v>
      </c>
      <c r="D578" s="52" t="s">
        <v>673</v>
      </c>
      <c r="E578" s="52" t="s">
        <v>674</v>
      </c>
      <c r="F578" s="52" t="s">
        <v>716</v>
      </c>
      <c r="G578" s="52" t="s">
        <v>744</v>
      </c>
      <c r="H578" s="52" t="s">
        <v>677</v>
      </c>
      <c r="I578" s="49" t="s">
        <v>678</v>
      </c>
      <c r="J578" s="52" t="s">
        <v>679</v>
      </c>
      <c r="K578" s="52" t="s">
        <v>680</v>
      </c>
      <c r="L578" s="52" t="s">
        <v>681</v>
      </c>
      <c r="M578" s="52">
        <v>1</v>
      </c>
      <c r="N578" s="52" t="s">
        <v>492</v>
      </c>
      <c r="O578" s="52" t="s">
        <v>665</v>
      </c>
      <c r="P578" s="52" t="s">
        <v>746</v>
      </c>
      <c r="Q578" s="52" t="s">
        <v>683</v>
      </c>
      <c r="R578" s="52" t="s">
        <v>258</v>
      </c>
      <c r="S578" s="52" t="s">
        <v>673</v>
      </c>
      <c r="T578" s="52" t="s">
        <v>1821</v>
      </c>
      <c r="U578" s="52" t="s">
        <v>1824</v>
      </c>
      <c r="V578" s="50" t="s">
        <v>1823</v>
      </c>
    </row>
    <row r="579" spans="1:22" x14ac:dyDescent="0.3">
      <c r="A579" s="48" t="s">
        <v>946</v>
      </c>
      <c r="B579" s="49" t="s">
        <v>309</v>
      </c>
      <c r="C579" s="49" t="s">
        <v>947</v>
      </c>
      <c r="D579" s="49" t="s">
        <v>673</v>
      </c>
      <c r="E579" s="49" t="s">
        <v>674</v>
      </c>
      <c r="F579" s="49" t="s">
        <v>716</v>
      </c>
      <c r="G579" s="49" t="s">
        <v>744</v>
      </c>
      <c r="H579" s="49" t="s">
        <v>935</v>
      </c>
      <c r="I579" s="49" t="s">
        <v>678</v>
      </c>
      <c r="J579" s="49" t="s">
        <v>774</v>
      </c>
      <c r="K579" s="49" t="s">
        <v>680</v>
      </c>
      <c r="L579" s="49" t="s">
        <v>681</v>
      </c>
      <c r="M579" s="49">
        <v>0.3</v>
      </c>
      <c r="N579" s="49" t="s">
        <v>421</v>
      </c>
      <c r="O579" s="49" t="s">
        <v>767</v>
      </c>
      <c r="P579" s="52" t="s">
        <v>746</v>
      </c>
      <c r="Q579" s="49" t="s">
        <v>683</v>
      </c>
      <c r="R579" s="49" t="s">
        <v>258</v>
      </c>
      <c r="S579" s="52" t="s">
        <v>673</v>
      </c>
      <c r="T579" s="49" t="s">
        <v>1821</v>
      </c>
      <c r="U579" s="49" t="s">
        <v>1824</v>
      </c>
      <c r="V579" s="50" t="s">
        <v>1823</v>
      </c>
    </row>
    <row r="580" spans="1:22" x14ac:dyDescent="0.3">
      <c r="A580" s="51" t="s">
        <v>943</v>
      </c>
      <c r="B580" s="52" t="s">
        <v>944</v>
      </c>
      <c r="C580" s="52" t="s">
        <v>945</v>
      </c>
      <c r="D580" s="52" t="s">
        <v>673</v>
      </c>
      <c r="E580" s="52" t="s">
        <v>674</v>
      </c>
      <c r="F580" s="52" t="s">
        <v>716</v>
      </c>
      <c r="G580" s="52" t="s">
        <v>744</v>
      </c>
      <c r="H580" s="52" t="s">
        <v>935</v>
      </c>
      <c r="I580" s="49" t="s">
        <v>678</v>
      </c>
      <c r="J580" s="52" t="s">
        <v>713</v>
      </c>
      <c r="K580" s="52" t="s">
        <v>690</v>
      </c>
      <c r="L580" s="52" t="s">
        <v>681</v>
      </c>
      <c r="M580" s="52">
        <v>1</v>
      </c>
      <c r="N580" s="52" t="s">
        <v>194</v>
      </c>
      <c r="O580" s="52" t="s">
        <v>767</v>
      </c>
      <c r="P580" s="52" t="s">
        <v>746</v>
      </c>
      <c r="Q580" s="52" t="s">
        <v>683</v>
      </c>
      <c r="R580" s="52" t="s">
        <v>258</v>
      </c>
      <c r="S580" s="52" t="s">
        <v>673</v>
      </c>
      <c r="T580" s="52" t="s">
        <v>1821</v>
      </c>
      <c r="U580" s="52" t="s">
        <v>1824</v>
      </c>
      <c r="V580" s="50" t="s">
        <v>1823</v>
      </c>
    </row>
    <row r="581" spans="1:22" x14ac:dyDescent="0.3">
      <c r="A581" s="48" t="s">
        <v>936</v>
      </c>
      <c r="B581" s="49" t="s">
        <v>258</v>
      </c>
      <c r="C581" s="49" t="s">
        <v>937</v>
      </c>
      <c r="D581" s="49" t="s">
        <v>673</v>
      </c>
      <c r="E581" s="49" t="s">
        <v>674</v>
      </c>
      <c r="F581" s="49" t="s">
        <v>716</v>
      </c>
      <c r="G581" s="49" t="s">
        <v>744</v>
      </c>
      <c r="H581" s="49" t="s">
        <v>938</v>
      </c>
      <c r="I581" s="49" t="s">
        <v>678</v>
      </c>
      <c r="J581" s="49" t="s">
        <v>713</v>
      </c>
      <c r="K581" s="49" t="s">
        <v>690</v>
      </c>
      <c r="L581" s="49" t="s">
        <v>681</v>
      </c>
      <c r="M581" s="49">
        <v>1</v>
      </c>
      <c r="N581" s="49" t="s">
        <v>399</v>
      </c>
      <c r="O581" s="49" t="s">
        <v>767</v>
      </c>
      <c r="P581" s="52" t="s">
        <v>746</v>
      </c>
      <c r="Q581" s="49" t="s">
        <v>683</v>
      </c>
      <c r="R581" s="49" t="s">
        <v>258</v>
      </c>
      <c r="S581" s="52" t="s">
        <v>673</v>
      </c>
      <c r="T581" s="49" t="s">
        <v>1821</v>
      </c>
      <c r="U581" s="49" t="s">
        <v>1824</v>
      </c>
      <c r="V581" s="50" t="s">
        <v>1823</v>
      </c>
    </row>
    <row r="582" spans="1:22" x14ac:dyDescent="0.3">
      <c r="A582" s="51" t="s">
        <v>936</v>
      </c>
      <c r="B582" s="52" t="s">
        <v>258</v>
      </c>
      <c r="C582" s="52" t="s">
        <v>937</v>
      </c>
      <c r="D582" s="52" t="s">
        <v>673</v>
      </c>
      <c r="E582" s="52" t="s">
        <v>674</v>
      </c>
      <c r="F582" s="52" t="s">
        <v>716</v>
      </c>
      <c r="G582" s="52" t="s">
        <v>744</v>
      </c>
      <c r="H582" s="52" t="s">
        <v>938</v>
      </c>
      <c r="I582" s="49" t="s">
        <v>678</v>
      </c>
      <c r="J582" s="52" t="s">
        <v>713</v>
      </c>
      <c r="K582" s="52" t="s">
        <v>690</v>
      </c>
      <c r="L582" s="52" t="s">
        <v>681</v>
      </c>
      <c r="M582" s="52">
        <v>1</v>
      </c>
      <c r="N582" s="52" t="s">
        <v>180</v>
      </c>
      <c r="O582" s="52" t="s">
        <v>767</v>
      </c>
      <c r="P582" s="52" t="s">
        <v>746</v>
      </c>
      <c r="Q582" s="52" t="s">
        <v>683</v>
      </c>
      <c r="R582" s="52" t="s">
        <v>258</v>
      </c>
      <c r="S582" s="52" t="s">
        <v>673</v>
      </c>
      <c r="T582" s="52" t="s">
        <v>1821</v>
      </c>
      <c r="U582" s="52" t="s">
        <v>1824</v>
      </c>
      <c r="V582" s="50" t="s">
        <v>1823</v>
      </c>
    </row>
    <row r="583" spans="1:22" x14ac:dyDescent="0.3">
      <c r="A583" s="48" t="s">
        <v>932</v>
      </c>
      <c r="B583" s="49" t="s">
        <v>933</v>
      </c>
      <c r="C583" s="49" t="s">
        <v>934</v>
      </c>
      <c r="D583" s="49" t="s">
        <v>673</v>
      </c>
      <c r="E583" s="49" t="s">
        <v>674</v>
      </c>
      <c r="F583" s="49" t="s">
        <v>716</v>
      </c>
      <c r="G583" s="49" t="s">
        <v>744</v>
      </c>
      <c r="H583" s="49" t="s">
        <v>935</v>
      </c>
      <c r="I583" s="49" t="s">
        <v>678</v>
      </c>
      <c r="J583" s="49" t="s">
        <v>713</v>
      </c>
      <c r="K583" s="49" t="s">
        <v>690</v>
      </c>
      <c r="L583" s="49" t="s">
        <v>681</v>
      </c>
      <c r="M583" s="49">
        <v>1</v>
      </c>
      <c r="N583" s="49" t="s">
        <v>270</v>
      </c>
      <c r="O583" s="49" t="s">
        <v>665</v>
      </c>
      <c r="P583" s="49" t="s">
        <v>746</v>
      </c>
      <c r="Q583" s="49" t="s">
        <v>683</v>
      </c>
      <c r="R583" s="49" t="s">
        <v>258</v>
      </c>
      <c r="S583" s="52" t="s">
        <v>673</v>
      </c>
      <c r="T583" s="49" t="s">
        <v>1821</v>
      </c>
      <c r="U583" s="49" t="s">
        <v>1824</v>
      </c>
      <c r="V583" s="50" t="s">
        <v>1823</v>
      </c>
    </row>
    <row r="584" spans="1:22" x14ac:dyDescent="0.3">
      <c r="A584" s="51" t="s">
        <v>941</v>
      </c>
      <c r="B584" s="52" t="s">
        <v>154</v>
      </c>
      <c r="C584" s="52" t="s">
        <v>942</v>
      </c>
      <c r="D584" s="52" t="s">
        <v>673</v>
      </c>
      <c r="E584" s="52" t="s">
        <v>674</v>
      </c>
      <c r="F584" s="52" t="s">
        <v>716</v>
      </c>
      <c r="G584" s="52" t="s">
        <v>744</v>
      </c>
      <c r="H584" s="52" t="s">
        <v>935</v>
      </c>
      <c r="I584" s="49" t="s">
        <v>678</v>
      </c>
      <c r="J584" s="52" t="s">
        <v>713</v>
      </c>
      <c r="K584" s="52" t="s">
        <v>690</v>
      </c>
      <c r="L584" s="52" t="s">
        <v>681</v>
      </c>
      <c r="M584" s="52">
        <v>0.7</v>
      </c>
      <c r="N584" s="52" t="s">
        <v>634</v>
      </c>
      <c r="O584" s="52" t="s">
        <v>665</v>
      </c>
      <c r="P584" s="52" t="s">
        <v>746</v>
      </c>
      <c r="Q584" s="52" t="s">
        <v>683</v>
      </c>
      <c r="R584" s="52" t="s">
        <v>258</v>
      </c>
      <c r="S584" s="52" t="s">
        <v>673</v>
      </c>
      <c r="T584" s="52" t="s">
        <v>1821</v>
      </c>
      <c r="U584" s="52" t="s">
        <v>1824</v>
      </c>
      <c r="V584" s="50" t="s">
        <v>1823</v>
      </c>
    </row>
    <row r="585" spans="1:22" x14ac:dyDescent="0.3">
      <c r="A585" s="48" t="s">
        <v>930</v>
      </c>
      <c r="B585" s="49" t="s">
        <v>258</v>
      </c>
      <c r="C585" s="49" t="s">
        <v>931</v>
      </c>
      <c r="D585" s="49" t="s">
        <v>673</v>
      </c>
      <c r="E585" s="49" t="s">
        <v>674</v>
      </c>
      <c r="F585" s="49" t="s">
        <v>716</v>
      </c>
      <c r="G585" s="49" t="s">
        <v>744</v>
      </c>
      <c r="H585" s="49" t="s">
        <v>677</v>
      </c>
      <c r="I585" s="49" t="s">
        <v>678</v>
      </c>
      <c r="J585" s="49" t="s">
        <v>698</v>
      </c>
      <c r="K585" s="49" t="s">
        <v>690</v>
      </c>
      <c r="L585" s="49" t="s">
        <v>681</v>
      </c>
      <c r="M585" s="49">
        <v>0.3</v>
      </c>
      <c r="N585" s="49" t="s">
        <v>634</v>
      </c>
      <c r="O585" s="49" t="s">
        <v>665</v>
      </c>
      <c r="P585" s="49" t="s">
        <v>746</v>
      </c>
      <c r="Q585" s="49" t="s">
        <v>683</v>
      </c>
      <c r="R585" s="49" t="s">
        <v>258</v>
      </c>
      <c r="S585" s="52" t="s">
        <v>673</v>
      </c>
      <c r="T585" s="49" t="s">
        <v>1821</v>
      </c>
      <c r="U585" s="49" t="s">
        <v>1824</v>
      </c>
      <c r="V585" s="50" t="s">
        <v>1823</v>
      </c>
    </row>
    <row r="586" spans="1:22" x14ac:dyDescent="0.3">
      <c r="A586" s="51" t="s">
        <v>932</v>
      </c>
      <c r="B586" s="52" t="s">
        <v>933</v>
      </c>
      <c r="C586" s="52" t="s">
        <v>934</v>
      </c>
      <c r="D586" s="52" t="s">
        <v>673</v>
      </c>
      <c r="E586" s="52" t="s">
        <v>674</v>
      </c>
      <c r="F586" s="52" t="s">
        <v>716</v>
      </c>
      <c r="G586" s="52" t="s">
        <v>744</v>
      </c>
      <c r="H586" s="52" t="s">
        <v>935</v>
      </c>
      <c r="I586" s="49" t="s">
        <v>678</v>
      </c>
      <c r="J586" s="52" t="s">
        <v>713</v>
      </c>
      <c r="K586" s="52" t="s">
        <v>690</v>
      </c>
      <c r="L586" s="52" t="s">
        <v>681</v>
      </c>
      <c r="M586" s="52">
        <v>1</v>
      </c>
      <c r="N586" s="52" t="s">
        <v>265</v>
      </c>
      <c r="O586" s="52" t="s">
        <v>665</v>
      </c>
      <c r="P586" s="52" t="s">
        <v>746</v>
      </c>
      <c r="Q586" s="52" t="s">
        <v>683</v>
      </c>
      <c r="R586" s="52" t="s">
        <v>258</v>
      </c>
      <c r="S586" s="52" t="s">
        <v>673</v>
      </c>
      <c r="T586" s="52" t="s">
        <v>1821</v>
      </c>
      <c r="U586" s="52" t="s">
        <v>1824</v>
      </c>
      <c r="V586" s="50" t="s">
        <v>1823</v>
      </c>
    </row>
    <row r="587" spans="1:22" x14ac:dyDescent="0.3">
      <c r="A587" s="48" t="s">
        <v>932</v>
      </c>
      <c r="B587" s="49" t="s">
        <v>933</v>
      </c>
      <c r="C587" s="49" t="s">
        <v>934</v>
      </c>
      <c r="D587" s="49" t="s">
        <v>673</v>
      </c>
      <c r="E587" s="49" t="s">
        <v>674</v>
      </c>
      <c r="F587" s="49" t="s">
        <v>716</v>
      </c>
      <c r="G587" s="49" t="s">
        <v>744</v>
      </c>
      <c r="H587" s="49" t="s">
        <v>935</v>
      </c>
      <c r="I587" s="49" t="s">
        <v>678</v>
      </c>
      <c r="J587" s="49" t="s">
        <v>713</v>
      </c>
      <c r="K587" s="49" t="s">
        <v>690</v>
      </c>
      <c r="L587" s="49" t="s">
        <v>681</v>
      </c>
      <c r="M587" s="49">
        <v>1</v>
      </c>
      <c r="N587" s="49" t="s">
        <v>475</v>
      </c>
      <c r="O587" s="49" t="s">
        <v>767</v>
      </c>
      <c r="P587" s="52" t="s">
        <v>746</v>
      </c>
      <c r="Q587" s="49" t="s">
        <v>683</v>
      </c>
      <c r="R587" s="49" t="s">
        <v>258</v>
      </c>
      <c r="S587" s="52" t="s">
        <v>673</v>
      </c>
      <c r="T587" s="49" t="s">
        <v>1821</v>
      </c>
      <c r="U587" s="49" t="s">
        <v>1824</v>
      </c>
      <c r="V587" s="50" t="s">
        <v>1823</v>
      </c>
    </row>
    <row r="588" spans="1:22" x14ac:dyDescent="0.3">
      <c r="A588" s="51" t="s">
        <v>939</v>
      </c>
      <c r="B588" s="52" t="s">
        <v>258</v>
      </c>
      <c r="C588" s="52" t="s">
        <v>940</v>
      </c>
      <c r="D588" s="52" t="s">
        <v>673</v>
      </c>
      <c r="E588" s="52" t="s">
        <v>674</v>
      </c>
      <c r="F588" s="52" t="s">
        <v>716</v>
      </c>
      <c r="G588" s="52" t="s">
        <v>744</v>
      </c>
      <c r="H588" s="52" t="s">
        <v>677</v>
      </c>
      <c r="I588" s="49" t="s">
        <v>678</v>
      </c>
      <c r="J588" s="52" t="s">
        <v>679</v>
      </c>
      <c r="K588" s="52" t="s">
        <v>680</v>
      </c>
      <c r="L588" s="52" t="s">
        <v>681</v>
      </c>
      <c r="M588" s="52">
        <v>1</v>
      </c>
      <c r="N588" s="52" t="s">
        <v>354</v>
      </c>
      <c r="O588" s="52" t="s">
        <v>665</v>
      </c>
      <c r="P588" s="52" t="s">
        <v>746</v>
      </c>
      <c r="Q588" s="52" t="s">
        <v>683</v>
      </c>
      <c r="R588" s="52" t="s">
        <v>258</v>
      </c>
      <c r="S588" s="52" t="s">
        <v>673</v>
      </c>
      <c r="T588" s="52" t="s">
        <v>1821</v>
      </c>
      <c r="U588" s="52" t="s">
        <v>1824</v>
      </c>
      <c r="V588" s="50" t="s">
        <v>1823</v>
      </c>
    </row>
    <row r="589" spans="1:22" x14ac:dyDescent="0.3">
      <c r="A589" s="48" t="s">
        <v>939</v>
      </c>
      <c r="B589" s="49" t="s">
        <v>258</v>
      </c>
      <c r="C589" s="49" t="s">
        <v>940</v>
      </c>
      <c r="D589" s="49" t="s">
        <v>673</v>
      </c>
      <c r="E589" s="49" t="s">
        <v>674</v>
      </c>
      <c r="F589" s="49" t="s">
        <v>716</v>
      </c>
      <c r="G589" s="49" t="s">
        <v>744</v>
      </c>
      <c r="H589" s="49" t="s">
        <v>677</v>
      </c>
      <c r="I589" s="49" t="s">
        <v>678</v>
      </c>
      <c r="J589" s="49" t="s">
        <v>679</v>
      </c>
      <c r="K589" s="49" t="s">
        <v>680</v>
      </c>
      <c r="L589" s="49" t="s">
        <v>681</v>
      </c>
      <c r="M589" s="49">
        <v>1</v>
      </c>
      <c r="N589" s="49" t="s">
        <v>482</v>
      </c>
      <c r="O589" s="49" t="s">
        <v>665</v>
      </c>
      <c r="P589" s="49" t="s">
        <v>746</v>
      </c>
      <c r="Q589" s="49" t="s">
        <v>683</v>
      </c>
      <c r="R589" s="49" t="s">
        <v>258</v>
      </c>
      <c r="S589" s="52" t="s">
        <v>673</v>
      </c>
      <c r="T589" s="49" t="s">
        <v>1821</v>
      </c>
      <c r="U589" s="49" t="s">
        <v>1824</v>
      </c>
      <c r="V589" s="50" t="s">
        <v>1823</v>
      </c>
    </row>
    <row r="590" spans="1:22" x14ac:dyDescent="0.3">
      <c r="A590" s="51" t="s">
        <v>932</v>
      </c>
      <c r="B590" s="52" t="s">
        <v>933</v>
      </c>
      <c r="C590" s="52" t="s">
        <v>934</v>
      </c>
      <c r="D590" s="52" t="s">
        <v>673</v>
      </c>
      <c r="E590" s="52" t="s">
        <v>674</v>
      </c>
      <c r="F590" s="52" t="s">
        <v>716</v>
      </c>
      <c r="G590" s="52" t="s">
        <v>744</v>
      </c>
      <c r="H590" s="52" t="s">
        <v>935</v>
      </c>
      <c r="I590" s="49" t="s">
        <v>678</v>
      </c>
      <c r="J590" s="52" t="s">
        <v>713</v>
      </c>
      <c r="K590" s="52" t="s">
        <v>690</v>
      </c>
      <c r="L590" s="52" t="s">
        <v>681</v>
      </c>
      <c r="M590" s="52">
        <v>1</v>
      </c>
      <c r="N590" s="52" t="s">
        <v>480</v>
      </c>
      <c r="O590" s="52" t="s">
        <v>767</v>
      </c>
      <c r="P590" s="52" t="s">
        <v>746</v>
      </c>
      <c r="Q590" s="52" t="s">
        <v>683</v>
      </c>
      <c r="R590" s="52" t="s">
        <v>258</v>
      </c>
      <c r="S590" s="52" t="s">
        <v>673</v>
      </c>
      <c r="T590" s="52" t="s">
        <v>1821</v>
      </c>
      <c r="U590" s="52" t="s">
        <v>1824</v>
      </c>
      <c r="V590" s="50" t="s">
        <v>1823</v>
      </c>
    </row>
    <row r="591" spans="1:22" x14ac:dyDescent="0.3">
      <c r="A591" s="48" t="s">
        <v>939</v>
      </c>
      <c r="B591" s="49" t="s">
        <v>258</v>
      </c>
      <c r="C591" s="49" t="s">
        <v>940</v>
      </c>
      <c r="D591" s="49" t="s">
        <v>673</v>
      </c>
      <c r="E591" s="49" t="s">
        <v>674</v>
      </c>
      <c r="F591" s="49" t="s">
        <v>716</v>
      </c>
      <c r="G591" s="49" t="s">
        <v>744</v>
      </c>
      <c r="H591" s="49" t="s">
        <v>677</v>
      </c>
      <c r="I591" s="49" t="s">
        <v>678</v>
      </c>
      <c r="J591" s="49" t="s">
        <v>679</v>
      </c>
      <c r="K591" s="49" t="s">
        <v>680</v>
      </c>
      <c r="L591" s="49" t="s">
        <v>681</v>
      </c>
      <c r="M591" s="49">
        <v>1</v>
      </c>
      <c r="N591" s="49" t="s">
        <v>156</v>
      </c>
      <c r="O591" s="49" t="s">
        <v>665</v>
      </c>
      <c r="P591" s="49" t="s">
        <v>746</v>
      </c>
      <c r="Q591" s="49" t="s">
        <v>683</v>
      </c>
      <c r="R591" s="49" t="s">
        <v>258</v>
      </c>
      <c r="S591" s="52" t="s">
        <v>673</v>
      </c>
      <c r="T591" s="49" t="s">
        <v>1821</v>
      </c>
      <c r="U591" s="49" t="s">
        <v>1824</v>
      </c>
      <c r="V591" s="50" t="s">
        <v>1823</v>
      </c>
    </row>
    <row r="592" spans="1:22" x14ac:dyDescent="0.3">
      <c r="A592" s="51" t="s">
        <v>936</v>
      </c>
      <c r="B592" s="52" t="s">
        <v>258</v>
      </c>
      <c r="C592" s="52" t="s">
        <v>937</v>
      </c>
      <c r="D592" s="52" t="s">
        <v>673</v>
      </c>
      <c r="E592" s="52" t="s">
        <v>674</v>
      </c>
      <c r="F592" s="52" t="s">
        <v>716</v>
      </c>
      <c r="G592" s="52" t="s">
        <v>744</v>
      </c>
      <c r="H592" s="52" t="s">
        <v>938</v>
      </c>
      <c r="I592" s="49" t="s">
        <v>678</v>
      </c>
      <c r="J592" s="52" t="s">
        <v>713</v>
      </c>
      <c r="K592" s="52" t="s">
        <v>690</v>
      </c>
      <c r="L592" s="52" t="s">
        <v>681</v>
      </c>
      <c r="M592" s="52">
        <v>0.9</v>
      </c>
      <c r="N592" s="52" t="s">
        <v>406</v>
      </c>
      <c r="O592" s="52" t="s">
        <v>767</v>
      </c>
      <c r="P592" s="52" t="s">
        <v>746</v>
      </c>
      <c r="Q592" s="52" t="s">
        <v>683</v>
      </c>
      <c r="R592" s="52" t="s">
        <v>258</v>
      </c>
      <c r="S592" s="52" t="s">
        <v>673</v>
      </c>
      <c r="T592" s="52" t="s">
        <v>1821</v>
      </c>
      <c r="U592" s="52" t="s">
        <v>1824</v>
      </c>
      <c r="V592" s="50" t="s">
        <v>1823</v>
      </c>
    </row>
    <row r="593" spans="1:22" x14ac:dyDescent="0.3">
      <c r="A593" s="48" t="s">
        <v>932</v>
      </c>
      <c r="B593" s="49" t="s">
        <v>933</v>
      </c>
      <c r="C593" s="49" t="s">
        <v>934</v>
      </c>
      <c r="D593" s="49" t="s">
        <v>673</v>
      </c>
      <c r="E593" s="49" t="s">
        <v>674</v>
      </c>
      <c r="F593" s="49" t="s">
        <v>716</v>
      </c>
      <c r="G593" s="49" t="s">
        <v>744</v>
      </c>
      <c r="H593" s="49" t="s">
        <v>935</v>
      </c>
      <c r="I593" s="49" t="s">
        <v>678</v>
      </c>
      <c r="J593" s="49" t="s">
        <v>713</v>
      </c>
      <c r="K593" s="49" t="s">
        <v>690</v>
      </c>
      <c r="L593" s="49" t="s">
        <v>681</v>
      </c>
      <c r="M593" s="49">
        <v>1</v>
      </c>
      <c r="N593" s="49" t="s">
        <v>54</v>
      </c>
      <c r="O593" s="49" t="s">
        <v>665</v>
      </c>
      <c r="P593" s="49" t="s">
        <v>746</v>
      </c>
      <c r="Q593" s="49" t="s">
        <v>683</v>
      </c>
      <c r="R593" s="49" t="s">
        <v>258</v>
      </c>
      <c r="S593" s="52" t="s">
        <v>673</v>
      </c>
      <c r="T593" s="49" t="s">
        <v>1821</v>
      </c>
      <c r="U593" s="49" t="s">
        <v>1824</v>
      </c>
      <c r="V593" s="50" t="s">
        <v>1823</v>
      </c>
    </row>
    <row r="594" spans="1:22" x14ac:dyDescent="0.3">
      <c r="A594" s="51" t="s">
        <v>923</v>
      </c>
      <c r="B594" s="52" t="s">
        <v>924</v>
      </c>
      <c r="C594" s="52" t="s">
        <v>925</v>
      </c>
      <c r="D594" s="52" t="s">
        <v>673</v>
      </c>
      <c r="E594" s="52" t="s">
        <v>674</v>
      </c>
      <c r="F594" s="52" t="s">
        <v>716</v>
      </c>
      <c r="G594" s="52" t="s">
        <v>744</v>
      </c>
      <c r="H594" s="52" t="s">
        <v>677</v>
      </c>
      <c r="I594" s="49" t="s">
        <v>678</v>
      </c>
      <c r="J594" s="52" t="s">
        <v>710</v>
      </c>
      <c r="K594" s="52" t="s">
        <v>690</v>
      </c>
      <c r="L594" s="52" t="s">
        <v>681</v>
      </c>
      <c r="M594" s="52">
        <v>0.5</v>
      </c>
      <c r="N594" s="52" t="s">
        <v>650</v>
      </c>
      <c r="O594" s="52" t="s">
        <v>665</v>
      </c>
      <c r="P594" s="52" t="s">
        <v>746</v>
      </c>
      <c r="Q594" s="52" t="s">
        <v>683</v>
      </c>
      <c r="R594" s="52" t="s">
        <v>258</v>
      </c>
      <c r="S594" s="52" t="s">
        <v>673</v>
      </c>
      <c r="T594" s="52" t="s">
        <v>1821</v>
      </c>
      <c r="U594" s="52" t="s">
        <v>1824</v>
      </c>
      <c r="V594" s="50" t="s">
        <v>1823</v>
      </c>
    </row>
    <row r="595" spans="1:22" x14ac:dyDescent="0.3">
      <c r="A595" s="48" t="s">
        <v>926</v>
      </c>
      <c r="B595" s="49" t="s">
        <v>258</v>
      </c>
      <c r="C595" s="49" t="s">
        <v>927</v>
      </c>
      <c r="D595" s="49" t="s">
        <v>673</v>
      </c>
      <c r="E595" s="49" t="s">
        <v>674</v>
      </c>
      <c r="F595" s="49" t="s">
        <v>716</v>
      </c>
      <c r="G595" s="49" t="s">
        <v>744</v>
      </c>
      <c r="H595" s="49" t="s">
        <v>677</v>
      </c>
      <c r="I595" s="49" t="s">
        <v>678</v>
      </c>
      <c r="J595" s="49" t="s">
        <v>679</v>
      </c>
      <c r="K595" s="49" t="s">
        <v>680</v>
      </c>
      <c r="L595" s="49" t="s">
        <v>681</v>
      </c>
      <c r="M595" s="49">
        <v>1</v>
      </c>
      <c r="N595" s="49" t="s">
        <v>250</v>
      </c>
      <c r="O595" s="49" t="s">
        <v>665</v>
      </c>
      <c r="P595" s="49" t="s">
        <v>746</v>
      </c>
      <c r="Q595" s="49" t="s">
        <v>683</v>
      </c>
      <c r="R595" s="49" t="s">
        <v>258</v>
      </c>
      <c r="S595" s="52" t="s">
        <v>673</v>
      </c>
      <c r="T595" s="49" t="s">
        <v>1821</v>
      </c>
      <c r="U595" s="49" t="s">
        <v>1824</v>
      </c>
      <c r="V595" s="50" t="s">
        <v>1823</v>
      </c>
    </row>
    <row r="596" spans="1:22" x14ac:dyDescent="0.3">
      <c r="A596" s="51" t="s">
        <v>923</v>
      </c>
      <c r="B596" s="52" t="s">
        <v>924</v>
      </c>
      <c r="C596" s="52" t="s">
        <v>925</v>
      </c>
      <c r="D596" s="52" t="s">
        <v>673</v>
      </c>
      <c r="E596" s="52" t="s">
        <v>674</v>
      </c>
      <c r="F596" s="52" t="s">
        <v>716</v>
      </c>
      <c r="G596" s="52" t="s">
        <v>744</v>
      </c>
      <c r="H596" s="52" t="s">
        <v>677</v>
      </c>
      <c r="I596" s="49" t="s">
        <v>678</v>
      </c>
      <c r="J596" s="52" t="s">
        <v>710</v>
      </c>
      <c r="K596" s="52" t="s">
        <v>690</v>
      </c>
      <c r="L596" s="52" t="s">
        <v>681</v>
      </c>
      <c r="M596" s="52">
        <v>0.8</v>
      </c>
      <c r="N596" s="52" t="s">
        <v>339</v>
      </c>
      <c r="O596" s="52" t="s">
        <v>665</v>
      </c>
      <c r="P596" s="52" t="s">
        <v>746</v>
      </c>
      <c r="Q596" s="52" t="s">
        <v>683</v>
      </c>
      <c r="R596" s="52" t="s">
        <v>258</v>
      </c>
      <c r="S596" s="52" t="s">
        <v>673</v>
      </c>
      <c r="T596" s="52" t="s">
        <v>1821</v>
      </c>
      <c r="U596" s="52" t="s">
        <v>1824</v>
      </c>
      <c r="V596" s="50" t="s">
        <v>1823</v>
      </c>
    </row>
    <row r="597" spans="1:22" x14ac:dyDescent="0.3">
      <c r="A597" s="48" t="s">
        <v>841</v>
      </c>
      <c r="B597" s="49" t="s">
        <v>707</v>
      </c>
      <c r="C597" s="49" t="s">
        <v>715</v>
      </c>
      <c r="D597" s="49" t="s">
        <v>673</v>
      </c>
      <c r="E597" s="49" t="s">
        <v>674</v>
      </c>
      <c r="F597" s="49" t="s">
        <v>716</v>
      </c>
      <c r="G597" s="49" t="s">
        <v>717</v>
      </c>
      <c r="H597" s="49" t="s">
        <v>717</v>
      </c>
      <c r="I597" s="49" t="s">
        <v>717</v>
      </c>
      <c r="J597" s="49" t="s">
        <v>713</v>
      </c>
      <c r="K597" s="49" t="s">
        <v>690</v>
      </c>
      <c r="L597" s="49" t="s">
        <v>699</v>
      </c>
      <c r="M597" s="49">
        <v>0.5</v>
      </c>
      <c r="N597" s="49" t="s">
        <v>258</v>
      </c>
      <c r="O597" s="49" t="s">
        <v>665</v>
      </c>
      <c r="P597" s="49" t="s">
        <v>746</v>
      </c>
      <c r="Q597" s="49" t="s">
        <v>683</v>
      </c>
      <c r="R597" s="49" t="s">
        <v>269</v>
      </c>
      <c r="S597" s="52" t="s">
        <v>673</v>
      </c>
      <c r="T597" s="49" t="s">
        <v>1821</v>
      </c>
      <c r="U597" s="49" t="s">
        <v>1824</v>
      </c>
      <c r="V597" s="50" t="s">
        <v>1823</v>
      </c>
    </row>
    <row r="598" spans="1:22" x14ac:dyDescent="0.3">
      <c r="A598" s="51" t="s">
        <v>949</v>
      </c>
      <c r="B598" s="52" t="s">
        <v>707</v>
      </c>
      <c r="C598" s="52" t="s">
        <v>715</v>
      </c>
      <c r="D598" s="52" t="s">
        <v>755</v>
      </c>
      <c r="E598" s="52" t="s">
        <v>674</v>
      </c>
      <c r="F598" s="52" t="s">
        <v>716</v>
      </c>
      <c r="G598" s="52" t="s">
        <v>717</v>
      </c>
      <c r="H598" s="52" t="s">
        <v>717</v>
      </c>
      <c r="I598" s="52" t="s">
        <v>717</v>
      </c>
      <c r="J598" s="52" t="s">
        <v>950</v>
      </c>
      <c r="K598" s="52" t="s">
        <v>680</v>
      </c>
      <c r="L598" s="52" t="s">
        <v>699</v>
      </c>
      <c r="M598" s="52">
        <v>0.5</v>
      </c>
      <c r="N598" s="52" t="s">
        <v>258</v>
      </c>
      <c r="O598" s="52" t="s">
        <v>665</v>
      </c>
      <c r="P598" s="52" t="s">
        <v>746</v>
      </c>
      <c r="Q598" s="52" t="s">
        <v>683</v>
      </c>
      <c r="R598" s="52" t="s">
        <v>269</v>
      </c>
      <c r="S598" s="52" t="s">
        <v>673</v>
      </c>
      <c r="T598" s="52" t="s">
        <v>1821</v>
      </c>
      <c r="U598" s="52" t="s">
        <v>1824</v>
      </c>
      <c r="V598" s="50" t="s">
        <v>1823</v>
      </c>
    </row>
    <row r="599" spans="1:22" x14ac:dyDescent="0.3">
      <c r="A599" s="51" t="s">
        <v>1506</v>
      </c>
      <c r="B599" s="52" t="s">
        <v>544</v>
      </c>
      <c r="C599" s="52" t="s">
        <v>1500</v>
      </c>
      <c r="D599" s="52" t="s">
        <v>684</v>
      </c>
      <c r="E599" s="52" t="s">
        <v>674</v>
      </c>
      <c r="F599" s="52" t="s">
        <v>716</v>
      </c>
      <c r="G599" s="52" t="s">
        <v>717</v>
      </c>
      <c r="H599" s="52" t="s">
        <v>717</v>
      </c>
      <c r="I599" s="52" t="s">
        <v>736</v>
      </c>
      <c r="J599" s="52" t="s">
        <v>737</v>
      </c>
      <c r="K599" s="52" t="s">
        <v>738</v>
      </c>
      <c r="L599" s="52" t="s">
        <v>699</v>
      </c>
      <c r="M599" s="52">
        <v>0.5</v>
      </c>
      <c r="N599" s="52" t="s">
        <v>495</v>
      </c>
      <c r="O599" s="52" t="s">
        <v>767</v>
      </c>
      <c r="P599" s="52" t="s">
        <v>746</v>
      </c>
      <c r="Q599" s="52" t="s">
        <v>683</v>
      </c>
      <c r="R599" s="52" t="s">
        <v>89</v>
      </c>
      <c r="S599" s="49" t="s">
        <v>684</v>
      </c>
      <c r="T599" s="52" t="s">
        <v>1821</v>
      </c>
      <c r="U599" s="52" t="s">
        <v>1824</v>
      </c>
      <c r="V599" s="50" t="s">
        <v>1823</v>
      </c>
    </row>
    <row r="600" spans="1:22" x14ac:dyDescent="0.3">
      <c r="A600" s="48" t="s">
        <v>1590</v>
      </c>
      <c r="B600" s="49" t="s">
        <v>998</v>
      </c>
      <c r="C600" s="49" t="s">
        <v>1591</v>
      </c>
      <c r="D600" s="49" t="s">
        <v>673</v>
      </c>
      <c r="E600" s="49" t="s">
        <v>674</v>
      </c>
      <c r="F600" s="49" t="s">
        <v>716</v>
      </c>
      <c r="G600" s="49" t="s">
        <v>744</v>
      </c>
      <c r="H600" s="49" t="s">
        <v>677</v>
      </c>
      <c r="I600" s="49" t="s">
        <v>688</v>
      </c>
      <c r="J600" s="49" t="s">
        <v>713</v>
      </c>
      <c r="K600" s="49" t="s">
        <v>690</v>
      </c>
      <c r="L600" s="49" t="s">
        <v>681</v>
      </c>
      <c r="M600" s="49">
        <v>0.2</v>
      </c>
      <c r="N600" s="49" t="s">
        <v>50</v>
      </c>
      <c r="O600" s="49" t="s">
        <v>767</v>
      </c>
      <c r="P600" s="52" t="s">
        <v>746</v>
      </c>
      <c r="Q600" s="49" t="s">
        <v>683</v>
      </c>
      <c r="R600" s="49" t="s">
        <v>132</v>
      </c>
      <c r="S600" s="52" t="s">
        <v>673</v>
      </c>
      <c r="T600" s="49" t="s">
        <v>1821</v>
      </c>
      <c r="U600" s="49" t="s">
        <v>1824</v>
      </c>
      <c r="V600" s="50" t="s">
        <v>1823</v>
      </c>
    </row>
    <row r="601" spans="1:22" x14ac:dyDescent="0.3">
      <c r="A601" s="51" t="s">
        <v>1052</v>
      </c>
      <c r="B601" s="52" t="s">
        <v>998</v>
      </c>
      <c r="C601" s="52" t="s">
        <v>1053</v>
      </c>
      <c r="D601" s="52" t="s">
        <v>673</v>
      </c>
      <c r="E601" s="52" t="s">
        <v>674</v>
      </c>
      <c r="F601" s="52" t="s">
        <v>716</v>
      </c>
      <c r="G601" s="52" t="s">
        <v>744</v>
      </c>
      <c r="H601" s="52" t="s">
        <v>677</v>
      </c>
      <c r="I601" s="49" t="s">
        <v>688</v>
      </c>
      <c r="J601" s="52" t="s">
        <v>710</v>
      </c>
      <c r="K601" s="52" t="s">
        <v>690</v>
      </c>
      <c r="L601" s="52" t="s">
        <v>681</v>
      </c>
      <c r="M601" s="52">
        <v>0.4</v>
      </c>
      <c r="N601" s="52" t="s">
        <v>50</v>
      </c>
      <c r="O601" s="52" t="s">
        <v>767</v>
      </c>
      <c r="P601" s="52" t="s">
        <v>746</v>
      </c>
      <c r="Q601" s="52" t="s">
        <v>683</v>
      </c>
      <c r="R601" s="52" t="s">
        <v>132</v>
      </c>
      <c r="S601" s="52" t="s">
        <v>673</v>
      </c>
      <c r="T601" s="52" t="s">
        <v>1821</v>
      </c>
      <c r="U601" s="52" t="s">
        <v>1824</v>
      </c>
      <c r="V601" s="50" t="s">
        <v>1823</v>
      </c>
    </row>
    <row r="602" spans="1:22" x14ac:dyDescent="0.3">
      <c r="A602" s="48" t="s">
        <v>1592</v>
      </c>
      <c r="B602" s="49" t="s">
        <v>998</v>
      </c>
      <c r="C602" s="49" t="s">
        <v>1593</v>
      </c>
      <c r="D602" s="49" t="s">
        <v>673</v>
      </c>
      <c r="E602" s="49" t="s">
        <v>674</v>
      </c>
      <c r="F602" s="49" t="s">
        <v>716</v>
      </c>
      <c r="G602" s="49" t="s">
        <v>744</v>
      </c>
      <c r="H602" s="49" t="s">
        <v>677</v>
      </c>
      <c r="I602" s="49" t="s">
        <v>688</v>
      </c>
      <c r="J602" s="49" t="s">
        <v>950</v>
      </c>
      <c r="K602" s="49" t="s">
        <v>680</v>
      </c>
      <c r="L602" s="49" t="s">
        <v>681</v>
      </c>
      <c r="M602" s="49">
        <v>0.1</v>
      </c>
      <c r="N602" s="49" t="s">
        <v>50</v>
      </c>
      <c r="O602" s="49" t="s">
        <v>767</v>
      </c>
      <c r="P602" s="52" t="s">
        <v>746</v>
      </c>
      <c r="Q602" s="49" t="s">
        <v>683</v>
      </c>
      <c r="R602" s="49" t="s">
        <v>132</v>
      </c>
      <c r="S602" s="52" t="s">
        <v>673</v>
      </c>
      <c r="T602" s="49" t="s">
        <v>1821</v>
      </c>
      <c r="U602" s="49" t="s">
        <v>1824</v>
      </c>
      <c r="V602" s="50" t="s">
        <v>1823</v>
      </c>
    </row>
    <row r="603" spans="1:22" x14ac:dyDescent="0.3">
      <c r="A603" s="51" t="s">
        <v>1052</v>
      </c>
      <c r="B603" s="52" t="s">
        <v>998</v>
      </c>
      <c r="C603" s="52" t="s">
        <v>1053</v>
      </c>
      <c r="D603" s="52" t="s">
        <v>673</v>
      </c>
      <c r="E603" s="52" t="s">
        <v>674</v>
      </c>
      <c r="F603" s="52" t="s">
        <v>716</v>
      </c>
      <c r="G603" s="52" t="s">
        <v>744</v>
      </c>
      <c r="H603" s="52" t="s">
        <v>677</v>
      </c>
      <c r="I603" s="49" t="s">
        <v>688</v>
      </c>
      <c r="J603" s="52" t="s">
        <v>710</v>
      </c>
      <c r="K603" s="52" t="s">
        <v>690</v>
      </c>
      <c r="L603" s="52" t="s">
        <v>681</v>
      </c>
      <c r="M603" s="52">
        <v>0.6</v>
      </c>
      <c r="N603" s="52" t="s">
        <v>473</v>
      </c>
      <c r="O603" s="52" t="s">
        <v>767</v>
      </c>
      <c r="P603" s="52" t="s">
        <v>746</v>
      </c>
      <c r="Q603" s="52" t="s">
        <v>683</v>
      </c>
      <c r="R603" s="52" t="s">
        <v>132</v>
      </c>
      <c r="S603" s="52" t="s">
        <v>673</v>
      </c>
      <c r="T603" s="52" t="s">
        <v>1821</v>
      </c>
      <c r="U603" s="52" t="s">
        <v>1824</v>
      </c>
      <c r="V603" s="50" t="s">
        <v>1823</v>
      </c>
    </row>
    <row r="604" spans="1:22" x14ac:dyDescent="0.3">
      <c r="A604" s="48" t="s">
        <v>1000</v>
      </c>
      <c r="B604" s="49" t="s">
        <v>998</v>
      </c>
      <c r="C604" s="49" t="s">
        <v>1001</v>
      </c>
      <c r="D604" s="49" t="s">
        <v>673</v>
      </c>
      <c r="E604" s="49" t="s">
        <v>674</v>
      </c>
      <c r="F604" s="49" t="s">
        <v>716</v>
      </c>
      <c r="G604" s="49" t="s">
        <v>744</v>
      </c>
      <c r="H604" s="49" t="s">
        <v>677</v>
      </c>
      <c r="I604" s="49" t="s">
        <v>688</v>
      </c>
      <c r="J604" s="49" t="s">
        <v>751</v>
      </c>
      <c r="K604" s="49" t="s">
        <v>690</v>
      </c>
      <c r="L604" s="49" t="s">
        <v>681</v>
      </c>
      <c r="M604" s="49">
        <v>0.2</v>
      </c>
      <c r="N604" s="49" t="s">
        <v>473</v>
      </c>
      <c r="O604" s="49" t="s">
        <v>767</v>
      </c>
      <c r="P604" s="52" t="s">
        <v>746</v>
      </c>
      <c r="Q604" s="49" t="s">
        <v>683</v>
      </c>
      <c r="R604" s="49" t="s">
        <v>132</v>
      </c>
      <c r="S604" s="52" t="s">
        <v>673</v>
      </c>
      <c r="T604" s="49" t="s">
        <v>1821</v>
      </c>
      <c r="U604" s="49" t="s">
        <v>1824</v>
      </c>
      <c r="V604" s="50" t="s">
        <v>1823</v>
      </c>
    </row>
    <row r="605" spans="1:22" x14ac:dyDescent="0.3">
      <c r="A605" s="51" t="s">
        <v>1052</v>
      </c>
      <c r="B605" s="52" t="s">
        <v>998</v>
      </c>
      <c r="C605" s="52" t="s">
        <v>1053</v>
      </c>
      <c r="D605" s="52" t="s">
        <v>673</v>
      </c>
      <c r="E605" s="52" t="s">
        <v>674</v>
      </c>
      <c r="F605" s="52" t="s">
        <v>716</v>
      </c>
      <c r="G605" s="52" t="s">
        <v>744</v>
      </c>
      <c r="H605" s="52" t="s">
        <v>677</v>
      </c>
      <c r="I605" s="49" t="s">
        <v>688</v>
      </c>
      <c r="J605" s="52" t="s">
        <v>710</v>
      </c>
      <c r="K605" s="52" t="s">
        <v>690</v>
      </c>
      <c r="L605" s="52" t="s">
        <v>681</v>
      </c>
      <c r="M605" s="52">
        <v>0.5</v>
      </c>
      <c r="N605" s="52" t="s">
        <v>1594</v>
      </c>
      <c r="O605" s="52" t="s">
        <v>767</v>
      </c>
      <c r="P605" s="52" t="s">
        <v>746</v>
      </c>
      <c r="Q605" s="52" t="s">
        <v>683</v>
      </c>
      <c r="R605" s="52" t="s">
        <v>132</v>
      </c>
      <c r="S605" s="52" t="s">
        <v>673</v>
      </c>
      <c r="T605" s="52" t="s">
        <v>1821</v>
      </c>
      <c r="U605" s="52" t="s">
        <v>1824</v>
      </c>
      <c r="V605" s="50" t="s">
        <v>1823</v>
      </c>
    </row>
    <row r="606" spans="1:22" x14ac:dyDescent="0.3">
      <c r="A606" s="48" t="s">
        <v>1592</v>
      </c>
      <c r="B606" s="49" t="s">
        <v>998</v>
      </c>
      <c r="C606" s="49" t="s">
        <v>1593</v>
      </c>
      <c r="D606" s="49" t="s">
        <v>673</v>
      </c>
      <c r="E606" s="49" t="s">
        <v>674</v>
      </c>
      <c r="F606" s="49" t="s">
        <v>716</v>
      </c>
      <c r="G606" s="49" t="s">
        <v>744</v>
      </c>
      <c r="H606" s="49" t="s">
        <v>677</v>
      </c>
      <c r="I606" s="49" t="s">
        <v>688</v>
      </c>
      <c r="J606" s="49" t="s">
        <v>950</v>
      </c>
      <c r="K606" s="49" t="s">
        <v>680</v>
      </c>
      <c r="L606" s="49" t="s">
        <v>681</v>
      </c>
      <c r="M606" s="49">
        <v>0.2</v>
      </c>
      <c r="N606" s="49" t="s">
        <v>1594</v>
      </c>
      <c r="O606" s="49" t="s">
        <v>767</v>
      </c>
      <c r="P606" s="52" t="s">
        <v>746</v>
      </c>
      <c r="Q606" s="49" t="s">
        <v>683</v>
      </c>
      <c r="R606" s="49" t="s">
        <v>132</v>
      </c>
      <c r="S606" s="52" t="s">
        <v>673</v>
      </c>
      <c r="T606" s="49" t="s">
        <v>1821</v>
      </c>
      <c r="U606" s="49" t="s">
        <v>1824</v>
      </c>
      <c r="V606" s="50" t="s">
        <v>1823</v>
      </c>
    </row>
    <row r="607" spans="1:22" x14ac:dyDescent="0.3">
      <c r="A607" s="51" t="s">
        <v>1052</v>
      </c>
      <c r="B607" s="52" t="s">
        <v>998</v>
      </c>
      <c r="C607" s="52" t="s">
        <v>1053</v>
      </c>
      <c r="D607" s="52" t="s">
        <v>673</v>
      </c>
      <c r="E607" s="52" t="s">
        <v>674</v>
      </c>
      <c r="F607" s="52" t="s">
        <v>716</v>
      </c>
      <c r="G607" s="52" t="s">
        <v>744</v>
      </c>
      <c r="H607" s="52" t="s">
        <v>677</v>
      </c>
      <c r="I607" s="49" t="s">
        <v>688</v>
      </c>
      <c r="J607" s="52" t="s">
        <v>710</v>
      </c>
      <c r="K607" s="52" t="s">
        <v>690</v>
      </c>
      <c r="L607" s="52" t="s">
        <v>681</v>
      </c>
      <c r="M607" s="52">
        <v>0.5</v>
      </c>
      <c r="N607" s="52" t="s">
        <v>260</v>
      </c>
      <c r="O607" s="52" t="s">
        <v>665</v>
      </c>
      <c r="P607" s="52" t="s">
        <v>746</v>
      </c>
      <c r="Q607" s="52" t="s">
        <v>683</v>
      </c>
      <c r="R607" s="52" t="s">
        <v>132</v>
      </c>
      <c r="S607" s="52" t="s">
        <v>673</v>
      </c>
      <c r="T607" s="52" t="s">
        <v>1821</v>
      </c>
      <c r="U607" s="52" t="s">
        <v>1824</v>
      </c>
      <c r="V607" s="50" t="s">
        <v>1823</v>
      </c>
    </row>
    <row r="608" spans="1:22" x14ac:dyDescent="0.3">
      <c r="A608" s="48" t="s">
        <v>921</v>
      </c>
      <c r="B608" s="49" t="s">
        <v>544</v>
      </c>
      <c r="C608" s="49" t="s">
        <v>922</v>
      </c>
      <c r="D608" s="49" t="s">
        <v>684</v>
      </c>
      <c r="E608" s="49" t="s">
        <v>674</v>
      </c>
      <c r="F608" s="49" t="s">
        <v>716</v>
      </c>
      <c r="G608" s="49" t="s">
        <v>744</v>
      </c>
      <c r="H608" s="49" t="s">
        <v>702</v>
      </c>
      <c r="I608" s="49" t="s">
        <v>736</v>
      </c>
      <c r="J608" s="49" t="s">
        <v>737</v>
      </c>
      <c r="K608" s="49" t="s">
        <v>738</v>
      </c>
      <c r="L608" s="49" t="s">
        <v>808</v>
      </c>
      <c r="M608" s="49">
        <v>0.5</v>
      </c>
      <c r="N608" s="49" t="s">
        <v>260</v>
      </c>
      <c r="O608" s="49" t="s">
        <v>665</v>
      </c>
      <c r="P608" s="49" t="s">
        <v>746</v>
      </c>
      <c r="Q608" s="49" t="s">
        <v>683</v>
      </c>
      <c r="R608" s="49" t="s">
        <v>132</v>
      </c>
      <c r="S608" s="52" t="s">
        <v>673</v>
      </c>
      <c r="T608" s="49" t="s">
        <v>1821</v>
      </c>
      <c r="U608" s="49" t="s">
        <v>1824</v>
      </c>
      <c r="V608" s="50" t="s">
        <v>1823</v>
      </c>
    </row>
    <row r="609" spans="1:22" x14ac:dyDescent="0.3">
      <c r="A609" s="51" t="s">
        <v>1596</v>
      </c>
      <c r="B609" s="52" t="s">
        <v>760</v>
      </c>
      <c r="C609" s="52" t="s">
        <v>1597</v>
      </c>
      <c r="D609" s="52" t="s">
        <v>673</v>
      </c>
      <c r="E609" s="52" t="s">
        <v>674</v>
      </c>
      <c r="F609" s="52" t="s">
        <v>716</v>
      </c>
      <c r="G609" s="52" t="s">
        <v>744</v>
      </c>
      <c r="H609" s="52" t="s">
        <v>702</v>
      </c>
      <c r="I609" s="49" t="s">
        <v>688</v>
      </c>
      <c r="J609" s="52" t="s">
        <v>751</v>
      </c>
      <c r="K609" s="52" t="s">
        <v>690</v>
      </c>
      <c r="L609" s="52" t="s">
        <v>699</v>
      </c>
      <c r="M609" s="52">
        <v>0.3</v>
      </c>
      <c r="N609" s="52" t="s">
        <v>247</v>
      </c>
      <c r="O609" s="52" t="s">
        <v>767</v>
      </c>
      <c r="P609" s="52" t="s">
        <v>746</v>
      </c>
      <c r="Q609" s="52" t="s">
        <v>683</v>
      </c>
      <c r="R609" s="52" t="s">
        <v>132</v>
      </c>
      <c r="S609" s="52" t="s">
        <v>673</v>
      </c>
      <c r="T609" s="52" t="s">
        <v>1821</v>
      </c>
      <c r="U609" s="52" t="s">
        <v>1824</v>
      </c>
      <c r="V609" s="50" t="s">
        <v>1823</v>
      </c>
    </row>
    <row r="610" spans="1:22" x14ac:dyDescent="0.3">
      <c r="A610" s="48" t="s">
        <v>1596</v>
      </c>
      <c r="B610" s="49" t="s">
        <v>760</v>
      </c>
      <c r="C610" s="49" t="s">
        <v>1597</v>
      </c>
      <c r="D610" s="49" t="s">
        <v>673</v>
      </c>
      <c r="E610" s="49" t="s">
        <v>674</v>
      </c>
      <c r="F610" s="49" t="s">
        <v>716</v>
      </c>
      <c r="G610" s="49" t="s">
        <v>744</v>
      </c>
      <c r="H610" s="49" t="s">
        <v>702</v>
      </c>
      <c r="I610" s="49" t="s">
        <v>688</v>
      </c>
      <c r="J610" s="49" t="s">
        <v>751</v>
      </c>
      <c r="K610" s="49" t="s">
        <v>690</v>
      </c>
      <c r="L610" s="49" t="s">
        <v>699</v>
      </c>
      <c r="M610" s="49">
        <v>1</v>
      </c>
      <c r="N610" s="49" t="s">
        <v>299</v>
      </c>
      <c r="O610" s="49" t="s">
        <v>665</v>
      </c>
      <c r="P610" s="49" t="s">
        <v>746</v>
      </c>
      <c r="Q610" s="49" t="s">
        <v>683</v>
      </c>
      <c r="R610" s="49" t="s">
        <v>132</v>
      </c>
      <c r="S610" s="52" t="s">
        <v>673</v>
      </c>
      <c r="T610" s="49" t="s">
        <v>1821</v>
      </c>
      <c r="U610" s="49" t="s">
        <v>1824</v>
      </c>
      <c r="V610" s="50" t="s">
        <v>1823</v>
      </c>
    </row>
    <row r="611" spans="1:22" x14ac:dyDescent="0.3">
      <c r="A611" s="51" t="s">
        <v>756</v>
      </c>
      <c r="B611" s="52" t="s">
        <v>753</v>
      </c>
      <c r="C611" s="52" t="s">
        <v>756</v>
      </c>
      <c r="D611" s="52" t="s">
        <v>755</v>
      </c>
      <c r="E611" s="52" t="s">
        <v>674</v>
      </c>
      <c r="F611" s="52" t="s">
        <v>716</v>
      </c>
      <c r="G611" s="52" t="s">
        <v>744</v>
      </c>
      <c r="H611" s="52" t="s">
        <v>702</v>
      </c>
      <c r="I611" s="49" t="s">
        <v>678</v>
      </c>
      <c r="J611" s="52" t="s">
        <v>679</v>
      </c>
      <c r="K611" s="52" t="s">
        <v>680</v>
      </c>
      <c r="L611" s="52" t="s">
        <v>681</v>
      </c>
      <c r="M611" s="52">
        <v>0.5</v>
      </c>
      <c r="N611" s="52" t="s">
        <v>88</v>
      </c>
      <c r="O611" s="52" t="s">
        <v>767</v>
      </c>
      <c r="P611" s="52" t="s">
        <v>746</v>
      </c>
      <c r="Q611" s="52" t="s">
        <v>683</v>
      </c>
      <c r="R611" s="52" t="s">
        <v>753</v>
      </c>
      <c r="S611" s="49" t="s">
        <v>755</v>
      </c>
      <c r="T611" s="52" t="s">
        <v>1821</v>
      </c>
      <c r="U611" s="52" t="s">
        <v>1824</v>
      </c>
      <c r="V611" s="50" t="s">
        <v>1823</v>
      </c>
    </row>
    <row r="612" spans="1:22" x14ac:dyDescent="0.3">
      <c r="A612" s="48" t="s">
        <v>1348</v>
      </c>
      <c r="B612" s="49" t="s">
        <v>707</v>
      </c>
      <c r="C612" s="49" t="s">
        <v>708</v>
      </c>
      <c r="D612" s="49" t="s">
        <v>755</v>
      </c>
      <c r="E612" s="49" t="s">
        <v>674</v>
      </c>
      <c r="F612" s="49" t="s">
        <v>709</v>
      </c>
      <c r="G612" s="49" t="s">
        <v>709</v>
      </c>
      <c r="H612" s="49" t="s">
        <v>709</v>
      </c>
      <c r="I612" s="49" t="s">
        <v>709</v>
      </c>
      <c r="J612" s="49" t="s">
        <v>679</v>
      </c>
      <c r="K612" s="49" t="s">
        <v>680</v>
      </c>
      <c r="L612" s="49" t="s">
        <v>699</v>
      </c>
      <c r="M612" s="49">
        <v>1</v>
      </c>
      <c r="N612" s="49" t="s">
        <v>1601</v>
      </c>
      <c r="O612" s="49" t="s">
        <v>665</v>
      </c>
      <c r="P612" s="49" t="s">
        <v>746</v>
      </c>
      <c r="Q612" s="49" t="s">
        <v>683</v>
      </c>
      <c r="R612" s="49" t="s">
        <v>753</v>
      </c>
      <c r="S612" s="49" t="s">
        <v>755</v>
      </c>
      <c r="T612" s="49" t="s">
        <v>1821</v>
      </c>
      <c r="U612" s="49" t="s">
        <v>1824</v>
      </c>
      <c r="V612" s="50" t="s">
        <v>1823</v>
      </c>
    </row>
    <row r="613" spans="1:22" x14ac:dyDescent="0.3">
      <c r="A613" s="51" t="s">
        <v>694</v>
      </c>
      <c r="B613" s="52" t="s">
        <v>695</v>
      </c>
      <c r="C613" s="52" t="s">
        <v>696</v>
      </c>
      <c r="D613" s="52" t="s">
        <v>673</v>
      </c>
      <c r="E613" s="52" t="s">
        <v>674</v>
      </c>
      <c r="F613" s="52" t="s">
        <v>675</v>
      </c>
      <c r="G613" s="52" t="s">
        <v>676</v>
      </c>
      <c r="H613" s="52" t="s">
        <v>677</v>
      </c>
      <c r="I613" s="52" t="s">
        <v>697</v>
      </c>
      <c r="J613" s="52" t="s">
        <v>698</v>
      </c>
      <c r="K613" s="52" t="s">
        <v>690</v>
      </c>
      <c r="L613" s="52" t="s">
        <v>699</v>
      </c>
      <c r="M613" s="52">
        <v>0.5</v>
      </c>
      <c r="N613" s="52" t="s">
        <v>214</v>
      </c>
      <c r="O613" s="52" t="s">
        <v>665</v>
      </c>
      <c r="P613" s="52" t="s">
        <v>746</v>
      </c>
      <c r="Q613" s="52" t="s">
        <v>683</v>
      </c>
      <c r="R613" s="52" t="s">
        <v>269</v>
      </c>
      <c r="S613" s="52" t="s">
        <v>673</v>
      </c>
      <c r="T613" s="52" t="s">
        <v>1821</v>
      </c>
      <c r="U613" s="52" t="s">
        <v>1824</v>
      </c>
      <c r="V613" s="50" t="s">
        <v>1823</v>
      </c>
    </row>
    <row r="614" spans="1:22" x14ac:dyDescent="0.3">
      <c r="A614" s="48" t="s">
        <v>1243</v>
      </c>
      <c r="B614" s="49" t="s">
        <v>1239</v>
      </c>
      <c r="C614" s="49" t="s">
        <v>1244</v>
      </c>
      <c r="D614" s="49" t="s">
        <v>684</v>
      </c>
      <c r="E614" s="49" t="s">
        <v>674</v>
      </c>
      <c r="F614" s="49" t="s">
        <v>675</v>
      </c>
      <c r="G614" s="49" t="s">
        <v>676</v>
      </c>
      <c r="H614" s="49" t="s">
        <v>677</v>
      </c>
      <c r="I614" s="49" t="s">
        <v>688</v>
      </c>
      <c r="J614" s="49" t="s">
        <v>860</v>
      </c>
      <c r="K614" s="49" t="s">
        <v>861</v>
      </c>
      <c r="L614" s="49" t="s">
        <v>739</v>
      </c>
      <c r="M614" s="49">
        <v>0.3</v>
      </c>
      <c r="N614" s="49" t="s">
        <v>214</v>
      </c>
      <c r="O614" s="49" t="s">
        <v>665</v>
      </c>
      <c r="P614" s="49" t="s">
        <v>746</v>
      </c>
      <c r="Q614" s="49" t="s">
        <v>683</v>
      </c>
      <c r="R614" s="49" t="s">
        <v>269</v>
      </c>
      <c r="S614" s="52" t="s">
        <v>673</v>
      </c>
      <c r="T614" s="49" t="s">
        <v>1821</v>
      </c>
      <c r="U614" s="49" t="s">
        <v>1824</v>
      </c>
      <c r="V614" s="50" t="s">
        <v>1823</v>
      </c>
    </row>
    <row r="615" spans="1:22" x14ac:dyDescent="0.3">
      <c r="A615" s="51" t="s">
        <v>1238</v>
      </c>
      <c r="B615" s="52" t="s">
        <v>1239</v>
      </c>
      <c r="C615" s="52" t="s">
        <v>1240</v>
      </c>
      <c r="D615" s="52" t="s">
        <v>684</v>
      </c>
      <c r="E615" s="52" t="s">
        <v>674</v>
      </c>
      <c r="F615" s="52" t="s">
        <v>675</v>
      </c>
      <c r="G615" s="52" t="s">
        <v>676</v>
      </c>
      <c r="H615" s="52" t="s">
        <v>677</v>
      </c>
      <c r="I615" s="49" t="s">
        <v>688</v>
      </c>
      <c r="J615" s="52" t="s">
        <v>860</v>
      </c>
      <c r="K615" s="52" t="s">
        <v>861</v>
      </c>
      <c r="L615" s="52" t="s">
        <v>691</v>
      </c>
      <c r="M615" s="52">
        <v>0.2</v>
      </c>
      <c r="N615" s="52" t="s">
        <v>214</v>
      </c>
      <c r="O615" s="52" t="s">
        <v>665</v>
      </c>
      <c r="P615" s="52" t="s">
        <v>746</v>
      </c>
      <c r="Q615" s="52" t="s">
        <v>683</v>
      </c>
      <c r="R615" s="52" t="s">
        <v>269</v>
      </c>
      <c r="S615" s="52" t="s">
        <v>673</v>
      </c>
      <c r="T615" s="52" t="s">
        <v>1821</v>
      </c>
      <c r="U615" s="52" t="s">
        <v>1824</v>
      </c>
      <c r="V615" s="50" t="s">
        <v>1823</v>
      </c>
    </row>
    <row r="616" spans="1:22" x14ac:dyDescent="0.3">
      <c r="A616" s="48" t="s">
        <v>997</v>
      </c>
      <c r="B616" s="49" t="s">
        <v>998</v>
      </c>
      <c r="C616" s="49" t="s">
        <v>999</v>
      </c>
      <c r="D616" s="49" t="s">
        <v>673</v>
      </c>
      <c r="E616" s="49" t="s">
        <v>674</v>
      </c>
      <c r="F616" s="49" t="s">
        <v>716</v>
      </c>
      <c r="G616" s="49" t="s">
        <v>744</v>
      </c>
      <c r="H616" s="49" t="s">
        <v>677</v>
      </c>
      <c r="I616" s="49" t="s">
        <v>678</v>
      </c>
      <c r="J616" s="49" t="s">
        <v>751</v>
      </c>
      <c r="K616" s="49" t="s">
        <v>690</v>
      </c>
      <c r="L616" s="49" t="s">
        <v>681</v>
      </c>
      <c r="M616" s="49">
        <v>0.5</v>
      </c>
      <c r="N616" s="49" t="s">
        <v>461</v>
      </c>
      <c r="O616" s="49" t="s">
        <v>665</v>
      </c>
      <c r="P616" s="49" t="s">
        <v>746</v>
      </c>
      <c r="Q616" s="49" t="s">
        <v>683</v>
      </c>
      <c r="R616" s="49" t="s">
        <v>242</v>
      </c>
      <c r="S616" s="52" t="s">
        <v>673</v>
      </c>
      <c r="T616" s="49" t="s">
        <v>1821</v>
      </c>
      <c r="U616" s="49" t="s">
        <v>1824</v>
      </c>
      <c r="V616" s="50" t="s">
        <v>1823</v>
      </c>
    </row>
    <row r="617" spans="1:22" x14ac:dyDescent="0.3">
      <c r="A617" s="51" t="s">
        <v>1619</v>
      </c>
      <c r="B617" s="52" t="s">
        <v>760</v>
      </c>
      <c r="C617" s="52" t="s">
        <v>1620</v>
      </c>
      <c r="D617" s="52" t="s">
        <v>673</v>
      </c>
      <c r="E617" s="52" t="s">
        <v>674</v>
      </c>
      <c r="F617" s="52" t="s">
        <v>716</v>
      </c>
      <c r="G617" s="52" t="s">
        <v>744</v>
      </c>
      <c r="H617" s="52" t="s">
        <v>702</v>
      </c>
      <c r="I617" s="49" t="s">
        <v>678</v>
      </c>
      <c r="J617" s="52" t="s">
        <v>751</v>
      </c>
      <c r="K617" s="52" t="s">
        <v>690</v>
      </c>
      <c r="L617" s="52" t="s">
        <v>699</v>
      </c>
      <c r="M617" s="52">
        <v>0.2</v>
      </c>
      <c r="N617" s="52" t="s">
        <v>461</v>
      </c>
      <c r="O617" s="52" t="s">
        <v>665</v>
      </c>
      <c r="P617" s="52" t="s">
        <v>746</v>
      </c>
      <c r="Q617" s="52" t="s">
        <v>683</v>
      </c>
      <c r="R617" s="52" t="s">
        <v>242</v>
      </c>
      <c r="S617" s="52" t="s">
        <v>673</v>
      </c>
      <c r="T617" s="52" t="s">
        <v>1821</v>
      </c>
      <c r="U617" s="52" t="s">
        <v>1824</v>
      </c>
      <c r="V617" s="50" t="s">
        <v>1823</v>
      </c>
    </row>
    <row r="618" spans="1:22" x14ac:dyDescent="0.3">
      <c r="A618" s="48" t="s">
        <v>783</v>
      </c>
      <c r="B618" s="49" t="s">
        <v>784</v>
      </c>
      <c r="C618" s="49" t="s">
        <v>785</v>
      </c>
      <c r="D618" s="49" t="s">
        <v>673</v>
      </c>
      <c r="E618" s="49" t="s">
        <v>674</v>
      </c>
      <c r="F618" s="49" t="s">
        <v>675</v>
      </c>
      <c r="G618" s="49" t="s">
        <v>676</v>
      </c>
      <c r="H618" s="49" t="s">
        <v>702</v>
      </c>
      <c r="I618" s="49" t="s">
        <v>678</v>
      </c>
      <c r="J618" s="49" t="s">
        <v>751</v>
      </c>
      <c r="K618" s="49" t="s">
        <v>690</v>
      </c>
      <c r="L618" s="49" t="s">
        <v>681</v>
      </c>
      <c r="M618" s="49">
        <v>0.2</v>
      </c>
      <c r="N618" s="49" t="s">
        <v>461</v>
      </c>
      <c r="O618" s="49" t="s">
        <v>665</v>
      </c>
      <c r="P618" s="49" t="s">
        <v>746</v>
      </c>
      <c r="Q618" s="49" t="s">
        <v>683</v>
      </c>
      <c r="R618" s="49" t="s">
        <v>242</v>
      </c>
      <c r="S618" s="52" t="s">
        <v>673</v>
      </c>
      <c r="T618" s="49" t="s">
        <v>1821</v>
      </c>
      <c r="U618" s="49" t="s">
        <v>1824</v>
      </c>
      <c r="V618" s="50" t="s">
        <v>1823</v>
      </c>
    </row>
    <row r="619" spans="1:22" x14ac:dyDescent="0.3">
      <c r="A619" s="51" t="s">
        <v>1621</v>
      </c>
      <c r="B619" s="52" t="s">
        <v>749</v>
      </c>
      <c r="C619" s="52" t="s">
        <v>1622</v>
      </c>
      <c r="D619" s="52" t="s">
        <v>673</v>
      </c>
      <c r="E619" s="52" t="s">
        <v>674</v>
      </c>
      <c r="F619" s="52" t="s">
        <v>675</v>
      </c>
      <c r="G619" s="52" t="s">
        <v>744</v>
      </c>
      <c r="H619" s="52" t="s">
        <v>677</v>
      </c>
      <c r="I619" s="49" t="s">
        <v>688</v>
      </c>
      <c r="J619" s="52" t="s">
        <v>751</v>
      </c>
      <c r="K619" s="52" t="s">
        <v>690</v>
      </c>
      <c r="L619" s="52" t="s">
        <v>681</v>
      </c>
      <c r="M619" s="52">
        <v>0.9</v>
      </c>
      <c r="N619" s="52" t="s">
        <v>372</v>
      </c>
      <c r="O619" s="52" t="s">
        <v>767</v>
      </c>
      <c r="P619" s="52" t="s">
        <v>746</v>
      </c>
      <c r="Q619" s="52" t="s">
        <v>683</v>
      </c>
      <c r="R619" s="52" t="s">
        <v>242</v>
      </c>
      <c r="S619" s="52" t="s">
        <v>673</v>
      </c>
      <c r="T619" s="52" t="s">
        <v>1821</v>
      </c>
      <c r="U619" s="52" t="s">
        <v>1824</v>
      </c>
      <c r="V619" s="50" t="s">
        <v>1823</v>
      </c>
    </row>
    <row r="620" spans="1:22" x14ac:dyDescent="0.3">
      <c r="A620" s="48" t="s">
        <v>1002</v>
      </c>
      <c r="B620" s="49" t="s">
        <v>998</v>
      </c>
      <c r="C620" s="49" t="s">
        <v>1003</v>
      </c>
      <c r="D620" s="49" t="s">
        <v>673</v>
      </c>
      <c r="E620" s="49" t="s">
        <v>674</v>
      </c>
      <c r="F620" s="49" t="s">
        <v>716</v>
      </c>
      <c r="G620" s="49" t="s">
        <v>744</v>
      </c>
      <c r="H620" s="49" t="s">
        <v>677</v>
      </c>
      <c r="I620" s="49" t="s">
        <v>678</v>
      </c>
      <c r="J620" s="49" t="s">
        <v>751</v>
      </c>
      <c r="K620" s="49" t="s">
        <v>690</v>
      </c>
      <c r="L620" s="49" t="s">
        <v>681</v>
      </c>
      <c r="M620" s="49">
        <v>0.1</v>
      </c>
      <c r="N620" s="49" t="s">
        <v>372</v>
      </c>
      <c r="O620" s="49" t="s">
        <v>767</v>
      </c>
      <c r="P620" s="52" t="s">
        <v>746</v>
      </c>
      <c r="Q620" s="49" t="s">
        <v>683</v>
      </c>
      <c r="R620" s="49" t="s">
        <v>242</v>
      </c>
      <c r="S620" s="52" t="s">
        <v>673</v>
      </c>
      <c r="T620" s="49" t="s">
        <v>1821</v>
      </c>
      <c r="U620" s="49" t="s">
        <v>1824</v>
      </c>
      <c r="V620" s="50" t="s">
        <v>1823</v>
      </c>
    </row>
    <row r="621" spans="1:22" x14ac:dyDescent="0.3">
      <c r="A621" s="51" t="s">
        <v>814</v>
      </c>
      <c r="B621" s="52" t="s">
        <v>749</v>
      </c>
      <c r="C621" s="52" t="s">
        <v>815</v>
      </c>
      <c r="D621" s="52" t="s">
        <v>673</v>
      </c>
      <c r="E621" s="52" t="s">
        <v>674</v>
      </c>
      <c r="F621" s="52" t="s">
        <v>716</v>
      </c>
      <c r="G621" s="52" t="s">
        <v>744</v>
      </c>
      <c r="H621" s="52" t="s">
        <v>677</v>
      </c>
      <c r="I621" s="49" t="s">
        <v>678</v>
      </c>
      <c r="J621" s="52" t="s">
        <v>751</v>
      </c>
      <c r="K621" s="52" t="s">
        <v>690</v>
      </c>
      <c r="L621" s="52" t="s">
        <v>681</v>
      </c>
      <c r="M621" s="52">
        <v>1</v>
      </c>
      <c r="N621" s="52" t="s">
        <v>92</v>
      </c>
      <c r="O621" s="52" t="s">
        <v>665</v>
      </c>
      <c r="P621" s="52" t="s">
        <v>746</v>
      </c>
      <c r="Q621" s="52" t="s">
        <v>683</v>
      </c>
      <c r="R621" s="52" t="s">
        <v>242</v>
      </c>
      <c r="S621" s="52" t="s">
        <v>673</v>
      </c>
      <c r="T621" s="52" t="s">
        <v>1821</v>
      </c>
      <c r="U621" s="52" t="s">
        <v>1824</v>
      </c>
      <c r="V621" s="50" t="s">
        <v>1823</v>
      </c>
    </row>
    <row r="622" spans="1:22" x14ac:dyDescent="0.3">
      <c r="A622" s="48" t="s">
        <v>1000</v>
      </c>
      <c r="B622" s="49" t="s">
        <v>998</v>
      </c>
      <c r="C622" s="49" t="s">
        <v>1001</v>
      </c>
      <c r="D622" s="49" t="s">
        <v>673</v>
      </c>
      <c r="E622" s="49" t="s">
        <v>674</v>
      </c>
      <c r="F622" s="49" t="s">
        <v>716</v>
      </c>
      <c r="G622" s="49" t="s">
        <v>744</v>
      </c>
      <c r="H622" s="49" t="s">
        <v>677</v>
      </c>
      <c r="I622" s="49" t="s">
        <v>688</v>
      </c>
      <c r="J622" s="49" t="s">
        <v>751</v>
      </c>
      <c r="K622" s="49" t="s">
        <v>690</v>
      </c>
      <c r="L622" s="49" t="s">
        <v>681</v>
      </c>
      <c r="M622" s="49">
        <v>1</v>
      </c>
      <c r="N622" s="49" t="s">
        <v>137</v>
      </c>
      <c r="O622" s="49" t="s">
        <v>767</v>
      </c>
      <c r="P622" s="52" t="s">
        <v>746</v>
      </c>
      <c r="Q622" s="49" t="s">
        <v>683</v>
      </c>
      <c r="R622" s="49" t="s">
        <v>242</v>
      </c>
      <c r="S622" s="52" t="s">
        <v>673</v>
      </c>
      <c r="T622" s="49" t="s">
        <v>1821</v>
      </c>
      <c r="U622" s="49" t="s">
        <v>1824</v>
      </c>
      <c r="V622" s="50" t="s">
        <v>1823</v>
      </c>
    </row>
    <row r="623" spans="1:22" x14ac:dyDescent="0.3">
      <c r="A623" s="51" t="s">
        <v>1625</v>
      </c>
      <c r="B623" s="52" t="s">
        <v>707</v>
      </c>
      <c r="C623" s="52" t="s">
        <v>773</v>
      </c>
      <c r="D623" s="52" t="s">
        <v>673</v>
      </c>
      <c r="E623" s="52" t="s">
        <v>674</v>
      </c>
      <c r="F623" s="52" t="s">
        <v>773</v>
      </c>
      <c r="G623" s="52" t="s">
        <v>773</v>
      </c>
      <c r="H623" s="52" t="s">
        <v>773</v>
      </c>
      <c r="I623" s="52" t="s">
        <v>773</v>
      </c>
      <c r="J623" s="52" t="s">
        <v>1422</v>
      </c>
      <c r="K623" s="52" t="s">
        <v>861</v>
      </c>
      <c r="L623" s="52" t="s">
        <v>699</v>
      </c>
      <c r="M623" s="52">
        <v>1</v>
      </c>
      <c r="N623" s="52" t="s">
        <v>1626</v>
      </c>
      <c r="O623" s="52" t="s">
        <v>767</v>
      </c>
      <c r="P623" s="52" t="s">
        <v>746</v>
      </c>
      <c r="Q623" s="52" t="s">
        <v>683</v>
      </c>
      <c r="R623" s="52" t="s">
        <v>1541</v>
      </c>
      <c r="S623" s="52" t="s">
        <v>673</v>
      </c>
      <c r="T623" s="52" t="s">
        <v>1821</v>
      </c>
      <c r="U623" s="52" t="s">
        <v>1824</v>
      </c>
      <c r="V623" s="50" t="s">
        <v>1823</v>
      </c>
    </row>
    <row r="624" spans="1:22" x14ac:dyDescent="0.3">
      <c r="A624" s="48" t="s">
        <v>902</v>
      </c>
      <c r="B624" s="49" t="s">
        <v>707</v>
      </c>
      <c r="C624" s="49" t="s">
        <v>715</v>
      </c>
      <c r="D624" s="49" t="s">
        <v>673</v>
      </c>
      <c r="E624" s="49" t="s">
        <v>674</v>
      </c>
      <c r="F624" s="49" t="s">
        <v>716</v>
      </c>
      <c r="G624" s="49" t="s">
        <v>717</v>
      </c>
      <c r="H624" s="49" t="s">
        <v>717</v>
      </c>
      <c r="I624" s="49" t="s">
        <v>717</v>
      </c>
      <c r="J624" s="49" t="s">
        <v>751</v>
      </c>
      <c r="K624" s="49" t="s">
        <v>690</v>
      </c>
      <c r="L624" s="49" t="s">
        <v>699</v>
      </c>
      <c r="M624" s="49">
        <v>0.2</v>
      </c>
      <c r="N624" s="49" t="s">
        <v>242</v>
      </c>
      <c r="O624" s="49" t="s">
        <v>665</v>
      </c>
      <c r="P624" s="49" t="s">
        <v>746</v>
      </c>
      <c r="Q624" s="49" t="s">
        <v>683</v>
      </c>
      <c r="R624" s="49" t="s">
        <v>269</v>
      </c>
      <c r="S624" s="52" t="s">
        <v>673</v>
      </c>
      <c r="T624" s="49" t="s">
        <v>1821</v>
      </c>
      <c r="U624" s="49" t="s">
        <v>1824</v>
      </c>
      <c r="V624" s="50" t="s">
        <v>1823</v>
      </c>
    </row>
    <row r="625" spans="1:22" x14ac:dyDescent="0.3">
      <c r="A625" s="51" t="s">
        <v>1000</v>
      </c>
      <c r="B625" s="52" t="s">
        <v>998</v>
      </c>
      <c r="C625" s="52" t="s">
        <v>1001</v>
      </c>
      <c r="D625" s="52" t="s">
        <v>673</v>
      </c>
      <c r="E625" s="52" t="s">
        <v>674</v>
      </c>
      <c r="F625" s="52" t="s">
        <v>716</v>
      </c>
      <c r="G625" s="52" t="s">
        <v>744</v>
      </c>
      <c r="H625" s="52" t="s">
        <v>677</v>
      </c>
      <c r="I625" s="49" t="s">
        <v>688</v>
      </c>
      <c r="J625" s="52" t="s">
        <v>751</v>
      </c>
      <c r="K625" s="52" t="s">
        <v>690</v>
      </c>
      <c r="L625" s="52" t="s">
        <v>681</v>
      </c>
      <c r="M625" s="52">
        <v>0.4</v>
      </c>
      <c r="N625" s="52" t="s">
        <v>242</v>
      </c>
      <c r="O625" s="52" t="s">
        <v>665</v>
      </c>
      <c r="P625" s="52" t="s">
        <v>746</v>
      </c>
      <c r="Q625" s="52" t="s">
        <v>683</v>
      </c>
      <c r="R625" s="52" t="s">
        <v>269</v>
      </c>
      <c r="S625" s="52" t="s">
        <v>673</v>
      </c>
      <c r="T625" s="52" t="s">
        <v>1821</v>
      </c>
      <c r="U625" s="52" t="s">
        <v>1824</v>
      </c>
      <c r="V625" s="50" t="s">
        <v>1823</v>
      </c>
    </row>
    <row r="626" spans="1:22" x14ac:dyDescent="0.3">
      <c r="A626" s="48" t="s">
        <v>1621</v>
      </c>
      <c r="B626" s="49" t="s">
        <v>749</v>
      </c>
      <c r="C626" s="49" t="s">
        <v>1622</v>
      </c>
      <c r="D626" s="49" t="s">
        <v>673</v>
      </c>
      <c r="E626" s="49" t="s">
        <v>674</v>
      </c>
      <c r="F626" s="49" t="s">
        <v>675</v>
      </c>
      <c r="G626" s="49" t="s">
        <v>744</v>
      </c>
      <c r="H626" s="49" t="s">
        <v>677</v>
      </c>
      <c r="I626" s="49" t="s">
        <v>688</v>
      </c>
      <c r="J626" s="49" t="s">
        <v>751</v>
      </c>
      <c r="K626" s="49" t="s">
        <v>690</v>
      </c>
      <c r="L626" s="49" t="s">
        <v>681</v>
      </c>
      <c r="M626" s="49">
        <v>0.4</v>
      </c>
      <c r="N626" s="49" t="s">
        <v>242</v>
      </c>
      <c r="O626" s="49" t="s">
        <v>665</v>
      </c>
      <c r="P626" s="49" t="s">
        <v>746</v>
      </c>
      <c r="Q626" s="49" t="s">
        <v>683</v>
      </c>
      <c r="R626" s="49" t="s">
        <v>269</v>
      </c>
      <c r="S626" s="52" t="s">
        <v>673</v>
      </c>
      <c r="T626" s="49" t="s">
        <v>1821</v>
      </c>
      <c r="U626" s="49" t="s">
        <v>1824</v>
      </c>
      <c r="V626" s="50" t="s">
        <v>1823</v>
      </c>
    </row>
    <row r="627" spans="1:22" x14ac:dyDescent="0.3">
      <c r="A627" s="51" t="s">
        <v>762</v>
      </c>
      <c r="B627" s="52" t="s">
        <v>760</v>
      </c>
      <c r="C627" s="52" t="s">
        <v>763</v>
      </c>
      <c r="D627" s="52" t="s">
        <v>755</v>
      </c>
      <c r="E627" s="52" t="s">
        <v>674</v>
      </c>
      <c r="F627" s="52" t="s">
        <v>716</v>
      </c>
      <c r="G627" s="52" t="s">
        <v>744</v>
      </c>
      <c r="H627" s="52" t="s">
        <v>677</v>
      </c>
      <c r="I627" s="49" t="s">
        <v>678</v>
      </c>
      <c r="J627" s="52" t="s">
        <v>679</v>
      </c>
      <c r="K627" s="52" t="s">
        <v>680</v>
      </c>
      <c r="L627" s="52" t="s">
        <v>699</v>
      </c>
      <c r="M627" s="52">
        <v>0.5</v>
      </c>
      <c r="N627" s="52" t="s">
        <v>569</v>
      </c>
      <c r="O627" s="52" t="s">
        <v>767</v>
      </c>
      <c r="P627" s="52" t="s">
        <v>746</v>
      </c>
      <c r="Q627" s="52" t="s">
        <v>683</v>
      </c>
      <c r="R627" s="52" t="s">
        <v>633</v>
      </c>
      <c r="S627" s="49" t="s">
        <v>755</v>
      </c>
      <c r="T627" s="52" t="s">
        <v>1821</v>
      </c>
      <c r="U627" s="52" t="s">
        <v>1824</v>
      </c>
      <c r="V627" s="50" t="s">
        <v>1823</v>
      </c>
    </row>
    <row r="628" spans="1:22" x14ac:dyDescent="0.3">
      <c r="A628" s="48" t="s">
        <v>1287</v>
      </c>
      <c r="B628" s="49" t="s">
        <v>633</v>
      </c>
      <c r="C628" s="49" t="s">
        <v>1288</v>
      </c>
      <c r="D628" s="49" t="s">
        <v>755</v>
      </c>
      <c r="E628" s="49" t="s">
        <v>674</v>
      </c>
      <c r="F628" s="49" t="s">
        <v>675</v>
      </c>
      <c r="G628" s="49" t="s">
        <v>676</v>
      </c>
      <c r="H628" s="49" t="s">
        <v>677</v>
      </c>
      <c r="I628" s="49" t="s">
        <v>678</v>
      </c>
      <c r="J628" s="49" t="s">
        <v>679</v>
      </c>
      <c r="K628" s="49" t="s">
        <v>680</v>
      </c>
      <c r="L628" s="49" t="s">
        <v>766</v>
      </c>
      <c r="M628" s="49">
        <v>0.3</v>
      </c>
      <c r="N628" s="49" t="s">
        <v>569</v>
      </c>
      <c r="O628" s="49" t="s">
        <v>767</v>
      </c>
      <c r="P628" s="52" t="s">
        <v>746</v>
      </c>
      <c r="Q628" s="49" t="s">
        <v>683</v>
      </c>
      <c r="R628" s="49" t="s">
        <v>633</v>
      </c>
      <c r="S628" s="49" t="s">
        <v>755</v>
      </c>
      <c r="T628" s="49" t="s">
        <v>1821</v>
      </c>
      <c r="U628" s="49" t="s">
        <v>1824</v>
      </c>
      <c r="V628" s="50" t="s">
        <v>1823</v>
      </c>
    </row>
    <row r="629" spans="1:22" x14ac:dyDescent="0.3">
      <c r="A629" s="51" t="s">
        <v>694</v>
      </c>
      <c r="B629" s="52" t="s">
        <v>695</v>
      </c>
      <c r="C629" s="52" t="s">
        <v>696</v>
      </c>
      <c r="D629" s="52" t="s">
        <v>673</v>
      </c>
      <c r="E629" s="52" t="s">
        <v>674</v>
      </c>
      <c r="F629" s="52" t="s">
        <v>675</v>
      </c>
      <c r="G629" s="52" t="s">
        <v>676</v>
      </c>
      <c r="H629" s="52" t="s">
        <v>677</v>
      </c>
      <c r="I629" s="52" t="s">
        <v>697</v>
      </c>
      <c r="J629" s="52" t="s">
        <v>698</v>
      </c>
      <c r="K629" s="52" t="s">
        <v>690</v>
      </c>
      <c r="L629" s="52" t="s">
        <v>699</v>
      </c>
      <c r="M629" s="52">
        <v>1</v>
      </c>
      <c r="N629" s="52" t="s">
        <v>169</v>
      </c>
      <c r="O629" s="52" t="s">
        <v>665</v>
      </c>
      <c r="P629" s="52" t="s">
        <v>746</v>
      </c>
      <c r="Q629" s="52" t="s">
        <v>683</v>
      </c>
      <c r="R629" s="52" t="s">
        <v>269</v>
      </c>
      <c r="S629" s="52" t="s">
        <v>673</v>
      </c>
      <c r="T629" s="52" t="s">
        <v>1821</v>
      </c>
      <c r="U629" s="52" t="s">
        <v>1824</v>
      </c>
      <c r="V629" s="50" t="s">
        <v>1823</v>
      </c>
    </row>
    <row r="630" spans="1:22" x14ac:dyDescent="0.3">
      <c r="A630" s="48" t="s">
        <v>2303</v>
      </c>
      <c r="B630" s="49" t="s">
        <v>633</v>
      </c>
      <c r="C630" s="49" t="s">
        <v>2304</v>
      </c>
      <c r="D630" s="49" t="s">
        <v>755</v>
      </c>
      <c r="E630" s="49" t="s">
        <v>674</v>
      </c>
      <c r="F630" s="49" t="s">
        <v>675</v>
      </c>
      <c r="G630" s="49" t="s">
        <v>676</v>
      </c>
      <c r="H630" s="49" t="s">
        <v>677</v>
      </c>
      <c r="I630" s="49" t="s">
        <v>678</v>
      </c>
      <c r="J630" s="49" t="s">
        <v>679</v>
      </c>
      <c r="K630" s="49" t="s">
        <v>680</v>
      </c>
      <c r="L630" s="49" t="s">
        <v>691</v>
      </c>
      <c r="M630" s="49">
        <v>0.2</v>
      </c>
      <c r="N630" s="49" t="s">
        <v>569</v>
      </c>
      <c r="O630" s="49" t="s">
        <v>767</v>
      </c>
      <c r="P630" s="52" t="s">
        <v>746</v>
      </c>
      <c r="Q630" s="49" t="s">
        <v>683</v>
      </c>
      <c r="R630" s="49" t="s">
        <v>633</v>
      </c>
      <c r="S630" s="49" t="s">
        <v>755</v>
      </c>
      <c r="T630" s="49" t="s">
        <v>1821</v>
      </c>
      <c r="U630" s="49" t="s">
        <v>1824</v>
      </c>
      <c r="V630" s="50" t="s">
        <v>1823</v>
      </c>
    </row>
    <row r="631" spans="1:22" x14ac:dyDescent="0.3">
      <c r="A631" s="51" t="s">
        <v>1297</v>
      </c>
      <c r="B631" s="52" t="s">
        <v>753</v>
      </c>
      <c r="C631" s="52" t="s">
        <v>1298</v>
      </c>
      <c r="D631" s="52" t="s">
        <v>755</v>
      </c>
      <c r="E631" s="52" t="s">
        <v>674</v>
      </c>
      <c r="F631" s="52" t="s">
        <v>675</v>
      </c>
      <c r="G631" s="52" t="s">
        <v>676</v>
      </c>
      <c r="H631" s="52" t="s">
        <v>702</v>
      </c>
      <c r="I631" s="49" t="s">
        <v>678</v>
      </c>
      <c r="J631" s="52" t="s">
        <v>679</v>
      </c>
      <c r="K631" s="52" t="s">
        <v>680</v>
      </c>
      <c r="L631" s="52" t="s">
        <v>691</v>
      </c>
      <c r="M631" s="52">
        <v>0.5</v>
      </c>
      <c r="N631" s="52" t="s">
        <v>1296</v>
      </c>
      <c r="O631" s="52" t="s">
        <v>665</v>
      </c>
      <c r="P631" s="52" t="s">
        <v>746</v>
      </c>
      <c r="Q631" s="52" t="s">
        <v>683</v>
      </c>
      <c r="R631" s="52" t="s">
        <v>633</v>
      </c>
      <c r="S631" s="49" t="s">
        <v>755</v>
      </c>
      <c r="T631" s="52" t="s">
        <v>1821</v>
      </c>
      <c r="U631" s="52" t="s">
        <v>1824</v>
      </c>
      <c r="V631" s="50" t="s">
        <v>1823</v>
      </c>
    </row>
    <row r="632" spans="1:22" x14ac:dyDescent="0.3">
      <c r="A632" s="48" t="s">
        <v>1294</v>
      </c>
      <c r="B632" s="49" t="s">
        <v>753</v>
      </c>
      <c r="C632" s="49" t="s">
        <v>1295</v>
      </c>
      <c r="D632" s="49" t="s">
        <v>755</v>
      </c>
      <c r="E632" s="49" t="s">
        <v>674</v>
      </c>
      <c r="F632" s="49" t="s">
        <v>675</v>
      </c>
      <c r="G632" s="49" t="s">
        <v>676</v>
      </c>
      <c r="H632" s="49" t="s">
        <v>702</v>
      </c>
      <c r="I632" s="49" t="s">
        <v>678</v>
      </c>
      <c r="J632" s="49" t="s">
        <v>679</v>
      </c>
      <c r="K632" s="49" t="s">
        <v>680</v>
      </c>
      <c r="L632" s="49" t="s">
        <v>691</v>
      </c>
      <c r="M632" s="49">
        <v>0.5</v>
      </c>
      <c r="N632" s="49" t="s">
        <v>1296</v>
      </c>
      <c r="O632" s="49" t="s">
        <v>665</v>
      </c>
      <c r="P632" s="49" t="s">
        <v>746</v>
      </c>
      <c r="Q632" s="49" t="s">
        <v>683</v>
      </c>
      <c r="R632" s="49" t="s">
        <v>633</v>
      </c>
      <c r="S632" s="49" t="s">
        <v>755</v>
      </c>
      <c r="T632" s="49" t="s">
        <v>1821</v>
      </c>
      <c r="U632" s="49" t="s">
        <v>1824</v>
      </c>
      <c r="V632" s="50" t="s">
        <v>1823</v>
      </c>
    </row>
    <row r="633" spans="1:22" x14ac:dyDescent="0.3">
      <c r="A633" s="51" t="s">
        <v>1311</v>
      </c>
      <c r="B633" s="52" t="s">
        <v>753</v>
      </c>
      <c r="C633" s="52" t="s">
        <v>1312</v>
      </c>
      <c r="D633" s="52" t="s">
        <v>755</v>
      </c>
      <c r="E633" s="52" t="s">
        <v>674</v>
      </c>
      <c r="F633" s="52" t="s">
        <v>716</v>
      </c>
      <c r="G633" s="52" t="s">
        <v>744</v>
      </c>
      <c r="H633" s="52" t="s">
        <v>677</v>
      </c>
      <c r="I633" s="49" t="s">
        <v>678</v>
      </c>
      <c r="J633" s="52" t="s">
        <v>679</v>
      </c>
      <c r="K633" s="52" t="s">
        <v>680</v>
      </c>
      <c r="L633" s="52" t="s">
        <v>681</v>
      </c>
      <c r="M633" s="52">
        <v>1</v>
      </c>
      <c r="N633" s="52" t="s">
        <v>1313</v>
      </c>
      <c r="O633" s="52" t="s">
        <v>665</v>
      </c>
      <c r="P633" s="52" t="s">
        <v>746</v>
      </c>
      <c r="Q633" s="52" t="s">
        <v>683</v>
      </c>
      <c r="R633" s="52" t="s">
        <v>633</v>
      </c>
      <c r="S633" s="49" t="s">
        <v>755</v>
      </c>
      <c r="T633" s="52" t="s">
        <v>1821</v>
      </c>
      <c r="U633" s="52" t="s">
        <v>1824</v>
      </c>
      <c r="V633" s="50" t="s">
        <v>1823</v>
      </c>
    </row>
    <row r="634" spans="1:22" x14ac:dyDescent="0.3">
      <c r="A634" s="48" t="s">
        <v>1503</v>
      </c>
      <c r="B634" s="49" t="s">
        <v>544</v>
      </c>
      <c r="C634" s="49" t="s">
        <v>1504</v>
      </c>
      <c r="D634" s="49" t="s">
        <v>684</v>
      </c>
      <c r="E634" s="49" t="s">
        <v>674</v>
      </c>
      <c r="F634" s="49" t="s">
        <v>716</v>
      </c>
      <c r="G634" s="49" t="s">
        <v>717</v>
      </c>
      <c r="H634" s="49" t="s">
        <v>717</v>
      </c>
      <c r="I634" s="49" t="s">
        <v>736</v>
      </c>
      <c r="J634" s="49" t="s">
        <v>737</v>
      </c>
      <c r="K634" s="49" t="s">
        <v>738</v>
      </c>
      <c r="L634" s="49" t="s">
        <v>699</v>
      </c>
      <c r="M634" s="49">
        <v>1</v>
      </c>
      <c r="N634" s="49" t="s">
        <v>1661</v>
      </c>
      <c r="O634" s="49" t="s">
        <v>665</v>
      </c>
      <c r="P634" s="49" t="s">
        <v>746</v>
      </c>
      <c r="Q634" s="49" t="s">
        <v>683</v>
      </c>
      <c r="R634" s="49" t="s">
        <v>244</v>
      </c>
      <c r="S634" s="49" t="s">
        <v>684</v>
      </c>
      <c r="T634" s="49" t="s">
        <v>1821</v>
      </c>
      <c r="U634" s="49" t="s">
        <v>1824</v>
      </c>
      <c r="V634" s="50" t="s">
        <v>1823</v>
      </c>
    </row>
    <row r="635" spans="1:22" x14ac:dyDescent="0.3">
      <c r="A635" s="51" t="s">
        <v>1292</v>
      </c>
      <c r="B635" s="52" t="s">
        <v>1232</v>
      </c>
      <c r="C635" s="52" t="s">
        <v>1293</v>
      </c>
      <c r="D635" s="52" t="s">
        <v>755</v>
      </c>
      <c r="E635" s="52" t="s">
        <v>674</v>
      </c>
      <c r="F635" s="52" t="s">
        <v>675</v>
      </c>
      <c r="G635" s="52" t="s">
        <v>676</v>
      </c>
      <c r="H635" s="52" t="s">
        <v>702</v>
      </c>
      <c r="I635" s="52" t="s">
        <v>697</v>
      </c>
      <c r="J635" s="52" t="s">
        <v>679</v>
      </c>
      <c r="K635" s="52" t="s">
        <v>680</v>
      </c>
      <c r="L635" s="52" t="s">
        <v>739</v>
      </c>
      <c r="M635" s="52">
        <v>0.2</v>
      </c>
      <c r="N635" s="52" t="s">
        <v>1289</v>
      </c>
      <c r="O635" s="52" t="s">
        <v>665</v>
      </c>
      <c r="P635" s="52" t="s">
        <v>746</v>
      </c>
      <c r="Q635" s="52" t="s">
        <v>683</v>
      </c>
      <c r="R635" s="52" t="s">
        <v>633</v>
      </c>
      <c r="S635" s="49" t="s">
        <v>755</v>
      </c>
      <c r="T635" s="52" t="s">
        <v>1821</v>
      </c>
      <c r="U635" s="52" t="s">
        <v>1824</v>
      </c>
      <c r="V635" s="50" t="s">
        <v>1823</v>
      </c>
    </row>
    <row r="636" spans="1:22" x14ac:dyDescent="0.3">
      <c r="A636" s="48" t="s">
        <v>757</v>
      </c>
      <c r="B636" s="49" t="s">
        <v>753</v>
      </c>
      <c r="C636" s="49" t="s">
        <v>758</v>
      </c>
      <c r="D636" s="49" t="s">
        <v>755</v>
      </c>
      <c r="E636" s="49" t="s">
        <v>674</v>
      </c>
      <c r="F636" s="49" t="s">
        <v>675</v>
      </c>
      <c r="G636" s="49" t="s">
        <v>676</v>
      </c>
      <c r="H636" s="49" t="s">
        <v>677</v>
      </c>
      <c r="I636" s="49" t="s">
        <v>678</v>
      </c>
      <c r="J636" s="49" t="s">
        <v>679</v>
      </c>
      <c r="K636" s="49" t="s">
        <v>680</v>
      </c>
      <c r="L636" s="49" t="s">
        <v>699</v>
      </c>
      <c r="M636" s="49">
        <v>0.3</v>
      </c>
      <c r="N636" s="49" t="s">
        <v>1289</v>
      </c>
      <c r="O636" s="49" t="s">
        <v>665</v>
      </c>
      <c r="P636" s="49" t="s">
        <v>746</v>
      </c>
      <c r="Q636" s="49" t="s">
        <v>683</v>
      </c>
      <c r="R636" s="49" t="s">
        <v>633</v>
      </c>
      <c r="S636" s="49" t="s">
        <v>755</v>
      </c>
      <c r="T636" s="49" t="s">
        <v>1821</v>
      </c>
      <c r="U636" s="49" t="s">
        <v>1824</v>
      </c>
      <c r="V636" s="50" t="s">
        <v>1823</v>
      </c>
    </row>
    <row r="637" spans="1:22" x14ac:dyDescent="0.3">
      <c r="A637" s="51" t="s">
        <v>1290</v>
      </c>
      <c r="B637" s="52" t="s">
        <v>1232</v>
      </c>
      <c r="C637" s="52" t="s">
        <v>1291</v>
      </c>
      <c r="D637" s="52" t="s">
        <v>755</v>
      </c>
      <c r="E637" s="52" t="s">
        <v>674</v>
      </c>
      <c r="F637" s="52" t="s">
        <v>935</v>
      </c>
      <c r="G637" s="52" t="s">
        <v>676</v>
      </c>
      <c r="H637" s="52" t="s">
        <v>702</v>
      </c>
      <c r="I637" s="49" t="s">
        <v>678</v>
      </c>
      <c r="J637" s="52" t="s">
        <v>679</v>
      </c>
      <c r="K637" s="52" t="s">
        <v>680</v>
      </c>
      <c r="L637" s="52" t="s">
        <v>739</v>
      </c>
      <c r="M637" s="52">
        <v>0.1</v>
      </c>
      <c r="N637" s="52" t="s">
        <v>1289</v>
      </c>
      <c r="O637" s="52" t="s">
        <v>665</v>
      </c>
      <c r="P637" s="52" t="s">
        <v>746</v>
      </c>
      <c r="Q637" s="52" t="s">
        <v>683</v>
      </c>
      <c r="R637" s="52" t="s">
        <v>633</v>
      </c>
      <c r="S637" s="49" t="s">
        <v>755</v>
      </c>
      <c r="T637" s="52" t="s">
        <v>1821</v>
      </c>
      <c r="U637" s="52" t="s">
        <v>1824</v>
      </c>
      <c r="V637" s="50" t="s">
        <v>1823</v>
      </c>
    </row>
    <row r="638" spans="1:22" x14ac:dyDescent="0.3">
      <c r="A638" s="48" t="s">
        <v>2305</v>
      </c>
      <c r="B638" s="49" t="s">
        <v>753</v>
      </c>
      <c r="C638" s="49" t="s">
        <v>2306</v>
      </c>
      <c r="D638" s="49" t="s">
        <v>755</v>
      </c>
      <c r="E638" s="49" t="s">
        <v>674</v>
      </c>
      <c r="F638" s="49" t="s">
        <v>675</v>
      </c>
      <c r="G638" s="49" t="s">
        <v>676</v>
      </c>
      <c r="H638" s="49" t="s">
        <v>702</v>
      </c>
      <c r="I638" s="49" t="s">
        <v>678</v>
      </c>
      <c r="J638" s="49" t="s">
        <v>679</v>
      </c>
      <c r="K638" s="49" t="s">
        <v>680</v>
      </c>
      <c r="L638" s="49" t="s">
        <v>691</v>
      </c>
      <c r="M638" s="49">
        <v>0.4</v>
      </c>
      <c r="N638" s="49" t="s">
        <v>1289</v>
      </c>
      <c r="O638" s="49" t="s">
        <v>665</v>
      </c>
      <c r="P638" s="49" t="s">
        <v>746</v>
      </c>
      <c r="Q638" s="49" t="s">
        <v>683</v>
      </c>
      <c r="R638" s="49" t="s">
        <v>633</v>
      </c>
      <c r="S638" s="49" t="s">
        <v>755</v>
      </c>
      <c r="T638" s="49" t="s">
        <v>1821</v>
      </c>
      <c r="U638" s="49" t="s">
        <v>1824</v>
      </c>
      <c r="V638" s="50" t="s">
        <v>1823</v>
      </c>
    </row>
    <row r="639" spans="1:22" x14ac:dyDescent="0.3">
      <c r="A639" s="51" t="s">
        <v>1299</v>
      </c>
      <c r="B639" s="52" t="s">
        <v>1232</v>
      </c>
      <c r="C639" s="52" t="s">
        <v>1300</v>
      </c>
      <c r="D639" s="52" t="s">
        <v>755</v>
      </c>
      <c r="E639" s="52" t="s">
        <v>674</v>
      </c>
      <c r="F639" s="52" t="s">
        <v>675</v>
      </c>
      <c r="G639" s="52" t="s">
        <v>676</v>
      </c>
      <c r="H639" s="52" t="s">
        <v>677</v>
      </c>
      <c r="I639" s="52" t="s">
        <v>697</v>
      </c>
      <c r="J639" s="52" t="s">
        <v>679</v>
      </c>
      <c r="K639" s="52" t="s">
        <v>680</v>
      </c>
      <c r="L639" s="52" t="s">
        <v>801</v>
      </c>
      <c r="M639" s="52">
        <v>0.25</v>
      </c>
      <c r="N639" s="52" t="s">
        <v>1301</v>
      </c>
      <c r="O639" s="52" t="s">
        <v>665</v>
      </c>
      <c r="P639" s="52" t="s">
        <v>746</v>
      </c>
      <c r="Q639" s="52" t="s">
        <v>683</v>
      </c>
      <c r="R639" s="52" t="s">
        <v>633</v>
      </c>
      <c r="S639" s="49" t="s">
        <v>755</v>
      </c>
      <c r="T639" s="52" t="s">
        <v>1821</v>
      </c>
      <c r="U639" s="52" t="s">
        <v>1824</v>
      </c>
      <c r="V639" s="50" t="s">
        <v>1823</v>
      </c>
    </row>
    <row r="640" spans="1:22" x14ac:dyDescent="0.3">
      <c r="A640" s="48" t="s">
        <v>1302</v>
      </c>
      <c r="B640" s="49" t="s">
        <v>1232</v>
      </c>
      <c r="C640" s="49" t="s">
        <v>1303</v>
      </c>
      <c r="D640" s="49" t="s">
        <v>755</v>
      </c>
      <c r="E640" s="49" t="s">
        <v>674</v>
      </c>
      <c r="F640" s="49" t="s">
        <v>675</v>
      </c>
      <c r="G640" s="49" t="s">
        <v>676</v>
      </c>
      <c r="H640" s="49" t="s">
        <v>702</v>
      </c>
      <c r="I640" s="49" t="s">
        <v>697</v>
      </c>
      <c r="J640" s="49" t="s">
        <v>679</v>
      </c>
      <c r="K640" s="49" t="s">
        <v>680</v>
      </c>
      <c r="L640" s="49" t="s">
        <v>681</v>
      </c>
      <c r="M640" s="49">
        <v>0.3</v>
      </c>
      <c r="N640" s="49" t="s">
        <v>1301</v>
      </c>
      <c r="O640" s="49" t="s">
        <v>665</v>
      </c>
      <c r="P640" s="49" t="s">
        <v>746</v>
      </c>
      <c r="Q640" s="49" t="s">
        <v>683</v>
      </c>
      <c r="R640" s="49" t="s">
        <v>633</v>
      </c>
      <c r="S640" s="49" t="s">
        <v>755</v>
      </c>
      <c r="T640" s="49" t="s">
        <v>1821</v>
      </c>
      <c r="U640" s="49" t="s">
        <v>1824</v>
      </c>
      <c r="V640" s="50" t="s">
        <v>1823</v>
      </c>
    </row>
    <row r="641" spans="1:22" x14ac:dyDescent="0.3">
      <c r="A641" s="51" t="s">
        <v>1304</v>
      </c>
      <c r="B641" s="52" t="s">
        <v>753</v>
      </c>
      <c r="C641" s="52" t="s">
        <v>1305</v>
      </c>
      <c r="D641" s="52" t="s">
        <v>755</v>
      </c>
      <c r="E641" s="52" t="s">
        <v>674</v>
      </c>
      <c r="F641" s="52" t="s">
        <v>675</v>
      </c>
      <c r="G641" s="52" t="s">
        <v>676</v>
      </c>
      <c r="H641" s="52" t="s">
        <v>702</v>
      </c>
      <c r="I641" s="52" t="s">
        <v>697</v>
      </c>
      <c r="J641" s="52" t="s">
        <v>679</v>
      </c>
      <c r="K641" s="52" t="s">
        <v>680</v>
      </c>
      <c r="L641" s="52" t="s">
        <v>766</v>
      </c>
      <c r="M641" s="52">
        <v>0.25</v>
      </c>
      <c r="N641" s="52" t="s">
        <v>1301</v>
      </c>
      <c r="O641" s="52" t="s">
        <v>665</v>
      </c>
      <c r="P641" s="52" t="s">
        <v>746</v>
      </c>
      <c r="Q641" s="52" t="s">
        <v>683</v>
      </c>
      <c r="R641" s="52" t="s">
        <v>633</v>
      </c>
      <c r="S641" s="49" t="s">
        <v>755</v>
      </c>
      <c r="T641" s="52" t="s">
        <v>1821</v>
      </c>
      <c r="U641" s="52" t="s">
        <v>1824</v>
      </c>
      <c r="V641" s="50" t="s">
        <v>1823</v>
      </c>
    </row>
    <row r="642" spans="1:22" x14ac:dyDescent="0.3">
      <c r="A642" s="48" t="s">
        <v>2307</v>
      </c>
      <c r="B642" s="49" t="s">
        <v>753</v>
      </c>
      <c r="C642" s="49" t="s">
        <v>2308</v>
      </c>
      <c r="D642" s="49" t="s">
        <v>755</v>
      </c>
      <c r="E642" s="49" t="s">
        <v>674</v>
      </c>
      <c r="F642" s="49" t="s">
        <v>675</v>
      </c>
      <c r="G642" s="49" t="s">
        <v>676</v>
      </c>
      <c r="H642" s="49" t="s">
        <v>677</v>
      </c>
      <c r="I642" s="49" t="s">
        <v>678</v>
      </c>
      <c r="J642" s="49" t="s">
        <v>679</v>
      </c>
      <c r="K642" s="49" t="s">
        <v>680</v>
      </c>
      <c r="L642" s="49" t="s">
        <v>739</v>
      </c>
      <c r="M642" s="49">
        <v>0.1</v>
      </c>
      <c r="N642" s="49" t="s">
        <v>1301</v>
      </c>
      <c r="O642" s="49" t="s">
        <v>665</v>
      </c>
      <c r="P642" s="49" t="s">
        <v>746</v>
      </c>
      <c r="Q642" s="49" t="s">
        <v>683</v>
      </c>
      <c r="R642" s="49" t="s">
        <v>633</v>
      </c>
      <c r="S642" s="49" t="s">
        <v>755</v>
      </c>
      <c r="T642" s="49" t="s">
        <v>1821</v>
      </c>
      <c r="U642" s="49" t="s">
        <v>1824</v>
      </c>
      <c r="V642" s="50" t="s">
        <v>1823</v>
      </c>
    </row>
    <row r="643" spans="1:22" x14ac:dyDescent="0.3">
      <c r="A643" s="51" t="s">
        <v>1306</v>
      </c>
      <c r="B643" s="52" t="s">
        <v>1232</v>
      </c>
      <c r="C643" s="52" t="s">
        <v>1307</v>
      </c>
      <c r="D643" s="52" t="s">
        <v>755</v>
      </c>
      <c r="E643" s="52" t="s">
        <v>674</v>
      </c>
      <c r="F643" s="52" t="s">
        <v>675</v>
      </c>
      <c r="G643" s="52" t="s">
        <v>676</v>
      </c>
      <c r="H643" s="52" t="s">
        <v>677</v>
      </c>
      <c r="I643" s="52" t="s">
        <v>697</v>
      </c>
      <c r="J643" s="52" t="s">
        <v>679</v>
      </c>
      <c r="K643" s="52" t="s">
        <v>680</v>
      </c>
      <c r="L643" s="52" t="s">
        <v>739</v>
      </c>
      <c r="M643" s="52">
        <v>0.1</v>
      </c>
      <c r="N643" s="52" t="s">
        <v>1301</v>
      </c>
      <c r="O643" s="52" t="s">
        <v>665</v>
      </c>
      <c r="P643" s="52" t="s">
        <v>746</v>
      </c>
      <c r="Q643" s="52" t="s">
        <v>683</v>
      </c>
      <c r="R643" s="52" t="s">
        <v>633</v>
      </c>
      <c r="S643" s="49" t="s">
        <v>755</v>
      </c>
      <c r="T643" s="52" t="s">
        <v>1821</v>
      </c>
      <c r="U643" s="52" t="s">
        <v>1824</v>
      </c>
      <c r="V643" s="50" t="s">
        <v>1823</v>
      </c>
    </row>
    <row r="644" spans="1:22" x14ac:dyDescent="0.3">
      <c r="A644" s="48" t="s">
        <v>1261</v>
      </c>
      <c r="B644" s="49" t="s">
        <v>1260</v>
      </c>
      <c r="C644" s="49" t="s">
        <v>1262</v>
      </c>
      <c r="D644" s="49" t="s">
        <v>755</v>
      </c>
      <c r="E644" s="49" t="s">
        <v>674</v>
      </c>
      <c r="F644" s="49" t="s">
        <v>935</v>
      </c>
      <c r="G644" s="49" t="s">
        <v>676</v>
      </c>
      <c r="H644" s="49" t="s">
        <v>702</v>
      </c>
      <c r="I644" s="49" t="s">
        <v>678</v>
      </c>
      <c r="J644" s="49" t="s">
        <v>679</v>
      </c>
      <c r="K644" s="49" t="s">
        <v>680</v>
      </c>
      <c r="L644" s="49" t="s">
        <v>691</v>
      </c>
      <c r="M644" s="49">
        <v>0.2</v>
      </c>
      <c r="N644" s="49" t="s">
        <v>452</v>
      </c>
      <c r="O644" s="49" t="s">
        <v>767</v>
      </c>
      <c r="P644" s="52" t="s">
        <v>746</v>
      </c>
      <c r="Q644" s="49" t="s">
        <v>683</v>
      </c>
      <c r="R644" s="49" t="s">
        <v>633</v>
      </c>
      <c r="S644" s="49" t="s">
        <v>755</v>
      </c>
      <c r="T644" s="49" t="s">
        <v>1821</v>
      </c>
      <c r="U644" s="49" t="s">
        <v>1824</v>
      </c>
      <c r="V644" s="50" t="s">
        <v>1823</v>
      </c>
    </row>
    <row r="645" spans="1:22" x14ac:dyDescent="0.3">
      <c r="A645" s="51" t="s">
        <v>1263</v>
      </c>
      <c r="B645" s="52" t="s">
        <v>753</v>
      </c>
      <c r="C645" s="52" t="s">
        <v>1264</v>
      </c>
      <c r="D645" s="52" t="s">
        <v>755</v>
      </c>
      <c r="E645" s="52" t="s">
        <v>674</v>
      </c>
      <c r="F645" s="52" t="s">
        <v>935</v>
      </c>
      <c r="G645" s="52" t="s">
        <v>676</v>
      </c>
      <c r="H645" s="52" t="s">
        <v>702</v>
      </c>
      <c r="I645" s="49" t="s">
        <v>678</v>
      </c>
      <c r="J645" s="52" t="s">
        <v>679</v>
      </c>
      <c r="K645" s="52" t="s">
        <v>680</v>
      </c>
      <c r="L645" s="52" t="s">
        <v>739</v>
      </c>
      <c r="M645" s="52">
        <v>0.2</v>
      </c>
      <c r="N645" s="52" t="s">
        <v>452</v>
      </c>
      <c r="O645" s="52" t="s">
        <v>767</v>
      </c>
      <c r="P645" s="52" t="s">
        <v>746</v>
      </c>
      <c r="Q645" s="52" t="s">
        <v>683</v>
      </c>
      <c r="R645" s="52" t="s">
        <v>633</v>
      </c>
      <c r="S645" s="49" t="s">
        <v>755</v>
      </c>
      <c r="T645" s="52" t="s">
        <v>1821</v>
      </c>
      <c r="U645" s="52" t="s">
        <v>1824</v>
      </c>
      <c r="V645" s="50" t="s">
        <v>1823</v>
      </c>
    </row>
    <row r="646" spans="1:22" x14ac:dyDescent="0.3">
      <c r="A646" s="48" t="s">
        <v>1265</v>
      </c>
      <c r="B646" s="49" t="s">
        <v>633</v>
      </c>
      <c r="C646" s="49" t="s">
        <v>1266</v>
      </c>
      <c r="D646" s="49" t="s">
        <v>755</v>
      </c>
      <c r="E646" s="49" t="s">
        <v>674</v>
      </c>
      <c r="F646" s="49" t="s">
        <v>675</v>
      </c>
      <c r="G646" s="49" t="s">
        <v>676</v>
      </c>
      <c r="H646" s="49" t="s">
        <v>677</v>
      </c>
      <c r="I646" s="49" t="s">
        <v>678</v>
      </c>
      <c r="J646" s="49" t="s">
        <v>679</v>
      </c>
      <c r="K646" s="49" t="s">
        <v>680</v>
      </c>
      <c r="L646" s="49" t="s">
        <v>766</v>
      </c>
      <c r="M646" s="49">
        <v>0.2</v>
      </c>
      <c r="N646" s="49" t="s">
        <v>452</v>
      </c>
      <c r="O646" s="49" t="s">
        <v>767</v>
      </c>
      <c r="P646" s="52" t="s">
        <v>746</v>
      </c>
      <c r="Q646" s="49" t="s">
        <v>683</v>
      </c>
      <c r="R646" s="49" t="s">
        <v>633</v>
      </c>
      <c r="S646" s="49" t="s">
        <v>755</v>
      </c>
      <c r="T646" s="49" t="s">
        <v>1821</v>
      </c>
      <c r="U646" s="49" t="s">
        <v>1824</v>
      </c>
      <c r="V646" s="50" t="s">
        <v>1823</v>
      </c>
    </row>
    <row r="647" spans="1:22" x14ac:dyDescent="0.3">
      <c r="A647" s="51" t="s">
        <v>1269</v>
      </c>
      <c r="B647" s="52" t="s">
        <v>633</v>
      </c>
      <c r="C647" s="52" t="s">
        <v>1270</v>
      </c>
      <c r="D647" s="52" t="s">
        <v>755</v>
      </c>
      <c r="E647" s="52" t="s">
        <v>674</v>
      </c>
      <c r="F647" s="52" t="s">
        <v>675</v>
      </c>
      <c r="G647" s="52" t="s">
        <v>676</v>
      </c>
      <c r="H647" s="52" t="s">
        <v>677</v>
      </c>
      <c r="I647" s="49" t="s">
        <v>678</v>
      </c>
      <c r="J647" s="52" t="s">
        <v>679</v>
      </c>
      <c r="K647" s="52" t="s">
        <v>680</v>
      </c>
      <c r="L647" s="52" t="s">
        <v>766</v>
      </c>
      <c r="M647" s="52">
        <v>0.2</v>
      </c>
      <c r="N647" s="52" t="s">
        <v>452</v>
      </c>
      <c r="O647" s="52" t="s">
        <v>767</v>
      </c>
      <c r="P647" s="52" t="s">
        <v>746</v>
      </c>
      <c r="Q647" s="52" t="s">
        <v>683</v>
      </c>
      <c r="R647" s="52" t="s">
        <v>633</v>
      </c>
      <c r="S647" s="49" t="s">
        <v>755</v>
      </c>
      <c r="T647" s="52" t="s">
        <v>1821</v>
      </c>
      <c r="U647" s="52" t="s">
        <v>1824</v>
      </c>
      <c r="V647" s="50" t="s">
        <v>1823</v>
      </c>
    </row>
    <row r="648" spans="1:22" x14ac:dyDescent="0.3">
      <c r="A648" s="48" t="s">
        <v>1267</v>
      </c>
      <c r="B648" s="49" t="s">
        <v>633</v>
      </c>
      <c r="C648" s="49" t="s">
        <v>1268</v>
      </c>
      <c r="D648" s="49" t="s">
        <v>755</v>
      </c>
      <c r="E648" s="49" t="s">
        <v>674</v>
      </c>
      <c r="F648" s="49" t="s">
        <v>675</v>
      </c>
      <c r="G648" s="49" t="s">
        <v>676</v>
      </c>
      <c r="H648" s="49" t="s">
        <v>677</v>
      </c>
      <c r="I648" s="49" t="s">
        <v>678</v>
      </c>
      <c r="J648" s="49" t="s">
        <v>679</v>
      </c>
      <c r="K648" s="49" t="s">
        <v>680</v>
      </c>
      <c r="L648" s="49" t="s">
        <v>766</v>
      </c>
      <c r="M648" s="49">
        <v>0.2</v>
      </c>
      <c r="N648" s="49" t="s">
        <v>452</v>
      </c>
      <c r="O648" s="49" t="s">
        <v>767</v>
      </c>
      <c r="P648" s="52" t="s">
        <v>746</v>
      </c>
      <c r="Q648" s="49" t="s">
        <v>683</v>
      </c>
      <c r="R648" s="49" t="s">
        <v>633</v>
      </c>
      <c r="S648" s="49" t="s">
        <v>755</v>
      </c>
      <c r="T648" s="49" t="s">
        <v>1821</v>
      </c>
      <c r="U648" s="49" t="s">
        <v>1824</v>
      </c>
      <c r="V648" s="50" t="s">
        <v>1823</v>
      </c>
    </row>
    <row r="649" spans="1:22" x14ac:dyDescent="0.3">
      <c r="A649" s="51" t="s">
        <v>1271</v>
      </c>
      <c r="B649" s="52" t="s">
        <v>633</v>
      </c>
      <c r="C649" s="52" t="s">
        <v>1272</v>
      </c>
      <c r="D649" s="52" t="s">
        <v>755</v>
      </c>
      <c r="E649" s="52" t="s">
        <v>674</v>
      </c>
      <c r="F649" s="52" t="s">
        <v>675</v>
      </c>
      <c r="G649" s="52" t="s">
        <v>676</v>
      </c>
      <c r="H649" s="52" t="s">
        <v>677</v>
      </c>
      <c r="I649" s="49" t="s">
        <v>678</v>
      </c>
      <c r="J649" s="52" t="s">
        <v>679</v>
      </c>
      <c r="K649" s="52" t="s">
        <v>680</v>
      </c>
      <c r="L649" s="52" t="s">
        <v>739</v>
      </c>
      <c r="M649" s="52">
        <v>0.25</v>
      </c>
      <c r="N649" s="52" t="s">
        <v>464</v>
      </c>
      <c r="O649" s="52" t="s">
        <v>767</v>
      </c>
      <c r="P649" s="52" t="s">
        <v>746</v>
      </c>
      <c r="Q649" s="52" t="s">
        <v>683</v>
      </c>
      <c r="R649" s="52" t="s">
        <v>633</v>
      </c>
      <c r="S649" s="49" t="s">
        <v>755</v>
      </c>
      <c r="T649" s="52" t="s">
        <v>1821</v>
      </c>
      <c r="U649" s="52" t="s">
        <v>1824</v>
      </c>
      <c r="V649" s="50" t="s">
        <v>1823</v>
      </c>
    </row>
    <row r="650" spans="1:22" x14ac:dyDescent="0.3">
      <c r="A650" s="48" t="s">
        <v>1273</v>
      </c>
      <c r="B650" s="49" t="s">
        <v>633</v>
      </c>
      <c r="C650" s="49" t="s">
        <v>1274</v>
      </c>
      <c r="D650" s="49" t="s">
        <v>755</v>
      </c>
      <c r="E650" s="49" t="s">
        <v>674</v>
      </c>
      <c r="F650" s="49" t="s">
        <v>675</v>
      </c>
      <c r="G650" s="49" t="s">
        <v>676</v>
      </c>
      <c r="H650" s="49" t="s">
        <v>677</v>
      </c>
      <c r="I650" s="49" t="s">
        <v>678</v>
      </c>
      <c r="J650" s="49" t="s">
        <v>679</v>
      </c>
      <c r="K650" s="49" t="s">
        <v>680</v>
      </c>
      <c r="L650" s="49" t="s">
        <v>681</v>
      </c>
      <c r="M650" s="49">
        <v>0.25</v>
      </c>
      <c r="N650" s="49" t="s">
        <v>464</v>
      </c>
      <c r="O650" s="49" t="s">
        <v>767</v>
      </c>
      <c r="P650" s="52" t="s">
        <v>746</v>
      </c>
      <c r="Q650" s="49" t="s">
        <v>683</v>
      </c>
      <c r="R650" s="49" t="s">
        <v>633</v>
      </c>
      <c r="S650" s="49" t="s">
        <v>755</v>
      </c>
      <c r="T650" s="49" t="s">
        <v>1821</v>
      </c>
      <c r="U650" s="49" t="s">
        <v>1824</v>
      </c>
      <c r="V650" s="50" t="s">
        <v>1823</v>
      </c>
    </row>
    <row r="651" spans="1:22" x14ac:dyDescent="0.3">
      <c r="A651" s="51" t="s">
        <v>1275</v>
      </c>
      <c r="B651" s="52" t="s">
        <v>633</v>
      </c>
      <c r="C651" s="52" t="s">
        <v>1276</v>
      </c>
      <c r="D651" s="52" t="s">
        <v>755</v>
      </c>
      <c r="E651" s="52" t="s">
        <v>674</v>
      </c>
      <c r="F651" s="52" t="s">
        <v>675</v>
      </c>
      <c r="G651" s="52" t="s">
        <v>676</v>
      </c>
      <c r="H651" s="52" t="s">
        <v>677</v>
      </c>
      <c r="I651" s="49" t="s">
        <v>678</v>
      </c>
      <c r="J651" s="52" t="s">
        <v>679</v>
      </c>
      <c r="K651" s="52" t="s">
        <v>680</v>
      </c>
      <c r="L651" s="52" t="s">
        <v>739</v>
      </c>
      <c r="M651" s="52">
        <v>0.25</v>
      </c>
      <c r="N651" s="52" t="s">
        <v>464</v>
      </c>
      <c r="O651" s="52" t="s">
        <v>767</v>
      </c>
      <c r="P651" s="52" t="s">
        <v>746</v>
      </c>
      <c r="Q651" s="52" t="s">
        <v>683</v>
      </c>
      <c r="R651" s="52" t="s">
        <v>633</v>
      </c>
      <c r="S651" s="49" t="s">
        <v>755</v>
      </c>
      <c r="T651" s="52" t="s">
        <v>1821</v>
      </c>
      <c r="U651" s="52" t="s">
        <v>1824</v>
      </c>
      <c r="V651" s="50" t="s">
        <v>1823</v>
      </c>
    </row>
    <row r="652" spans="1:22" x14ac:dyDescent="0.3">
      <c r="A652" s="48" t="s">
        <v>1277</v>
      </c>
      <c r="B652" s="49" t="s">
        <v>633</v>
      </c>
      <c r="C652" s="49" t="s">
        <v>1278</v>
      </c>
      <c r="D652" s="49" t="s">
        <v>755</v>
      </c>
      <c r="E652" s="49" t="s">
        <v>674</v>
      </c>
      <c r="F652" s="49" t="s">
        <v>675</v>
      </c>
      <c r="G652" s="49" t="s">
        <v>676</v>
      </c>
      <c r="H652" s="49" t="s">
        <v>677</v>
      </c>
      <c r="I652" s="49" t="s">
        <v>678</v>
      </c>
      <c r="J652" s="49" t="s">
        <v>679</v>
      </c>
      <c r="K652" s="49" t="s">
        <v>680</v>
      </c>
      <c r="L652" s="49" t="s">
        <v>766</v>
      </c>
      <c r="M652" s="49">
        <v>0.25</v>
      </c>
      <c r="N652" s="49" t="s">
        <v>464</v>
      </c>
      <c r="O652" s="49" t="s">
        <v>767</v>
      </c>
      <c r="P652" s="52" t="s">
        <v>746</v>
      </c>
      <c r="Q652" s="49" t="s">
        <v>683</v>
      </c>
      <c r="R652" s="49" t="s">
        <v>633</v>
      </c>
      <c r="S652" s="49" t="s">
        <v>755</v>
      </c>
      <c r="T652" s="49" t="s">
        <v>1821</v>
      </c>
      <c r="U652" s="49" t="s">
        <v>1824</v>
      </c>
      <c r="V652" s="50" t="s">
        <v>1823</v>
      </c>
    </row>
    <row r="653" spans="1:22" x14ac:dyDescent="0.3">
      <c r="A653" s="51" t="s">
        <v>1229</v>
      </c>
      <c r="B653" s="52" t="s">
        <v>753</v>
      </c>
      <c r="C653" s="52" t="s">
        <v>1230</v>
      </c>
      <c r="D653" s="52" t="s">
        <v>755</v>
      </c>
      <c r="E653" s="52" t="s">
        <v>674</v>
      </c>
      <c r="F653" s="52" t="s">
        <v>935</v>
      </c>
      <c r="G653" s="52" t="s">
        <v>676</v>
      </c>
      <c r="H653" s="52" t="s">
        <v>935</v>
      </c>
      <c r="I653" s="49" t="s">
        <v>678</v>
      </c>
      <c r="J653" s="52" t="s">
        <v>679</v>
      </c>
      <c r="K653" s="52" t="s">
        <v>680</v>
      </c>
      <c r="L653" s="52" t="s">
        <v>681</v>
      </c>
      <c r="M653" s="52">
        <v>0.25</v>
      </c>
      <c r="N653" s="52" t="s">
        <v>64</v>
      </c>
      <c r="O653" s="52" t="s">
        <v>767</v>
      </c>
      <c r="P653" s="52" t="s">
        <v>746</v>
      </c>
      <c r="Q653" s="52" t="s">
        <v>683</v>
      </c>
      <c r="R653" s="52" t="s">
        <v>633</v>
      </c>
      <c r="S653" s="49" t="s">
        <v>755</v>
      </c>
      <c r="T653" s="52" t="s">
        <v>1821</v>
      </c>
      <c r="U653" s="52" t="s">
        <v>1824</v>
      </c>
      <c r="V653" s="50" t="s">
        <v>1823</v>
      </c>
    </row>
    <row r="654" spans="1:22" x14ac:dyDescent="0.3">
      <c r="A654" s="48" t="s">
        <v>1231</v>
      </c>
      <c r="B654" s="49" t="s">
        <v>1232</v>
      </c>
      <c r="C654" s="49" t="s">
        <v>1233</v>
      </c>
      <c r="D654" s="49" t="s">
        <v>755</v>
      </c>
      <c r="E654" s="49" t="s">
        <v>674</v>
      </c>
      <c r="F654" s="49" t="s">
        <v>935</v>
      </c>
      <c r="G654" s="49" t="s">
        <v>676</v>
      </c>
      <c r="H654" s="49" t="s">
        <v>702</v>
      </c>
      <c r="I654" s="49" t="s">
        <v>678</v>
      </c>
      <c r="J654" s="49" t="s">
        <v>679</v>
      </c>
      <c r="K654" s="49" t="s">
        <v>680</v>
      </c>
      <c r="L654" s="49" t="s">
        <v>681</v>
      </c>
      <c r="M654" s="49">
        <v>0.25</v>
      </c>
      <c r="N654" s="49" t="s">
        <v>64</v>
      </c>
      <c r="O654" s="49" t="s">
        <v>767</v>
      </c>
      <c r="P654" s="52" t="s">
        <v>746</v>
      </c>
      <c r="Q654" s="49" t="s">
        <v>683</v>
      </c>
      <c r="R654" s="49" t="s">
        <v>633</v>
      </c>
      <c r="S654" s="49" t="s">
        <v>755</v>
      </c>
      <c r="T654" s="49" t="s">
        <v>1821</v>
      </c>
      <c r="U654" s="49" t="s">
        <v>1824</v>
      </c>
      <c r="V654" s="50" t="s">
        <v>1823</v>
      </c>
    </row>
    <row r="655" spans="1:22" x14ac:dyDescent="0.3">
      <c r="A655" s="51" t="s">
        <v>1234</v>
      </c>
      <c r="B655" s="52" t="s">
        <v>1232</v>
      </c>
      <c r="C655" s="52" t="s">
        <v>1235</v>
      </c>
      <c r="D655" s="52" t="s">
        <v>755</v>
      </c>
      <c r="E655" s="52" t="s">
        <v>674</v>
      </c>
      <c r="F655" s="52" t="s">
        <v>935</v>
      </c>
      <c r="G655" s="52" t="s">
        <v>676</v>
      </c>
      <c r="H655" s="52" t="s">
        <v>935</v>
      </c>
      <c r="I655" s="49" t="s">
        <v>678</v>
      </c>
      <c r="J655" s="52" t="s">
        <v>679</v>
      </c>
      <c r="K655" s="52" t="s">
        <v>680</v>
      </c>
      <c r="L655" s="52" t="s">
        <v>699</v>
      </c>
      <c r="M655" s="52">
        <v>0.25</v>
      </c>
      <c r="N655" s="52" t="s">
        <v>64</v>
      </c>
      <c r="O655" s="52" t="s">
        <v>767</v>
      </c>
      <c r="P655" s="52" t="s">
        <v>746</v>
      </c>
      <c r="Q655" s="52" t="s">
        <v>683</v>
      </c>
      <c r="R655" s="52" t="s">
        <v>633</v>
      </c>
      <c r="S655" s="49" t="s">
        <v>755</v>
      </c>
      <c r="T655" s="52" t="s">
        <v>1821</v>
      </c>
      <c r="U655" s="52" t="s">
        <v>1824</v>
      </c>
      <c r="V655" s="50" t="s">
        <v>1823</v>
      </c>
    </row>
    <row r="656" spans="1:22" x14ac:dyDescent="0.3">
      <c r="A656" s="48" t="s">
        <v>1236</v>
      </c>
      <c r="B656" s="49" t="s">
        <v>1232</v>
      </c>
      <c r="C656" s="49" t="s">
        <v>1237</v>
      </c>
      <c r="D656" s="49" t="s">
        <v>755</v>
      </c>
      <c r="E656" s="49" t="s">
        <v>674</v>
      </c>
      <c r="F656" s="49" t="s">
        <v>935</v>
      </c>
      <c r="G656" s="49" t="s">
        <v>676</v>
      </c>
      <c r="H656" s="49" t="s">
        <v>702</v>
      </c>
      <c r="I656" s="49" t="s">
        <v>678</v>
      </c>
      <c r="J656" s="49" t="s">
        <v>679</v>
      </c>
      <c r="K656" s="49" t="s">
        <v>680</v>
      </c>
      <c r="L656" s="49" t="s">
        <v>691</v>
      </c>
      <c r="M656" s="49">
        <v>0.25</v>
      </c>
      <c r="N656" s="49" t="s">
        <v>64</v>
      </c>
      <c r="O656" s="49" t="s">
        <v>767</v>
      </c>
      <c r="P656" s="52" t="s">
        <v>746</v>
      </c>
      <c r="Q656" s="49" t="s">
        <v>683</v>
      </c>
      <c r="R656" s="49" t="s">
        <v>633</v>
      </c>
      <c r="S656" s="49" t="s">
        <v>755</v>
      </c>
      <c r="T656" s="49" t="s">
        <v>1821</v>
      </c>
      <c r="U656" s="49" t="s">
        <v>1824</v>
      </c>
      <c r="V656" s="50" t="s">
        <v>1823</v>
      </c>
    </row>
    <row r="657" spans="1:22" x14ac:dyDescent="0.3">
      <c r="A657" s="51" t="s">
        <v>1279</v>
      </c>
      <c r="B657" s="52" t="s">
        <v>1232</v>
      </c>
      <c r="C657" s="52" t="s">
        <v>1280</v>
      </c>
      <c r="D657" s="52" t="s">
        <v>755</v>
      </c>
      <c r="E657" s="52" t="s">
        <v>674</v>
      </c>
      <c r="F657" s="52" t="s">
        <v>935</v>
      </c>
      <c r="G657" s="52" t="s">
        <v>676</v>
      </c>
      <c r="H657" s="52" t="s">
        <v>702</v>
      </c>
      <c r="I657" s="49" t="s">
        <v>678</v>
      </c>
      <c r="J657" s="52" t="s">
        <v>679</v>
      </c>
      <c r="K657" s="52" t="s">
        <v>680</v>
      </c>
      <c r="L657" s="52" t="s">
        <v>801</v>
      </c>
      <c r="M657" s="52">
        <v>0.2</v>
      </c>
      <c r="N657" s="52" t="s">
        <v>633</v>
      </c>
      <c r="O657" s="52" t="s">
        <v>665</v>
      </c>
      <c r="P657" s="52" t="s">
        <v>746</v>
      </c>
      <c r="Q657" s="52" t="s">
        <v>683</v>
      </c>
      <c r="R657" s="52" t="s">
        <v>1211</v>
      </c>
      <c r="S657" s="49" t="s">
        <v>755</v>
      </c>
      <c r="T657" s="52" t="s">
        <v>1821</v>
      </c>
      <c r="U657" s="52" t="s">
        <v>1824</v>
      </c>
      <c r="V657" s="50" t="s">
        <v>1823</v>
      </c>
    </row>
    <row r="658" spans="1:22" x14ac:dyDescent="0.3">
      <c r="A658" s="48" t="s">
        <v>1281</v>
      </c>
      <c r="B658" s="49" t="s">
        <v>633</v>
      </c>
      <c r="C658" s="49" t="s">
        <v>1282</v>
      </c>
      <c r="D658" s="49" t="s">
        <v>755</v>
      </c>
      <c r="E658" s="49" t="s">
        <v>674</v>
      </c>
      <c r="F658" s="49" t="s">
        <v>675</v>
      </c>
      <c r="G658" s="49" t="s">
        <v>676</v>
      </c>
      <c r="H658" s="49" t="s">
        <v>677</v>
      </c>
      <c r="I658" s="49" t="s">
        <v>678</v>
      </c>
      <c r="J658" s="49" t="s">
        <v>679</v>
      </c>
      <c r="K658" s="49" t="s">
        <v>680</v>
      </c>
      <c r="L658" s="49" t="s">
        <v>801</v>
      </c>
      <c r="M658" s="49">
        <v>0.2</v>
      </c>
      <c r="N658" s="49" t="s">
        <v>633</v>
      </c>
      <c r="O658" s="49" t="s">
        <v>665</v>
      </c>
      <c r="P658" s="49" t="s">
        <v>746</v>
      </c>
      <c r="Q658" s="49" t="s">
        <v>683</v>
      </c>
      <c r="R658" s="49" t="s">
        <v>1211</v>
      </c>
      <c r="S658" s="49" t="s">
        <v>755</v>
      </c>
      <c r="T658" s="49" t="s">
        <v>1821</v>
      </c>
      <c r="U658" s="49" t="s">
        <v>1824</v>
      </c>
      <c r="V658" s="50" t="s">
        <v>1823</v>
      </c>
    </row>
    <row r="659" spans="1:22" x14ac:dyDescent="0.3">
      <c r="A659" s="51" t="s">
        <v>1283</v>
      </c>
      <c r="B659" s="52" t="s">
        <v>633</v>
      </c>
      <c r="C659" s="52" t="s">
        <v>1284</v>
      </c>
      <c r="D659" s="52" t="s">
        <v>755</v>
      </c>
      <c r="E659" s="52" t="s">
        <v>674</v>
      </c>
      <c r="F659" s="52" t="s">
        <v>675</v>
      </c>
      <c r="G659" s="52" t="s">
        <v>676</v>
      </c>
      <c r="H659" s="52" t="s">
        <v>677</v>
      </c>
      <c r="I659" s="49" t="s">
        <v>678</v>
      </c>
      <c r="J659" s="52" t="s">
        <v>679</v>
      </c>
      <c r="K659" s="52" t="s">
        <v>680</v>
      </c>
      <c r="L659" s="52" t="s">
        <v>801</v>
      </c>
      <c r="M659" s="52">
        <v>0.2</v>
      </c>
      <c r="N659" s="52" t="s">
        <v>633</v>
      </c>
      <c r="O659" s="52" t="s">
        <v>665</v>
      </c>
      <c r="P659" s="52" t="s">
        <v>746</v>
      </c>
      <c r="Q659" s="52" t="s">
        <v>683</v>
      </c>
      <c r="R659" s="52" t="s">
        <v>1211</v>
      </c>
      <c r="S659" s="49" t="s">
        <v>755</v>
      </c>
      <c r="T659" s="52" t="s">
        <v>1821</v>
      </c>
      <c r="U659" s="52" t="s">
        <v>1824</v>
      </c>
      <c r="V659" s="50" t="s">
        <v>1823</v>
      </c>
    </row>
    <row r="660" spans="1:22" x14ac:dyDescent="0.3">
      <c r="A660" s="48" t="s">
        <v>1285</v>
      </c>
      <c r="B660" s="49" t="s">
        <v>633</v>
      </c>
      <c r="C660" s="49" t="s">
        <v>1286</v>
      </c>
      <c r="D660" s="49" t="s">
        <v>755</v>
      </c>
      <c r="E660" s="49" t="s">
        <v>674</v>
      </c>
      <c r="F660" s="49" t="s">
        <v>675</v>
      </c>
      <c r="G660" s="49" t="s">
        <v>676</v>
      </c>
      <c r="H660" s="49" t="s">
        <v>677</v>
      </c>
      <c r="I660" s="49" t="s">
        <v>678</v>
      </c>
      <c r="J660" s="49" t="s">
        <v>679</v>
      </c>
      <c r="K660" s="49" t="s">
        <v>680</v>
      </c>
      <c r="L660" s="49" t="s">
        <v>801</v>
      </c>
      <c r="M660" s="49">
        <v>0.1</v>
      </c>
      <c r="N660" s="49" t="s">
        <v>633</v>
      </c>
      <c r="O660" s="49" t="s">
        <v>665</v>
      </c>
      <c r="P660" s="49" t="s">
        <v>746</v>
      </c>
      <c r="Q660" s="49" t="s">
        <v>683</v>
      </c>
      <c r="R660" s="49" t="s">
        <v>1211</v>
      </c>
      <c r="S660" s="49" t="s">
        <v>755</v>
      </c>
      <c r="T660" s="49" t="s">
        <v>1821</v>
      </c>
      <c r="U660" s="49" t="s">
        <v>1824</v>
      </c>
      <c r="V660" s="50" t="s">
        <v>1823</v>
      </c>
    </row>
    <row r="661" spans="1:22" x14ac:dyDescent="0.3">
      <c r="A661" s="51" t="s">
        <v>2309</v>
      </c>
      <c r="B661" s="52" t="s">
        <v>633</v>
      </c>
      <c r="C661" s="52" t="s">
        <v>2310</v>
      </c>
      <c r="D661" s="52" t="s">
        <v>755</v>
      </c>
      <c r="E661" s="52" t="s">
        <v>674</v>
      </c>
      <c r="F661" s="52" t="s">
        <v>675</v>
      </c>
      <c r="G661" s="52" t="s">
        <v>676</v>
      </c>
      <c r="H661" s="52" t="s">
        <v>677</v>
      </c>
      <c r="I661" s="49" t="s">
        <v>678</v>
      </c>
      <c r="J661" s="52" t="s">
        <v>679</v>
      </c>
      <c r="K661" s="52" t="s">
        <v>680</v>
      </c>
      <c r="L661" s="52" t="s">
        <v>739</v>
      </c>
      <c r="M661" s="52">
        <v>0.1</v>
      </c>
      <c r="N661" s="52" t="s">
        <v>633</v>
      </c>
      <c r="O661" s="52" t="s">
        <v>665</v>
      </c>
      <c r="P661" s="52" t="s">
        <v>746</v>
      </c>
      <c r="Q661" s="52" t="s">
        <v>683</v>
      </c>
      <c r="R661" s="52" t="s">
        <v>1211</v>
      </c>
      <c r="S661" s="49" t="s">
        <v>755</v>
      </c>
      <c r="T661" s="52" t="s">
        <v>1821</v>
      </c>
      <c r="U661" s="52" t="s">
        <v>1824</v>
      </c>
      <c r="V661" s="50" t="s">
        <v>1823</v>
      </c>
    </row>
    <row r="662" spans="1:22" x14ac:dyDescent="0.3">
      <c r="A662" s="48" t="s">
        <v>1231</v>
      </c>
      <c r="B662" s="49" t="s">
        <v>1232</v>
      </c>
      <c r="C662" s="49" t="s">
        <v>1233</v>
      </c>
      <c r="D662" s="49" t="s">
        <v>755</v>
      </c>
      <c r="E662" s="49" t="s">
        <v>674</v>
      </c>
      <c r="F662" s="49" t="s">
        <v>935</v>
      </c>
      <c r="G662" s="49" t="s">
        <v>676</v>
      </c>
      <c r="H662" s="49" t="s">
        <v>702</v>
      </c>
      <c r="I662" s="49" t="s">
        <v>678</v>
      </c>
      <c r="J662" s="49" t="s">
        <v>679</v>
      </c>
      <c r="K662" s="49" t="s">
        <v>680</v>
      </c>
      <c r="L662" s="49" t="s">
        <v>681</v>
      </c>
      <c r="M662" s="49">
        <v>0.2</v>
      </c>
      <c r="N662" s="49" t="s">
        <v>633</v>
      </c>
      <c r="O662" s="49" t="s">
        <v>665</v>
      </c>
      <c r="P662" s="49" t="s">
        <v>746</v>
      </c>
      <c r="Q662" s="49" t="s">
        <v>683</v>
      </c>
      <c r="R662" s="49" t="s">
        <v>1211</v>
      </c>
      <c r="S662" s="49" t="s">
        <v>755</v>
      </c>
      <c r="T662" s="49" t="s">
        <v>1821</v>
      </c>
      <c r="U662" s="49" t="s">
        <v>1824</v>
      </c>
      <c r="V662" s="50" t="s">
        <v>1823</v>
      </c>
    </row>
    <row r="663" spans="1:22" x14ac:dyDescent="0.3">
      <c r="A663" s="51" t="s">
        <v>1432</v>
      </c>
      <c r="B663" s="52" t="s">
        <v>749</v>
      </c>
      <c r="C663" s="52" t="s">
        <v>1433</v>
      </c>
      <c r="D663" s="52" t="s">
        <v>673</v>
      </c>
      <c r="E663" s="52" t="s">
        <v>674</v>
      </c>
      <c r="F663" s="52" t="s">
        <v>716</v>
      </c>
      <c r="G663" s="52" t="s">
        <v>744</v>
      </c>
      <c r="H663" s="52" t="s">
        <v>677</v>
      </c>
      <c r="I663" s="49" t="s">
        <v>688</v>
      </c>
      <c r="J663" s="52" t="s">
        <v>751</v>
      </c>
      <c r="K663" s="52" t="s">
        <v>690</v>
      </c>
      <c r="L663" s="52" t="s">
        <v>681</v>
      </c>
      <c r="M663" s="52">
        <v>1</v>
      </c>
      <c r="N663" s="52" t="s">
        <v>1820</v>
      </c>
      <c r="O663" s="52" t="s">
        <v>767</v>
      </c>
      <c r="P663" s="52" t="s">
        <v>746</v>
      </c>
      <c r="Q663" s="52" t="s">
        <v>683</v>
      </c>
      <c r="R663" s="52" t="s">
        <v>550</v>
      </c>
      <c r="S663" s="52" t="s">
        <v>673</v>
      </c>
      <c r="T663" s="52" t="s">
        <v>1821</v>
      </c>
      <c r="U663" s="52" t="s">
        <v>1824</v>
      </c>
      <c r="V663" s="50" t="s">
        <v>1823</v>
      </c>
    </row>
    <row r="664" spans="1:22" x14ac:dyDescent="0.3">
      <c r="A664" s="48" t="s">
        <v>879</v>
      </c>
      <c r="B664" s="49" t="s">
        <v>142</v>
      </c>
      <c r="C664" s="49" t="s">
        <v>880</v>
      </c>
      <c r="D664" s="49" t="s">
        <v>673</v>
      </c>
      <c r="E664" s="49" t="s">
        <v>674</v>
      </c>
      <c r="F664" s="49" t="s">
        <v>716</v>
      </c>
      <c r="G664" s="49" t="s">
        <v>744</v>
      </c>
      <c r="H664" s="49" t="s">
        <v>677</v>
      </c>
      <c r="I664" s="49" t="s">
        <v>678</v>
      </c>
      <c r="J664" s="49" t="s">
        <v>698</v>
      </c>
      <c r="K664" s="49" t="s">
        <v>690</v>
      </c>
      <c r="L664" s="49" t="s">
        <v>699</v>
      </c>
      <c r="M664" s="49">
        <v>1</v>
      </c>
      <c r="N664" s="49" t="s">
        <v>106</v>
      </c>
      <c r="O664" s="49" t="s">
        <v>767</v>
      </c>
      <c r="P664" s="52" t="s">
        <v>746</v>
      </c>
      <c r="Q664" s="49" t="s">
        <v>683</v>
      </c>
      <c r="R664" s="49" t="s">
        <v>396</v>
      </c>
      <c r="S664" s="52" t="s">
        <v>673</v>
      </c>
      <c r="T664" s="49" t="s">
        <v>1821</v>
      </c>
      <c r="U664" s="49" t="s">
        <v>1824</v>
      </c>
      <c r="V664" s="50" t="s">
        <v>1823</v>
      </c>
    </row>
    <row r="665" spans="1:22" x14ac:dyDescent="0.3">
      <c r="A665" s="51" t="s">
        <v>1342</v>
      </c>
      <c r="B665" s="52" t="s">
        <v>228</v>
      </c>
      <c r="C665" s="52" t="s">
        <v>1342</v>
      </c>
      <c r="D665" s="52" t="s">
        <v>673</v>
      </c>
      <c r="E665" s="52" t="s">
        <v>674</v>
      </c>
      <c r="F665" s="52" t="s">
        <v>716</v>
      </c>
      <c r="G665" s="52" t="s">
        <v>731</v>
      </c>
      <c r="H665" s="52" t="s">
        <v>702</v>
      </c>
      <c r="I665" s="49" t="s">
        <v>688</v>
      </c>
      <c r="J665" s="52" t="s">
        <v>698</v>
      </c>
      <c r="K665" s="52" t="s">
        <v>690</v>
      </c>
      <c r="L665" s="52" t="s">
        <v>691</v>
      </c>
      <c r="M665" s="52">
        <v>0.7</v>
      </c>
      <c r="N665" s="52" t="s">
        <v>576</v>
      </c>
      <c r="O665" s="52" t="s">
        <v>665</v>
      </c>
      <c r="P665" s="52" t="s">
        <v>746</v>
      </c>
      <c r="Q665" s="52" t="s">
        <v>683</v>
      </c>
      <c r="R665" s="52" t="s">
        <v>396</v>
      </c>
      <c r="S665" s="52" t="s">
        <v>673</v>
      </c>
      <c r="T665" s="52" t="s">
        <v>1821</v>
      </c>
      <c r="U665" s="52" t="s">
        <v>1824</v>
      </c>
      <c r="V665" s="50" t="s">
        <v>1823</v>
      </c>
    </row>
    <row r="666" spans="1:22" x14ac:dyDescent="0.3">
      <c r="A666" s="48" t="s">
        <v>1343</v>
      </c>
      <c r="B666" s="49" t="s">
        <v>1344</v>
      </c>
      <c r="C666" s="49" t="s">
        <v>1345</v>
      </c>
      <c r="D666" s="49" t="s">
        <v>673</v>
      </c>
      <c r="E666" s="49" t="s">
        <v>674</v>
      </c>
      <c r="F666" s="49" t="s">
        <v>675</v>
      </c>
      <c r="G666" s="49" t="s">
        <v>676</v>
      </c>
      <c r="H666" s="49" t="s">
        <v>677</v>
      </c>
      <c r="I666" s="49" t="s">
        <v>678</v>
      </c>
      <c r="J666" s="49" t="s">
        <v>698</v>
      </c>
      <c r="K666" s="49" t="s">
        <v>690</v>
      </c>
      <c r="L666" s="49" t="s">
        <v>681</v>
      </c>
      <c r="M666" s="49">
        <v>0.3</v>
      </c>
      <c r="N666" s="49" t="s">
        <v>576</v>
      </c>
      <c r="O666" s="49" t="s">
        <v>665</v>
      </c>
      <c r="P666" s="49" t="s">
        <v>746</v>
      </c>
      <c r="Q666" s="49" t="s">
        <v>683</v>
      </c>
      <c r="R666" s="49" t="s">
        <v>396</v>
      </c>
      <c r="S666" s="52" t="s">
        <v>673</v>
      </c>
      <c r="T666" s="49" t="s">
        <v>1821</v>
      </c>
      <c r="U666" s="49" t="s">
        <v>1824</v>
      </c>
      <c r="V666" s="50" t="s">
        <v>1823</v>
      </c>
    </row>
    <row r="667" spans="1:22" x14ac:dyDescent="0.3">
      <c r="A667" s="51" t="s">
        <v>1343</v>
      </c>
      <c r="B667" s="52" t="s">
        <v>1344</v>
      </c>
      <c r="C667" s="52" t="s">
        <v>1345</v>
      </c>
      <c r="D667" s="52" t="s">
        <v>673</v>
      </c>
      <c r="E667" s="52" t="s">
        <v>674</v>
      </c>
      <c r="F667" s="52" t="s">
        <v>675</v>
      </c>
      <c r="G667" s="52" t="s">
        <v>676</v>
      </c>
      <c r="H667" s="52" t="s">
        <v>677</v>
      </c>
      <c r="I667" s="49" t="s">
        <v>678</v>
      </c>
      <c r="J667" s="52" t="s">
        <v>698</v>
      </c>
      <c r="K667" s="52" t="s">
        <v>690</v>
      </c>
      <c r="L667" s="52" t="s">
        <v>681</v>
      </c>
      <c r="M667" s="52">
        <v>0.5</v>
      </c>
      <c r="N667" s="52" t="s">
        <v>295</v>
      </c>
      <c r="O667" s="52" t="s">
        <v>665</v>
      </c>
      <c r="P667" s="52" t="s">
        <v>746</v>
      </c>
      <c r="Q667" s="52" t="s">
        <v>683</v>
      </c>
      <c r="R667" s="52" t="s">
        <v>396</v>
      </c>
      <c r="S667" s="52" t="s">
        <v>673</v>
      </c>
      <c r="T667" s="52" t="s">
        <v>1821</v>
      </c>
      <c r="U667" s="52" t="s">
        <v>1824</v>
      </c>
      <c r="V667" s="50" t="s">
        <v>1823</v>
      </c>
    </row>
    <row r="668" spans="1:22" x14ac:dyDescent="0.3">
      <c r="A668" s="48" t="s">
        <v>879</v>
      </c>
      <c r="B668" s="49" t="s">
        <v>142</v>
      </c>
      <c r="C668" s="49" t="s">
        <v>880</v>
      </c>
      <c r="D668" s="49" t="s">
        <v>673</v>
      </c>
      <c r="E668" s="49" t="s">
        <v>674</v>
      </c>
      <c r="F668" s="49" t="s">
        <v>716</v>
      </c>
      <c r="G668" s="49" t="s">
        <v>744</v>
      </c>
      <c r="H668" s="49" t="s">
        <v>677</v>
      </c>
      <c r="I668" s="49" t="s">
        <v>678</v>
      </c>
      <c r="J668" s="49" t="s">
        <v>698</v>
      </c>
      <c r="K668" s="49" t="s">
        <v>690</v>
      </c>
      <c r="L668" s="49" t="s">
        <v>699</v>
      </c>
      <c r="M668" s="49">
        <v>0.5</v>
      </c>
      <c r="N668" s="49" t="s">
        <v>295</v>
      </c>
      <c r="O668" s="49" t="s">
        <v>665</v>
      </c>
      <c r="P668" s="49" t="s">
        <v>746</v>
      </c>
      <c r="Q668" s="49" t="s">
        <v>683</v>
      </c>
      <c r="R668" s="49" t="s">
        <v>396</v>
      </c>
      <c r="S668" s="52" t="s">
        <v>673</v>
      </c>
      <c r="T668" s="49" t="s">
        <v>1821</v>
      </c>
      <c r="U668" s="49" t="s">
        <v>1824</v>
      </c>
      <c r="V668" s="50" t="s">
        <v>1823</v>
      </c>
    </row>
    <row r="669" spans="1:22" x14ac:dyDescent="0.3">
      <c r="A669" s="51" t="s">
        <v>1343</v>
      </c>
      <c r="B669" s="52" t="s">
        <v>1344</v>
      </c>
      <c r="C669" s="52" t="s">
        <v>1345</v>
      </c>
      <c r="D669" s="52" t="s">
        <v>673</v>
      </c>
      <c r="E669" s="52" t="s">
        <v>674</v>
      </c>
      <c r="F669" s="52" t="s">
        <v>675</v>
      </c>
      <c r="G669" s="52" t="s">
        <v>676</v>
      </c>
      <c r="H669" s="52" t="s">
        <v>677</v>
      </c>
      <c r="I669" s="49" t="s">
        <v>678</v>
      </c>
      <c r="J669" s="52" t="s">
        <v>698</v>
      </c>
      <c r="K669" s="52" t="s">
        <v>690</v>
      </c>
      <c r="L669" s="52" t="s">
        <v>681</v>
      </c>
      <c r="M669" s="52">
        <v>0.6</v>
      </c>
      <c r="N669" s="52" t="s">
        <v>218</v>
      </c>
      <c r="O669" s="52" t="s">
        <v>665</v>
      </c>
      <c r="P669" s="52" t="s">
        <v>746</v>
      </c>
      <c r="Q669" s="52" t="s">
        <v>683</v>
      </c>
      <c r="R669" s="52" t="s">
        <v>396</v>
      </c>
      <c r="S669" s="52" t="s">
        <v>673</v>
      </c>
      <c r="T669" s="52" t="s">
        <v>1821</v>
      </c>
      <c r="U669" s="52" t="s">
        <v>1824</v>
      </c>
      <c r="V669" s="50" t="s">
        <v>1823</v>
      </c>
    </row>
    <row r="670" spans="1:22" x14ac:dyDescent="0.3">
      <c r="A670" s="48" t="s">
        <v>1343</v>
      </c>
      <c r="B670" s="49" t="s">
        <v>1344</v>
      </c>
      <c r="C670" s="49" t="s">
        <v>1345</v>
      </c>
      <c r="D670" s="49" t="s">
        <v>673</v>
      </c>
      <c r="E670" s="49" t="s">
        <v>674</v>
      </c>
      <c r="F670" s="49" t="s">
        <v>675</v>
      </c>
      <c r="G670" s="49" t="s">
        <v>676</v>
      </c>
      <c r="H670" s="49" t="s">
        <v>677</v>
      </c>
      <c r="I670" s="49" t="s">
        <v>678</v>
      </c>
      <c r="J670" s="49" t="s">
        <v>698</v>
      </c>
      <c r="K670" s="49" t="s">
        <v>690</v>
      </c>
      <c r="L670" s="49" t="s">
        <v>681</v>
      </c>
      <c r="M670" s="49">
        <v>0.3</v>
      </c>
      <c r="N670" s="49" t="s">
        <v>218</v>
      </c>
      <c r="O670" s="49" t="s">
        <v>665</v>
      </c>
      <c r="P670" s="49" t="s">
        <v>746</v>
      </c>
      <c r="Q670" s="49" t="s">
        <v>683</v>
      </c>
      <c r="R670" s="49" t="s">
        <v>396</v>
      </c>
      <c r="S670" s="52" t="s">
        <v>673</v>
      </c>
      <c r="T670" s="49" t="s">
        <v>1821</v>
      </c>
      <c r="U670" s="49" t="s">
        <v>1824</v>
      </c>
      <c r="V670" s="50" t="s">
        <v>1823</v>
      </c>
    </row>
    <row r="671" spans="1:22" x14ac:dyDescent="0.3">
      <c r="A671" s="51" t="s">
        <v>879</v>
      </c>
      <c r="B671" s="52" t="s">
        <v>142</v>
      </c>
      <c r="C671" s="52" t="s">
        <v>880</v>
      </c>
      <c r="D671" s="52" t="s">
        <v>673</v>
      </c>
      <c r="E671" s="52" t="s">
        <v>674</v>
      </c>
      <c r="F671" s="52" t="s">
        <v>716</v>
      </c>
      <c r="G671" s="52" t="s">
        <v>744</v>
      </c>
      <c r="H671" s="52" t="s">
        <v>677</v>
      </c>
      <c r="I671" s="49" t="s">
        <v>678</v>
      </c>
      <c r="J671" s="52" t="s">
        <v>698</v>
      </c>
      <c r="K671" s="52" t="s">
        <v>690</v>
      </c>
      <c r="L671" s="52" t="s">
        <v>699</v>
      </c>
      <c r="M671" s="52">
        <v>0.1</v>
      </c>
      <c r="N671" s="52" t="s">
        <v>218</v>
      </c>
      <c r="O671" s="52" t="s">
        <v>665</v>
      </c>
      <c r="P671" s="52" t="s">
        <v>746</v>
      </c>
      <c r="Q671" s="52" t="s">
        <v>683</v>
      </c>
      <c r="R671" s="52" t="s">
        <v>396</v>
      </c>
      <c r="S671" s="52" t="s">
        <v>673</v>
      </c>
      <c r="T671" s="52" t="s">
        <v>1821</v>
      </c>
      <c r="U671" s="52" t="s">
        <v>1824</v>
      </c>
      <c r="V671" s="50" t="s">
        <v>1823</v>
      </c>
    </row>
    <row r="672" spans="1:22" x14ac:dyDescent="0.3">
      <c r="A672" s="48" t="s">
        <v>879</v>
      </c>
      <c r="B672" s="49" t="s">
        <v>142</v>
      </c>
      <c r="C672" s="49" t="s">
        <v>880</v>
      </c>
      <c r="D672" s="49" t="s">
        <v>673</v>
      </c>
      <c r="E672" s="49" t="s">
        <v>674</v>
      </c>
      <c r="F672" s="49" t="s">
        <v>716</v>
      </c>
      <c r="G672" s="49" t="s">
        <v>744</v>
      </c>
      <c r="H672" s="49" t="s">
        <v>677</v>
      </c>
      <c r="I672" s="49" t="s">
        <v>678</v>
      </c>
      <c r="J672" s="49" t="s">
        <v>698</v>
      </c>
      <c r="K672" s="49" t="s">
        <v>690</v>
      </c>
      <c r="L672" s="49" t="s">
        <v>699</v>
      </c>
      <c r="M672" s="49">
        <v>1</v>
      </c>
      <c r="N672" s="49" t="s">
        <v>117</v>
      </c>
      <c r="O672" s="49" t="s">
        <v>665</v>
      </c>
      <c r="P672" s="49" t="s">
        <v>746</v>
      </c>
      <c r="Q672" s="49" t="s">
        <v>683</v>
      </c>
      <c r="R672" s="49" t="s">
        <v>396</v>
      </c>
      <c r="S672" s="52" t="s">
        <v>673</v>
      </c>
      <c r="T672" s="49" t="s">
        <v>1821</v>
      </c>
      <c r="U672" s="49" t="s">
        <v>1824</v>
      </c>
      <c r="V672" s="50" t="s">
        <v>1823</v>
      </c>
    </row>
    <row r="673" spans="1:22" x14ac:dyDescent="0.3">
      <c r="A673" s="51" t="s">
        <v>1320</v>
      </c>
      <c r="B673" s="52" t="s">
        <v>1253</v>
      </c>
      <c r="C673" s="52" t="s">
        <v>1321</v>
      </c>
      <c r="D673" s="52" t="s">
        <v>673</v>
      </c>
      <c r="E673" s="52" t="s">
        <v>674</v>
      </c>
      <c r="F673" s="52" t="s">
        <v>716</v>
      </c>
      <c r="G673" s="52" t="s">
        <v>744</v>
      </c>
      <c r="H673" s="52" t="s">
        <v>677</v>
      </c>
      <c r="I673" s="49" t="s">
        <v>688</v>
      </c>
      <c r="J673" s="52" t="s">
        <v>906</v>
      </c>
      <c r="K673" s="52" t="s">
        <v>690</v>
      </c>
      <c r="L673" s="52" t="s">
        <v>681</v>
      </c>
      <c r="M673" s="52">
        <v>0.2</v>
      </c>
      <c r="N673" s="52" t="s">
        <v>511</v>
      </c>
      <c r="O673" s="52" t="s">
        <v>665</v>
      </c>
      <c r="P673" s="52" t="s">
        <v>746</v>
      </c>
      <c r="Q673" s="52" t="s">
        <v>683</v>
      </c>
      <c r="R673" s="52" t="s">
        <v>549</v>
      </c>
      <c r="S673" s="52" t="s">
        <v>673</v>
      </c>
      <c r="T673" s="52" t="s">
        <v>1821</v>
      </c>
      <c r="U673" s="52" t="s">
        <v>1824</v>
      </c>
      <c r="V673" s="50" t="s">
        <v>1823</v>
      </c>
    </row>
    <row r="674" spans="1:22" x14ac:dyDescent="0.3">
      <c r="A674" s="48" t="s">
        <v>1326</v>
      </c>
      <c r="B674" s="49" t="s">
        <v>1253</v>
      </c>
      <c r="C674" s="49" t="s">
        <v>1327</v>
      </c>
      <c r="D674" s="49" t="s">
        <v>673</v>
      </c>
      <c r="E674" s="49" t="s">
        <v>674</v>
      </c>
      <c r="F674" s="49" t="s">
        <v>716</v>
      </c>
      <c r="G674" s="49" t="s">
        <v>744</v>
      </c>
      <c r="H674" s="49" t="s">
        <v>677</v>
      </c>
      <c r="I674" s="49" t="s">
        <v>688</v>
      </c>
      <c r="J674" s="49" t="s">
        <v>906</v>
      </c>
      <c r="K674" s="49" t="s">
        <v>690</v>
      </c>
      <c r="L674" s="49" t="s">
        <v>681</v>
      </c>
      <c r="M674" s="49">
        <v>0.3</v>
      </c>
      <c r="N674" s="49" t="s">
        <v>511</v>
      </c>
      <c r="O674" s="49" t="s">
        <v>665</v>
      </c>
      <c r="P674" s="49" t="s">
        <v>746</v>
      </c>
      <c r="Q674" s="49" t="s">
        <v>683</v>
      </c>
      <c r="R674" s="49" t="s">
        <v>549</v>
      </c>
      <c r="S674" s="52" t="s">
        <v>673</v>
      </c>
      <c r="T674" s="49" t="s">
        <v>1821</v>
      </c>
      <c r="U674" s="49" t="s">
        <v>1824</v>
      </c>
      <c r="V674" s="50" t="s">
        <v>1823</v>
      </c>
    </row>
    <row r="675" spans="1:22" x14ac:dyDescent="0.3">
      <c r="A675" s="51" t="s">
        <v>1328</v>
      </c>
      <c r="B675" s="52" t="s">
        <v>1253</v>
      </c>
      <c r="C675" s="52" t="s">
        <v>1329</v>
      </c>
      <c r="D675" s="52" t="s">
        <v>673</v>
      </c>
      <c r="E675" s="52" t="s">
        <v>674</v>
      </c>
      <c r="F675" s="52" t="s">
        <v>716</v>
      </c>
      <c r="G675" s="52" t="s">
        <v>744</v>
      </c>
      <c r="H675" s="52" t="s">
        <v>677</v>
      </c>
      <c r="I675" s="49" t="s">
        <v>688</v>
      </c>
      <c r="J675" s="52" t="s">
        <v>906</v>
      </c>
      <c r="K675" s="52" t="s">
        <v>690</v>
      </c>
      <c r="L675" s="52" t="s">
        <v>681</v>
      </c>
      <c r="M675" s="52">
        <v>0.4</v>
      </c>
      <c r="N675" s="52" t="s">
        <v>163</v>
      </c>
      <c r="O675" s="52" t="s">
        <v>665</v>
      </c>
      <c r="P675" s="52" t="s">
        <v>746</v>
      </c>
      <c r="Q675" s="52" t="s">
        <v>683</v>
      </c>
      <c r="R675" s="52" t="s">
        <v>549</v>
      </c>
      <c r="S675" s="52" t="s">
        <v>673</v>
      </c>
      <c r="T675" s="52" t="s">
        <v>1821</v>
      </c>
      <c r="U675" s="52" t="s">
        <v>1824</v>
      </c>
      <c r="V675" s="50" t="s">
        <v>1823</v>
      </c>
    </row>
    <row r="676" spans="1:22" x14ac:dyDescent="0.3">
      <c r="A676" s="48" t="s">
        <v>1328</v>
      </c>
      <c r="B676" s="49" t="s">
        <v>1253</v>
      </c>
      <c r="C676" s="49" t="s">
        <v>1329</v>
      </c>
      <c r="D676" s="49" t="s">
        <v>673</v>
      </c>
      <c r="E676" s="49" t="s">
        <v>674</v>
      </c>
      <c r="F676" s="49" t="s">
        <v>716</v>
      </c>
      <c r="G676" s="49" t="s">
        <v>744</v>
      </c>
      <c r="H676" s="49" t="s">
        <v>677</v>
      </c>
      <c r="I676" s="49" t="s">
        <v>688</v>
      </c>
      <c r="J676" s="49" t="s">
        <v>906</v>
      </c>
      <c r="K676" s="49" t="s">
        <v>690</v>
      </c>
      <c r="L676" s="49" t="s">
        <v>681</v>
      </c>
      <c r="M676" s="49">
        <v>0.5</v>
      </c>
      <c r="N676" s="49" t="s">
        <v>388</v>
      </c>
      <c r="O676" s="49" t="s">
        <v>665</v>
      </c>
      <c r="P676" s="49" t="s">
        <v>746</v>
      </c>
      <c r="Q676" s="49" t="s">
        <v>683</v>
      </c>
      <c r="R676" s="49" t="s">
        <v>549</v>
      </c>
      <c r="S676" s="52" t="s">
        <v>673</v>
      </c>
      <c r="T676" s="49" t="s">
        <v>1821</v>
      </c>
      <c r="U676" s="49" t="s">
        <v>1824</v>
      </c>
      <c r="V676" s="50" t="s">
        <v>1823</v>
      </c>
    </row>
    <row r="677" spans="1:22" x14ac:dyDescent="0.3">
      <c r="A677" s="51" t="s">
        <v>1328</v>
      </c>
      <c r="B677" s="52" t="s">
        <v>1253</v>
      </c>
      <c r="C677" s="52" t="s">
        <v>1329</v>
      </c>
      <c r="D677" s="52" t="s">
        <v>673</v>
      </c>
      <c r="E677" s="52" t="s">
        <v>674</v>
      </c>
      <c r="F677" s="52" t="s">
        <v>716</v>
      </c>
      <c r="G677" s="52" t="s">
        <v>744</v>
      </c>
      <c r="H677" s="52" t="s">
        <v>677</v>
      </c>
      <c r="I677" s="49" t="s">
        <v>688</v>
      </c>
      <c r="J677" s="52" t="s">
        <v>906</v>
      </c>
      <c r="K677" s="52" t="s">
        <v>690</v>
      </c>
      <c r="L677" s="52" t="s">
        <v>681</v>
      </c>
      <c r="M677" s="52">
        <v>0.4</v>
      </c>
      <c r="N677" s="52" t="s">
        <v>511</v>
      </c>
      <c r="O677" s="52" t="s">
        <v>665</v>
      </c>
      <c r="P677" s="52" t="s">
        <v>746</v>
      </c>
      <c r="Q677" s="52" t="s">
        <v>683</v>
      </c>
      <c r="R677" s="52" t="s">
        <v>549</v>
      </c>
      <c r="S677" s="52" t="s">
        <v>673</v>
      </c>
      <c r="T677" s="52" t="s">
        <v>1821</v>
      </c>
      <c r="U677" s="52" t="s">
        <v>1824</v>
      </c>
      <c r="V677" s="50" t="s">
        <v>1823</v>
      </c>
    </row>
    <row r="678" spans="1:22" x14ac:dyDescent="0.3">
      <c r="A678" s="48" t="s">
        <v>1347</v>
      </c>
      <c r="B678" s="49" t="s">
        <v>707</v>
      </c>
      <c r="C678" s="49" t="s">
        <v>910</v>
      </c>
      <c r="D678" s="49" t="s">
        <v>673</v>
      </c>
      <c r="E678" s="49" t="s">
        <v>674</v>
      </c>
      <c r="F678" s="49" t="s">
        <v>12</v>
      </c>
      <c r="G678" s="49" t="s">
        <v>12</v>
      </c>
      <c r="H678" s="49" t="s">
        <v>12</v>
      </c>
      <c r="I678" s="49" t="s">
        <v>12</v>
      </c>
      <c r="J678" s="49" t="s">
        <v>710</v>
      </c>
      <c r="K678" s="49" t="s">
        <v>690</v>
      </c>
      <c r="L678" s="49" t="s">
        <v>699</v>
      </c>
      <c r="M678" s="49">
        <v>1</v>
      </c>
      <c r="N678" s="49" t="s">
        <v>98</v>
      </c>
      <c r="O678" s="49" t="s">
        <v>665</v>
      </c>
      <c r="P678" s="49" t="s">
        <v>746</v>
      </c>
      <c r="Q678" s="49" t="s">
        <v>683</v>
      </c>
      <c r="R678" s="49" t="s">
        <v>549</v>
      </c>
      <c r="S678" s="52" t="s">
        <v>673</v>
      </c>
      <c r="T678" s="49" t="s">
        <v>1821</v>
      </c>
      <c r="U678" s="49" t="s">
        <v>1824</v>
      </c>
      <c r="V678" s="50" t="s">
        <v>1823</v>
      </c>
    </row>
    <row r="679" spans="1:22" x14ac:dyDescent="0.3">
      <c r="A679" s="51" t="s">
        <v>1328</v>
      </c>
      <c r="B679" s="52" t="s">
        <v>1253</v>
      </c>
      <c r="C679" s="52" t="s">
        <v>1329</v>
      </c>
      <c r="D679" s="52" t="s">
        <v>673</v>
      </c>
      <c r="E679" s="52" t="s">
        <v>674</v>
      </c>
      <c r="F679" s="52" t="s">
        <v>716</v>
      </c>
      <c r="G679" s="52" t="s">
        <v>744</v>
      </c>
      <c r="H679" s="52" t="s">
        <v>677</v>
      </c>
      <c r="I679" s="49" t="s">
        <v>688</v>
      </c>
      <c r="J679" s="52" t="s">
        <v>906</v>
      </c>
      <c r="K679" s="52" t="s">
        <v>690</v>
      </c>
      <c r="L679" s="52" t="s">
        <v>681</v>
      </c>
      <c r="M679" s="52">
        <v>1</v>
      </c>
      <c r="N679" s="52" t="s">
        <v>161</v>
      </c>
      <c r="O679" s="52" t="s">
        <v>665</v>
      </c>
      <c r="P679" s="52" t="s">
        <v>746</v>
      </c>
      <c r="Q679" s="52" t="s">
        <v>683</v>
      </c>
      <c r="R679" s="52" t="s">
        <v>549</v>
      </c>
      <c r="S679" s="52" t="s">
        <v>673</v>
      </c>
      <c r="T679" s="52" t="s">
        <v>1821</v>
      </c>
      <c r="U679" s="52" t="s">
        <v>1824</v>
      </c>
      <c r="V679" s="50" t="s">
        <v>1823</v>
      </c>
    </row>
    <row r="680" spans="1:22" x14ac:dyDescent="0.3">
      <c r="A680" s="48" t="s">
        <v>1332</v>
      </c>
      <c r="B680" s="49" t="s">
        <v>1253</v>
      </c>
      <c r="C680" s="49" t="s">
        <v>1333</v>
      </c>
      <c r="D680" s="49" t="s">
        <v>673</v>
      </c>
      <c r="E680" s="49" t="s">
        <v>674</v>
      </c>
      <c r="F680" s="49" t="s">
        <v>716</v>
      </c>
      <c r="G680" s="49" t="s">
        <v>744</v>
      </c>
      <c r="H680" s="49" t="s">
        <v>677</v>
      </c>
      <c r="I680" s="49" t="s">
        <v>688</v>
      </c>
      <c r="J680" s="49" t="s">
        <v>906</v>
      </c>
      <c r="K680" s="49" t="s">
        <v>690</v>
      </c>
      <c r="L680" s="49" t="s">
        <v>681</v>
      </c>
      <c r="M680" s="49">
        <v>0.1</v>
      </c>
      <c r="N680" s="49" t="s">
        <v>511</v>
      </c>
      <c r="O680" s="49" t="s">
        <v>665</v>
      </c>
      <c r="P680" s="49" t="s">
        <v>746</v>
      </c>
      <c r="Q680" s="49" t="s">
        <v>683</v>
      </c>
      <c r="R680" s="49" t="s">
        <v>549</v>
      </c>
      <c r="S680" s="52" t="s">
        <v>673</v>
      </c>
      <c r="T680" s="49" t="s">
        <v>1821</v>
      </c>
      <c r="U680" s="49" t="s">
        <v>1824</v>
      </c>
      <c r="V680" s="50" t="s">
        <v>1823</v>
      </c>
    </row>
    <row r="681" spans="1:22" x14ac:dyDescent="0.3">
      <c r="A681" s="51" t="s">
        <v>1326</v>
      </c>
      <c r="B681" s="52" t="s">
        <v>1253</v>
      </c>
      <c r="C681" s="52" t="s">
        <v>1327</v>
      </c>
      <c r="D681" s="52" t="s">
        <v>673</v>
      </c>
      <c r="E681" s="52" t="s">
        <v>674</v>
      </c>
      <c r="F681" s="52" t="s">
        <v>716</v>
      </c>
      <c r="G681" s="52" t="s">
        <v>744</v>
      </c>
      <c r="H681" s="52" t="s">
        <v>677</v>
      </c>
      <c r="I681" s="49" t="s">
        <v>688</v>
      </c>
      <c r="J681" s="52" t="s">
        <v>906</v>
      </c>
      <c r="K681" s="52" t="s">
        <v>690</v>
      </c>
      <c r="L681" s="52" t="s">
        <v>681</v>
      </c>
      <c r="M681" s="52">
        <v>0.2</v>
      </c>
      <c r="N681" s="52" t="s">
        <v>388</v>
      </c>
      <c r="O681" s="52" t="s">
        <v>665</v>
      </c>
      <c r="P681" s="52" t="s">
        <v>746</v>
      </c>
      <c r="Q681" s="52" t="s">
        <v>683</v>
      </c>
      <c r="R681" s="52" t="s">
        <v>549</v>
      </c>
      <c r="S681" s="52" t="s">
        <v>673</v>
      </c>
      <c r="T681" s="52" t="s">
        <v>1821</v>
      </c>
      <c r="U681" s="52" t="s">
        <v>1824</v>
      </c>
      <c r="V681" s="50" t="s">
        <v>1823</v>
      </c>
    </row>
    <row r="682" spans="1:22" x14ac:dyDescent="0.3">
      <c r="A682" s="48" t="s">
        <v>1328</v>
      </c>
      <c r="B682" s="49" t="s">
        <v>1253</v>
      </c>
      <c r="C682" s="49" t="s">
        <v>1329</v>
      </c>
      <c r="D682" s="49" t="s">
        <v>673</v>
      </c>
      <c r="E682" s="49" t="s">
        <v>674</v>
      </c>
      <c r="F682" s="49" t="s">
        <v>716</v>
      </c>
      <c r="G682" s="49" t="s">
        <v>744</v>
      </c>
      <c r="H682" s="49" t="s">
        <v>677</v>
      </c>
      <c r="I682" s="49" t="s">
        <v>688</v>
      </c>
      <c r="J682" s="49" t="s">
        <v>906</v>
      </c>
      <c r="K682" s="49" t="s">
        <v>690</v>
      </c>
      <c r="L682" s="49" t="s">
        <v>681</v>
      </c>
      <c r="M682" s="49">
        <v>0.3</v>
      </c>
      <c r="N682" s="49" t="s">
        <v>32</v>
      </c>
      <c r="O682" s="49" t="s">
        <v>665</v>
      </c>
      <c r="P682" s="49" t="s">
        <v>746</v>
      </c>
      <c r="Q682" s="49" t="s">
        <v>683</v>
      </c>
      <c r="R682" s="49" t="s">
        <v>549</v>
      </c>
      <c r="S682" s="52" t="s">
        <v>673</v>
      </c>
      <c r="T682" s="49" t="s">
        <v>1821</v>
      </c>
      <c r="U682" s="49" t="s">
        <v>1824</v>
      </c>
      <c r="V682" s="50" t="s">
        <v>1823</v>
      </c>
    </row>
    <row r="683" spans="1:22" x14ac:dyDescent="0.3">
      <c r="A683" s="51" t="s">
        <v>1330</v>
      </c>
      <c r="B683" s="52" t="s">
        <v>1253</v>
      </c>
      <c r="C683" s="52" t="s">
        <v>1331</v>
      </c>
      <c r="D683" s="52" t="s">
        <v>673</v>
      </c>
      <c r="E683" s="52" t="s">
        <v>674</v>
      </c>
      <c r="F683" s="52" t="s">
        <v>716</v>
      </c>
      <c r="G683" s="52" t="s">
        <v>744</v>
      </c>
      <c r="H683" s="52" t="s">
        <v>677</v>
      </c>
      <c r="I683" s="49" t="s">
        <v>688</v>
      </c>
      <c r="J683" s="52" t="s">
        <v>906</v>
      </c>
      <c r="K683" s="52" t="s">
        <v>690</v>
      </c>
      <c r="L683" s="52" t="s">
        <v>681</v>
      </c>
      <c r="M683" s="52">
        <v>0.3</v>
      </c>
      <c r="N683" s="52" t="s">
        <v>388</v>
      </c>
      <c r="O683" s="52" t="s">
        <v>665</v>
      </c>
      <c r="P683" s="52" t="s">
        <v>746</v>
      </c>
      <c r="Q683" s="52" t="s">
        <v>683</v>
      </c>
      <c r="R683" s="52" t="s">
        <v>549</v>
      </c>
      <c r="S683" s="52" t="s">
        <v>673</v>
      </c>
      <c r="T683" s="52" t="s">
        <v>1821</v>
      </c>
      <c r="U683" s="52" t="s">
        <v>1824</v>
      </c>
      <c r="V683" s="50" t="s">
        <v>1823</v>
      </c>
    </row>
    <row r="684" spans="1:22" x14ac:dyDescent="0.3">
      <c r="A684" s="48" t="s">
        <v>1320</v>
      </c>
      <c r="B684" s="49" t="s">
        <v>1253</v>
      </c>
      <c r="C684" s="49" t="s">
        <v>1321</v>
      </c>
      <c r="D684" s="49" t="s">
        <v>673</v>
      </c>
      <c r="E684" s="49" t="s">
        <v>674</v>
      </c>
      <c r="F684" s="49" t="s">
        <v>716</v>
      </c>
      <c r="G684" s="49" t="s">
        <v>744</v>
      </c>
      <c r="H684" s="49" t="s">
        <v>677</v>
      </c>
      <c r="I684" s="49" t="s">
        <v>688</v>
      </c>
      <c r="J684" s="49" t="s">
        <v>906</v>
      </c>
      <c r="K684" s="49" t="s">
        <v>690</v>
      </c>
      <c r="L684" s="49" t="s">
        <v>681</v>
      </c>
      <c r="M684" s="49">
        <v>0.2</v>
      </c>
      <c r="N684" s="49" t="s">
        <v>163</v>
      </c>
      <c r="O684" s="49" t="s">
        <v>665</v>
      </c>
      <c r="P684" s="49" t="s">
        <v>746</v>
      </c>
      <c r="Q684" s="49" t="s">
        <v>683</v>
      </c>
      <c r="R684" s="49" t="s">
        <v>549</v>
      </c>
      <c r="S684" s="52" t="s">
        <v>673</v>
      </c>
      <c r="T684" s="49" t="s">
        <v>1821</v>
      </c>
      <c r="U684" s="49" t="s">
        <v>1824</v>
      </c>
      <c r="V684" s="50" t="s">
        <v>1823</v>
      </c>
    </row>
    <row r="685" spans="1:22" x14ac:dyDescent="0.3">
      <c r="A685" s="51" t="s">
        <v>1326</v>
      </c>
      <c r="B685" s="52" t="s">
        <v>1253</v>
      </c>
      <c r="C685" s="52" t="s">
        <v>1327</v>
      </c>
      <c r="D685" s="52" t="s">
        <v>673</v>
      </c>
      <c r="E685" s="52" t="s">
        <v>674</v>
      </c>
      <c r="F685" s="52" t="s">
        <v>716</v>
      </c>
      <c r="G685" s="52" t="s">
        <v>744</v>
      </c>
      <c r="H685" s="52" t="s">
        <v>677</v>
      </c>
      <c r="I685" s="49" t="s">
        <v>688</v>
      </c>
      <c r="J685" s="52" t="s">
        <v>906</v>
      </c>
      <c r="K685" s="52" t="s">
        <v>690</v>
      </c>
      <c r="L685" s="52" t="s">
        <v>681</v>
      </c>
      <c r="M685" s="52">
        <v>0.4</v>
      </c>
      <c r="N685" s="52" t="s">
        <v>163</v>
      </c>
      <c r="O685" s="52" t="s">
        <v>665</v>
      </c>
      <c r="P685" s="52" t="s">
        <v>746</v>
      </c>
      <c r="Q685" s="52" t="s">
        <v>683</v>
      </c>
      <c r="R685" s="52" t="s">
        <v>549</v>
      </c>
      <c r="S685" s="52" t="s">
        <v>673</v>
      </c>
      <c r="T685" s="52" t="s">
        <v>1821</v>
      </c>
      <c r="U685" s="52" t="s">
        <v>1824</v>
      </c>
      <c r="V685" s="50" t="s">
        <v>1823</v>
      </c>
    </row>
    <row r="686" spans="1:22" x14ac:dyDescent="0.3">
      <c r="A686" s="48" t="s">
        <v>1328</v>
      </c>
      <c r="B686" s="49" t="s">
        <v>1253</v>
      </c>
      <c r="C686" s="49" t="s">
        <v>1329</v>
      </c>
      <c r="D686" s="49" t="s">
        <v>673</v>
      </c>
      <c r="E686" s="49" t="s">
        <v>674</v>
      </c>
      <c r="F686" s="49" t="s">
        <v>716</v>
      </c>
      <c r="G686" s="49" t="s">
        <v>744</v>
      </c>
      <c r="H686" s="49" t="s">
        <v>677</v>
      </c>
      <c r="I686" s="49" t="s">
        <v>688</v>
      </c>
      <c r="J686" s="49" t="s">
        <v>906</v>
      </c>
      <c r="K686" s="49" t="s">
        <v>690</v>
      </c>
      <c r="L686" s="49" t="s">
        <v>681</v>
      </c>
      <c r="M686" s="49">
        <v>0.4</v>
      </c>
      <c r="N686" s="49" t="s">
        <v>320</v>
      </c>
      <c r="O686" s="49" t="s">
        <v>665</v>
      </c>
      <c r="P686" s="49" t="s">
        <v>746</v>
      </c>
      <c r="Q686" s="49" t="s">
        <v>683</v>
      </c>
      <c r="R686" s="49" t="s">
        <v>549</v>
      </c>
      <c r="S686" s="52" t="s">
        <v>673</v>
      </c>
      <c r="T686" s="49" t="s">
        <v>1821</v>
      </c>
      <c r="U686" s="49" t="s">
        <v>1824</v>
      </c>
      <c r="V686" s="50" t="s">
        <v>1823</v>
      </c>
    </row>
    <row r="687" spans="1:22" x14ac:dyDescent="0.3">
      <c r="A687" s="51" t="s">
        <v>1326</v>
      </c>
      <c r="B687" s="52" t="s">
        <v>1253</v>
      </c>
      <c r="C687" s="52" t="s">
        <v>1327</v>
      </c>
      <c r="D687" s="52" t="s">
        <v>673</v>
      </c>
      <c r="E687" s="52" t="s">
        <v>674</v>
      </c>
      <c r="F687" s="52" t="s">
        <v>716</v>
      </c>
      <c r="G687" s="52" t="s">
        <v>744</v>
      </c>
      <c r="H687" s="52" t="s">
        <v>677</v>
      </c>
      <c r="I687" s="49" t="s">
        <v>688</v>
      </c>
      <c r="J687" s="52" t="s">
        <v>906</v>
      </c>
      <c r="K687" s="52" t="s">
        <v>690</v>
      </c>
      <c r="L687" s="52" t="s">
        <v>681</v>
      </c>
      <c r="M687" s="52">
        <v>0.7</v>
      </c>
      <c r="N687" s="52" t="s">
        <v>32</v>
      </c>
      <c r="O687" s="52" t="s">
        <v>665</v>
      </c>
      <c r="P687" s="52" t="s">
        <v>746</v>
      </c>
      <c r="Q687" s="52" t="s">
        <v>683</v>
      </c>
      <c r="R687" s="52" t="s">
        <v>549</v>
      </c>
      <c r="S687" s="52" t="s">
        <v>673</v>
      </c>
      <c r="T687" s="52" t="s">
        <v>1821</v>
      </c>
      <c r="U687" s="52" t="s">
        <v>1824</v>
      </c>
      <c r="V687" s="50" t="s">
        <v>1823</v>
      </c>
    </row>
    <row r="688" spans="1:22" x14ac:dyDescent="0.3">
      <c r="A688" s="48" t="s">
        <v>1326</v>
      </c>
      <c r="B688" s="49" t="s">
        <v>1253</v>
      </c>
      <c r="C688" s="49" t="s">
        <v>1327</v>
      </c>
      <c r="D688" s="49" t="s">
        <v>673</v>
      </c>
      <c r="E688" s="49" t="s">
        <v>674</v>
      </c>
      <c r="F688" s="49" t="s">
        <v>716</v>
      </c>
      <c r="G688" s="49" t="s">
        <v>744</v>
      </c>
      <c r="H688" s="49" t="s">
        <v>677</v>
      </c>
      <c r="I688" s="49" t="s">
        <v>688</v>
      </c>
      <c r="J688" s="49" t="s">
        <v>906</v>
      </c>
      <c r="K688" s="49" t="s">
        <v>690</v>
      </c>
      <c r="L688" s="49" t="s">
        <v>681</v>
      </c>
      <c r="M688" s="49">
        <v>0.4</v>
      </c>
      <c r="N688" s="49" t="s">
        <v>320</v>
      </c>
      <c r="O688" s="49" t="s">
        <v>665</v>
      </c>
      <c r="P688" s="49" t="s">
        <v>746</v>
      </c>
      <c r="Q688" s="49" t="s">
        <v>683</v>
      </c>
      <c r="R688" s="49" t="s">
        <v>549</v>
      </c>
      <c r="S688" s="52" t="s">
        <v>673</v>
      </c>
      <c r="T688" s="49" t="s">
        <v>1821</v>
      </c>
      <c r="U688" s="49" t="s">
        <v>1824</v>
      </c>
      <c r="V688" s="50" t="s">
        <v>1823</v>
      </c>
    </row>
    <row r="689" spans="1:22" x14ac:dyDescent="0.3">
      <c r="A689" s="51" t="s">
        <v>1320</v>
      </c>
      <c r="B689" s="52" t="s">
        <v>1253</v>
      </c>
      <c r="C689" s="52" t="s">
        <v>1321</v>
      </c>
      <c r="D689" s="52" t="s">
        <v>673</v>
      </c>
      <c r="E689" s="52" t="s">
        <v>674</v>
      </c>
      <c r="F689" s="52" t="s">
        <v>716</v>
      </c>
      <c r="G689" s="52" t="s">
        <v>744</v>
      </c>
      <c r="H689" s="52" t="s">
        <v>677</v>
      </c>
      <c r="I689" s="49" t="s">
        <v>688</v>
      </c>
      <c r="J689" s="52" t="s">
        <v>906</v>
      </c>
      <c r="K689" s="52" t="s">
        <v>690</v>
      </c>
      <c r="L689" s="52" t="s">
        <v>681</v>
      </c>
      <c r="M689" s="52">
        <v>0.2</v>
      </c>
      <c r="N689" s="52" t="s">
        <v>320</v>
      </c>
      <c r="O689" s="52" t="s">
        <v>665</v>
      </c>
      <c r="P689" s="52" t="s">
        <v>746</v>
      </c>
      <c r="Q689" s="52" t="s">
        <v>683</v>
      </c>
      <c r="R689" s="52" t="s">
        <v>549</v>
      </c>
      <c r="S689" s="52" t="s">
        <v>673</v>
      </c>
      <c r="T689" s="52" t="s">
        <v>1821</v>
      </c>
      <c r="U689" s="52" t="s">
        <v>1824</v>
      </c>
      <c r="V689" s="50" t="s">
        <v>1823</v>
      </c>
    </row>
    <row r="690" spans="1:22" x14ac:dyDescent="0.3">
      <c r="A690" s="48" t="s">
        <v>1324</v>
      </c>
      <c r="B690" s="49" t="s">
        <v>1253</v>
      </c>
      <c r="C690" s="49" t="s">
        <v>1325</v>
      </c>
      <c r="D690" s="49" t="s">
        <v>673</v>
      </c>
      <c r="E690" s="49" t="s">
        <v>674</v>
      </c>
      <c r="F690" s="49" t="s">
        <v>716</v>
      </c>
      <c r="G690" s="49" t="s">
        <v>744</v>
      </c>
      <c r="H690" s="49" t="s">
        <v>677</v>
      </c>
      <c r="I690" s="49" t="s">
        <v>688</v>
      </c>
      <c r="J690" s="49" t="s">
        <v>713</v>
      </c>
      <c r="K690" s="49" t="s">
        <v>690</v>
      </c>
      <c r="L690" s="49" t="s">
        <v>681</v>
      </c>
      <c r="M690" s="49">
        <v>0.1</v>
      </c>
      <c r="N690" s="49" t="s">
        <v>49</v>
      </c>
      <c r="O690" s="49" t="s">
        <v>665</v>
      </c>
      <c r="P690" s="49" t="s">
        <v>746</v>
      </c>
      <c r="Q690" s="49" t="s">
        <v>683</v>
      </c>
      <c r="R690" s="49" t="s">
        <v>549</v>
      </c>
      <c r="S690" s="52" t="s">
        <v>673</v>
      </c>
      <c r="T690" s="49" t="s">
        <v>1821</v>
      </c>
      <c r="U690" s="49" t="s">
        <v>1824</v>
      </c>
      <c r="V690" s="50" t="s">
        <v>1823</v>
      </c>
    </row>
    <row r="691" spans="1:22" x14ac:dyDescent="0.3">
      <c r="A691" s="51" t="s">
        <v>1317</v>
      </c>
      <c r="B691" s="52" t="s">
        <v>1049</v>
      </c>
      <c r="C691" s="52" t="s">
        <v>1318</v>
      </c>
      <c r="D691" s="52" t="s">
        <v>673</v>
      </c>
      <c r="E691" s="52" t="s">
        <v>674</v>
      </c>
      <c r="F691" s="52" t="s">
        <v>716</v>
      </c>
      <c r="G691" s="52" t="s">
        <v>744</v>
      </c>
      <c r="H691" s="52" t="s">
        <v>677</v>
      </c>
      <c r="I691" s="49" t="s">
        <v>688</v>
      </c>
      <c r="J691" s="52" t="s">
        <v>710</v>
      </c>
      <c r="K691" s="52" t="s">
        <v>690</v>
      </c>
      <c r="L691" s="52" t="s">
        <v>681</v>
      </c>
      <c r="M691" s="52">
        <v>1</v>
      </c>
      <c r="N691" s="52" t="s">
        <v>507</v>
      </c>
      <c r="O691" s="52" t="s">
        <v>665</v>
      </c>
      <c r="P691" s="52" t="s">
        <v>746</v>
      </c>
      <c r="Q691" s="52" t="s">
        <v>683</v>
      </c>
      <c r="R691" s="52" t="s">
        <v>549</v>
      </c>
      <c r="S691" s="52" t="s">
        <v>673</v>
      </c>
      <c r="T691" s="52" t="s">
        <v>1821</v>
      </c>
      <c r="U691" s="52" t="s">
        <v>1824</v>
      </c>
      <c r="V691" s="50" t="s">
        <v>1823</v>
      </c>
    </row>
    <row r="692" spans="1:22" x14ac:dyDescent="0.3">
      <c r="A692" s="48" t="s">
        <v>714</v>
      </c>
      <c r="B692" s="49" t="s">
        <v>707</v>
      </c>
      <c r="C692" s="49" t="s">
        <v>715</v>
      </c>
      <c r="D692" s="49" t="s">
        <v>673</v>
      </c>
      <c r="E692" s="49" t="s">
        <v>674</v>
      </c>
      <c r="F692" s="49" t="s">
        <v>716</v>
      </c>
      <c r="G692" s="49" t="s">
        <v>717</v>
      </c>
      <c r="H692" s="49" t="s">
        <v>717</v>
      </c>
      <c r="I692" s="49" t="s">
        <v>717</v>
      </c>
      <c r="J692" s="49" t="s">
        <v>710</v>
      </c>
      <c r="K692" s="49" t="s">
        <v>690</v>
      </c>
      <c r="L692" s="49" t="s">
        <v>699</v>
      </c>
      <c r="M692" s="49">
        <v>0.1</v>
      </c>
      <c r="N692" s="49" t="s">
        <v>252</v>
      </c>
      <c r="O692" s="49" t="s">
        <v>665</v>
      </c>
      <c r="P692" s="49" t="s">
        <v>746</v>
      </c>
      <c r="Q692" s="49" t="s">
        <v>683</v>
      </c>
      <c r="R692" s="49" t="s">
        <v>549</v>
      </c>
      <c r="S692" s="52" t="s">
        <v>673</v>
      </c>
      <c r="T692" s="49" t="s">
        <v>1821</v>
      </c>
      <c r="U692" s="49" t="s">
        <v>1824</v>
      </c>
      <c r="V692" s="50" t="s">
        <v>1823</v>
      </c>
    </row>
    <row r="693" spans="1:22" x14ac:dyDescent="0.3">
      <c r="A693" s="51" t="s">
        <v>1252</v>
      </c>
      <c r="B693" s="52" t="s">
        <v>1253</v>
      </c>
      <c r="C693" s="52" t="s">
        <v>1254</v>
      </c>
      <c r="D693" s="52" t="s">
        <v>673</v>
      </c>
      <c r="E693" s="52" t="s">
        <v>674</v>
      </c>
      <c r="F693" s="52" t="s">
        <v>716</v>
      </c>
      <c r="G693" s="52" t="s">
        <v>744</v>
      </c>
      <c r="H693" s="52" t="s">
        <v>935</v>
      </c>
      <c r="I693" s="49" t="s">
        <v>688</v>
      </c>
      <c r="J693" s="52" t="s">
        <v>710</v>
      </c>
      <c r="K693" s="52" t="s">
        <v>690</v>
      </c>
      <c r="L693" s="52" t="s">
        <v>681</v>
      </c>
      <c r="M693" s="52">
        <v>0.4</v>
      </c>
      <c r="N693" s="52" t="s">
        <v>49</v>
      </c>
      <c r="O693" s="52" t="s">
        <v>665</v>
      </c>
      <c r="P693" s="52" t="s">
        <v>746</v>
      </c>
      <c r="Q693" s="52" t="s">
        <v>683</v>
      </c>
      <c r="R693" s="52" t="s">
        <v>549</v>
      </c>
      <c r="S693" s="52" t="s">
        <v>673</v>
      </c>
      <c r="T693" s="52" t="s">
        <v>1821</v>
      </c>
      <c r="U693" s="52" t="s">
        <v>1824</v>
      </c>
      <c r="V693" s="50" t="s">
        <v>1823</v>
      </c>
    </row>
    <row r="694" spans="1:22" x14ac:dyDescent="0.3">
      <c r="A694" s="48" t="s">
        <v>1252</v>
      </c>
      <c r="B694" s="49" t="s">
        <v>1253</v>
      </c>
      <c r="C694" s="49" t="s">
        <v>1254</v>
      </c>
      <c r="D694" s="49" t="s">
        <v>673</v>
      </c>
      <c r="E694" s="49" t="s">
        <v>674</v>
      </c>
      <c r="F694" s="49" t="s">
        <v>716</v>
      </c>
      <c r="G694" s="49" t="s">
        <v>744</v>
      </c>
      <c r="H694" s="49" t="s">
        <v>935</v>
      </c>
      <c r="I694" s="49" t="s">
        <v>688</v>
      </c>
      <c r="J694" s="49" t="s">
        <v>710</v>
      </c>
      <c r="K694" s="49" t="s">
        <v>690</v>
      </c>
      <c r="L694" s="49" t="s">
        <v>681</v>
      </c>
      <c r="M694" s="49">
        <v>0.4</v>
      </c>
      <c r="N694" s="49" t="s">
        <v>49</v>
      </c>
      <c r="O694" s="49" t="s">
        <v>665</v>
      </c>
      <c r="P694" s="49" t="s">
        <v>746</v>
      </c>
      <c r="Q694" s="49" t="s">
        <v>683</v>
      </c>
      <c r="R694" s="49" t="s">
        <v>549</v>
      </c>
      <c r="S694" s="52" t="s">
        <v>673</v>
      </c>
      <c r="T694" s="49" t="s">
        <v>1821</v>
      </c>
      <c r="U694" s="49" t="s">
        <v>1824</v>
      </c>
      <c r="V694" s="50" t="s">
        <v>1823</v>
      </c>
    </row>
    <row r="695" spans="1:22" x14ac:dyDescent="0.3">
      <c r="A695" s="51" t="s">
        <v>1319</v>
      </c>
      <c r="B695" s="52" t="s">
        <v>707</v>
      </c>
      <c r="C695" s="52" t="s">
        <v>773</v>
      </c>
      <c r="D695" s="52" t="s">
        <v>673</v>
      </c>
      <c r="E695" s="52" t="s">
        <v>674</v>
      </c>
      <c r="F695" s="52" t="s">
        <v>773</v>
      </c>
      <c r="G695" s="52" t="s">
        <v>773</v>
      </c>
      <c r="H695" s="52" t="s">
        <v>773</v>
      </c>
      <c r="I695" s="52" t="s">
        <v>773</v>
      </c>
      <c r="J695" s="52" t="s">
        <v>710</v>
      </c>
      <c r="K695" s="52" t="s">
        <v>690</v>
      </c>
      <c r="L695" s="52" t="s">
        <v>699</v>
      </c>
      <c r="M695" s="52">
        <v>0.1</v>
      </c>
      <c r="N695" s="52" t="s">
        <v>252</v>
      </c>
      <c r="O695" s="52" t="s">
        <v>665</v>
      </c>
      <c r="P695" s="52" t="s">
        <v>746</v>
      </c>
      <c r="Q695" s="52" t="s">
        <v>683</v>
      </c>
      <c r="R695" s="52" t="s">
        <v>549</v>
      </c>
      <c r="S695" s="52" t="s">
        <v>673</v>
      </c>
      <c r="T695" s="52" t="s">
        <v>1821</v>
      </c>
      <c r="U695" s="52" t="s">
        <v>1824</v>
      </c>
      <c r="V695" s="50" t="s">
        <v>1823</v>
      </c>
    </row>
    <row r="696" spans="1:22" x14ac:dyDescent="0.3">
      <c r="A696" s="48" t="s">
        <v>1190</v>
      </c>
      <c r="B696" s="49" t="s">
        <v>154</v>
      </c>
      <c r="C696" s="49" t="s">
        <v>1023</v>
      </c>
      <c r="D696" s="49" t="s">
        <v>673</v>
      </c>
      <c r="E696" s="49" t="s">
        <v>674</v>
      </c>
      <c r="F696" s="49" t="s">
        <v>716</v>
      </c>
      <c r="G696" s="49" t="s">
        <v>744</v>
      </c>
      <c r="H696" s="49" t="s">
        <v>935</v>
      </c>
      <c r="I696" s="49" t="s">
        <v>688</v>
      </c>
      <c r="J696" s="49" t="s">
        <v>710</v>
      </c>
      <c r="K696" s="49" t="s">
        <v>690</v>
      </c>
      <c r="L696" s="49" t="s">
        <v>681</v>
      </c>
      <c r="M696" s="49">
        <v>0.6</v>
      </c>
      <c r="N696" s="49" t="s">
        <v>252</v>
      </c>
      <c r="O696" s="49" t="s">
        <v>665</v>
      </c>
      <c r="P696" s="49" t="s">
        <v>746</v>
      </c>
      <c r="Q696" s="49" t="s">
        <v>683</v>
      </c>
      <c r="R696" s="49" t="s">
        <v>549</v>
      </c>
      <c r="S696" s="52" t="s">
        <v>673</v>
      </c>
      <c r="T696" s="49" t="s">
        <v>1821</v>
      </c>
      <c r="U696" s="49" t="s">
        <v>1824</v>
      </c>
      <c r="V696" s="50" t="s">
        <v>1823</v>
      </c>
    </row>
    <row r="697" spans="1:22" x14ac:dyDescent="0.3">
      <c r="A697" s="51" t="s">
        <v>1322</v>
      </c>
      <c r="B697" s="52" t="s">
        <v>1049</v>
      </c>
      <c r="C697" s="52" t="s">
        <v>1323</v>
      </c>
      <c r="D697" s="52" t="s">
        <v>673</v>
      </c>
      <c r="E697" s="52" t="s">
        <v>674</v>
      </c>
      <c r="F697" s="52" t="s">
        <v>935</v>
      </c>
      <c r="G697" s="52" t="s">
        <v>744</v>
      </c>
      <c r="H697" s="52" t="s">
        <v>677</v>
      </c>
      <c r="I697" s="49" t="s">
        <v>688</v>
      </c>
      <c r="J697" s="52" t="s">
        <v>710</v>
      </c>
      <c r="K697" s="52" t="s">
        <v>690</v>
      </c>
      <c r="L697" s="52" t="s">
        <v>681</v>
      </c>
      <c r="M697" s="52">
        <v>0.2</v>
      </c>
      <c r="N697" s="52" t="s">
        <v>252</v>
      </c>
      <c r="O697" s="52" t="s">
        <v>665</v>
      </c>
      <c r="P697" s="52" t="s">
        <v>746</v>
      </c>
      <c r="Q697" s="52" t="s">
        <v>683</v>
      </c>
      <c r="R697" s="52" t="s">
        <v>549</v>
      </c>
      <c r="S697" s="52" t="s">
        <v>673</v>
      </c>
      <c r="T697" s="52" t="s">
        <v>1821</v>
      </c>
      <c r="U697" s="52" t="s">
        <v>1824</v>
      </c>
      <c r="V697" s="50" t="s">
        <v>1823</v>
      </c>
    </row>
    <row r="698" spans="1:22" x14ac:dyDescent="0.3">
      <c r="A698" s="48" t="s">
        <v>714</v>
      </c>
      <c r="B698" s="49" t="s">
        <v>707</v>
      </c>
      <c r="C698" s="49" t="s">
        <v>715</v>
      </c>
      <c r="D698" s="49" t="s">
        <v>673</v>
      </c>
      <c r="E698" s="49" t="s">
        <v>674</v>
      </c>
      <c r="F698" s="49" t="s">
        <v>716</v>
      </c>
      <c r="G698" s="49" t="s">
        <v>717</v>
      </c>
      <c r="H698" s="49" t="s">
        <v>717</v>
      </c>
      <c r="I698" s="49" t="s">
        <v>717</v>
      </c>
      <c r="J698" s="49" t="s">
        <v>710</v>
      </c>
      <c r="K698" s="49" t="s">
        <v>690</v>
      </c>
      <c r="L698" s="49" t="s">
        <v>699</v>
      </c>
      <c r="M698" s="49">
        <v>0.1</v>
      </c>
      <c r="N698" s="49" t="s">
        <v>49</v>
      </c>
      <c r="O698" s="49" t="s">
        <v>665</v>
      </c>
      <c r="P698" s="49" t="s">
        <v>746</v>
      </c>
      <c r="Q698" s="49" t="s">
        <v>683</v>
      </c>
      <c r="R698" s="49" t="s">
        <v>549</v>
      </c>
      <c r="S698" s="52" t="s">
        <v>673</v>
      </c>
      <c r="T698" s="49" t="s">
        <v>1821</v>
      </c>
      <c r="U698" s="49" t="s">
        <v>1824</v>
      </c>
      <c r="V698" s="50" t="s">
        <v>1823</v>
      </c>
    </row>
    <row r="699" spans="1:22" x14ac:dyDescent="0.3">
      <c r="A699" s="51" t="s">
        <v>1319</v>
      </c>
      <c r="B699" s="52" t="s">
        <v>707</v>
      </c>
      <c r="C699" s="52" t="s">
        <v>773</v>
      </c>
      <c r="D699" s="52" t="s">
        <v>673</v>
      </c>
      <c r="E699" s="52" t="s">
        <v>674</v>
      </c>
      <c r="F699" s="52" t="s">
        <v>773</v>
      </c>
      <c r="G699" s="52" t="s">
        <v>773</v>
      </c>
      <c r="H699" s="52" t="s">
        <v>773</v>
      </c>
      <c r="I699" s="52" t="s">
        <v>773</v>
      </c>
      <c r="J699" s="52" t="s">
        <v>710</v>
      </c>
      <c r="K699" s="52" t="s">
        <v>690</v>
      </c>
      <c r="L699" s="52" t="s">
        <v>699</v>
      </c>
      <c r="M699" s="52">
        <v>0.1</v>
      </c>
      <c r="N699" s="52" t="s">
        <v>188</v>
      </c>
      <c r="O699" s="52" t="s">
        <v>665</v>
      </c>
      <c r="P699" s="52" t="s">
        <v>746</v>
      </c>
      <c r="Q699" s="52" t="s">
        <v>683</v>
      </c>
      <c r="R699" s="52" t="s">
        <v>549</v>
      </c>
      <c r="S699" s="52" t="s">
        <v>673</v>
      </c>
      <c r="T699" s="52" t="s">
        <v>1821</v>
      </c>
      <c r="U699" s="52" t="s">
        <v>1824</v>
      </c>
      <c r="V699" s="50" t="s">
        <v>1823</v>
      </c>
    </row>
    <row r="700" spans="1:22" x14ac:dyDescent="0.3">
      <c r="A700" s="48" t="s">
        <v>1190</v>
      </c>
      <c r="B700" s="49" t="s">
        <v>154</v>
      </c>
      <c r="C700" s="49" t="s">
        <v>1023</v>
      </c>
      <c r="D700" s="49" t="s">
        <v>673</v>
      </c>
      <c r="E700" s="49" t="s">
        <v>674</v>
      </c>
      <c r="F700" s="49" t="s">
        <v>716</v>
      </c>
      <c r="G700" s="49" t="s">
        <v>744</v>
      </c>
      <c r="H700" s="49" t="s">
        <v>935</v>
      </c>
      <c r="I700" s="49" t="s">
        <v>688</v>
      </c>
      <c r="J700" s="49" t="s">
        <v>710</v>
      </c>
      <c r="K700" s="49" t="s">
        <v>690</v>
      </c>
      <c r="L700" s="49" t="s">
        <v>681</v>
      </c>
      <c r="M700" s="49">
        <v>0.7</v>
      </c>
      <c r="N700" s="49" t="s">
        <v>188</v>
      </c>
      <c r="O700" s="49" t="s">
        <v>665</v>
      </c>
      <c r="P700" s="49" t="s">
        <v>746</v>
      </c>
      <c r="Q700" s="49" t="s">
        <v>683</v>
      </c>
      <c r="R700" s="49" t="s">
        <v>549</v>
      </c>
      <c r="S700" s="52" t="s">
        <v>673</v>
      </c>
      <c r="T700" s="49" t="s">
        <v>1821</v>
      </c>
      <c r="U700" s="49" t="s">
        <v>1824</v>
      </c>
      <c r="V700" s="50" t="s">
        <v>1823</v>
      </c>
    </row>
    <row r="701" spans="1:22" x14ac:dyDescent="0.3">
      <c r="A701" s="51" t="s">
        <v>714</v>
      </c>
      <c r="B701" s="52" t="s">
        <v>707</v>
      </c>
      <c r="C701" s="52" t="s">
        <v>715</v>
      </c>
      <c r="D701" s="52" t="s">
        <v>673</v>
      </c>
      <c r="E701" s="52" t="s">
        <v>674</v>
      </c>
      <c r="F701" s="52" t="s">
        <v>716</v>
      </c>
      <c r="G701" s="52" t="s">
        <v>717</v>
      </c>
      <c r="H701" s="52" t="s">
        <v>717</v>
      </c>
      <c r="I701" s="52" t="s">
        <v>717</v>
      </c>
      <c r="J701" s="52" t="s">
        <v>710</v>
      </c>
      <c r="K701" s="52" t="s">
        <v>690</v>
      </c>
      <c r="L701" s="52" t="s">
        <v>699</v>
      </c>
      <c r="M701" s="52">
        <v>0.1</v>
      </c>
      <c r="N701" s="52" t="s">
        <v>188</v>
      </c>
      <c r="O701" s="52" t="s">
        <v>665</v>
      </c>
      <c r="P701" s="52" t="s">
        <v>746</v>
      </c>
      <c r="Q701" s="52" t="s">
        <v>683</v>
      </c>
      <c r="R701" s="52" t="s">
        <v>549</v>
      </c>
      <c r="S701" s="52" t="s">
        <v>673</v>
      </c>
      <c r="T701" s="52" t="s">
        <v>1821</v>
      </c>
      <c r="U701" s="52" t="s">
        <v>1824</v>
      </c>
      <c r="V701" s="50" t="s">
        <v>1823</v>
      </c>
    </row>
    <row r="702" spans="1:22" x14ac:dyDescent="0.3">
      <c r="A702" s="48" t="s">
        <v>1317</v>
      </c>
      <c r="B702" s="49" t="s">
        <v>1049</v>
      </c>
      <c r="C702" s="49" t="s">
        <v>1318</v>
      </c>
      <c r="D702" s="49" t="s">
        <v>673</v>
      </c>
      <c r="E702" s="49" t="s">
        <v>674</v>
      </c>
      <c r="F702" s="49" t="s">
        <v>716</v>
      </c>
      <c r="G702" s="49" t="s">
        <v>744</v>
      </c>
      <c r="H702" s="49" t="s">
        <v>677</v>
      </c>
      <c r="I702" s="49" t="s">
        <v>688</v>
      </c>
      <c r="J702" s="49" t="s">
        <v>710</v>
      </c>
      <c r="K702" s="49" t="s">
        <v>690</v>
      </c>
      <c r="L702" s="49" t="s">
        <v>681</v>
      </c>
      <c r="M702" s="49">
        <v>1</v>
      </c>
      <c r="N702" s="49" t="s">
        <v>192</v>
      </c>
      <c r="O702" s="49" t="s">
        <v>767</v>
      </c>
      <c r="P702" s="52" t="s">
        <v>746</v>
      </c>
      <c r="Q702" s="49" t="s">
        <v>683</v>
      </c>
      <c r="R702" s="49" t="s">
        <v>549</v>
      </c>
      <c r="S702" s="52" t="s">
        <v>673</v>
      </c>
      <c r="T702" s="49" t="s">
        <v>1821</v>
      </c>
      <c r="U702" s="49" t="s">
        <v>1824</v>
      </c>
      <c r="V702" s="50" t="s">
        <v>1823</v>
      </c>
    </row>
    <row r="703" spans="1:22" x14ac:dyDescent="0.3">
      <c r="A703" s="51" t="s">
        <v>1317</v>
      </c>
      <c r="B703" s="52" t="s">
        <v>1049</v>
      </c>
      <c r="C703" s="52" t="s">
        <v>1318</v>
      </c>
      <c r="D703" s="52" t="s">
        <v>673</v>
      </c>
      <c r="E703" s="52" t="s">
        <v>674</v>
      </c>
      <c r="F703" s="52" t="s">
        <v>716</v>
      </c>
      <c r="G703" s="52" t="s">
        <v>744</v>
      </c>
      <c r="H703" s="52" t="s">
        <v>677</v>
      </c>
      <c r="I703" s="49" t="s">
        <v>688</v>
      </c>
      <c r="J703" s="52" t="s">
        <v>710</v>
      </c>
      <c r="K703" s="52" t="s">
        <v>690</v>
      </c>
      <c r="L703" s="52" t="s">
        <v>681</v>
      </c>
      <c r="M703" s="52">
        <v>1</v>
      </c>
      <c r="N703" s="52" t="s">
        <v>632</v>
      </c>
      <c r="O703" s="52" t="s">
        <v>665</v>
      </c>
      <c r="P703" s="52" t="s">
        <v>746</v>
      </c>
      <c r="Q703" s="52" t="s">
        <v>683</v>
      </c>
      <c r="R703" s="52" t="s">
        <v>549</v>
      </c>
      <c r="S703" s="52" t="s">
        <v>673</v>
      </c>
      <c r="T703" s="52" t="s">
        <v>1821</v>
      </c>
      <c r="U703" s="52" t="s">
        <v>1824</v>
      </c>
      <c r="V703" s="50" t="s">
        <v>1823</v>
      </c>
    </row>
    <row r="704" spans="1:22" x14ac:dyDescent="0.3">
      <c r="A704" s="48" t="s">
        <v>1322</v>
      </c>
      <c r="B704" s="49" t="s">
        <v>1049</v>
      </c>
      <c r="C704" s="49" t="s">
        <v>1323</v>
      </c>
      <c r="D704" s="49" t="s">
        <v>673</v>
      </c>
      <c r="E704" s="49" t="s">
        <v>674</v>
      </c>
      <c r="F704" s="49" t="s">
        <v>935</v>
      </c>
      <c r="G704" s="49" t="s">
        <v>744</v>
      </c>
      <c r="H704" s="49" t="s">
        <v>677</v>
      </c>
      <c r="I704" s="49" t="s">
        <v>688</v>
      </c>
      <c r="J704" s="49" t="s">
        <v>710</v>
      </c>
      <c r="K704" s="49" t="s">
        <v>690</v>
      </c>
      <c r="L704" s="49" t="s">
        <v>681</v>
      </c>
      <c r="M704" s="49">
        <v>0.1</v>
      </c>
      <c r="N704" s="49" t="s">
        <v>188</v>
      </c>
      <c r="O704" s="49" t="s">
        <v>665</v>
      </c>
      <c r="P704" s="49" t="s">
        <v>746</v>
      </c>
      <c r="Q704" s="49" t="s">
        <v>683</v>
      </c>
      <c r="R704" s="49" t="s">
        <v>549</v>
      </c>
      <c r="S704" s="52" t="s">
        <v>673</v>
      </c>
      <c r="T704" s="49" t="s">
        <v>1821</v>
      </c>
      <c r="U704" s="49" t="s">
        <v>1824</v>
      </c>
      <c r="V704" s="50" t="s">
        <v>1823</v>
      </c>
    </row>
    <row r="705" spans="1:22" x14ac:dyDescent="0.3">
      <c r="A705" s="51" t="s">
        <v>714</v>
      </c>
      <c r="B705" s="52" t="s">
        <v>707</v>
      </c>
      <c r="C705" s="52" t="s">
        <v>715</v>
      </c>
      <c r="D705" s="52" t="s">
        <v>673</v>
      </c>
      <c r="E705" s="52" t="s">
        <v>674</v>
      </c>
      <c r="F705" s="52" t="s">
        <v>716</v>
      </c>
      <c r="G705" s="52" t="s">
        <v>717</v>
      </c>
      <c r="H705" s="52" t="s">
        <v>717</v>
      </c>
      <c r="I705" s="52" t="s">
        <v>717</v>
      </c>
      <c r="J705" s="52" t="s">
        <v>710</v>
      </c>
      <c r="K705" s="52" t="s">
        <v>690</v>
      </c>
      <c r="L705" s="52" t="s">
        <v>699</v>
      </c>
      <c r="M705" s="52">
        <v>0.1</v>
      </c>
      <c r="N705" s="52" t="s">
        <v>549</v>
      </c>
      <c r="O705" s="52" t="s">
        <v>665</v>
      </c>
      <c r="P705" s="52" t="s">
        <v>746</v>
      </c>
      <c r="Q705" s="52" t="s">
        <v>683</v>
      </c>
      <c r="R705" s="52" t="s">
        <v>269</v>
      </c>
      <c r="S705" s="52" t="s">
        <v>673</v>
      </c>
      <c r="T705" s="52" t="s">
        <v>1821</v>
      </c>
      <c r="U705" s="52" t="s">
        <v>1824</v>
      </c>
      <c r="V705" s="50" t="s">
        <v>1823</v>
      </c>
    </row>
    <row r="706" spans="1:22" x14ac:dyDescent="0.3">
      <c r="A706" s="48" t="s">
        <v>1322</v>
      </c>
      <c r="B706" s="49" t="s">
        <v>1049</v>
      </c>
      <c r="C706" s="49" t="s">
        <v>1323</v>
      </c>
      <c r="D706" s="49" t="s">
        <v>673</v>
      </c>
      <c r="E706" s="49" t="s">
        <v>674</v>
      </c>
      <c r="F706" s="49" t="s">
        <v>935</v>
      </c>
      <c r="G706" s="49" t="s">
        <v>744</v>
      </c>
      <c r="H706" s="49" t="s">
        <v>677</v>
      </c>
      <c r="I706" s="49" t="s">
        <v>688</v>
      </c>
      <c r="J706" s="49" t="s">
        <v>710</v>
      </c>
      <c r="K706" s="49" t="s">
        <v>690</v>
      </c>
      <c r="L706" s="49" t="s">
        <v>681</v>
      </c>
      <c r="M706" s="49">
        <v>0.1</v>
      </c>
      <c r="N706" s="49" t="s">
        <v>549</v>
      </c>
      <c r="O706" s="49" t="s">
        <v>665</v>
      </c>
      <c r="P706" s="49" t="s">
        <v>746</v>
      </c>
      <c r="Q706" s="49" t="s">
        <v>683</v>
      </c>
      <c r="R706" s="49" t="s">
        <v>269</v>
      </c>
      <c r="S706" s="52" t="s">
        <v>673</v>
      </c>
      <c r="T706" s="49" t="s">
        <v>1821</v>
      </c>
      <c r="U706" s="49" t="s">
        <v>1824</v>
      </c>
      <c r="V706" s="50" t="s">
        <v>1823</v>
      </c>
    </row>
    <row r="707" spans="1:22" x14ac:dyDescent="0.3">
      <c r="A707" s="51" t="s">
        <v>1319</v>
      </c>
      <c r="B707" s="52" t="s">
        <v>707</v>
      </c>
      <c r="C707" s="52" t="s">
        <v>773</v>
      </c>
      <c r="D707" s="52" t="s">
        <v>673</v>
      </c>
      <c r="E707" s="52" t="s">
        <v>674</v>
      </c>
      <c r="F707" s="52" t="s">
        <v>773</v>
      </c>
      <c r="G707" s="52" t="s">
        <v>773</v>
      </c>
      <c r="H707" s="52" t="s">
        <v>773</v>
      </c>
      <c r="I707" s="52" t="s">
        <v>773</v>
      </c>
      <c r="J707" s="52" t="s">
        <v>710</v>
      </c>
      <c r="K707" s="52" t="s">
        <v>690</v>
      </c>
      <c r="L707" s="52" t="s">
        <v>699</v>
      </c>
      <c r="M707" s="52">
        <v>0.1</v>
      </c>
      <c r="N707" s="52" t="s">
        <v>549</v>
      </c>
      <c r="O707" s="52" t="s">
        <v>665</v>
      </c>
      <c r="P707" s="52" t="s">
        <v>746</v>
      </c>
      <c r="Q707" s="52" t="s">
        <v>683</v>
      </c>
      <c r="R707" s="52" t="s">
        <v>269</v>
      </c>
      <c r="S707" s="52" t="s">
        <v>673</v>
      </c>
      <c r="T707" s="52" t="s">
        <v>1821</v>
      </c>
      <c r="U707" s="52" t="s">
        <v>1824</v>
      </c>
      <c r="V707" s="50" t="s">
        <v>1823</v>
      </c>
    </row>
    <row r="708" spans="1:22" x14ac:dyDescent="0.3">
      <c r="A708" s="48" t="s">
        <v>2311</v>
      </c>
      <c r="B708" s="49" t="s">
        <v>154</v>
      </c>
      <c r="C708" s="49" t="s">
        <v>2312</v>
      </c>
      <c r="D708" s="49" t="s">
        <v>673</v>
      </c>
      <c r="E708" s="49" t="s">
        <v>674</v>
      </c>
      <c r="F708" s="49" t="s">
        <v>716</v>
      </c>
      <c r="G708" s="49" t="s">
        <v>744</v>
      </c>
      <c r="H708" s="49" t="s">
        <v>702</v>
      </c>
      <c r="I708" s="49" t="s">
        <v>688</v>
      </c>
      <c r="J708" s="49" t="s">
        <v>710</v>
      </c>
      <c r="K708" s="49" t="s">
        <v>690</v>
      </c>
      <c r="L708" s="49" t="s">
        <v>739</v>
      </c>
      <c r="M708" s="49">
        <v>0.3</v>
      </c>
      <c r="N708" s="49" t="s">
        <v>549</v>
      </c>
      <c r="O708" s="49" t="s">
        <v>665</v>
      </c>
      <c r="P708" s="49" t="s">
        <v>746</v>
      </c>
      <c r="Q708" s="49" t="s">
        <v>683</v>
      </c>
      <c r="R708" s="49" t="s">
        <v>269</v>
      </c>
      <c r="S708" s="52" t="s">
        <v>673</v>
      </c>
      <c r="T708" s="49" t="s">
        <v>1821</v>
      </c>
      <c r="U708" s="49" t="s">
        <v>1824</v>
      </c>
      <c r="V708" s="50" t="s">
        <v>1823</v>
      </c>
    </row>
    <row r="709" spans="1:22" x14ac:dyDescent="0.3">
      <c r="A709" s="51" t="s">
        <v>1326</v>
      </c>
      <c r="B709" s="52" t="s">
        <v>1253</v>
      </c>
      <c r="C709" s="52" t="s">
        <v>1327</v>
      </c>
      <c r="D709" s="52" t="s">
        <v>673</v>
      </c>
      <c r="E709" s="52" t="s">
        <v>674</v>
      </c>
      <c r="F709" s="52" t="s">
        <v>716</v>
      </c>
      <c r="G709" s="52" t="s">
        <v>744</v>
      </c>
      <c r="H709" s="52" t="s">
        <v>677</v>
      </c>
      <c r="I709" s="49" t="s">
        <v>688</v>
      </c>
      <c r="J709" s="52" t="s">
        <v>906</v>
      </c>
      <c r="K709" s="52" t="s">
        <v>690</v>
      </c>
      <c r="L709" s="52" t="s">
        <v>681</v>
      </c>
      <c r="M709" s="52">
        <v>0.3</v>
      </c>
      <c r="N709" s="52" t="s">
        <v>549</v>
      </c>
      <c r="O709" s="52" t="s">
        <v>665</v>
      </c>
      <c r="P709" s="52" t="s">
        <v>746</v>
      </c>
      <c r="Q709" s="52" t="s">
        <v>683</v>
      </c>
      <c r="R709" s="52" t="s">
        <v>269</v>
      </c>
      <c r="S709" s="52" t="s">
        <v>673</v>
      </c>
      <c r="T709" s="52" t="s">
        <v>1821</v>
      </c>
      <c r="U709" s="52" t="s">
        <v>1824</v>
      </c>
      <c r="V709" s="50" t="s">
        <v>1823</v>
      </c>
    </row>
    <row r="710" spans="1:22" x14ac:dyDescent="0.3">
      <c r="A710" s="48" t="s">
        <v>1379</v>
      </c>
      <c r="B710" s="49" t="s">
        <v>1258</v>
      </c>
      <c r="C710" s="49" t="s">
        <v>1380</v>
      </c>
      <c r="D710" s="49" t="s">
        <v>755</v>
      </c>
      <c r="E710" s="49" t="s">
        <v>674</v>
      </c>
      <c r="F710" s="49" t="s">
        <v>716</v>
      </c>
      <c r="G710" s="49" t="s">
        <v>724</v>
      </c>
      <c r="H710" s="49" t="s">
        <v>677</v>
      </c>
      <c r="I710" s="49" t="s">
        <v>688</v>
      </c>
      <c r="J710" s="49" t="s">
        <v>950</v>
      </c>
      <c r="K710" s="49" t="s">
        <v>680</v>
      </c>
      <c r="L710" s="49" t="s">
        <v>699</v>
      </c>
      <c r="M710" s="49">
        <v>1</v>
      </c>
      <c r="N710" s="49" t="s">
        <v>1663</v>
      </c>
      <c r="O710" s="49" t="s">
        <v>767</v>
      </c>
      <c r="P710" s="52" t="s">
        <v>746</v>
      </c>
      <c r="Q710" s="49" t="s">
        <v>683</v>
      </c>
      <c r="R710" s="49" t="s">
        <v>309</v>
      </c>
      <c r="S710" s="49" t="s">
        <v>755</v>
      </c>
      <c r="T710" s="49" t="s">
        <v>1821</v>
      </c>
      <c r="U710" s="49" t="s">
        <v>1824</v>
      </c>
      <c r="V710" s="50" t="s">
        <v>1823</v>
      </c>
    </row>
    <row r="711" spans="1:22" x14ac:dyDescent="0.3">
      <c r="A711" s="51" t="s">
        <v>712</v>
      </c>
      <c r="B711" s="52" t="s">
        <v>707</v>
      </c>
      <c r="C711" s="52" t="s">
        <v>708</v>
      </c>
      <c r="D711" s="52" t="s">
        <v>673</v>
      </c>
      <c r="E711" s="52" t="s">
        <v>674</v>
      </c>
      <c r="F711" s="52" t="s">
        <v>709</v>
      </c>
      <c r="G711" s="52" t="s">
        <v>709</v>
      </c>
      <c r="H711" s="52" t="s">
        <v>709</v>
      </c>
      <c r="I711" s="52" t="s">
        <v>709</v>
      </c>
      <c r="J711" s="52" t="s">
        <v>713</v>
      </c>
      <c r="K711" s="52" t="s">
        <v>690</v>
      </c>
      <c r="L711" s="52" t="s">
        <v>699</v>
      </c>
      <c r="M711" s="52">
        <v>0.3</v>
      </c>
      <c r="N711" s="52" t="s">
        <v>150</v>
      </c>
      <c r="O711" s="52" t="s">
        <v>665</v>
      </c>
      <c r="P711" s="52" t="s">
        <v>711</v>
      </c>
      <c r="Q711" s="52" t="s">
        <v>683</v>
      </c>
      <c r="R711" s="52" t="s">
        <v>366</v>
      </c>
      <c r="S711" s="52" t="s">
        <v>673</v>
      </c>
      <c r="T711" s="52" t="s">
        <v>1821</v>
      </c>
      <c r="U711" s="52" t="s">
        <v>1824</v>
      </c>
      <c r="V711" s="50" t="s">
        <v>1823</v>
      </c>
    </row>
    <row r="712" spans="1:22" x14ac:dyDescent="0.3">
      <c r="A712" s="48" t="s">
        <v>1007</v>
      </c>
      <c r="B712" s="49" t="s">
        <v>707</v>
      </c>
      <c r="C712" s="49" t="s">
        <v>708</v>
      </c>
      <c r="D712" s="49" t="s">
        <v>673</v>
      </c>
      <c r="E712" s="49" t="s">
        <v>674</v>
      </c>
      <c r="F712" s="49" t="s">
        <v>709</v>
      </c>
      <c r="G712" s="49" t="s">
        <v>709</v>
      </c>
      <c r="H712" s="49" t="s">
        <v>709</v>
      </c>
      <c r="I712" s="49" t="s">
        <v>709</v>
      </c>
      <c r="J712" s="49" t="s">
        <v>698</v>
      </c>
      <c r="K712" s="49" t="s">
        <v>690</v>
      </c>
      <c r="L712" s="49" t="s">
        <v>699</v>
      </c>
      <c r="M712" s="49">
        <v>0.2</v>
      </c>
      <c r="N712" s="49" t="s">
        <v>150</v>
      </c>
      <c r="O712" s="49" t="s">
        <v>665</v>
      </c>
      <c r="P712" s="49" t="s">
        <v>711</v>
      </c>
      <c r="Q712" s="49" t="s">
        <v>683</v>
      </c>
      <c r="R712" s="49" t="s">
        <v>366</v>
      </c>
      <c r="S712" s="52" t="s">
        <v>673</v>
      </c>
      <c r="T712" s="49" t="s">
        <v>1821</v>
      </c>
      <c r="U712" s="49" t="s">
        <v>1824</v>
      </c>
      <c r="V712" s="50" t="s">
        <v>1823</v>
      </c>
    </row>
    <row r="713" spans="1:22" x14ac:dyDescent="0.3">
      <c r="A713" s="51" t="s">
        <v>706</v>
      </c>
      <c r="B713" s="52" t="s">
        <v>707</v>
      </c>
      <c r="C713" s="52" t="s">
        <v>708</v>
      </c>
      <c r="D713" s="52" t="s">
        <v>673</v>
      </c>
      <c r="E713" s="52" t="s">
        <v>674</v>
      </c>
      <c r="F713" s="52" t="s">
        <v>709</v>
      </c>
      <c r="G713" s="52" t="s">
        <v>709</v>
      </c>
      <c r="H713" s="52" t="s">
        <v>709</v>
      </c>
      <c r="I713" s="52" t="s">
        <v>709</v>
      </c>
      <c r="J713" s="52" t="s">
        <v>710</v>
      </c>
      <c r="K713" s="52" t="s">
        <v>690</v>
      </c>
      <c r="L713" s="52" t="s">
        <v>699</v>
      </c>
      <c r="M713" s="52">
        <v>0.3</v>
      </c>
      <c r="N713" s="52" t="s">
        <v>150</v>
      </c>
      <c r="O713" s="52" t="s">
        <v>665</v>
      </c>
      <c r="P713" s="52" t="s">
        <v>711</v>
      </c>
      <c r="Q713" s="52" t="s">
        <v>683</v>
      </c>
      <c r="R713" s="52" t="s">
        <v>366</v>
      </c>
      <c r="S713" s="52" t="s">
        <v>673</v>
      </c>
      <c r="T713" s="52" t="s">
        <v>1821</v>
      </c>
      <c r="U713" s="52" t="s">
        <v>1824</v>
      </c>
      <c r="V713" s="50" t="s">
        <v>1823</v>
      </c>
    </row>
    <row r="714" spans="1:22" x14ac:dyDescent="0.3">
      <c r="A714" s="48" t="s">
        <v>1348</v>
      </c>
      <c r="B714" s="49" t="s">
        <v>707</v>
      </c>
      <c r="C714" s="49" t="s">
        <v>708</v>
      </c>
      <c r="D714" s="49" t="s">
        <v>755</v>
      </c>
      <c r="E714" s="49" t="s">
        <v>674</v>
      </c>
      <c r="F714" s="49" t="s">
        <v>709</v>
      </c>
      <c r="G714" s="49" t="s">
        <v>709</v>
      </c>
      <c r="H714" s="49" t="s">
        <v>709</v>
      </c>
      <c r="I714" s="49" t="s">
        <v>709</v>
      </c>
      <c r="J714" s="49" t="s">
        <v>679</v>
      </c>
      <c r="K714" s="49" t="s">
        <v>680</v>
      </c>
      <c r="L714" s="49" t="s">
        <v>699</v>
      </c>
      <c r="M714" s="49">
        <v>0.2</v>
      </c>
      <c r="N714" s="49" t="s">
        <v>150</v>
      </c>
      <c r="O714" s="49" t="s">
        <v>665</v>
      </c>
      <c r="P714" s="49" t="s">
        <v>711</v>
      </c>
      <c r="Q714" s="49" t="s">
        <v>683</v>
      </c>
      <c r="R714" s="49" t="s">
        <v>366</v>
      </c>
      <c r="S714" s="52" t="s">
        <v>673</v>
      </c>
      <c r="T714" s="49" t="s">
        <v>1821</v>
      </c>
      <c r="U714" s="49" t="s">
        <v>1824</v>
      </c>
      <c r="V714" s="50" t="s">
        <v>1823</v>
      </c>
    </row>
    <row r="715" spans="1:22" x14ac:dyDescent="0.3">
      <c r="A715" s="51" t="s">
        <v>1362</v>
      </c>
      <c r="B715" s="52" t="s">
        <v>1363</v>
      </c>
      <c r="C715" s="52" t="s">
        <v>1364</v>
      </c>
      <c r="D715" s="52" t="s">
        <v>673</v>
      </c>
      <c r="E715" s="52" t="s">
        <v>674</v>
      </c>
      <c r="F715" s="52" t="s">
        <v>675</v>
      </c>
      <c r="G715" s="52" t="s">
        <v>724</v>
      </c>
      <c r="H715" s="52" t="s">
        <v>677</v>
      </c>
      <c r="I715" s="49" t="s">
        <v>678</v>
      </c>
      <c r="J715" s="52" t="s">
        <v>713</v>
      </c>
      <c r="K715" s="52" t="s">
        <v>690</v>
      </c>
      <c r="L715" s="52" t="s">
        <v>691</v>
      </c>
      <c r="M715" s="52">
        <v>0.1</v>
      </c>
      <c r="N715" s="52" t="s">
        <v>526</v>
      </c>
      <c r="O715" s="52" t="s">
        <v>665</v>
      </c>
      <c r="P715" s="52" t="s">
        <v>711</v>
      </c>
      <c r="Q715" s="52" t="s">
        <v>683</v>
      </c>
      <c r="R715" s="52" t="s">
        <v>366</v>
      </c>
      <c r="S715" s="52" t="s">
        <v>673</v>
      </c>
      <c r="T715" s="52" t="s">
        <v>1821</v>
      </c>
      <c r="U715" s="52" t="s">
        <v>1824</v>
      </c>
      <c r="V715" s="50" t="s">
        <v>1823</v>
      </c>
    </row>
    <row r="716" spans="1:22" x14ac:dyDescent="0.3">
      <c r="A716" s="48" t="s">
        <v>1367</v>
      </c>
      <c r="B716" s="49" t="s">
        <v>359</v>
      </c>
      <c r="C716" s="49" t="s">
        <v>1368</v>
      </c>
      <c r="D716" s="49" t="s">
        <v>673</v>
      </c>
      <c r="E716" s="49" t="s">
        <v>674</v>
      </c>
      <c r="F716" s="49" t="s">
        <v>675</v>
      </c>
      <c r="G716" s="49" t="s">
        <v>676</v>
      </c>
      <c r="H716" s="49" t="s">
        <v>677</v>
      </c>
      <c r="I716" s="49" t="s">
        <v>678</v>
      </c>
      <c r="J716" s="49" t="s">
        <v>713</v>
      </c>
      <c r="K716" s="49" t="s">
        <v>690</v>
      </c>
      <c r="L716" s="49" t="s">
        <v>681</v>
      </c>
      <c r="M716" s="49">
        <v>0.1</v>
      </c>
      <c r="N716" s="49" t="s">
        <v>526</v>
      </c>
      <c r="O716" s="49" t="s">
        <v>665</v>
      </c>
      <c r="P716" s="49" t="s">
        <v>711</v>
      </c>
      <c r="Q716" s="49" t="s">
        <v>683</v>
      </c>
      <c r="R716" s="49" t="s">
        <v>366</v>
      </c>
      <c r="S716" s="52" t="s">
        <v>673</v>
      </c>
      <c r="T716" s="49" t="s">
        <v>1821</v>
      </c>
      <c r="U716" s="49" t="s">
        <v>1824</v>
      </c>
      <c r="V716" s="50" t="s">
        <v>1823</v>
      </c>
    </row>
    <row r="717" spans="1:22" x14ac:dyDescent="0.3">
      <c r="A717" s="51" t="s">
        <v>1372</v>
      </c>
      <c r="B717" s="52" t="s">
        <v>527</v>
      </c>
      <c r="C717" s="52" t="s">
        <v>1373</v>
      </c>
      <c r="D717" s="52" t="s">
        <v>673</v>
      </c>
      <c r="E717" s="52" t="s">
        <v>674</v>
      </c>
      <c r="F717" s="52" t="s">
        <v>675</v>
      </c>
      <c r="G717" s="52" t="s">
        <v>724</v>
      </c>
      <c r="H717" s="52" t="s">
        <v>677</v>
      </c>
      <c r="I717" s="49" t="s">
        <v>688</v>
      </c>
      <c r="J717" s="52" t="s">
        <v>713</v>
      </c>
      <c r="K717" s="52" t="s">
        <v>690</v>
      </c>
      <c r="L717" s="52" t="s">
        <v>681</v>
      </c>
      <c r="M717" s="52">
        <v>0.6</v>
      </c>
      <c r="N717" s="52" t="s">
        <v>526</v>
      </c>
      <c r="O717" s="52" t="s">
        <v>665</v>
      </c>
      <c r="P717" s="52" t="s">
        <v>711</v>
      </c>
      <c r="Q717" s="52" t="s">
        <v>683</v>
      </c>
      <c r="R717" s="52" t="s">
        <v>366</v>
      </c>
      <c r="S717" s="52" t="s">
        <v>673</v>
      </c>
      <c r="T717" s="52" t="s">
        <v>1821</v>
      </c>
      <c r="U717" s="52" t="s">
        <v>1824</v>
      </c>
      <c r="V717" s="50" t="s">
        <v>1823</v>
      </c>
    </row>
    <row r="718" spans="1:22" x14ac:dyDescent="0.3">
      <c r="A718" s="48" t="s">
        <v>1369</v>
      </c>
      <c r="B718" s="49" t="s">
        <v>1370</v>
      </c>
      <c r="C718" s="49" t="s">
        <v>1371</v>
      </c>
      <c r="D718" s="49" t="s">
        <v>673</v>
      </c>
      <c r="E718" s="49" t="s">
        <v>674</v>
      </c>
      <c r="F718" s="49" t="s">
        <v>675</v>
      </c>
      <c r="G718" s="49" t="s">
        <v>676</v>
      </c>
      <c r="H718" s="49" t="s">
        <v>677</v>
      </c>
      <c r="I718" s="49" t="s">
        <v>678</v>
      </c>
      <c r="J718" s="49" t="s">
        <v>713</v>
      </c>
      <c r="K718" s="49" t="s">
        <v>690</v>
      </c>
      <c r="L718" s="49" t="s">
        <v>681</v>
      </c>
      <c r="M718" s="49">
        <v>0.1</v>
      </c>
      <c r="N718" s="49" t="s">
        <v>526</v>
      </c>
      <c r="O718" s="49" t="s">
        <v>665</v>
      </c>
      <c r="P718" s="49" t="s">
        <v>711</v>
      </c>
      <c r="Q718" s="49" t="s">
        <v>683</v>
      </c>
      <c r="R718" s="49" t="s">
        <v>366</v>
      </c>
      <c r="S718" s="52" t="s">
        <v>673</v>
      </c>
      <c r="T718" s="49" t="s">
        <v>1821</v>
      </c>
      <c r="U718" s="49" t="s">
        <v>1824</v>
      </c>
      <c r="V718" s="50" t="s">
        <v>1823</v>
      </c>
    </row>
    <row r="719" spans="1:22" x14ac:dyDescent="0.3">
      <c r="A719" s="51" t="s">
        <v>712</v>
      </c>
      <c r="B719" s="52" t="s">
        <v>707</v>
      </c>
      <c r="C719" s="52" t="s">
        <v>708</v>
      </c>
      <c r="D719" s="52" t="s">
        <v>673</v>
      </c>
      <c r="E719" s="52" t="s">
        <v>674</v>
      </c>
      <c r="F719" s="52" t="s">
        <v>709</v>
      </c>
      <c r="G719" s="52" t="s">
        <v>709</v>
      </c>
      <c r="H719" s="52" t="s">
        <v>709</v>
      </c>
      <c r="I719" s="52" t="s">
        <v>709</v>
      </c>
      <c r="J719" s="52" t="s">
        <v>713</v>
      </c>
      <c r="K719" s="52" t="s">
        <v>690</v>
      </c>
      <c r="L719" s="52" t="s">
        <v>699</v>
      </c>
      <c r="M719" s="52">
        <v>0.1</v>
      </c>
      <c r="N719" s="52" t="s">
        <v>526</v>
      </c>
      <c r="O719" s="52" t="s">
        <v>665</v>
      </c>
      <c r="P719" s="52" t="s">
        <v>711</v>
      </c>
      <c r="Q719" s="52" t="s">
        <v>683</v>
      </c>
      <c r="R719" s="52" t="s">
        <v>366</v>
      </c>
      <c r="S719" s="52" t="s">
        <v>673</v>
      </c>
      <c r="T719" s="52" t="s">
        <v>1821</v>
      </c>
      <c r="U719" s="52" t="s">
        <v>1824</v>
      </c>
      <c r="V719" s="50" t="s">
        <v>1823</v>
      </c>
    </row>
    <row r="720" spans="1:22" x14ac:dyDescent="0.3">
      <c r="A720" s="48" t="s">
        <v>1426</v>
      </c>
      <c r="B720" s="49" t="s">
        <v>234</v>
      </c>
      <c r="C720" s="49" t="s">
        <v>1427</v>
      </c>
      <c r="D720" s="49" t="s">
        <v>673</v>
      </c>
      <c r="E720" s="49" t="s">
        <v>674</v>
      </c>
      <c r="F720" s="49" t="s">
        <v>935</v>
      </c>
      <c r="G720" s="49" t="s">
        <v>676</v>
      </c>
      <c r="H720" s="49" t="s">
        <v>935</v>
      </c>
      <c r="I720" s="49" t="s">
        <v>678</v>
      </c>
      <c r="J720" s="49" t="s">
        <v>713</v>
      </c>
      <c r="K720" s="49" t="s">
        <v>690</v>
      </c>
      <c r="L720" s="49" t="s">
        <v>681</v>
      </c>
      <c r="M720" s="49">
        <v>0.4</v>
      </c>
      <c r="N720" s="49" t="s">
        <v>234</v>
      </c>
      <c r="O720" s="49" t="s">
        <v>665</v>
      </c>
      <c r="P720" s="49" t="s">
        <v>711</v>
      </c>
      <c r="Q720" s="49" t="s">
        <v>683</v>
      </c>
      <c r="R720" s="49" t="s">
        <v>366</v>
      </c>
      <c r="S720" s="52" t="s">
        <v>673</v>
      </c>
      <c r="T720" s="49" t="s">
        <v>1821</v>
      </c>
      <c r="U720" s="49" t="s">
        <v>1824</v>
      </c>
      <c r="V720" s="50" t="s">
        <v>1823</v>
      </c>
    </row>
    <row r="721" spans="1:22" x14ac:dyDescent="0.3">
      <c r="A721" s="51" t="s">
        <v>712</v>
      </c>
      <c r="B721" s="52" t="s">
        <v>707</v>
      </c>
      <c r="C721" s="52" t="s">
        <v>708</v>
      </c>
      <c r="D721" s="52" t="s">
        <v>673</v>
      </c>
      <c r="E721" s="52" t="s">
        <v>674</v>
      </c>
      <c r="F721" s="52" t="s">
        <v>709</v>
      </c>
      <c r="G721" s="52" t="s">
        <v>709</v>
      </c>
      <c r="H721" s="52" t="s">
        <v>709</v>
      </c>
      <c r="I721" s="52" t="s">
        <v>709</v>
      </c>
      <c r="J721" s="52" t="s">
        <v>713</v>
      </c>
      <c r="K721" s="52" t="s">
        <v>690</v>
      </c>
      <c r="L721" s="52" t="s">
        <v>699</v>
      </c>
      <c r="M721" s="52">
        <v>0.1</v>
      </c>
      <c r="N721" s="52" t="s">
        <v>234</v>
      </c>
      <c r="O721" s="52" t="s">
        <v>665</v>
      </c>
      <c r="P721" s="52" t="s">
        <v>711</v>
      </c>
      <c r="Q721" s="52" t="s">
        <v>683</v>
      </c>
      <c r="R721" s="52" t="s">
        <v>366</v>
      </c>
      <c r="S721" s="52" t="s">
        <v>673</v>
      </c>
      <c r="T721" s="52" t="s">
        <v>1821</v>
      </c>
      <c r="U721" s="52" t="s">
        <v>1824</v>
      </c>
      <c r="V721" s="50" t="s">
        <v>1823</v>
      </c>
    </row>
    <row r="722" spans="1:22" x14ac:dyDescent="0.3">
      <c r="A722" s="48" t="s">
        <v>1428</v>
      </c>
      <c r="B722" s="49" t="s">
        <v>234</v>
      </c>
      <c r="C722" s="49" t="s">
        <v>1429</v>
      </c>
      <c r="D722" s="49" t="s">
        <v>673</v>
      </c>
      <c r="E722" s="49" t="s">
        <v>674</v>
      </c>
      <c r="F722" s="49" t="s">
        <v>716</v>
      </c>
      <c r="G722" s="49" t="s">
        <v>731</v>
      </c>
      <c r="H722" s="49" t="s">
        <v>935</v>
      </c>
      <c r="I722" s="49" t="s">
        <v>678</v>
      </c>
      <c r="J722" s="49" t="s">
        <v>713</v>
      </c>
      <c r="K722" s="49" t="s">
        <v>690</v>
      </c>
      <c r="L722" s="49" t="s">
        <v>681</v>
      </c>
      <c r="M722" s="49">
        <v>0.5</v>
      </c>
      <c r="N722" s="49" t="s">
        <v>234</v>
      </c>
      <c r="O722" s="49" t="s">
        <v>665</v>
      </c>
      <c r="P722" s="49" t="s">
        <v>711</v>
      </c>
      <c r="Q722" s="49" t="s">
        <v>683</v>
      </c>
      <c r="R722" s="49" t="s">
        <v>366</v>
      </c>
      <c r="S722" s="52" t="s">
        <v>673</v>
      </c>
      <c r="T722" s="49" t="s">
        <v>1821</v>
      </c>
      <c r="U722" s="49" t="s">
        <v>1824</v>
      </c>
      <c r="V722" s="50" t="s">
        <v>1823</v>
      </c>
    </row>
    <row r="723" spans="1:22" x14ac:dyDescent="0.3">
      <c r="A723" s="51" t="s">
        <v>1349</v>
      </c>
      <c r="B723" s="52" t="s">
        <v>1350</v>
      </c>
      <c r="C723" s="52" t="s">
        <v>1351</v>
      </c>
      <c r="D723" s="52" t="s">
        <v>673</v>
      </c>
      <c r="E723" s="52" t="s">
        <v>674</v>
      </c>
      <c r="F723" s="52" t="s">
        <v>675</v>
      </c>
      <c r="G723" s="52" t="s">
        <v>676</v>
      </c>
      <c r="H723" s="52" t="s">
        <v>935</v>
      </c>
      <c r="I723" s="49" t="s">
        <v>678</v>
      </c>
      <c r="J723" s="52" t="s">
        <v>713</v>
      </c>
      <c r="K723" s="52" t="s">
        <v>690</v>
      </c>
      <c r="L723" s="52" t="s">
        <v>681</v>
      </c>
      <c r="M723" s="52">
        <v>0.2</v>
      </c>
      <c r="N723" s="52" t="s">
        <v>216</v>
      </c>
      <c r="O723" s="52" t="s">
        <v>665</v>
      </c>
      <c r="P723" s="52" t="s">
        <v>711</v>
      </c>
      <c r="Q723" s="52" t="s">
        <v>683</v>
      </c>
      <c r="R723" s="52" t="s">
        <v>366</v>
      </c>
      <c r="S723" s="52" t="s">
        <v>673</v>
      </c>
      <c r="T723" s="52" t="s">
        <v>1821</v>
      </c>
      <c r="U723" s="52" t="s">
        <v>1824</v>
      </c>
      <c r="V723" s="50" t="s">
        <v>1823</v>
      </c>
    </row>
    <row r="724" spans="1:22" x14ac:dyDescent="0.3">
      <c r="A724" s="48" t="s">
        <v>1352</v>
      </c>
      <c r="B724" s="49" t="s">
        <v>1353</v>
      </c>
      <c r="C724" s="49" t="s">
        <v>1354</v>
      </c>
      <c r="D724" s="49" t="s">
        <v>673</v>
      </c>
      <c r="E724" s="49" t="s">
        <v>674</v>
      </c>
      <c r="F724" s="49" t="s">
        <v>716</v>
      </c>
      <c r="G724" s="49" t="s">
        <v>731</v>
      </c>
      <c r="H724" s="49" t="s">
        <v>935</v>
      </c>
      <c r="I724" s="49" t="s">
        <v>678</v>
      </c>
      <c r="J724" s="49" t="s">
        <v>713</v>
      </c>
      <c r="K724" s="49" t="s">
        <v>690</v>
      </c>
      <c r="L724" s="49" t="s">
        <v>681</v>
      </c>
      <c r="M724" s="49">
        <v>0.7</v>
      </c>
      <c r="N724" s="49" t="s">
        <v>216</v>
      </c>
      <c r="O724" s="49" t="s">
        <v>665</v>
      </c>
      <c r="P724" s="49" t="s">
        <v>711</v>
      </c>
      <c r="Q724" s="49" t="s">
        <v>683</v>
      </c>
      <c r="R724" s="49" t="s">
        <v>366</v>
      </c>
      <c r="S724" s="52" t="s">
        <v>673</v>
      </c>
      <c r="T724" s="49" t="s">
        <v>1821</v>
      </c>
      <c r="U724" s="49" t="s">
        <v>1824</v>
      </c>
      <c r="V724" s="50" t="s">
        <v>1823</v>
      </c>
    </row>
    <row r="725" spans="1:22" x14ac:dyDescent="0.3">
      <c r="A725" s="51" t="s">
        <v>1355</v>
      </c>
      <c r="B725" s="52" t="s">
        <v>1353</v>
      </c>
      <c r="C725" s="52" t="s">
        <v>1356</v>
      </c>
      <c r="D725" s="52" t="s">
        <v>673</v>
      </c>
      <c r="E725" s="52" t="s">
        <v>674</v>
      </c>
      <c r="F725" s="52" t="s">
        <v>716</v>
      </c>
      <c r="G725" s="52" t="s">
        <v>731</v>
      </c>
      <c r="H725" s="52" t="s">
        <v>935</v>
      </c>
      <c r="I725" s="49" t="s">
        <v>678</v>
      </c>
      <c r="J725" s="52" t="s">
        <v>713</v>
      </c>
      <c r="K725" s="52" t="s">
        <v>690</v>
      </c>
      <c r="L725" s="52" t="s">
        <v>681</v>
      </c>
      <c r="M725" s="52">
        <v>0.1</v>
      </c>
      <c r="N725" s="52" t="s">
        <v>216</v>
      </c>
      <c r="O725" s="52" t="s">
        <v>665</v>
      </c>
      <c r="P725" s="52" t="s">
        <v>711</v>
      </c>
      <c r="Q725" s="52" t="s">
        <v>683</v>
      </c>
      <c r="R725" s="52" t="s">
        <v>366</v>
      </c>
      <c r="S725" s="52" t="s">
        <v>673</v>
      </c>
      <c r="T725" s="52" t="s">
        <v>1821</v>
      </c>
      <c r="U725" s="52" t="s">
        <v>1824</v>
      </c>
      <c r="V725" s="50" t="s">
        <v>1823</v>
      </c>
    </row>
    <row r="726" spans="1:22" x14ac:dyDescent="0.3">
      <c r="A726" s="48" t="s">
        <v>1360</v>
      </c>
      <c r="B726" s="49" t="s">
        <v>334</v>
      </c>
      <c r="C726" s="49" t="s">
        <v>1361</v>
      </c>
      <c r="D726" s="49" t="s">
        <v>673</v>
      </c>
      <c r="E726" s="49" t="s">
        <v>674</v>
      </c>
      <c r="F726" s="49" t="s">
        <v>935</v>
      </c>
      <c r="G726" s="49" t="s">
        <v>676</v>
      </c>
      <c r="H726" s="49" t="s">
        <v>935</v>
      </c>
      <c r="I726" s="49" t="s">
        <v>678</v>
      </c>
      <c r="J726" s="49" t="s">
        <v>713</v>
      </c>
      <c r="K726" s="49" t="s">
        <v>690</v>
      </c>
      <c r="L726" s="49" t="s">
        <v>681</v>
      </c>
      <c r="M726" s="49">
        <v>0.3</v>
      </c>
      <c r="N726" s="49" t="s">
        <v>334</v>
      </c>
      <c r="O726" s="49" t="s">
        <v>665</v>
      </c>
      <c r="P726" s="49" t="s">
        <v>711</v>
      </c>
      <c r="Q726" s="49" t="s">
        <v>683</v>
      </c>
      <c r="R726" s="49" t="s">
        <v>366</v>
      </c>
      <c r="S726" s="52" t="s">
        <v>673</v>
      </c>
      <c r="T726" s="49" t="s">
        <v>1821</v>
      </c>
      <c r="U726" s="49" t="s">
        <v>1824</v>
      </c>
      <c r="V726" s="50" t="s">
        <v>1823</v>
      </c>
    </row>
    <row r="727" spans="1:22" x14ac:dyDescent="0.3">
      <c r="A727" s="51" t="s">
        <v>1357</v>
      </c>
      <c r="B727" s="52" t="s">
        <v>1358</v>
      </c>
      <c r="C727" s="52" t="s">
        <v>1359</v>
      </c>
      <c r="D727" s="52" t="s">
        <v>673</v>
      </c>
      <c r="E727" s="52" t="s">
        <v>674</v>
      </c>
      <c r="F727" s="52" t="s">
        <v>716</v>
      </c>
      <c r="G727" s="52" t="s">
        <v>676</v>
      </c>
      <c r="H727" s="52" t="s">
        <v>938</v>
      </c>
      <c r="I727" s="49" t="s">
        <v>678</v>
      </c>
      <c r="J727" s="52" t="s">
        <v>713</v>
      </c>
      <c r="K727" s="52" t="s">
        <v>690</v>
      </c>
      <c r="L727" s="52" t="s">
        <v>681</v>
      </c>
      <c r="M727" s="52">
        <v>0.2</v>
      </c>
      <c r="N727" s="52" t="s">
        <v>334</v>
      </c>
      <c r="O727" s="52" t="s">
        <v>665</v>
      </c>
      <c r="P727" s="52" t="s">
        <v>711</v>
      </c>
      <c r="Q727" s="52" t="s">
        <v>683</v>
      </c>
      <c r="R727" s="52" t="s">
        <v>366</v>
      </c>
      <c r="S727" s="52" t="s">
        <v>673</v>
      </c>
      <c r="T727" s="52" t="s">
        <v>1821</v>
      </c>
      <c r="U727" s="52" t="s">
        <v>1824</v>
      </c>
      <c r="V727" s="50" t="s">
        <v>1823</v>
      </c>
    </row>
    <row r="728" spans="1:22" x14ac:dyDescent="0.3">
      <c r="A728" s="48" t="s">
        <v>1362</v>
      </c>
      <c r="B728" s="49" t="s">
        <v>1363</v>
      </c>
      <c r="C728" s="49" t="s">
        <v>1364</v>
      </c>
      <c r="D728" s="49" t="s">
        <v>673</v>
      </c>
      <c r="E728" s="49" t="s">
        <v>674</v>
      </c>
      <c r="F728" s="49" t="s">
        <v>675</v>
      </c>
      <c r="G728" s="49" t="s">
        <v>724</v>
      </c>
      <c r="H728" s="49" t="s">
        <v>677</v>
      </c>
      <c r="I728" s="49" t="s">
        <v>678</v>
      </c>
      <c r="J728" s="49" t="s">
        <v>713</v>
      </c>
      <c r="K728" s="49" t="s">
        <v>690</v>
      </c>
      <c r="L728" s="49" t="s">
        <v>691</v>
      </c>
      <c r="M728" s="49">
        <v>0.1</v>
      </c>
      <c r="N728" s="49" t="s">
        <v>334</v>
      </c>
      <c r="O728" s="49" t="s">
        <v>665</v>
      </c>
      <c r="P728" s="49" t="s">
        <v>711</v>
      </c>
      <c r="Q728" s="49" t="s">
        <v>683</v>
      </c>
      <c r="R728" s="49" t="s">
        <v>366</v>
      </c>
      <c r="S728" s="52" t="s">
        <v>673</v>
      </c>
      <c r="T728" s="49" t="s">
        <v>1821</v>
      </c>
      <c r="U728" s="49" t="s">
        <v>1824</v>
      </c>
      <c r="V728" s="50" t="s">
        <v>1823</v>
      </c>
    </row>
    <row r="729" spans="1:22" x14ac:dyDescent="0.3">
      <c r="A729" s="51" t="s">
        <v>1365</v>
      </c>
      <c r="B729" s="52" t="s">
        <v>1350</v>
      </c>
      <c r="C729" s="52" t="s">
        <v>1366</v>
      </c>
      <c r="D729" s="52" t="s">
        <v>673</v>
      </c>
      <c r="E729" s="52" t="s">
        <v>674</v>
      </c>
      <c r="F729" s="52" t="s">
        <v>716</v>
      </c>
      <c r="G729" s="52" t="s">
        <v>676</v>
      </c>
      <c r="H729" s="52" t="s">
        <v>938</v>
      </c>
      <c r="I729" s="49" t="s">
        <v>678</v>
      </c>
      <c r="J729" s="52" t="s">
        <v>713</v>
      </c>
      <c r="K729" s="52" t="s">
        <v>690</v>
      </c>
      <c r="L729" s="52" t="s">
        <v>681</v>
      </c>
      <c r="M729" s="52">
        <v>0.2</v>
      </c>
      <c r="N729" s="52" t="s">
        <v>334</v>
      </c>
      <c r="O729" s="52" t="s">
        <v>665</v>
      </c>
      <c r="P729" s="52" t="s">
        <v>711</v>
      </c>
      <c r="Q729" s="52" t="s">
        <v>683</v>
      </c>
      <c r="R729" s="52" t="s">
        <v>366</v>
      </c>
      <c r="S729" s="52" t="s">
        <v>673</v>
      </c>
      <c r="T729" s="52" t="s">
        <v>1821</v>
      </c>
      <c r="U729" s="52" t="s">
        <v>1824</v>
      </c>
      <c r="V729" s="50" t="s">
        <v>1823</v>
      </c>
    </row>
    <row r="730" spans="1:22" x14ac:dyDescent="0.3">
      <c r="A730" s="48" t="s">
        <v>2313</v>
      </c>
      <c r="B730" s="49" t="s">
        <v>1350</v>
      </c>
      <c r="C730" s="49" t="s">
        <v>2314</v>
      </c>
      <c r="D730" s="49" t="s">
        <v>673</v>
      </c>
      <c r="E730" s="49" t="s">
        <v>674</v>
      </c>
      <c r="F730" s="49" t="s">
        <v>716</v>
      </c>
      <c r="G730" s="49" t="s">
        <v>731</v>
      </c>
      <c r="H730" s="49" t="s">
        <v>935</v>
      </c>
      <c r="I730" s="49" t="s">
        <v>678</v>
      </c>
      <c r="J730" s="49" t="s">
        <v>713</v>
      </c>
      <c r="K730" s="49" t="s">
        <v>690</v>
      </c>
      <c r="L730" s="49" t="s">
        <v>681</v>
      </c>
      <c r="M730" s="49">
        <v>0.1</v>
      </c>
      <c r="N730" s="49" t="s">
        <v>334</v>
      </c>
      <c r="O730" s="49" t="s">
        <v>665</v>
      </c>
      <c r="P730" s="49" t="s">
        <v>711</v>
      </c>
      <c r="Q730" s="49" t="s">
        <v>683</v>
      </c>
      <c r="R730" s="49" t="s">
        <v>366</v>
      </c>
      <c r="S730" s="52" t="s">
        <v>673</v>
      </c>
      <c r="T730" s="49" t="s">
        <v>1821</v>
      </c>
      <c r="U730" s="49" t="s">
        <v>1824</v>
      </c>
      <c r="V730" s="50" t="s">
        <v>1823</v>
      </c>
    </row>
    <row r="731" spans="1:22" x14ac:dyDescent="0.3">
      <c r="A731" s="51" t="s">
        <v>1372</v>
      </c>
      <c r="B731" s="52" t="s">
        <v>527</v>
      </c>
      <c r="C731" s="52" t="s">
        <v>1373</v>
      </c>
      <c r="D731" s="52" t="s">
        <v>673</v>
      </c>
      <c r="E731" s="52" t="s">
        <v>674</v>
      </c>
      <c r="F731" s="52" t="s">
        <v>675</v>
      </c>
      <c r="G731" s="52" t="s">
        <v>724</v>
      </c>
      <c r="H731" s="52" t="s">
        <v>677</v>
      </c>
      <c r="I731" s="49" t="s">
        <v>688</v>
      </c>
      <c r="J731" s="52" t="s">
        <v>713</v>
      </c>
      <c r="K731" s="52" t="s">
        <v>690</v>
      </c>
      <c r="L731" s="52" t="s">
        <v>681</v>
      </c>
      <c r="M731" s="52">
        <v>1</v>
      </c>
      <c r="N731" s="52" t="s">
        <v>221</v>
      </c>
      <c r="O731" s="52" t="s">
        <v>665</v>
      </c>
      <c r="P731" s="52" t="s">
        <v>711</v>
      </c>
      <c r="Q731" s="52" t="s">
        <v>683</v>
      </c>
      <c r="R731" s="52" t="s">
        <v>366</v>
      </c>
      <c r="S731" s="52" t="s">
        <v>673</v>
      </c>
      <c r="T731" s="52" t="s">
        <v>1821</v>
      </c>
      <c r="U731" s="52" t="s">
        <v>1824</v>
      </c>
      <c r="V731" s="50" t="s">
        <v>1823</v>
      </c>
    </row>
    <row r="732" spans="1:22" x14ac:dyDescent="0.3">
      <c r="A732" s="48" t="s">
        <v>1374</v>
      </c>
      <c r="B732" s="49" t="s">
        <v>1375</v>
      </c>
      <c r="C732" s="49" t="s">
        <v>1376</v>
      </c>
      <c r="D732" s="49" t="s">
        <v>673</v>
      </c>
      <c r="E732" s="49" t="s">
        <v>674</v>
      </c>
      <c r="F732" s="49" t="s">
        <v>675</v>
      </c>
      <c r="G732" s="49" t="s">
        <v>724</v>
      </c>
      <c r="H732" s="49" t="s">
        <v>702</v>
      </c>
      <c r="I732" s="49" t="s">
        <v>688</v>
      </c>
      <c r="J732" s="49" t="s">
        <v>689</v>
      </c>
      <c r="K732" s="49" t="s">
        <v>690</v>
      </c>
      <c r="L732" s="49" t="s">
        <v>681</v>
      </c>
      <c r="M732" s="49">
        <v>0.8</v>
      </c>
      <c r="N732" s="49" t="s">
        <v>312</v>
      </c>
      <c r="O732" s="49" t="s">
        <v>665</v>
      </c>
      <c r="P732" s="49" t="s">
        <v>711</v>
      </c>
      <c r="Q732" s="49" t="s">
        <v>683</v>
      </c>
      <c r="R732" s="49" t="s">
        <v>366</v>
      </c>
      <c r="S732" s="52" t="s">
        <v>673</v>
      </c>
      <c r="T732" s="49" t="s">
        <v>1821</v>
      </c>
      <c r="U732" s="49" t="s">
        <v>1824</v>
      </c>
      <c r="V732" s="50" t="s">
        <v>1823</v>
      </c>
    </row>
    <row r="733" spans="1:22" x14ac:dyDescent="0.3">
      <c r="A733" s="51" t="s">
        <v>1372</v>
      </c>
      <c r="B733" s="52" t="s">
        <v>527</v>
      </c>
      <c r="C733" s="52" t="s">
        <v>1373</v>
      </c>
      <c r="D733" s="52" t="s">
        <v>673</v>
      </c>
      <c r="E733" s="52" t="s">
        <v>674</v>
      </c>
      <c r="F733" s="52" t="s">
        <v>675</v>
      </c>
      <c r="G733" s="52" t="s">
        <v>724</v>
      </c>
      <c r="H733" s="52" t="s">
        <v>677</v>
      </c>
      <c r="I733" s="49" t="s">
        <v>688</v>
      </c>
      <c r="J733" s="52" t="s">
        <v>713</v>
      </c>
      <c r="K733" s="52" t="s">
        <v>690</v>
      </c>
      <c r="L733" s="52" t="s">
        <v>681</v>
      </c>
      <c r="M733" s="52">
        <v>1</v>
      </c>
      <c r="N733" s="52" t="s">
        <v>527</v>
      </c>
      <c r="O733" s="52" t="s">
        <v>665</v>
      </c>
      <c r="P733" s="52" t="s">
        <v>711</v>
      </c>
      <c r="Q733" s="52" t="s">
        <v>683</v>
      </c>
      <c r="R733" s="52" t="s">
        <v>366</v>
      </c>
      <c r="S733" s="52" t="s">
        <v>673</v>
      </c>
      <c r="T733" s="52" t="s">
        <v>1821</v>
      </c>
      <c r="U733" s="52" t="s">
        <v>1824</v>
      </c>
      <c r="V733" s="50" t="s">
        <v>1823</v>
      </c>
    </row>
    <row r="734" spans="1:22" x14ac:dyDescent="0.3">
      <c r="A734" s="48" t="s">
        <v>1029</v>
      </c>
      <c r="B734" s="49" t="s">
        <v>470</v>
      </c>
      <c r="C734" s="49" t="s">
        <v>1030</v>
      </c>
      <c r="D734" s="49" t="s">
        <v>684</v>
      </c>
      <c r="E734" s="49" t="s">
        <v>674</v>
      </c>
      <c r="F734" s="49" t="s">
        <v>716</v>
      </c>
      <c r="G734" s="49" t="s">
        <v>744</v>
      </c>
      <c r="H734" s="49" t="s">
        <v>702</v>
      </c>
      <c r="I734" s="49" t="s">
        <v>736</v>
      </c>
      <c r="J734" s="49" t="s">
        <v>745</v>
      </c>
      <c r="K734" s="49" t="s">
        <v>738</v>
      </c>
      <c r="L734" s="49" t="s">
        <v>699</v>
      </c>
      <c r="M734" s="49">
        <v>1</v>
      </c>
      <c r="N734" s="49" t="s">
        <v>602</v>
      </c>
      <c r="O734" s="49" t="s">
        <v>665</v>
      </c>
      <c r="P734" s="49" t="s">
        <v>746</v>
      </c>
      <c r="Q734" s="49" t="s">
        <v>683</v>
      </c>
      <c r="R734" s="49" t="s">
        <v>333</v>
      </c>
      <c r="S734" s="49" t="s">
        <v>684</v>
      </c>
      <c r="T734" s="49" t="s">
        <v>1821</v>
      </c>
      <c r="U734" s="49" t="s">
        <v>1824</v>
      </c>
      <c r="V734" s="50" t="s">
        <v>1823</v>
      </c>
    </row>
    <row r="735" spans="1:22" x14ac:dyDescent="0.3">
      <c r="A735" s="51" t="s">
        <v>1404</v>
      </c>
      <c r="B735" s="52" t="s">
        <v>1403</v>
      </c>
      <c r="C735" s="52" t="s">
        <v>1405</v>
      </c>
      <c r="D735" s="52" t="s">
        <v>684</v>
      </c>
      <c r="E735" s="52" t="s">
        <v>674</v>
      </c>
      <c r="F735" s="52" t="s">
        <v>716</v>
      </c>
      <c r="G735" s="52" t="s">
        <v>744</v>
      </c>
      <c r="H735" s="52" t="s">
        <v>702</v>
      </c>
      <c r="I735" s="52" t="s">
        <v>736</v>
      </c>
      <c r="J735" s="52" t="s">
        <v>745</v>
      </c>
      <c r="K735" s="52" t="s">
        <v>738</v>
      </c>
      <c r="L735" s="52" t="s">
        <v>739</v>
      </c>
      <c r="M735" s="52">
        <v>1</v>
      </c>
      <c r="N735" s="52" t="s">
        <v>636</v>
      </c>
      <c r="O735" s="52" t="s">
        <v>665</v>
      </c>
      <c r="P735" s="52" t="s">
        <v>746</v>
      </c>
      <c r="Q735" s="52" t="s">
        <v>683</v>
      </c>
      <c r="R735" s="52" t="s">
        <v>333</v>
      </c>
      <c r="S735" s="49" t="s">
        <v>684</v>
      </c>
      <c r="T735" s="52" t="s">
        <v>1821</v>
      </c>
      <c r="U735" s="52" t="s">
        <v>1824</v>
      </c>
      <c r="V735" s="50" t="s">
        <v>1823</v>
      </c>
    </row>
    <row r="736" spans="1:22" x14ac:dyDescent="0.3">
      <c r="A736" s="48" t="s">
        <v>1547</v>
      </c>
      <c r="B736" s="49" t="s">
        <v>470</v>
      </c>
      <c r="C736" s="49" t="s">
        <v>1548</v>
      </c>
      <c r="D736" s="49" t="s">
        <v>684</v>
      </c>
      <c r="E736" s="49" t="s">
        <v>674</v>
      </c>
      <c r="F736" s="49" t="s">
        <v>716</v>
      </c>
      <c r="G736" s="49" t="s">
        <v>744</v>
      </c>
      <c r="H736" s="49" t="s">
        <v>677</v>
      </c>
      <c r="I736" s="49" t="s">
        <v>678</v>
      </c>
      <c r="J736" s="49" t="s">
        <v>745</v>
      </c>
      <c r="K736" s="49" t="s">
        <v>738</v>
      </c>
      <c r="L736" s="49" t="s">
        <v>739</v>
      </c>
      <c r="M736" s="49">
        <v>1</v>
      </c>
      <c r="N736" s="49" t="s">
        <v>289</v>
      </c>
      <c r="O736" s="49" t="s">
        <v>665</v>
      </c>
      <c r="P736" s="49" t="s">
        <v>746</v>
      </c>
      <c r="Q736" s="49" t="s">
        <v>683</v>
      </c>
      <c r="R736" s="49" t="s">
        <v>333</v>
      </c>
      <c r="S736" s="49" t="s">
        <v>684</v>
      </c>
      <c r="T736" s="49" t="s">
        <v>1821</v>
      </c>
      <c r="U736" s="49" t="s">
        <v>1824</v>
      </c>
      <c r="V736" s="50" t="s">
        <v>1823</v>
      </c>
    </row>
    <row r="737" spans="1:22" x14ac:dyDescent="0.3">
      <c r="A737" s="51" t="s">
        <v>1404</v>
      </c>
      <c r="B737" s="52" t="s">
        <v>1403</v>
      </c>
      <c r="C737" s="52" t="s">
        <v>1405</v>
      </c>
      <c r="D737" s="52" t="s">
        <v>684</v>
      </c>
      <c r="E737" s="52" t="s">
        <v>674</v>
      </c>
      <c r="F737" s="52" t="s">
        <v>716</v>
      </c>
      <c r="G737" s="52" t="s">
        <v>744</v>
      </c>
      <c r="H737" s="52" t="s">
        <v>702</v>
      </c>
      <c r="I737" s="52" t="s">
        <v>736</v>
      </c>
      <c r="J737" s="52" t="s">
        <v>745</v>
      </c>
      <c r="K737" s="52" t="s">
        <v>738</v>
      </c>
      <c r="L737" s="52" t="s">
        <v>739</v>
      </c>
      <c r="M737" s="52">
        <v>1</v>
      </c>
      <c r="N737" s="52" t="s">
        <v>519</v>
      </c>
      <c r="O737" s="52" t="s">
        <v>767</v>
      </c>
      <c r="P737" s="52" t="s">
        <v>746</v>
      </c>
      <c r="Q737" s="52" t="s">
        <v>683</v>
      </c>
      <c r="R737" s="52" t="s">
        <v>333</v>
      </c>
      <c r="S737" s="49" t="s">
        <v>684</v>
      </c>
      <c r="T737" s="52" t="s">
        <v>1821</v>
      </c>
      <c r="U737" s="52" t="s">
        <v>1824</v>
      </c>
      <c r="V737" s="50" t="s">
        <v>1823</v>
      </c>
    </row>
    <row r="738" spans="1:22" x14ac:dyDescent="0.3">
      <c r="A738" s="51" t="s">
        <v>1245</v>
      </c>
      <c r="B738" s="52" t="s">
        <v>470</v>
      </c>
      <c r="C738" s="52" t="s">
        <v>1246</v>
      </c>
      <c r="D738" s="52" t="s">
        <v>684</v>
      </c>
      <c r="E738" s="52" t="s">
        <v>674</v>
      </c>
      <c r="F738" s="52" t="s">
        <v>716</v>
      </c>
      <c r="G738" s="52" t="s">
        <v>744</v>
      </c>
      <c r="H738" s="52" t="s">
        <v>702</v>
      </c>
      <c r="I738" s="49" t="s">
        <v>678</v>
      </c>
      <c r="J738" s="52" t="s">
        <v>745</v>
      </c>
      <c r="K738" s="52" t="s">
        <v>738</v>
      </c>
      <c r="L738" s="52" t="s">
        <v>699</v>
      </c>
      <c r="M738" s="52">
        <v>0.2</v>
      </c>
      <c r="N738" s="52" t="s">
        <v>31</v>
      </c>
      <c r="O738" s="52" t="s">
        <v>665</v>
      </c>
      <c r="P738" s="52" t="s">
        <v>746</v>
      </c>
      <c r="Q738" s="52" t="s">
        <v>683</v>
      </c>
      <c r="R738" s="52" t="s">
        <v>333</v>
      </c>
      <c r="S738" s="49" t="s">
        <v>684</v>
      </c>
      <c r="T738" s="52" t="s">
        <v>1821</v>
      </c>
      <c r="U738" s="52" t="s">
        <v>1824</v>
      </c>
      <c r="V738" s="50" t="s">
        <v>1823</v>
      </c>
    </row>
    <row r="739" spans="1:22" x14ac:dyDescent="0.3">
      <c r="A739" s="48" t="s">
        <v>1394</v>
      </c>
      <c r="B739" s="49" t="s">
        <v>470</v>
      </c>
      <c r="C739" s="49" t="s">
        <v>1395</v>
      </c>
      <c r="D739" s="49" t="s">
        <v>684</v>
      </c>
      <c r="E739" s="49" t="s">
        <v>674</v>
      </c>
      <c r="F739" s="49" t="s">
        <v>716</v>
      </c>
      <c r="G739" s="49" t="s">
        <v>744</v>
      </c>
      <c r="H739" s="49" t="s">
        <v>702</v>
      </c>
      <c r="I739" s="49" t="s">
        <v>736</v>
      </c>
      <c r="J739" s="49" t="s">
        <v>745</v>
      </c>
      <c r="K739" s="49" t="s">
        <v>738</v>
      </c>
      <c r="L739" s="49" t="s">
        <v>739</v>
      </c>
      <c r="M739" s="49">
        <v>0.5</v>
      </c>
      <c r="N739" s="49" t="s">
        <v>371</v>
      </c>
      <c r="O739" s="49" t="s">
        <v>665</v>
      </c>
      <c r="P739" s="49" t="s">
        <v>746</v>
      </c>
      <c r="Q739" s="49" t="s">
        <v>683</v>
      </c>
      <c r="R739" s="49" t="s">
        <v>333</v>
      </c>
      <c r="S739" s="49" t="s">
        <v>684</v>
      </c>
      <c r="T739" s="49" t="s">
        <v>1821</v>
      </c>
      <c r="U739" s="49" t="s">
        <v>1824</v>
      </c>
      <c r="V739" s="50" t="s">
        <v>1823</v>
      </c>
    </row>
    <row r="740" spans="1:22" x14ac:dyDescent="0.3">
      <c r="A740" s="51" t="s">
        <v>1397</v>
      </c>
      <c r="B740" s="52" t="s">
        <v>981</v>
      </c>
      <c r="C740" s="52" t="s">
        <v>1398</v>
      </c>
      <c r="D740" s="52" t="s">
        <v>684</v>
      </c>
      <c r="E740" s="52" t="s">
        <v>674</v>
      </c>
      <c r="F740" s="52" t="s">
        <v>716</v>
      </c>
      <c r="G740" s="52" t="s">
        <v>744</v>
      </c>
      <c r="H740" s="52" t="s">
        <v>702</v>
      </c>
      <c r="I740" s="52" t="s">
        <v>736</v>
      </c>
      <c r="J740" s="52" t="s">
        <v>745</v>
      </c>
      <c r="K740" s="52" t="s">
        <v>738</v>
      </c>
      <c r="L740" s="52" t="s">
        <v>739</v>
      </c>
      <c r="M740" s="52">
        <v>0.3</v>
      </c>
      <c r="N740" s="52" t="s">
        <v>371</v>
      </c>
      <c r="O740" s="52" t="s">
        <v>665</v>
      </c>
      <c r="P740" s="52" t="s">
        <v>746</v>
      </c>
      <c r="Q740" s="52" t="s">
        <v>683</v>
      </c>
      <c r="R740" s="52" t="s">
        <v>333</v>
      </c>
      <c r="S740" s="49" t="s">
        <v>684</v>
      </c>
      <c r="T740" s="52" t="s">
        <v>1821</v>
      </c>
      <c r="U740" s="52" t="s">
        <v>1824</v>
      </c>
      <c r="V740" s="50" t="s">
        <v>1823</v>
      </c>
    </row>
    <row r="741" spans="1:22" x14ac:dyDescent="0.3">
      <c r="A741" s="48" t="s">
        <v>1404</v>
      </c>
      <c r="B741" s="49" t="s">
        <v>1403</v>
      </c>
      <c r="C741" s="49" t="s">
        <v>1405</v>
      </c>
      <c r="D741" s="49" t="s">
        <v>684</v>
      </c>
      <c r="E741" s="49" t="s">
        <v>674</v>
      </c>
      <c r="F741" s="49" t="s">
        <v>716</v>
      </c>
      <c r="G741" s="49" t="s">
        <v>744</v>
      </c>
      <c r="H741" s="49" t="s">
        <v>702</v>
      </c>
      <c r="I741" s="49" t="s">
        <v>736</v>
      </c>
      <c r="J741" s="49" t="s">
        <v>745</v>
      </c>
      <c r="K741" s="49" t="s">
        <v>738</v>
      </c>
      <c r="L741" s="49" t="s">
        <v>739</v>
      </c>
      <c r="M741" s="49">
        <v>1</v>
      </c>
      <c r="N741" s="49" t="s">
        <v>548</v>
      </c>
      <c r="O741" s="49" t="s">
        <v>665</v>
      </c>
      <c r="P741" s="49" t="s">
        <v>746</v>
      </c>
      <c r="Q741" s="49" t="s">
        <v>683</v>
      </c>
      <c r="R741" s="49" t="s">
        <v>333</v>
      </c>
      <c r="S741" s="49" t="s">
        <v>684</v>
      </c>
      <c r="T741" s="49" t="s">
        <v>1821</v>
      </c>
      <c r="U741" s="49" t="s">
        <v>1824</v>
      </c>
      <c r="V741" s="50" t="s">
        <v>1823</v>
      </c>
    </row>
    <row r="742" spans="1:22" x14ac:dyDescent="0.3">
      <c r="A742" s="51" t="s">
        <v>1404</v>
      </c>
      <c r="B742" s="52" t="s">
        <v>1403</v>
      </c>
      <c r="C742" s="52" t="s">
        <v>1405</v>
      </c>
      <c r="D742" s="52" t="s">
        <v>684</v>
      </c>
      <c r="E742" s="52" t="s">
        <v>674</v>
      </c>
      <c r="F742" s="52" t="s">
        <v>716</v>
      </c>
      <c r="G742" s="52" t="s">
        <v>744</v>
      </c>
      <c r="H742" s="52" t="s">
        <v>702</v>
      </c>
      <c r="I742" s="52" t="s">
        <v>736</v>
      </c>
      <c r="J742" s="52" t="s">
        <v>745</v>
      </c>
      <c r="K742" s="52" t="s">
        <v>738</v>
      </c>
      <c r="L742" s="52" t="s">
        <v>739</v>
      </c>
      <c r="M742" s="52">
        <v>1</v>
      </c>
      <c r="N742" s="52" t="s">
        <v>510</v>
      </c>
      <c r="O742" s="52" t="s">
        <v>767</v>
      </c>
      <c r="P742" s="52" t="s">
        <v>746</v>
      </c>
      <c r="Q742" s="52" t="s">
        <v>683</v>
      </c>
      <c r="R742" s="52" t="s">
        <v>333</v>
      </c>
      <c r="S742" s="49" t="s">
        <v>684</v>
      </c>
      <c r="T742" s="52" t="s">
        <v>1821</v>
      </c>
      <c r="U742" s="52" t="s">
        <v>1824</v>
      </c>
      <c r="V742" s="50" t="s">
        <v>1823</v>
      </c>
    </row>
    <row r="743" spans="1:22" x14ac:dyDescent="0.3">
      <c r="A743" s="48" t="s">
        <v>1031</v>
      </c>
      <c r="B743" s="49" t="s">
        <v>470</v>
      </c>
      <c r="C743" s="49" t="s">
        <v>1032</v>
      </c>
      <c r="D743" s="49" t="s">
        <v>684</v>
      </c>
      <c r="E743" s="49" t="s">
        <v>674</v>
      </c>
      <c r="F743" s="49" t="s">
        <v>716</v>
      </c>
      <c r="G743" s="49" t="s">
        <v>744</v>
      </c>
      <c r="H743" s="49" t="s">
        <v>702</v>
      </c>
      <c r="I743" s="49" t="s">
        <v>736</v>
      </c>
      <c r="J743" s="49" t="s">
        <v>745</v>
      </c>
      <c r="K743" s="49" t="s">
        <v>738</v>
      </c>
      <c r="L743" s="49" t="s">
        <v>699</v>
      </c>
      <c r="M743" s="49">
        <v>0.8</v>
      </c>
      <c r="N743" s="49" t="s">
        <v>31</v>
      </c>
      <c r="O743" s="49" t="s">
        <v>665</v>
      </c>
      <c r="P743" s="49" t="s">
        <v>746</v>
      </c>
      <c r="Q743" s="49" t="s">
        <v>683</v>
      </c>
      <c r="R743" s="49" t="s">
        <v>333</v>
      </c>
      <c r="S743" s="49" t="s">
        <v>684</v>
      </c>
      <c r="T743" s="49" t="s">
        <v>1821</v>
      </c>
      <c r="U743" s="49" t="s">
        <v>1824</v>
      </c>
      <c r="V743" s="50" t="s">
        <v>1823</v>
      </c>
    </row>
    <row r="744" spans="1:22" x14ac:dyDescent="0.3">
      <c r="A744" s="51" t="s">
        <v>983</v>
      </c>
      <c r="B744" s="52" t="s">
        <v>981</v>
      </c>
      <c r="C744" s="52" t="s">
        <v>984</v>
      </c>
      <c r="D744" s="52" t="s">
        <v>684</v>
      </c>
      <c r="E744" s="52" t="s">
        <v>674</v>
      </c>
      <c r="F744" s="52" t="s">
        <v>716</v>
      </c>
      <c r="G744" s="52" t="s">
        <v>744</v>
      </c>
      <c r="H744" s="52" t="s">
        <v>702</v>
      </c>
      <c r="I744" s="52" t="s">
        <v>736</v>
      </c>
      <c r="J744" s="52" t="s">
        <v>745</v>
      </c>
      <c r="K744" s="52" t="s">
        <v>738</v>
      </c>
      <c r="L744" s="52" t="s">
        <v>699</v>
      </c>
      <c r="M744" s="52">
        <v>0.2</v>
      </c>
      <c r="N744" s="52" t="s">
        <v>371</v>
      </c>
      <c r="O744" s="52" t="s">
        <v>665</v>
      </c>
      <c r="P744" s="52" t="s">
        <v>746</v>
      </c>
      <c r="Q744" s="52" t="s">
        <v>683</v>
      </c>
      <c r="R744" s="52" t="s">
        <v>333</v>
      </c>
      <c r="S744" s="49" t="s">
        <v>684</v>
      </c>
      <c r="T744" s="52" t="s">
        <v>1821</v>
      </c>
      <c r="U744" s="52" t="s">
        <v>1824</v>
      </c>
      <c r="V744" s="50" t="s">
        <v>1823</v>
      </c>
    </row>
    <row r="745" spans="1:22" x14ac:dyDescent="0.3">
      <c r="A745" s="48" t="s">
        <v>1404</v>
      </c>
      <c r="B745" s="49" t="s">
        <v>1403</v>
      </c>
      <c r="C745" s="49" t="s">
        <v>1405</v>
      </c>
      <c r="D745" s="49" t="s">
        <v>684</v>
      </c>
      <c r="E745" s="49" t="s">
        <v>674</v>
      </c>
      <c r="F745" s="49" t="s">
        <v>716</v>
      </c>
      <c r="G745" s="49" t="s">
        <v>744</v>
      </c>
      <c r="H745" s="49" t="s">
        <v>702</v>
      </c>
      <c r="I745" s="49" t="s">
        <v>736</v>
      </c>
      <c r="J745" s="49" t="s">
        <v>745</v>
      </c>
      <c r="K745" s="49" t="s">
        <v>738</v>
      </c>
      <c r="L745" s="49" t="s">
        <v>739</v>
      </c>
      <c r="M745" s="49">
        <v>1</v>
      </c>
      <c r="N745" s="49" t="s">
        <v>333</v>
      </c>
      <c r="O745" s="49" t="s">
        <v>665</v>
      </c>
      <c r="P745" s="49" t="s">
        <v>746</v>
      </c>
      <c r="Q745" s="49" t="s">
        <v>683</v>
      </c>
      <c r="R745" s="49" t="s">
        <v>470</v>
      </c>
      <c r="S745" s="49" t="s">
        <v>684</v>
      </c>
      <c r="T745" s="49" t="s">
        <v>1821</v>
      </c>
      <c r="U745" s="49" t="s">
        <v>1824</v>
      </c>
      <c r="V745" s="50" t="s">
        <v>1823</v>
      </c>
    </row>
    <row r="746" spans="1:22" x14ac:dyDescent="0.3">
      <c r="A746" s="48" t="s">
        <v>1245</v>
      </c>
      <c r="B746" s="49" t="s">
        <v>470</v>
      </c>
      <c r="C746" s="49" t="s">
        <v>1246</v>
      </c>
      <c r="D746" s="49" t="s">
        <v>684</v>
      </c>
      <c r="E746" s="49" t="s">
        <v>674</v>
      </c>
      <c r="F746" s="49" t="s">
        <v>716</v>
      </c>
      <c r="G746" s="49" t="s">
        <v>744</v>
      </c>
      <c r="H746" s="49" t="s">
        <v>702</v>
      </c>
      <c r="I746" s="49" t="s">
        <v>678</v>
      </c>
      <c r="J746" s="49" t="s">
        <v>745</v>
      </c>
      <c r="K746" s="49" t="s">
        <v>738</v>
      </c>
      <c r="L746" s="49" t="s">
        <v>699</v>
      </c>
      <c r="M746" s="49">
        <v>1</v>
      </c>
      <c r="N746" s="49" t="s">
        <v>404</v>
      </c>
      <c r="O746" s="49" t="s">
        <v>665</v>
      </c>
      <c r="P746" s="49" t="s">
        <v>746</v>
      </c>
      <c r="Q746" s="49" t="s">
        <v>683</v>
      </c>
      <c r="R746" s="49" t="s">
        <v>333</v>
      </c>
      <c r="S746" s="49" t="s">
        <v>684</v>
      </c>
      <c r="T746" s="49" t="s">
        <v>1821</v>
      </c>
      <c r="U746" s="49" t="s">
        <v>1824</v>
      </c>
      <c r="V746" s="50" t="s">
        <v>1823</v>
      </c>
    </row>
    <row r="747" spans="1:22" x14ac:dyDescent="0.3">
      <c r="A747" s="51" t="s">
        <v>1404</v>
      </c>
      <c r="B747" s="52" t="s">
        <v>1403</v>
      </c>
      <c r="C747" s="52" t="s">
        <v>1405</v>
      </c>
      <c r="D747" s="52" t="s">
        <v>684</v>
      </c>
      <c r="E747" s="52" t="s">
        <v>674</v>
      </c>
      <c r="F747" s="52" t="s">
        <v>716</v>
      </c>
      <c r="G747" s="52" t="s">
        <v>744</v>
      </c>
      <c r="H747" s="52" t="s">
        <v>702</v>
      </c>
      <c r="I747" s="52" t="s">
        <v>736</v>
      </c>
      <c r="J747" s="52" t="s">
        <v>745</v>
      </c>
      <c r="K747" s="52" t="s">
        <v>738</v>
      </c>
      <c r="L747" s="52" t="s">
        <v>739</v>
      </c>
      <c r="M747" s="52">
        <v>1</v>
      </c>
      <c r="N747" s="52" t="s">
        <v>167</v>
      </c>
      <c r="O747" s="52" t="s">
        <v>767</v>
      </c>
      <c r="P747" s="52" t="s">
        <v>746</v>
      </c>
      <c r="Q747" s="52" t="s">
        <v>683</v>
      </c>
      <c r="R747" s="52" t="s">
        <v>333</v>
      </c>
      <c r="S747" s="49" t="s">
        <v>684</v>
      </c>
      <c r="T747" s="52" t="s">
        <v>1821</v>
      </c>
      <c r="U747" s="52" t="s">
        <v>1824</v>
      </c>
      <c r="V747" s="50" t="s">
        <v>1823</v>
      </c>
    </row>
    <row r="748" spans="1:22" x14ac:dyDescent="0.3">
      <c r="A748" s="48" t="s">
        <v>1547</v>
      </c>
      <c r="B748" s="49" t="s">
        <v>470</v>
      </c>
      <c r="C748" s="49" t="s">
        <v>1548</v>
      </c>
      <c r="D748" s="49" t="s">
        <v>684</v>
      </c>
      <c r="E748" s="49" t="s">
        <v>674</v>
      </c>
      <c r="F748" s="49" t="s">
        <v>716</v>
      </c>
      <c r="G748" s="49" t="s">
        <v>744</v>
      </c>
      <c r="H748" s="49" t="s">
        <v>677</v>
      </c>
      <c r="I748" s="49" t="s">
        <v>678</v>
      </c>
      <c r="J748" s="49" t="s">
        <v>745</v>
      </c>
      <c r="K748" s="49" t="s">
        <v>738</v>
      </c>
      <c r="L748" s="49" t="s">
        <v>739</v>
      </c>
      <c r="M748" s="49">
        <v>1</v>
      </c>
      <c r="N748" s="49" t="s">
        <v>160</v>
      </c>
      <c r="O748" s="49" t="s">
        <v>767</v>
      </c>
      <c r="P748" s="52" t="s">
        <v>746</v>
      </c>
      <c r="Q748" s="49" t="s">
        <v>683</v>
      </c>
      <c r="R748" s="49" t="s">
        <v>333</v>
      </c>
      <c r="S748" s="49" t="s">
        <v>684</v>
      </c>
      <c r="T748" s="49" t="s">
        <v>1821</v>
      </c>
      <c r="U748" s="49" t="s">
        <v>1824</v>
      </c>
      <c r="V748" s="50" t="s">
        <v>1823</v>
      </c>
    </row>
    <row r="749" spans="1:22" x14ac:dyDescent="0.3">
      <c r="A749" s="51" t="s">
        <v>1547</v>
      </c>
      <c r="B749" s="52" t="s">
        <v>470</v>
      </c>
      <c r="C749" s="52" t="s">
        <v>1548</v>
      </c>
      <c r="D749" s="52" t="s">
        <v>684</v>
      </c>
      <c r="E749" s="52" t="s">
        <v>674</v>
      </c>
      <c r="F749" s="52" t="s">
        <v>716</v>
      </c>
      <c r="G749" s="52" t="s">
        <v>744</v>
      </c>
      <c r="H749" s="52" t="s">
        <v>677</v>
      </c>
      <c r="I749" s="49" t="s">
        <v>678</v>
      </c>
      <c r="J749" s="52" t="s">
        <v>745</v>
      </c>
      <c r="K749" s="52" t="s">
        <v>738</v>
      </c>
      <c r="L749" s="52" t="s">
        <v>739</v>
      </c>
      <c r="M749" s="52">
        <v>1</v>
      </c>
      <c r="N749" s="52" t="s">
        <v>321</v>
      </c>
      <c r="O749" s="52" t="s">
        <v>767</v>
      </c>
      <c r="P749" s="52" t="s">
        <v>746</v>
      </c>
      <c r="Q749" s="52" t="s">
        <v>683</v>
      </c>
      <c r="R749" s="52" t="s">
        <v>333</v>
      </c>
      <c r="S749" s="49" t="s">
        <v>684</v>
      </c>
      <c r="T749" s="52" t="s">
        <v>1821</v>
      </c>
      <c r="U749" s="52" t="s">
        <v>1824</v>
      </c>
      <c r="V749" s="50" t="s">
        <v>1823</v>
      </c>
    </row>
    <row r="750" spans="1:22" x14ac:dyDescent="0.3">
      <c r="A750" s="48" t="s">
        <v>1432</v>
      </c>
      <c r="B750" s="49" t="s">
        <v>749</v>
      </c>
      <c r="C750" s="49" t="s">
        <v>1433</v>
      </c>
      <c r="D750" s="49" t="s">
        <v>673</v>
      </c>
      <c r="E750" s="49" t="s">
        <v>674</v>
      </c>
      <c r="F750" s="49" t="s">
        <v>716</v>
      </c>
      <c r="G750" s="49" t="s">
        <v>744</v>
      </c>
      <c r="H750" s="49" t="s">
        <v>677</v>
      </c>
      <c r="I750" s="49" t="s">
        <v>688</v>
      </c>
      <c r="J750" s="49" t="s">
        <v>751</v>
      </c>
      <c r="K750" s="49" t="s">
        <v>690</v>
      </c>
      <c r="L750" s="49" t="s">
        <v>681</v>
      </c>
      <c r="M750" s="49">
        <v>1</v>
      </c>
      <c r="N750" s="49" t="s">
        <v>179</v>
      </c>
      <c r="O750" s="49" t="s">
        <v>767</v>
      </c>
      <c r="P750" s="52" t="s">
        <v>746</v>
      </c>
      <c r="Q750" s="49" t="s">
        <v>683</v>
      </c>
      <c r="R750" s="49" t="s">
        <v>550</v>
      </c>
      <c r="S750" s="52" t="s">
        <v>673</v>
      </c>
      <c r="T750" s="49" t="s">
        <v>1821</v>
      </c>
      <c r="U750" s="49" t="s">
        <v>1824</v>
      </c>
      <c r="V750" s="50" t="s">
        <v>1823</v>
      </c>
    </row>
    <row r="751" spans="1:22" x14ac:dyDescent="0.3">
      <c r="A751" s="51" t="s">
        <v>1432</v>
      </c>
      <c r="B751" s="52" t="s">
        <v>749</v>
      </c>
      <c r="C751" s="52" t="s">
        <v>1433</v>
      </c>
      <c r="D751" s="52" t="s">
        <v>673</v>
      </c>
      <c r="E751" s="52" t="s">
        <v>674</v>
      </c>
      <c r="F751" s="52" t="s">
        <v>716</v>
      </c>
      <c r="G751" s="52" t="s">
        <v>744</v>
      </c>
      <c r="H751" s="52" t="s">
        <v>677</v>
      </c>
      <c r="I751" s="49" t="s">
        <v>688</v>
      </c>
      <c r="J751" s="52" t="s">
        <v>751</v>
      </c>
      <c r="K751" s="52" t="s">
        <v>690</v>
      </c>
      <c r="L751" s="52" t="s">
        <v>681</v>
      </c>
      <c r="M751" s="52">
        <v>1</v>
      </c>
      <c r="N751" s="52" t="s">
        <v>598</v>
      </c>
      <c r="O751" s="52" t="s">
        <v>767</v>
      </c>
      <c r="P751" s="52" t="s">
        <v>746</v>
      </c>
      <c r="Q751" s="52" t="s">
        <v>683</v>
      </c>
      <c r="R751" s="52" t="s">
        <v>550</v>
      </c>
      <c r="S751" s="52" t="s">
        <v>673</v>
      </c>
      <c r="T751" s="52" t="s">
        <v>1821</v>
      </c>
      <c r="U751" s="52" t="s">
        <v>1824</v>
      </c>
      <c r="V751" s="50" t="s">
        <v>1823</v>
      </c>
    </row>
    <row r="752" spans="1:22" x14ac:dyDescent="0.3">
      <c r="A752" s="48" t="s">
        <v>1011</v>
      </c>
      <c r="B752" s="49" t="s">
        <v>998</v>
      </c>
      <c r="C752" s="49" t="s">
        <v>1012</v>
      </c>
      <c r="D752" s="49" t="s">
        <v>673</v>
      </c>
      <c r="E752" s="49" t="s">
        <v>674</v>
      </c>
      <c r="F752" s="49" t="s">
        <v>716</v>
      </c>
      <c r="G752" s="49" t="s">
        <v>744</v>
      </c>
      <c r="H752" s="49" t="s">
        <v>677</v>
      </c>
      <c r="I752" s="49" t="s">
        <v>688</v>
      </c>
      <c r="J752" s="49" t="s">
        <v>751</v>
      </c>
      <c r="K752" s="49" t="s">
        <v>690</v>
      </c>
      <c r="L752" s="49" t="s">
        <v>681</v>
      </c>
      <c r="M752" s="49">
        <v>1</v>
      </c>
      <c r="N752" s="49" t="s">
        <v>323</v>
      </c>
      <c r="O752" s="49" t="s">
        <v>767</v>
      </c>
      <c r="P752" s="52" t="s">
        <v>746</v>
      </c>
      <c r="Q752" s="49" t="s">
        <v>683</v>
      </c>
      <c r="R752" s="49" t="s">
        <v>550</v>
      </c>
      <c r="S752" s="52" t="s">
        <v>673</v>
      </c>
      <c r="T752" s="49" t="s">
        <v>1821</v>
      </c>
      <c r="U752" s="49" t="s">
        <v>1824</v>
      </c>
      <c r="V752" s="50" t="s">
        <v>1823</v>
      </c>
    </row>
    <row r="753" spans="1:22" x14ac:dyDescent="0.3">
      <c r="A753" s="51" t="s">
        <v>1440</v>
      </c>
      <c r="B753" s="52" t="s">
        <v>749</v>
      </c>
      <c r="C753" s="52" t="s">
        <v>1441</v>
      </c>
      <c r="D753" s="52" t="s">
        <v>673</v>
      </c>
      <c r="E753" s="52" t="s">
        <v>674</v>
      </c>
      <c r="F753" s="52" t="s">
        <v>716</v>
      </c>
      <c r="G753" s="52" t="s">
        <v>744</v>
      </c>
      <c r="H753" s="52" t="s">
        <v>677</v>
      </c>
      <c r="I753" s="49" t="s">
        <v>678</v>
      </c>
      <c r="J753" s="52" t="s">
        <v>751</v>
      </c>
      <c r="K753" s="52" t="s">
        <v>690</v>
      </c>
      <c r="L753" s="52" t="s">
        <v>681</v>
      </c>
      <c r="M753" s="52">
        <v>1</v>
      </c>
      <c r="N753" s="52" t="s">
        <v>577</v>
      </c>
      <c r="O753" s="52" t="s">
        <v>767</v>
      </c>
      <c r="P753" s="52" t="s">
        <v>746</v>
      </c>
      <c r="Q753" s="52" t="s">
        <v>683</v>
      </c>
      <c r="R753" s="52" t="s">
        <v>550</v>
      </c>
      <c r="S753" s="52" t="s">
        <v>673</v>
      </c>
      <c r="T753" s="52" t="s">
        <v>1821</v>
      </c>
      <c r="U753" s="52" t="s">
        <v>1824</v>
      </c>
      <c r="V753" s="50" t="s">
        <v>1823</v>
      </c>
    </row>
    <row r="754" spans="1:22" x14ac:dyDescent="0.3">
      <c r="A754" s="48" t="s">
        <v>1430</v>
      </c>
      <c r="B754" s="49" t="s">
        <v>749</v>
      </c>
      <c r="C754" s="49" t="s">
        <v>1431</v>
      </c>
      <c r="D754" s="49" t="s">
        <v>673</v>
      </c>
      <c r="E754" s="49" t="s">
        <v>674</v>
      </c>
      <c r="F754" s="49" t="s">
        <v>716</v>
      </c>
      <c r="G754" s="49" t="s">
        <v>744</v>
      </c>
      <c r="H754" s="49" t="s">
        <v>677</v>
      </c>
      <c r="I754" s="49" t="s">
        <v>678</v>
      </c>
      <c r="J754" s="49" t="s">
        <v>751</v>
      </c>
      <c r="K754" s="49" t="s">
        <v>690</v>
      </c>
      <c r="L754" s="49" t="s">
        <v>681</v>
      </c>
      <c r="M754" s="49">
        <v>1</v>
      </c>
      <c r="N754" s="49" t="s">
        <v>255</v>
      </c>
      <c r="O754" s="49" t="s">
        <v>767</v>
      </c>
      <c r="P754" s="52" t="s">
        <v>746</v>
      </c>
      <c r="Q754" s="49" t="s">
        <v>683</v>
      </c>
      <c r="R754" s="49" t="s">
        <v>550</v>
      </c>
      <c r="S754" s="52" t="s">
        <v>673</v>
      </c>
      <c r="T754" s="49" t="s">
        <v>1821</v>
      </c>
      <c r="U754" s="49" t="s">
        <v>1824</v>
      </c>
      <c r="V754" s="50" t="s">
        <v>1823</v>
      </c>
    </row>
    <row r="755" spans="1:22" x14ac:dyDescent="0.3">
      <c r="A755" s="51" t="s">
        <v>1434</v>
      </c>
      <c r="B755" s="52" t="s">
        <v>749</v>
      </c>
      <c r="C755" s="52" t="s">
        <v>1435</v>
      </c>
      <c r="D755" s="52" t="s">
        <v>673</v>
      </c>
      <c r="E755" s="52" t="s">
        <v>674</v>
      </c>
      <c r="F755" s="52" t="s">
        <v>716</v>
      </c>
      <c r="G755" s="52" t="s">
        <v>744</v>
      </c>
      <c r="H755" s="52" t="s">
        <v>677</v>
      </c>
      <c r="I755" s="49" t="s">
        <v>688</v>
      </c>
      <c r="J755" s="52" t="s">
        <v>751</v>
      </c>
      <c r="K755" s="52" t="s">
        <v>690</v>
      </c>
      <c r="L755" s="52" t="s">
        <v>681</v>
      </c>
      <c r="M755" s="52">
        <v>1</v>
      </c>
      <c r="N755" s="52" t="s">
        <v>210</v>
      </c>
      <c r="O755" s="52" t="s">
        <v>665</v>
      </c>
      <c r="P755" s="52" t="s">
        <v>746</v>
      </c>
      <c r="Q755" s="52" t="s">
        <v>683</v>
      </c>
      <c r="R755" s="52" t="s">
        <v>550</v>
      </c>
      <c r="S755" s="52" t="s">
        <v>673</v>
      </c>
      <c r="T755" s="52" t="s">
        <v>1821</v>
      </c>
      <c r="U755" s="52" t="s">
        <v>1824</v>
      </c>
      <c r="V755" s="50" t="s">
        <v>1823</v>
      </c>
    </row>
    <row r="756" spans="1:22" x14ac:dyDescent="0.3">
      <c r="A756" s="48" t="s">
        <v>1011</v>
      </c>
      <c r="B756" s="49" t="s">
        <v>998</v>
      </c>
      <c r="C756" s="49" t="s">
        <v>1012</v>
      </c>
      <c r="D756" s="49" t="s">
        <v>673</v>
      </c>
      <c r="E756" s="49" t="s">
        <v>674</v>
      </c>
      <c r="F756" s="49" t="s">
        <v>716</v>
      </c>
      <c r="G756" s="49" t="s">
        <v>744</v>
      </c>
      <c r="H756" s="49" t="s">
        <v>677</v>
      </c>
      <c r="I756" s="49" t="s">
        <v>688</v>
      </c>
      <c r="J756" s="49" t="s">
        <v>751</v>
      </c>
      <c r="K756" s="49" t="s">
        <v>690</v>
      </c>
      <c r="L756" s="49" t="s">
        <v>681</v>
      </c>
      <c r="M756" s="49">
        <v>0.7</v>
      </c>
      <c r="N756" s="49" t="s">
        <v>491</v>
      </c>
      <c r="O756" s="49" t="s">
        <v>665</v>
      </c>
      <c r="P756" s="49" t="s">
        <v>746</v>
      </c>
      <c r="Q756" s="49" t="s">
        <v>683</v>
      </c>
      <c r="R756" s="49" t="s">
        <v>550</v>
      </c>
      <c r="S756" s="52" t="s">
        <v>673</v>
      </c>
      <c r="T756" s="49" t="s">
        <v>1821</v>
      </c>
      <c r="U756" s="49" t="s">
        <v>1824</v>
      </c>
      <c r="V756" s="50" t="s">
        <v>1823</v>
      </c>
    </row>
    <row r="757" spans="1:22" x14ac:dyDescent="0.3">
      <c r="A757" s="51" t="s">
        <v>1011</v>
      </c>
      <c r="B757" s="52" t="s">
        <v>998</v>
      </c>
      <c r="C757" s="52" t="s">
        <v>1012</v>
      </c>
      <c r="D757" s="52" t="s">
        <v>673</v>
      </c>
      <c r="E757" s="52" t="s">
        <v>674</v>
      </c>
      <c r="F757" s="52" t="s">
        <v>716</v>
      </c>
      <c r="G757" s="52" t="s">
        <v>744</v>
      </c>
      <c r="H757" s="52" t="s">
        <v>677</v>
      </c>
      <c r="I757" s="49" t="s">
        <v>688</v>
      </c>
      <c r="J757" s="52" t="s">
        <v>751</v>
      </c>
      <c r="K757" s="52" t="s">
        <v>690</v>
      </c>
      <c r="L757" s="52" t="s">
        <v>681</v>
      </c>
      <c r="M757" s="52">
        <v>1</v>
      </c>
      <c r="N757" s="52" t="s">
        <v>1013</v>
      </c>
      <c r="O757" s="52" t="s">
        <v>665</v>
      </c>
      <c r="P757" s="52" t="s">
        <v>746</v>
      </c>
      <c r="Q757" s="52" t="s">
        <v>683</v>
      </c>
      <c r="R757" s="52" t="s">
        <v>550</v>
      </c>
      <c r="S757" s="52" t="s">
        <v>673</v>
      </c>
      <c r="T757" s="52" t="s">
        <v>1821</v>
      </c>
      <c r="U757" s="52" t="s">
        <v>1824</v>
      </c>
      <c r="V757" s="50" t="s">
        <v>1823</v>
      </c>
    </row>
    <row r="758" spans="1:22" x14ac:dyDescent="0.3">
      <c r="A758" s="48" t="s">
        <v>814</v>
      </c>
      <c r="B758" s="49" t="s">
        <v>749</v>
      </c>
      <c r="C758" s="49" t="s">
        <v>815</v>
      </c>
      <c r="D758" s="49" t="s">
        <v>673</v>
      </c>
      <c r="E758" s="49" t="s">
        <v>674</v>
      </c>
      <c r="F758" s="49" t="s">
        <v>716</v>
      </c>
      <c r="G758" s="49" t="s">
        <v>744</v>
      </c>
      <c r="H758" s="49" t="s">
        <v>677</v>
      </c>
      <c r="I758" s="49" t="s">
        <v>678</v>
      </c>
      <c r="J758" s="49" t="s">
        <v>751</v>
      </c>
      <c r="K758" s="49" t="s">
        <v>690</v>
      </c>
      <c r="L758" s="49" t="s">
        <v>681</v>
      </c>
      <c r="M758" s="49">
        <v>0.3</v>
      </c>
      <c r="N758" s="49" t="s">
        <v>491</v>
      </c>
      <c r="O758" s="49" t="s">
        <v>665</v>
      </c>
      <c r="P758" s="49" t="s">
        <v>746</v>
      </c>
      <c r="Q758" s="49" t="s">
        <v>683</v>
      </c>
      <c r="R758" s="49" t="s">
        <v>550</v>
      </c>
      <c r="S758" s="52" t="s">
        <v>673</v>
      </c>
      <c r="T758" s="49" t="s">
        <v>1821</v>
      </c>
      <c r="U758" s="49" t="s">
        <v>1824</v>
      </c>
      <c r="V758" s="50" t="s">
        <v>1823</v>
      </c>
    </row>
    <row r="759" spans="1:22" x14ac:dyDescent="0.3">
      <c r="A759" s="51" t="s">
        <v>814</v>
      </c>
      <c r="B759" s="52" t="s">
        <v>749</v>
      </c>
      <c r="C759" s="52" t="s">
        <v>815</v>
      </c>
      <c r="D759" s="52" t="s">
        <v>673</v>
      </c>
      <c r="E759" s="52" t="s">
        <v>674</v>
      </c>
      <c r="F759" s="52" t="s">
        <v>716</v>
      </c>
      <c r="G759" s="52" t="s">
        <v>744</v>
      </c>
      <c r="H759" s="52" t="s">
        <v>677</v>
      </c>
      <c r="I759" s="49" t="s">
        <v>678</v>
      </c>
      <c r="J759" s="52" t="s">
        <v>751</v>
      </c>
      <c r="K759" s="52" t="s">
        <v>690</v>
      </c>
      <c r="L759" s="52" t="s">
        <v>681</v>
      </c>
      <c r="M759" s="52">
        <v>0.2</v>
      </c>
      <c r="N759" s="52" t="s">
        <v>138</v>
      </c>
      <c r="O759" s="52" t="s">
        <v>665</v>
      </c>
      <c r="P759" s="52" t="s">
        <v>746</v>
      </c>
      <c r="Q759" s="52" t="s">
        <v>683</v>
      </c>
      <c r="R759" s="52" t="s">
        <v>550</v>
      </c>
      <c r="S759" s="52" t="s">
        <v>673</v>
      </c>
      <c r="T759" s="52" t="s">
        <v>1821</v>
      </c>
      <c r="U759" s="52" t="s">
        <v>1824</v>
      </c>
      <c r="V759" s="50" t="s">
        <v>1823</v>
      </c>
    </row>
    <row r="760" spans="1:22" x14ac:dyDescent="0.3">
      <c r="A760" s="48" t="s">
        <v>1430</v>
      </c>
      <c r="B760" s="49" t="s">
        <v>749</v>
      </c>
      <c r="C760" s="49" t="s">
        <v>1431</v>
      </c>
      <c r="D760" s="49" t="s">
        <v>673</v>
      </c>
      <c r="E760" s="49" t="s">
        <v>674</v>
      </c>
      <c r="F760" s="49" t="s">
        <v>716</v>
      </c>
      <c r="G760" s="49" t="s">
        <v>744</v>
      </c>
      <c r="H760" s="49" t="s">
        <v>677</v>
      </c>
      <c r="I760" s="49" t="s">
        <v>678</v>
      </c>
      <c r="J760" s="49" t="s">
        <v>751</v>
      </c>
      <c r="K760" s="49" t="s">
        <v>690</v>
      </c>
      <c r="L760" s="49" t="s">
        <v>681</v>
      </c>
      <c r="M760" s="49">
        <v>0.8</v>
      </c>
      <c r="N760" s="49" t="s">
        <v>138</v>
      </c>
      <c r="O760" s="49" t="s">
        <v>665</v>
      </c>
      <c r="P760" s="49" t="s">
        <v>746</v>
      </c>
      <c r="Q760" s="49" t="s">
        <v>683</v>
      </c>
      <c r="R760" s="49" t="s">
        <v>550</v>
      </c>
      <c r="S760" s="52" t="s">
        <v>673</v>
      </c>
      <c r="T760" s="49" t="s">
        <v>1821</v>
      </c>
      <c r="U760" s="49" t="s">
        <v>1824</v>
      </c>
      <c r="V760" s="50" t="s">
        <v>1823</v>
      </c>
    </row>
    <row r="761" spans="1:22" x14ac:dyDescent="0.3">
      <c r="A761" s="51" t="s">
        <v>1000</v>
      </c>
      <c r="B761" s="52" t="s">
        <v>998</v>
      </c>
      <c r="C761" s="52" t="s">
        <v>1001</v>
      </c>
      <c r="D761" s="52" t="s">
        <v>673</v>
      </c>
      <c r="E761" s="52" t="s">
        <v>674</v>
      </c>
      <c r="F761" s="52" t="s">
        <v>716</v>
      </c>
      <c r="G761" s="52" t="s">
        <v>744</v>
      </c>
      <c r="H761" s="52" t="s">
        <v>677</v>
      </c>
      <c r="I761" s="49" t="s">
        <v>688</v>
      </c>
      <c r="J761" s="52" t="s">
        <v>751</v>
      </c>
      <c r="K761" s="52" t="s">
        <v>690</v>
      </c>
      <c r="L761" s="52" t="s">
        <v>681</v>
      </c>
      <c r="M761" s="52">
        <v>0.8</v>
      </c>
      <c r="N761" s="52" t="s">
        <v>558</v>
      </c>
      <c r="O761" s="52" t="s">
        <v>665</v>
      </c>
      <c r="P761" s="52" t="s">
        <v>746</v>
      </c>
      <c r="Q761" s="52" t="s">
        <v>683</v>
      </c>
      <c r="R761" s="52" t="s">
        <v>550</v>
      </c>
      <c r="S761" s="52" t="s">
        <v>673</v>
      </c>
      <c r="T761" s="52" t="s">
        <v>1821</v>
      </c>
      <c r="U761" s="52" t="s">
        <v>1824</v>
      </c>
      <c r="V761" s="50" t="s">
        <v>1823</v>
      </c>
    </row>
    <row r="762" spans="1:22" x14ac:dyDescent="0.3">
      <c r="A762" s="48" t="s">
        <v>748</v>
      </c>
      <c r="B762" s="49" t="s">
        <v>749</v>
      </c>
      <c r="C762" s="49" t="s">
        <v>750</v>
      </c>
      <c r="D762" s="49" t="s">
        <v>673</v>
      </c>
      <c r="E762" s="49" t="s">
        <v>674</v>
      </c>
      <c r="F762" s="49" t="s">
        <v>716</v>
      </c>
      <c r="G762" s="49" t="s">
        <v>744</v>
      </c>
      <c r="H762" s="49" t="s">
        <v>677</v>
      </c>
      <c r="I762" s="49" t="s">
        <v>688</v>
      </c>
      <c r="J762" s="49" t="s">
        <v>751</v>
      </c>
      <c r="K762" s="49" t="s">
        <v>690</v>
      </c>
      <c r="L762" s="49" t="s">
        <v>681</v>
      </c>
      <c r="M762" s="49">
        <v>0.5</v>
      </c>
      <c r="N762" s="49" t="s">
        <v>478</v>
      </c>
      <c r="O762" s="49" t="s">
        <v>665</v>
      </c>
      <c r="P762" s="49" t="s">
        <v>746</v>
      </c>
      <c r="Q762" s="49" t="s">
        <v>683</v>
      </c>
      <c r="R762" s="49" t="s">
        <v>550</v>
      </c>
      <c r="S762" s="52" t="s">
        <v>673</v>
      </c>
      <c r="T762" s="49" t="s">
        <v>1821</v>
      </c>
      <c r="U762" s="49" t="s">
        <v>1824</v>
      </c>
      <c r="V762" s="50" t="s">
        <v>1823</v>
      </c>
    </row>
    <row r="763" spans="1:22" x14ac:dyDescent="0.3">
      <c r="A763" s="51" t="s">
        <v>1000</v>
      </c>
      <c r="B763" s="52" t="s">
        <v>998</v>
      </c>
      <c r="C763" s="52" t="s">
        <v>1001</v>
      </c>
      <c r="D763" s="52" t="s">
        <v>673</v>
      </c>
      <c r="E763" s="52" t="s">
        <v>674</v>
      </c>
      <c r="F763" s="52" t="s">
        <v>716</v>
      </c>
      <c r="G763" s="52" t="s">
        <v>744</v>
      </c>
      <c r="H763" s="52" t="s">
        <v>677</v>
      </c>
      <c r="I763" s="49" t="s">
        <v>688</v>
      </c>
      <c r="J763" s="52" t="s">
        <v>751</v>
      </c>
      <c r="K763" s="52" t="s">
        <v>690</v>
      </c>
      <c r="L763" s="52" t="s">
        <v>681</v>
      </c>
      <c r="M763" s="52">
        <v>0.4</v>
      </c>
      <c r="N763" s="52" t="s">
        <v>478</v>
      </c>
      <c r="O763" s="52" t="s">
        <v>665</v>
      </c>
      <c r="P763" s="52" t="s">
        <v>746</v>
      </c>
      <c r="Q763" s="52" t="s">
        <v>683</v>
      </c>
      <c r="R763" s="52" t="s">
        <v>550</v>
      </c>
      <c r="S763" s="52" t="s">
        <v>673</v>
      </c>
      <c r="T763" s="52" t="s">
        <v>1821</v>
      </c>
      <c r="U763" s="52" t="s">
        <v>1824</v>
      </c>
      <c r="V763" s="50" t="s">
        <v>1823</v>
      </c>
    </row>
    <row r="764" spans="1:22" x14ac:dyDescent="0.3">
      <c r="A764" s="48" t="s">
        <v>1438</v>
      </c>
      <c r="B764" s="49" t="s">
        <v>749</v>
      </c>
      <c r="C764" s="49" t="s">
        <v>1439</v>
      </c>
      <c r="D764" s="49" t="s">
        <v>673</v>
      </c>
      <c r="E764" s="49" t="s">
        <v>674</v>
      </c>
      <c r="F764" s="49" t="s">
        <v>716</v>
      </c>
      <c r="G764" s="49" t="s">
        <v>744</v>
      </c>
      <c r="H764" s="49" t="s">
        <v>677</v>
      </c>
      <c r="I764" s="49" t="s">
        <v>688</v>
      </c>
      <c r="J764" s="49" t="s">
        <v>751</v>
      </c>
      <c r="K764" s="49" t="s">
        <v>690</v>
      </c>
      <c r="L764" s="49" t="s">
        <v>681</v>
      </c>
      <c r="M764" s="49">
        <v>0.1</v>
      </c>
      <c r="N764" s="49" t="s">
        <v>478</v>
      </c>
      <c r="O764" s="49" t="s">
        <v>665</v>
      </c>
      <c r="P764" s="49" t="s">
        <v>746</v>
      </c>
      <c r="Q764" s="49" t="s">
        <v>683</v>
      </c>
      <c r="R764" s="49" t="s">
        <v>550</v>
      </c>
      <c r="S764" s="52" t="s">
        <v>673</v>
      </c>
      <c r="T764" s="49" t="s">
        <v>1821</v>
      </c>
      <c r="U764" s="49" t="s">
        <v>1824</v>
      </c>
      <c r="V764" s="50" t="s">
        <v>1823</v>
      </c>
    </row>
    <row r="765" spans="1:22" x14ac:dyDescent="0.3">
      <c r="A765" s="51" t="s">
        <v>867</v>
      </c>
      <c r="B765" s="52" t="s">
        <v>749</v>
      </c>
      <c r="C765" s="52" t="s">
        <v>868</v>
      </c>
      <c r="D765" s="52" t="s">
        <v>673</v>
      </c>
      <c r="E765" s="52" t="s">
        <v>674</v>
      </c>
      <c r="F765" s="52" t="s">
        <v>716</v>
      </c>
      <c r="G765" s="52" t="s">
        <v>744</v>
      </c>
      <c r="H765" s="52" t="s">
        <v>677</v>
      </c>
      <c r="I765" s="49" t="s">
        <v>688</v>
      </c>
      <c r="J765" s="52" t="s">
        <v>751</v>
      </c>
      <c r="K765" s="52" t="s">
        <v>690</v>
      </c>
      <c r="L765" s="52" t="s">
        <v>681</v>
      </c>
      <c r="M765" s="52">
        <v>0.5</v>
      </c>
      <c r="N765" s="52" t="s">
        <v>104</v>
      </c>
      <c r="O765" s="52" t="s">
        <v>665</v>
      </c>
      <c r="P765" s="52" t="s">
        <v>746</v>
      </c>
      <c r="Q765" s="52" t="s">
        <v>683</v>
      </c>
      <c r="R765" s="52" t="s">
        <v>550</v>
      </c>
      <c r="S765" s="52" t="s">
        <v>673</v>
      </c>
      <c r="T765" s="52" t="s">
        <v>1821</v>
      </c>
      <c r="U765" s="52" t="s">
        <v>1824</v>
      </c>
      <c r="V765" s="50" t="s">
        <v>1823</v>
      </c>
    </row>
    <row r="766" spans="1:22" x14ac:dyDescent="0.3">
      <c r="A766" s="48" t="s">
        <v>869</v>
      </c>
      <c r="B766" s="49" t="s">
        <v>749</v>
      </c>
      <c r="C766" s="49" t="s">
        <v>870</v>
      </c>
      <c r="D766" s="49" t="s">
        <v>673</v>
      </c>
      <c r="E766" s="49" t="s">
        <v>674</v>
      </c>
      <c r="F766" s="49" t="s">
        <v>716</v>
      </c>
      <c r="G766" s="49" t="s">
        <v>744</v>
      </c>
      <c r="H766" s="49" t="s">
        <v>677</v>
      </c>
      <c r="I766" s="49" t="s">
        <v>688</v>
      </c>
      <c r="J766" s="49" t="s">
        <v>751</v>
      </c>
      <c r="K766" s="49" t="s">
        <v>690</v>
      </c>
      <c r="L766" s="49" t="s">
        <v>681</v>
      </c>
      <c r="M766" s="49">
        <v>0.5</v>
      </c>
      <c r="N766" s="49" t="s">
        <v>104</v>
      </c>
      <c r="O766" s="49" t="s">
        <v>665</v>
      </c>
      <c r="P766" s="49" t="s">
        <v>746</v>
      </c>
      <c r="Q766" s="49" t="s">
        <v>683</v>
      </c>
      <c r="R766" s="52" t="s">
        <v>550</v>
      </c>
      <c r="S766" s="52" t="s">
        <v>673</v>
      </c>
      <c r="T766" s="49" t="s">
        <v>1821</v>
      </c>
      <c r="U766" s="49" t="s">
        <v>1824</v>
      </c>
      <c r="V766" s="50" t="s">
        <v>1823</v>
      </c>
    </row>
    <row r="767" spans="1:22" x14ac:dyDescent="0.3">
      <c r="A767" s="51" t="s">
        <v>1434</v>
      </c>
      <c r="B767" s="52" t="s">
        <v>749</v>
      </c>
      <c r="C767" s="52" t="s">
        <v>1435</v>
      </c>
      <c r="D767" s="52" t="s">
        <v>673</v>
      </c>
      <c r="E767" s="52" t="s">
        <v>674</v>
      </c>
      <c r="F767" s="52" t="s">
        <v>716</v>
      </c>
      <c r="G767" s="52" t="s">
        <v>744</v>
      </c>
      <c r="H767" s="52" t="s">
        <v>677</v>
      </c>
      <c r="I767" s="49" t="s">
        <v>688</v>
      </c>
      <c r="J767" s="52" t="s">
        <v>751</v>
      </c>
      <c r="K767" s="52" t="s">
        <v>690</v>
      </c>
      <c r="L767" s="52" t="s">
        <v>681</v>
      </c>
      <c r="M767" s="52">
        <v>1</v>
      </c>
      <c r="N767" s="52" t="s">
        <v>195</v>
      </c>
      <c r="O767" s="52" t="s">
        <v>767</v>
      </c>
      <c r="P767" s="52" t="s">
        <v>746</v>
      </c>
      <c r="Q767" s="52" t="s">
        <v>683</v>
      </c>
      <c r="R767" s="52" t="s">
        <v>550</v>
      </c>
      <c r="S767" s="52" t="s">
        <v>673</v>
      </c>
      <c r="T767" s="52" t="s">
        <v>1821</v>
      </c>
      <c r="U767" s="52" t="s">
        <v>1824</v>
      </c>
      <c r="V767" s="50" t="s">
        <v>1823</v>
      </c>
    </row>
    <row r="768" spans="1:22" x14ac:dyDescent="0.3">
      <c r="A768" s="48" t="s">
        <v>1011</v>
      </c>
      <c r="B768" s="49" t="s">
        <v>998</v>
      </c>
      <c r="C768" s="49" t="s">
        <v>1012</v>
      </c>
      <c r="D768" s="49" t="s">
        <v>673</v>
      </c>
      <c r="E768" s="49" t="s">
        <v>674</v>
      </c>
      <c r="F768" s="49" t="s">
        <v>716</v>
      </c>
      <c r="G768" s="49" t="s">
        <v>744</v>
      </c>
      <c r="H768" s="49" t="s">
        <v>677</v>
      </c>
      <c r="I768" s="49" t="s">
        <v>688</v>
      </c>
      <c r="J768" s="49" t="s">
        <v>751</v>
      </c>
      <c r="K768" s="49" t="s">
        <v>690</v>
      </c>
      <c r="L768" s="49" t="s">
        <v>681</v>
      </c>
      <c r="M768" s="49">
        <v>1</v>
      </c>
      <c r="N768" s="49" t="s">
        <v>1436</v>
      </c>
      <c r="O768" s="49" t="s">
        <v>767</v>
      </c>
      <c r="P768" s="52" t="s">
        <v>746</v>
      </c>
      <c r="Q768" s="49" t="s">
        <v>683</v>
      </c>
      <c r="R768" s="49" t="s">
        <v>550</v>
      </c>
      <c r="S768" s="52" t="s">
        <v>673</v>
      </c>
      <c r="T768" s="49" t="s">
        <v>1821</v>
      </c>
      <c r="U768" s="49" t="s">
        <v>1824</v>
      </c>
      <c r="V768" s="50" t="s">
        <v>1823</v>
      </c>
    </row>
    <row r="769" spans="1:22" x14ac:dyDescent="0.3">
      <c r="A769" s="51" t="s">
        <v>1000</v>
      </c>
      <c r="B769" s="52" t="s">
        <v>998</v>
      </c>
      <c r="C769" s="52" t="s">
        <v>1001</v>
      </c>
      <c r="D769" s="52" t="s">
        <v>673</v>
      </c>
      <c r="E769" s="52" t="s">
        <v>674</v>
      </c>
      <c r="F769" s="52" t="s">
        <v>716</v>
      </c>
      <c r="G769" s="52" t="s">
        <v>744</v>
      </c>
      <c r="H769" s="52" t="s">
        <v>677</v>
      </c>
      <c r="I769" s="49" t="s">
        <v>688</v>
      </c>
      <c r="J769" s="52" t="s">
        <v>751</v>
      </c>
      <c r="K769" s="52" t="s">
        <v>690</v>
      </c>
      <c r="L769" s="52" t="s">
        <v>681</v>
      </c>
      <c r="M769" s="52">
        <v>1</v>
      </c>
      <c r="N769" s="52" t="s">
        <v>353</v>
      </c>
      <c r="O769" s="52" t="s">
        <v>665</v>
      </c>
      <c r="P769" s="52" t="s">
        <v>746</v>
      </c>
      <c r="Q769" s="52" t="s">
        <v>683</v>
      </c>
      <c r="R769" s="52" t="s">
        <v>550</v>
      </c>
      <c r="S769" s="52" t="s">
        <v>673</v>
      </c>
      <c r="T769" s="52" t="s">
        <v>1821</v>
      </c>
      <c r="U769" s="52" t="s">
        <v>1824</v>
      </c>
      <c r="V769" s="50" t="s">
        <v>1823</v>
      </c>
    </row>
    <row r="770" spans="1:22" x14ac:dyDescent="0.3">
      <c r="A770" s="48" t="s">
        <v>2315</v>
      </c>
      <c r="B770" s="49" t="s">
        <v>749</v>
      </c>
      <c r="C770" s="49" t="s">
        <v>2316</v>
      </c>
      <c r="D770" s="49" t="s">
        <v>673</v>
      </c>
      <c r="E770" s="49" t="s">
        <v>674</v>
      </c>
      <c r="F770" s="49" t="s">
        <v>716</v>
      </c>
      <c r="G770" s="49" t="s">
        <v>744</v>
      </c>
      <c r="H770" s="49" t="s">
        <v>677</v>
      </c>
      <c r="I770" s="49" t="s">
        <v>688</v>
      </c>
      <c r="J770" s="49" t="s">
        <v>751</v>
      </c>
      <c r="K770" s="49" t="s">
        <v>690</v>
      </c>
      <c r="L770" s="49" t="s">
        <v>681</v>
      </c>
      <c r="M770" s="49">
        <v>0.2</v>
      </c>
      <c r="N770" s="49" t="s">
        <v>558</v>
      </c>
      <c r="O770" s="49" t="s">
        <v>665</v>
      </c>
      <c r="P770" s="49" t="s">
        <v>746</v>
      </c>
      <c r="Q770" s="49" t="s">
        <v>683</v>
      </c>
      <c r="R770" s="49" t="s">
        <v>550</v>
      </c>
      <c r="S770" s="52" t="s">
        <v>673</v>
      </c>
      <c r="T770" s="49" t="s">
        <v>1821</v>
      </c>
      <c r="U770" s="49" t="s">
        <v>1824</v>
      </c>
      <c r="V770" s="50" t="s">
        <v>1823</v>
      </c>
    </row>
    <row r="771" spans="1:22" x14ac:dyDescent="0.3">
      <c r="A771" s="51" t="s">
        <v>1018</v>
      </c>
      <c r="B771" s="52" t="s">
        <v>154</v>
      </c>
      <c r="C771" s="52" t="s">
        <v>1019</v>
      </c>
      <c r="D771" s="52" t="s">
        <v>673</v>
      </c>
      <c r="E771" s="52" t="s">
        <v>674</v>
      </c>
      <c r="F771" s="52" t="s">
        <v>716</v>
      </c>
      <c r="G771" s="52" t="s">
        <v>744</v>
      </c>
      <c r="H771" s="52" t="s">
        <v>935</v>
      </c>
      <c r="I771" s="49" t="s">
        <v>678</v>
      </c>
      <c r="J771" s="52" t="s">
        <v>713</v>
      </c>
      <c r="K771" s="52" t="s">
        <v>690</v>
      </c>
      <c r="L771" s="52" t="s">
        <v>681</v>
      </c>
      <c r="M771" s="52">
        <v>1</v>
      </c>
      <c r="N771" s="52" t="s">
        <v>40</v>
      </c>
      <c r="O771" s="52" t="s">
        <v>665</v>
      </c>
      <c r="P771" s="52" t="s">
        <v>746</v>
      </c>
      <c r="Q771" s="52" t="s">
        <v>683</v>
      </c>
      <c r="R771" s="52" t="s">
        <v>47</v>
      </c>
      <c r="S771" s="49" t="s">
        <v>755</v>
      </c>
      <c r="T771" s="52" t="s">
        <v>1821</v>
      </c>
      <c r="U771" s="52" t="s">
        <v>1824</v>
      </c>
      <c r="V771" s="50" t="s">
        <v>1823</v>
      </c>
    </row>
    <row r="772" spans="1:22" x14ac:dyDescent="0.3">
      <c r="A772" s="48" t="s">
        <v>1018</v>
      </c>
      <c r="B772" s="49" t="s">
        <v>154</v>
      </c>
      <c r="C772" s="49" t="s">
        <v>1019</v>
      </c>
      <c r="D772" s="49" t="s">
        <v>673</v>
      </c>
      <c r="E772" s="49" t="s">
        <v>674</v>
      </c>
      <c r="F772" s="49" t="s">
        <v>716</v>
      </c>
      <c r="G772" s="49" t="s">
        <v>744</v>
      </c>
      <c r="H772" s="49" t="s">
        <v>935</v>
      </c>
      <c r="I772" s="49" t="s">
        <v>678</v>
      </c>
      <c r="J772" s="49" t="s">
        <v>713</v>
      </c>
      <c r="K772" s="49" t="s">
        <v>690</v>
      </c>
      <c r="L772" s="49" t="s">
        <v>681</v>
      </c>
      <c r="M772" s="49">
        <v>0.3</v>
      </c>
      <c r="N772" s="49" t="s">
        <v>95</v>
      </c>
      <c r="O772" s="49" t="s">
        <v>665</v>
      </c>
      <c r="P772" s="49" t="s">
        <v>746</v>
      </c>
      <c r="Q772" s="49" t="s">
        <v>683</v>
      </c>
      <c r="R772" s="49" t="s">
        <v>47</v>
      </c>
      <c r="S772" s="49" t="s">
        <v>755</v>
      </c>
      <c r="T772" s="49" t="s">
        <v>1821</v>
      </c>
      <c r="U772" s="49" t="s">
        <v>1824</v>
      </c>
      <c r="V772" s="50" t="s">
        <v>1823</v>
      </c>
    </row>
    <row r="773" spans="1:22" x14ac:dyDescent="0.3">
      <c r="A773" s="51" t="s">
        <v>1061</v>
      </c>
      <c r="B773" s="52" t="s">
        <v>864</v>
      </c>
      <c r="C773" s="52" t="s">
        <v>1062</v>
      </c>
      <c r="D773" s="52" t="s">
        <v>755</v>
      </c>
      <c r="E773" s="52" t="s">
        <v>674</v>
      </c>
      <c r="F773" s="52" t="s">
        <v>675</v>
      </c>
      <c r="G773" s="52" t="s">
        <v>676</v>
      </c>
      <c r="H773" s="52" t="s">
        <v>702</v>
      </c>
      <c r="I773" s="49" t="s">
        <v>678</v>
      </c>
      <c r="J773" s="52" t="s">
        <v>774</v>
      </c>
      <c r="K773" s="52" t="s">
        <v>680</v>
      </c>
      <c r="L773" s="52" t="s">
        <v>699</v>
      </c>
      <c r="M773" s="52">
        <v>1</v>
      </c>
      <c r="N773" s="52" t="s">
        <v>284</v>
      </c>
      <c r="O773" s="52" t="s">
        <v>665</v>
      </c>
      <c r="P773" s="52" t="s">
        <v>746</v>
      </c>
      <c r="Q773" s="52" t="s">
        <v>683</v>
      </c>
      <c r="R773" s="52" t="s">
        <v>47</v>
      </c>
      <c r="S773" s="49" t="s">
        <v>755</v>
      </c>
      <c r="T773" s="52" t="s">
        <v>1821</v>
      </c>
      <c r="U773" s="52" t="s">
        <v>1824</v>
      </c>
      <c r="V773" s="50" t="s">
        <v>1823</v>
      </c>
    </row>
    <row r="774" spans="1:22" x14ac:dyDescent="0.3">
      <c r="A774" s="48" t="s">
        <v>1018</v>
      </c>
      <c r="B774" s="49" t="s">
        <v>154</v>
      </c>
      <c r="C774" s="49" t="s">
        <v>1019</v>
      </c>
      <c r="D774" s="49" t="s">
        <v>673</v>
      </c>
      <c r="E774" s="49" t="s">
        <v>674</v>
      </c>
      <c r="F774" s="49" t="s">
        <v>716</v>
      </c>
      <c r="G774" s="49" t="s">
        <v>744</v>
      </c>
      <c r="H774" s="49" t="s">
        <v>935</v>
      </c>
      <c r="I774" s="49" t="s">
        <v>678</v>
      </c>
      <c r="J774" s="49" t="s">
        <v>713</v>
      </c>
      <c r="K774" s="49" t="s">
        <v>690</v>
      </c>
      <c r="L774" s="49" t="s">
        <v>681</v>
      </c>
      <c r="M774" s="49">
        <v>1</v>
      </c>
      <c r="N774" s="49" t="s">
        <v>308</v>
      </c>
      <c r="O774" s="49" t="s">
        <v>665</v>
      </c>
      <c r="P774" s="49" t="s">
        <v>746</v>
      </c>
      <c r="Q774" s="49" t="s">
        <v>683</v>
      </c>
      <c r="R774" s="49" t="s">
        <v>47</v>
      </c>
      <c r="S774" s="49" t="s">
        <v>755</v>
      </c>
      <c r="T774" s="49" t="s">
        <v>1821</v>
      </c>
      <c r="U774" s="49" t="s">
        <v>1824</v>
      </c>
      <c r="V774" s="50" t="s">
        <v>1823</v>
      </c>
    </row>
    <row r="775" spans="1:22" x14ac:dyDescent="0.3">
      <c r="A775" s="51" t="s">
        <v>1018</v>
      </c>
      <c r="B775" s="52" t="s">
        <v>154</v>
      </c>
      <c r="C775" s="52" t="s">
        <v>1019</v>
      </c>
      <c r="D775" s="52" t="s">
        <v>673</v>
      </c>
      <c r="E775" s="52" t="s">
        <v>674</v>
      </c>
      <c r="F775" s="52" t="s">
        <v>716</v>
      </c>
      <c r="G775" s="52" t="s">
        <v>744</v>
      </c>
      <c r="H775" s="52" t="s">
        <v>935</v>
      </c>
      <c r="I775" s="49" t="s">
        <v>678</v>
      </c>
      <c r="J775" s="52" t="s">
        <v>713</v>
      </c>
      <c r="K775" s="52" t="s">
        <v>690</v>
      </c>
      <c r="L775" s="52" t="s">
        <v>681</v>
      </c>
      <c r="M775" s="52">
        <v>1</v>
      </c>
      <c r="N775" s="52" t="s">
        <v>329</v>
      </c>
      <c r="O775" s="52" t="s">
        <v>665</v>
      </c>
      <c r="P775" s="52" t="s">
        <v>746</v>
      </c>
      <c r="Q775" s="52" t="s">
        <v>683</v>
      </c>
      <c r="R775" s="52" t="s">
        <v>47</v>
      </c>
      <c r="S775" s="49" t="s">
        <v>755</v>
      </c>
      <c r="T775" s="52" t="s">
        <v>1821</v>
      </c>
      <c r="U775" s="52" t="s">
        <v>1824</v>
      </c>
      <c r="V775" s="50" t="s">
        <v>1823</v>
      </c>
    </row>
    <row r="776" spans="1:22" x14ac:dyDescent="0.3">
      <c r="A776" s="48" t="s">
        <v>1018</v>
      </c>
      <c r="B776" s="49" t="s">
        <v>154</v>
      </c>
      <c r="C776" s="49" t="s">
        <v>1019</v>
      </c>
      <c r="D776" s="49" t="s">
        <v>673</v>
      </c>
      <c r="E776" s="49" t="s">
        <v>674</v>
      </c>
      <c r="F776" s="49" t="s">
        <v>716</v>
      </c>
      <c r="G776" s="49" t="s">
        <v>744</v>
      </c>
      <c r="H776" s="49" t="s">
        <v>935</v>
      </c>
      <c r="I776" s="49" t="s">
        <v>678</v>
      </c>
      <c r="J776" s="49" t="s">
        <v>713</v>
      </c>
      <c r="K776" s="49" t="s">
        <v>690</v>
      </c>
      <c r="L776" s="49" t="s">
        <v>681</v>
      </c>
      <c r="M776" s="49">
        <v>1</v>
      </c>
      <c r="N776" s="49" t="s">
        <v>341</v>
      </c>
      <c r="O776" s="49" t="s">
        <v>665</v>
      </c>
      <c r="P776" s="49" t="s">
        <v>746</v>
      </c>
      <c r="Q776" s="49" t="s">
        <v>683</v>
      </c>
      <c r="R776" s="49" t="s">
        <v>47</v>
      </c>
      <c r="S776" s="49" t="s">
        <v>755</v>
      </c>
      <c r="T776" s="49" t="s">
        <v>1821</v>
      </c>
      <c r="U776" s="49" t="s">
        <v>1824</v>
      </c>
      <c r="V776" s="50" t="s">
        <v>1823</v>
      </c>
    </row>
    <row r="777" spans="1:22" x14ac:dyDescent="0.3">
      <c r="A777" s="51" t="s">
        <v>824</v>
      </c>
      <c r="B777" s="52" t="s">
        <v>760</v>
      </c>
      <c r="C777" s="52" t="s">
        <v>825</v>
      </c>
      <c r="D777" s="52" t="s">
        <v>673</v>
      </c>
      <c r="E777" s="52" t="s">
        <v>674</v>
      </c>
      <c r="F777" s="52" t="s">
        <v>675</v>
      </c>
      <c r="G777" s="52" t="s">
        <v>676</v>
      </c>
      <c r="H777" s="52" t="s">
        <v>677</v>
      </c>
      <c r="I777" s="49" t="s">
        <v>678</v>
      </c>
      <c r="J777" s="52" t="s">
        <v>713</v>
      </c>
      <c r="K777" s="52" t="s">
        <v>690</v>
      </c>
      <c r="L777" s="52" t="s">
        <v>699</v>
      </c>
      <c r="M777" s="52">
        <v>0.2</v>
      </c>
      <c r="N777" s="52" t="s">
        <v>394</v>
      </c>
      <c r="O777" s="52" t="s">
        <v>665</v>
      </c>
      <c r="P777" s="52" t="s">
        <v>746</v>
      </c>
      <c r="Q777" s="52" t="s">
        <v>683</v>
      </c>
      <c r="R777" s="52" t="s">
        <v>47</v>
      </c>
      <c r="S777" s="49" t="s">
        <v>755</v>
      </c>
      <c r="T777" s="52" t="s">
        <v>1821</v>
      </c>
      <c r="U777" s="52" t="s">
        <v>1824</v>
      </c>
      <c r="V777" s="50" t="s">
        <v>1823</v>
      </c>
    </row>
    <row r="778" spans="1:22" x14ac:dyDescent="0.3">
      <c r="A778" s="48" t="s">
        <v>822</v>
      </c>
      <c r="B778" s="49" t="s">
        <v>760</v>
      </c>
      <c r="C778" s="49" t="s">
        <v>823</v>
      </c>
      <c r="D778" s="49" t="s">
        <v>673</v>
      </c>
      <c r="E778" s="49" t="s">
        <v>674</v>
      </c>
      <c r="F778" s="49" t="s">
        <v>675</v>
      </c>
      <c r="G778" s="49" t="s">
        <v>676</v>
      </c>
      <c r="H778" s="49" t="s">
        <v>677</v>
      </c>
      <c r="I778" s="49" t="s">
        <v>678</v>
      </c>
      <c r="J778" s="49" t="s">
        <v>713</v>
      </c>
      <c r="K778" s="49" t="s">
        <v>690</v>
      </c>
      <c r="L778" s="49" t="s">
        <v>699</v>
      </c>
      <c r="M778" s="49">
        <v>0.8</v>
      </c>
      <c r="N778" s="49" t="s">
        <v>394</v>
      </c>
      <c r="O778" s="49" t="s">
        <v>665</v>
      </c>
      <c r="P778" s="49" t="s">
        <v>746</v>
      </c>
      <c r="Q778" s="49" t="s">
        <v>683</v>
      </c>
      <c r="R778" s="49" t="s">
        <v>47</v>
      </c>
      <c r="S778" s="49" t="s">
        <v>755</v>
      </c>
      <c r="T778" s="49" t="s">
        <v>1821</v>
      </c>
      <c r="U778" s="49" t="s">
        <v>1824</v>
      </c>
      <c r="V778" s="50" t="s">
        <v>1823</v>
      </c>
    </row>
    <row r="779" spans="1:22" x14ac:dyDescent="0.3">
      <c r="A779" s="51" t="s">
        <v>2317</v>
      </c>
      <c r="B779" s="52" t="s">
        <v>704</v>
      </c>
      <c r="C779" s="52" t="s">
        <v>2318</v>
      </c>
      <c r="D779" s="52" t="s">
        <v>673</v>
      </c>
      <c r="E779" s="52" t="s">
        <v>674</v>
      </c>
      <c r="F779" s="52" t="s">
        <v>675</v>
      </c>
      <c r="G779" s="52" t="s">
        <v>676</v>
      </c>
      <c r="H779" s="52" t="s">
        <v>677</v>
      </c>
      <c r="I779" s="49" t="s">
        <v>688</v>
      </c>
      <c r="J779" s="52" t="s">
        <v>679</v>
      </c>
      <c r="K779" s="52" t="s">
        <v>680</v>
      </c>
      <c r="L779" s="52" t="s">
        <v>681</v>
      </c>
      <c r="M779" s="52">
        <v>0.5</v>
      </c>
      <c r="N779" s="52" t="s">
        <v>612</v>
      </c>
      <c r="O779" s="52" t="s">
        <v>665</v>
      </c>
      <c r="P779" s="52" t="s">
        <v>682</v>
      </c>
      <c r="Q779" s="52" t="s">
        <v>683</v>
      </c>
      <c r="R779" s="52" t="s">
        <v>178</v>
      </c>
      <c r="S779" s="52" t="s">
        <v>673</v>
      </c>
      <c r="T779" s="52" t="s">
        <v>1821</v>
      </c>
      <c r="U779" s="52" t="s">
        <v>1824</v>
      </c>
      <c r="V779" s="50" t="s">
        <v>1823</v>
      </c>
    </row>
    <row r="780" spans="1:22" x14ac:dyDescent="0.3">
      <c r="A780" s="48" t="s">
        <v>1245</v>
      </c>
      <c r="B780" s="49" t="s">
        <v>470</v>
      </c>
      <c r="C780" s="49" t="s">
        <v>1246</v>
      </c>
      <c r="D780" s="49" t="s">
        <v>684</v>
      </c>
      <c r="E780" s="49" t="s">
        <v>674</v>
      </c>
      <c r="F780" s="49" t="s">
        <v>716</v>
      </c>
      <c r="G780" s="49" t="s">
        <v>744</v>
      </c>
      <c r="H780" s="49" t="s">
        <v>702</v>
      </c>
      <c r="I780" s="49" t="s">
        <v>678</v>
      </c>
      <c r="J780" s="49" t="s">
        <v>745</v>
      </c>
      <c r="K780" s="49" t="s">
        <v>738</v>
      </c>
      <c r="L780" s="49" t="s">
        <v>699</v>
      </c>
      <c r="M780" s="49">
        <v>1</v>
      </c>
      <c r="N780" s="49" t="s">
        <v>324</v>
      </c>
      <c r="O780" s="49" t="s">
        <v>665</v>
      </c>
      <c r="P780" s="49" t="s">
        <v>746</v>
      </c>
      <c r="Q780" s="49" t="s">
        <v>683</v>
      </c>
      <c r="R780" s="49" t="s">
        <v>470</v>
      </c>
      <c r="S780" s="49" t="s">
        <v>684</v>
      </c>
      <c r="T780" s="49" t="s">
        <v>1821</v>
      </c>
      <c r="U780" s="49" t="s">
        <v>1824</v>
      </c>
      <c r="V780" s="50" t="s">
        <v>1823</v>
      </c>
    </row>
    <row r="781" spans="1:22" x14ac:dyDescent="0.3">
      <c r="A781" s="51" t="s">
        <v>2319</v>
      </c>
      <c r="B781" s="52" t="s">
        <v>1510</v>
      </c>
      <c r="C781" s="52" t="s">
        <v>2320</v>
      </c>
      <c r="D781" s="52" t="s">
        <v>684</v>
      </c>
      <c r="E781" s="52" t="s">
        <v>674</v>
      </c>
      <c r="F781" s="52" t="s">
        <v>716</v>
      </c>
      <c r="G781" s="52" t="s">
        <v>731</v>
      </c>
      <c r="H781" s="52" t="s">
        <v>702</v>
      </c>
      <c r="I781" s="52" t="s">
        <v>736</v>
      </c>
      <c r="J781" s="52" t="s">
        <v>745</v>
      </c>
      <c r="K781" s="52" t="s">
        <v>738</v>
      </c>
      <c r="L781" s="52" t="s">
        <v>699</v>
      </c>
      <c r="M781" s="52">
        <v>0.3</v>
      </c>
      <c r="N781" s="52" t="s">
        <v>581</v>
      </c>
      <c r="O781" s="52" t="s">
        <v>665</v>
      </c>
      <c r="P781" s="52" t="s">
        <v>746</v>
      </c>
      <c r="Q781" s="52" t="s">
        <v>683</v>
      </c>
      <c r="R781" s="52" t="s">
        <v>324</v>
      </c>
      <c r="S781" s="49" t="s">
        <v>684</v>
      </c>
      <c r="T781" s="52" t="s">
        <v>1821</v>
      </c>
      <c r="U781" s="52" t="s">
        <v>1824</v>
      </c>
      <c r="V781" s="50" t="s">
        <v>1823</v>
      </c>
    </row>
    <row r="782" spans="1:22" x14ac:dyDescent="0.3">
      <c r="A782" s="48" t="s">
        <v>2321</v>
      </c>
      <c r="B782" s="49" t="s">
        <v>470</v>
      </c>
      <c r="C782" s="49" t="s">
        <v>2322</v>
      </c>
      <c r="D782" s="49" t="s">
        <v>684</v>
      </c>
      <c r="E782" s="49" t="s">
        <v>674</v>
      </c>
      <c r="F782" s="49" t="s">
        <v>716</v>
      </c>
      <c r="G782" s="49" t="s">
        <v>744</v>
      </c>
      <c r="H782" s="49" t="s">
        <v>717</v>
      </c>
      <c r="I782" s="49" t="s">
        <v>736</v>
      </c>
      <c r="J782" s="49" t="s">
        <v>745</v>
      </c>
      <c r="K782" s="49" t="s">
        <v>738</v>
      </c>
      <c r="L782" s="49" t="s">
        <v>699</v>
      </c>
      <c r="M782" s="49">
        <v>0.3</v>
      </c>
      <c r="N782" s="49" t="s">
        <v>557</v>
      </c>
      <c r="O782" s="49" t="s">
        <v>665</v>
      </c>
      <c r="P782" s="49" t="s">
        <v>746</v>
      </c>
      <c r="Q782" s="49" t="s">
        <v>683</v>
      </c>
      <c r="R782" s="49" t="s">
        <v>324</v>
      </c>
      <c r="S782" s="49" t="s">
        <v>684</v>
      </c>
      <c r="T782" s="49" t="s">
        <v>1821</v>
      </c>
      <c r="U782" s="49" t="s">
        <v>1824</v>
      </c>
      <c r="V782" s="50" t="s">
        <v>1823</v>
      </c>
    </row>
    <row r="783" spans="1:22" x14ac:dyDescent="0.3">
      <c r="A783" s="51" t="s">
        <v>2323</v>
      </c>
      <c r="B783" s="52" t="s">
        <v>470</v>
      </c>
      <c r="C783" s="52" t="s">
        <v>2324</v>
      </c>
      <c r="D783" s="52" t="s">
        <v>684</v>
      </c>
      <c r="E783" s="52" t="s">
        <v>674</v>
      </c>
      <c r="F783" s="52" t="s">
        <v>716</v>
      </c>
      <c r="G783" s="52" t="s">
        <v>724</v>
      </c>
      <c r="H783" s="52" t="s">
        <v>717</v>
      </c>
      <c r="I783" s="52" t="s">
        <v>736</v>
      </c>
      <c r="J783" s="52" t="s">
        <v>745</v>
      </c>
      <c r="K783" s="52" t="s">
        <v>738</v>
      </c>
      <c r="L783" s="52" t="s">
        <v>699</v>
      </c>
      <c r="M783" s="52">
        <v>0.2</v>
      </c>
      <c r="N783" s="52" t="s">
        <v>557</v>
      </c>
      <c r="O783" s="52" t="s">
        <v>665</v>
      </c>
      <c r="P783" s="52" t="s">
        <v>746</v>
      </c>
      <c r="Q783" s="52" t="s">
        <v>683</v>
      </c>
      <c r="R783" s="52" t="s">
        <v>324</v>
      </c>
      <c r="S783" s="49" t="s">
        <v>684</v>
      </c>
      <c r="T783" s="52" t="s">
        <v>1821</v>
      </c>
      <c r="U783" s="52" t="s">
        <v>1824</v>
      </c>
      <c r="V783" s="50" t="s">
        <v>1823</v>
      </c>
    </row>
    <row r="784" spans="1:22" x14ac:dyDescent="0.3">
      <c r="A784" s="48" t="s">
        <v>742</v>
      </c>
      <c r="B784" s="49" t="s">
        <v>470</v>
      </c>
      <c r="C784" s="49" t="s">
        <v>743</v>
      </c>
      <c r="D784" s="49" t="s">
        <v>684</v>
      </c>
      <c r="E784" s="49" t="s">
        <v>674</v>
      </c>
      <c r="F784" s="49" t="s">
        <v>716</v>
      </c>
      <c r="G784" s="49" t="s">
        <v>744</v>
      </c>
      <c r="H784" s="49" t="s">
        <v>702</v>
      </c>
      <c r="I784" s="49" t="s">
        <v>736</v>
      </c>
      <c r="J784" s="49" t="s">
        <v>745</v>
      </c>
      <c r="K784" s="49" t="s">
        <v>738</v>
      </c>
      <c r="L784" s="49" t="s">
        <v>699</v>
      </c>
      <c r="M784" s="49">
        <v>0.5</v>
      </c>
      <c r="N784" s="49" t="s">
        <v>1659</v>
      </c>
      <c r="O784" s="49" t="s">
        <v>665</v>
      </c>
      <c r="P784" s="49" t="s">
        <v>746</v>
      </c>
      <c r="Q784" s="49" t="s">
        <v>683</v>
      </c>
      <c r="R784" s="49" t="s">
        <v>324</v>
      </c>
      <c r="S784" s="49" t="s">
        <v>684</v>
      </c>
      <c r="T784" s="49" t="s">
        <v>1821</v>
      </c>
      <c r="U784" s="49" t="s">
        <v>1824</v>
      </c>
      <c r="V784" s="50" t="s">
        <v>1823</v>
      </c>
    </row>
    <row r="785" spans="1:22" x14ac:dyDescent="0.3">
      <c r="A785" s="51" t="s">
        <v>1508</v>
      </c>
      <c r="B785" s="52" t="s">
        <v>1403</v>
      </c>
      <c r="C785" s="52" t="s">
        <v>773</v>
      </c>
      <c r="D785" s="52" t="s">
        <v>684</v>
      </c>
      <c r="E785" s="52" t="s">
        <v>674</v>
      </c>
      <c r="F785" s="52" t="s">
        <v>773</v>
      </c>
      <c r="G785" s="52" t="s">
        <v>773</v>
      </c>
      <c r="H785" s="52" t="s">
        <v>773</v>
      </c>
      <c r="I785" s="52" t="s">
        <v>773</v>
      </c>
      <c r="J785" s="52" t="s">
        <v>745</v>
      </c>
      <c r="K785" s="52" t="s">
        <v>738</v>
      </c>
      <c r="L785" s="52" t="s">
        <v>699</v>
      </c>
      <c r="M785" s="52">
        <v>0.2</v>
      </c>
      <c r="N785" s="52" t="s">
        <v>1659</v>
      </c>
      <c r="O785" s="52" t="s">
        <v>665</v>
      </c>
      <c r="P785" s="52" t="s">
        <v>746</v>
      </c>
      <c r="Q785" s="52" t="s">
        <v>683</v>
      </c>
      <c r="R785" s="52" t="s">
        <v>324</v>
      </c>
      <c r="S785" s="49" t="s">
        <v>684</v>
      </c>
      <c r="T785" s="52" t="s">
        <v>1821</v>
      </c>
      <c r="U785" s="52" t="s">
        <v>1824</v>
      </c>
      <c r="V785" s="50" t="s">
        <v>1823</v>
      </c>
    </row>
    <row r="786" spans="1:22" x14ac:dyDescent="0.3">
      <c r="A786" s="48" t="s">
        <v>1402</v>
      </c>
      <c r="B786" s="49" t="s">
        <v>1403</v>
      </c>
      <c r="C786" s="49" t="s">
        <v>773</v>
      </c>
      <c r="D786" s="49" t="s">
        <v>684</v>
      </c>
      <c r="E786" s="49" t="s">
        <v>674</v>
      </c>
      <c r="F786" s="49" t="s">
        <v>773</v>
      </c>
      <c r="G786" s="49" t="s">
        <v>773</v>
      </c>
      <c r="H786" s="49" t="s">
        <v>773</v>
      </c>
      <c r="I786" s="49" t="s">
        <v>773</v>
      </c>
      <c r="J786" s="49" t="s">
        <v>745</v>
      </c>
      <c r="K786" s="49" t="s">
        <v>738</v>
      </c>
      <c r="L786" s="49" t="s">
        <v>699</v>
      </c>
      <c r="M786" s="49">
        <v>0.3</v>
      </c>
      <c r="N786" s="49" t="s">
        <v>1659</v>
      </c>
      <c r="O786" s="49" t="s">
        <v>665</v>
      </c>
      <c r="P786" s="49" t="s">
        <v>746</v>
      </c>
      <c r="Q786" s="49" t="s">
        <v>683</v>
      </c>
      <c r="R786" s="49" t="s">
        <v>324</v>
      </c>
      <c r="S786" s="49" t="s">
        <v>684</v>
      </c>
      <c r="T786" s="49" t="s">
        <v>1821</v>
      </c>
      <c r="U786" s="49" t="s">
        <v>1824</v>
      </c>
      <c r="V786" s="50" t="s">
        <v>1823</v>
      </c>
    </row>
    <row r="787" spans="1:22" x14ac:dyDescent="0.3">
      <c r="A787" s="51" t="s">
        <v>1537</v>
      </c>
      <c r="B787" s="52" t="s">
        <v>528</v>
      </c>
      <c r="C787" s="52" t="s">
        <v>1538</v>
      </c>
      <c r="D787" s="52" t="s">
        <v>673</v>
      </c>
      <c r="E787" s="52" t="s">
        <v>674</v>
      </c>
      <c r="F787" s="52" t="s">
        <v>716</v>
      </c>
      <c r="G787" s="52" t="s">
        <v>744</v>
      </c>
      <c r="H787" s="52" t="s">
        <v>677</v>
      </c>
      <c r="I787" s="49" t="s">
        <v>678</v>
      </c>
      <c r="J787" s="52" t="s">
        <v>689</v>
      </c>
      <c r="K787" s="52" t="s">
        <v>690</v>
      </c>
      <c r="L787" s="52" t="s">
        <v>699</v>
      </c>
      <c r="M787" s="52">
        <v>1</v>
      </c>
      <c r="N787" s="52" t="s">
        <v>414</v>
      </c>
      <c r="O787" s="52" t="s">
        <v>665</v>
      </c>
      <c r="P787" s="52" t="s">
        <v>746</v>
      </c>
      <c r="Q787" s="52" t="s">
        <v>683</v>
      </c>
      <c r="R787" s="52" t="s">
        <v>267</v>
      </c>
      <c r="S787" s="52" t="s">
        <v>673</v>
      </c>
      <c r="T787" s="52" t="s">
        <v>1821</v>
      </c>
      <c r="U787" s="52" t="s">
        <v>1824</v>
      </c>
      <c r="V787" s="50" t="s">
        <v>1823</v>
      </c>
    </row>
    <row r="788" spans="1:22" x14ac:dyDescent="0.3">
      <c r="A788" s="48" t="s">
        <v>1544</v>
      </c>
      <c r="B788" s="49" t="s">
        <v>1529</v>
      </c>
      <c r="C788" s="49" t="s">
        <v>1545</v>
      </c>
      <c r="D788" s="49" t="s">
        <v>673</v>
      </c>
      <c r="E788" s="49" t="s">
        <v>674</v>
      </c>
      <c r="F788" s="49" t="s">
        <v>716</v>
      </c>
      <c r="G788" s="49" t="s">
        <v>744</v>
      </c>
      <c r="H788" s="49" t="s">
        <v>935</v>
      </c>
      <c r="I788" s="49" t="s">
        <v>678</v>
      </c>
      <c r="J788" s="49" t="s">
        <v>1422</v>
      </c>
      <c r="K788" s="49" t="s">
        <v>861</v>
      </c>
      <c r="L788" s="49" t="s">
        <v>739</v>
      </c>
      <c r="M788" s="49">
        <v>0.1</v>
      </c>
      <c r="N788" s="49" t="s">
        <v>374</v>
      </c>
      <c r="O788" s="49" t="s">
        <v>767</v>
      </c>
      <c r="P788" s="52" t="s">
        <v>746</v>
      </c>
      <c r="Q788" s="49" t="s">
        <v>683</v>
      </c>
      <c r="R788" s="49" t="s">
        <v>1541</v>
      </c>
      <c r="S788" s="52" t="s">
        <v>673</v>
      </c>
      <c r="T788" s="49" t="s">
        <v>1821</v>
      </c>
      <c r="U788" s="49" t="s">
        <v>1824</v>
      </c>
      <c r="V788" s="50" t="s">
        <v>1823</v>
      </c>
    </row>
    <row r="789" spans="1:22" x14ac:dyDescent="0.3">
      <c r="A789" s="51" t="s">
        <v>1542</v>
      </c>
      <c r="B789" s="52" t="s">
        <v>1529</v>
      </c>
      <c r="C789" s="52" t="s">
        <v>1543</v>
      </c>
      <c r="D789" s="52" t="s">
        <v>673</v>
      </c>
      <c r="E789" s="52" t="s">
        <v>674</v>
      </c>
      <c r="F789" s="52" t="s">
        <v>716</v>
      </c>
      <c r="G789" s="52" t="s">
        <v>744</v>
      </c>
      <c r="H789" s="52" t="s">
        <v>935</v>
      </c>
      <c r="I789" s="49" t="s">
        <v>678</v>
      </c>
      <c r="J789" s="52" t="s">
        <v>1422</v>
      </c>
      <c r="K789" s="52" t="s">
        <v>861</v>
      </c>
      <c r="L789" s="52" t="s">
        <v>699</v>
      </c>
      <c r="M789" s="52">
        <v>0.3</v>
      </c>
      <c r="N789" s="52" t="s">
        <v>374</v>
      </c>
      <c r="O789" s="52" t="s">
        <v>767</v>
      </c>
      <c r="P789" s="52" t="s">
        <v>746</v>
      </c>
      <c r="Q789" s="52" t="s">
        <v>683</v>
      </c>
      <c r="R789" s="52" t="s">
        <v>1541</v>
      </c>
      <c r="S789" s="52" t="s">
        <v>673</v>
      </c>
      <c r="T789" s="52" t="s">
        <v>1821</v>
      </c>
      <c r="U789" s="52" t="s">
        <v>1824</v>
      </c>
      <c r="V789" s="50" t="s">
        <v>1823</v>
      </c>
    </row>
    <row r="790" spans="1:22" x14ac:dyDescent="0.3">
      <c r="A790" s="48" t="s">
        <v>2325</v>
      </c>
      <c r="B790" s="49" t="s">
        <v>528</v>
      </c>
      <c r="C790" s="49" t="s">
        <v>2326</v>
      </c>
      <c r="D790" s="49" t="s">
        <v>673</v>
      </c>
      <c r="E790" s="49" t="s">
        <v>674</v>
      </c>
      <c r="F790" s="49" t="s">
        <v>675</v>
      </c>
      <c r="G790" s="49" t="s">
        <v>744</v>
      </c>
      <c r="H790" s="49" t="s">
        <v>677</v>
      </c>
      <c r="I790" s="49" t="s">
        <v>678</v>
      </c>
      <c r="J790" s="49" t="s">
        <v>1422</v>
      </c>
      <c r="K790" s="49" t="s">
        <v>861</v>
      </c>
      <c r="L790" s="49" t="s">
        <v>681</v>
      </c>
      <c r="M790" s="49">
        <v>0.3</v>
      </c>
      <c r="N790" s="49" t="s">
        <v>374</v>
      </c>
      <c r="O790" s="49" t="s">
        <v>767</v>
      </c>
      <c r="P790" s="52" t="s">
        <v>746</v>
      </c>
      <c r="Q790" s="49" t="s">
        <v>683</v>
      </c>
      <c r="R790" s="49" t="s">
        <v>1541</v>
      </c>
      <c r="S790" s="52" t="s">
        <v>673</v>
      </c>
      <c r="T790" s="49" t="s">
        <v>1821</v>
      </c>
      <c r="U790" s="49" t="s">
        <v>1824</v>
      </c>
      <c r="V790" s="50" t="s">
        <v>1823</v>
      </c>
    </row>
    <row r="791" spans="1:22" x14ac:dyDescent="0.3">
      <c r="A791" s="51" t="s">
        <v>1539</v>
      </c>
      <c r="B791" s="52" t="s">
        <v>528</v>
      </c>
      <c r="C791" s="52" t="s">
        <v>1540</v>
      </c>
      <c r="D791" s="52" t="s">
        <v>673</v>
      </c>
      <c r="E791" s="52" t="s">
        <v>674</v>
      </c>
      <c r="F791" s="52" t="s">
        <v>716</v>
      </c>
      <c r="G791" s="52" t="s">
        <v>744</v>
      </c>
      <c r="H791" s="52" t="s">
        <v>938</v>
      </c>
      <c r="I791" s="49" t="s">
        <v>678</v>
      </c>
      <c r="J791" s="52" t="s">
        <v>1422</v>
      </c>
      <c r="K791" s="52" t="s">
        <v>861</v>
      </c>
      <c r="L791" s="52" t="s">
        <v>699</v>
      </c>
      <c r="M791" s="52">
        <v>0.3</v>
      </c>
      <c r="N791" s="52" t="s">
        <v>374</v>
      </c>
      <c r="O791" s="52" t="s">
        <v>767</v>
      </c>
      <c r="P791" s="52" t="s">
        <v>746</v>
      </c>
      <c r="Q791" s="52" t="s">
        <v>683</v>
      </c>
      <c r="R791" s="52" t="s">
        <v>1541</v>
      </c>
      <c r="S791" s="52" t="s">
        <v>673</v>
      </c>
      <c r="T791" s="52" t="s">
        <v>1821</v>
      </c>
      <c r="U791" s="52" t="s">
        <v>1824</v>
      </c>
      <c r="V791" s="50" t="s">
        <v>1823</v>
      </c>
    </row>
    <row r="792" spans="1:22" x14ac:dyDescent="0.3">
      <c r="A792" s="48" t="s">
        <v>1537</v>
      </c>
      <c r="B792" s="49" t="s">
        <v>528</v>
      </c>
      <c r="C792" s="49" t="s">
        <v>1538</v>
      </c>
      <c r="D792" s="49" t="s">
        <v>673</v>
      </c>
      <c r="E792" s="49" t="s">
        <v>674</v>
      </c>
      <c r="F792" s="49" t="s">
        <v>716</v>
      </c>
      <c r="G792" s="49" t="s">
        <v>744</v>
      </c>
      <c r="H792" s="49" t="s">
        <v>677</v>
      </c>
      <c r="I792" s="49" t="s">
        <v>678</v>
      </c>
      <c r="J792" s="49" t="s">
        <v>689</v>
      </c>
      <c r="K792" s="49" t="s">
        <v>690</v>
      </c>
      <c r="L792" s="49" t="s">
        <v>699</v>
      </c>
      <c r="M792" s="49">
        <v>0.8</v>
      </c>
      <c r="N792" s="49" t="s">
        <v>136</v>
      </c>
      <c r="O792" s="49" t="s">
        <v>665</v>
      </c>
      <c r="P792" s="49" t="s">
        <v>746</v>
      </c>
      <c r="Q792" s="49" t="s">
        <v>683</v>
      </c>
      <c r="R792" s="49" t="s">
        <v>267</v>
      </c>
      <c r="S792" s="52" t="s">
        <v>673</v>
      </c>
      <c r="T792" s="49" t="s">
        <v>1821</v>
      </c>
      <c r="U792" s="49" t="s">
        <v>1824</v>
      </c>
      <c r="V792" s="50" t="s">
        <v>1823</v>
      </c>
    </row>
    <row r="793" spans="1:22" x14ac:dyDescent="0.3">
      <c r="A793" s="51" t="s">
        <v>1460</v>
      </c>
      <c r="B793" s="52" t="s">
        <v>528</v>
      </c>
      <c r="C793" s="52" t="s">
        <v>1461</v>
      </c>
      <c r="D793" s="52" t="s">
        <v>673</v>
      </c>
      <c r="E793" s="52" t="s">
        <v>674</v>
      </c>
      <c r="F793" s="52" t="s">
        <v>716</v>
      </c>
      <c r="G793" s="52" t="s">
        <v>744</v>
      </c>
      <c r="H793" s="52" t="s">
        <v>677</v>
      </c>
      <c r="I793" s="49" t="s">
        <v>678</v>
      </c>
      <c r="J793" s="52" t="s">
        <v>1422</v>
      </c>
      <c r="K793" s="52" t="s">
        <v>861</v>
      </c>
      <c r="L793" s="52" t="s">
        <v>739</v>
      </c>
      <c r="M793" s="52">
        <v>0.2</v>
      </c>
      <c r="N793" s="52" t="s">
        <v>136</v>
      </c>
      <c r="O793" s="52" t="s">
        <v>665</v>
      </c>
      <c r="P793" s="52" t="s">
        <v>746</v>
      </c>
      <c r="Q793" s="52" t="s">
        <v>683</v>
      </c>
      <c r="R793" s="52" t="s">
        <v>267</v>
      </c>
      <c r="S793" s="52" t="s">
        <v>673</v>
      </c>
      <c r="T793" s="52" t="s">
        <v>1821</v>
      </c>
      <c r="U793" s="52" t="s">
        <v>1824</v>
      </c>
      <c r="V793" s="50" t="s">
        <v>1823</v>
      </c>
    </row>
    <row r="794" spans="1:22" x14ac:dyDescent="0.3">
      <c r="A794" s="48" t="s">
        <v>1535</v>
      </c>
      <c r="B794" s="49" t="s">
        <v>528</v>
      </c>
      <c r="C794" s="49" t="s">
        <v>1536</v>
      </c>
      <c r="D794" s="49" t="s">
        <v>673</v>
      </c>
      <c r="E794" s="49" t="s">
        <v>674</v>
      </c>
      <c r="F794" s="49" t="s">
        <v>716</v>
      </c>
      <c r="G794" s="49" t="s">
        <v>744</v>
      </c>
      <c r="H794" s="49" t="s">
        <v>938</v>
      </c>
      <c r="I794" s="49" t="s">
        <v>678</v>
      </c>
      <c r="J794" s="49" t="s">
        <v>1422</v>
      </c>
      <c r="K794" s="49" t="s">
        <v>861</v>
      </c>
      <c r="L794" s="49" t="s">
        <v>699</v>
      </c>
      <c r="M794" s="49">
        <v>0.5</v>
      </c>
      <c r="N794" s="49" t="s">
        <v>183</v>
      </c>
      <c r="O794" s="49" t="s">
        <v>665</v>
      </c>
      <c r="P794" s="49" t="s">
        <v>746</v>
      </c>
      <c r="Q794" s="49" t="s">
        <v>683</v>
      </c>
      <c r="R794" s="49" t="s">
        <v>267</v>
      </c>
      <c r="S794" s="52" t="s">
        <v>673</v>
      </c>
      <c r="T794" s="49" t="s">
        <v>1821</v>
      </c>
      <c r="U794" s="49" t="s">
        <v>1824</v>
      </c>
      <c r="V794" s="50" t="s">
        <v>1823</v>
      </c>
    </row>
    <row r="795" spans="1:22" x14ac:dyDescent="0.3">
      <c r="A795" s="51" t="s">
        <v>1537</v>
      </c>
      <c r="B795" s="52" t="s">
        <v>528</v>
      </c>
      <c r="C795" s="52" t="s">
        <v>1538</v>
      </c>
      <c r="D795" s="52" t="s">
        <v>673</v>
      </c>
      <c r="E795" s="52" t="s">
        <v>674</v>
      </c>
      <c r="F795" s="52" t="s">
        <v>716</v>
      </c>
      <c r="G795" s="52" t="s">
        <v>744</v>
      </c>
      <c r="H795" s="52" t="s">
        <v>677</v>
      </c>
      <c r="I795" s="49" t="s">
        <v>678</v>
      </c>
      <c r="J795" s="52" t="s">
        <v>689</v>
      </c>
      <c r="K795" s="52" t="s">
        <v>690</v>
      </c>
      <c r="L795" s="52" t="s">
        <v>699</v>
      </c>
      <c r="M795" s="52">
        <v>0.5</v>
      </c>
      <c r="N795" s="52" t="s">
        <v>183</v>
      </c>
      <c r="O795" s="52" t="s">
        <v>665</v>
      </c>
      <c r="P795" s="52" t="s">
        <v>746</v>
      </c>
      <c r="Q795" s="52" t="s">
        <v>683</v>
      </c>
      <c r="R795" s="52" t="s">
        <v>267</v>
      </c>
      <c r="S795" s="52" t="s">
        <v>673</v>
      </c>
      <c r="T795" s="52" t="s">
        <v>1821</v>
      </c>
      <c r="U795" s="52" t="s">
        <v>1824</v>
      </c>
      <c r="V795" s="50" t="s">
        <v>1823</v>
      </c>
    </row>
    <row r="796" spans="1:22" x14ac:dyDescent="0.3">
      <c r="A796" s="48" t="s">
        <v>1528</v>
      </c>
      <c r="B796" s="49" t="s">
        <v>1529</v>
      </c>
      <c r="C796" s="49" t="s">
        <v>1530</v>
      </c>
      <c r="D796" s="49" t="s">
        <v>673</v>
      </c>
      <c r="E796" s="49" t="s">
        <v>674</v>
      </c>
      <c r="F796" s="49" t="s">
        <v>716</v>
      </c>
      <c r="G796" s="49" t="s">
        <v>744</v>
      </c>
      <c r="H796" s="49" t="s">
        <v>935</v>
      </c>
      <c r="I796" s="49" t="s">
        <v>678</v>
      </c>
      <c r="J796" s="49" t="s">
        <v>1422</v>
      </c>
      <c r="K796" s="49" t="s">
        <v>861</v>
      </c>
      <c r="L796" s="49" t="s">
        <v>699</v>
      </c>
      <c r="M796" s="49">
        <v>0.1</v>
      </c>
      <c r="N796" s="49" t="s">
        <v>36</v>
      </c>
      <c r="O796" s="49" t="s">
        <v>665</v>
      </c>
      <c r="P796" s="49" t="s">
        <v>746</v>
      </c>
      <c r="Q796" s="49" t="s">
        <v>683</v>
      </c>
      <c r="R796" s="49" t="s">
        <v>267</v>
      </c>
      <c r="S796" s="52" t="s">
        <v>673</v>
      </c>
      <c r="T796" s="49" t="s">
        <v>1821</v>
      </c>
      <c r="U796" s="49" t="s">
        <v>1824</v>
      </c>
      <c r="V796" s="50" t="s">
        <v>1823</v>
      </c>
    </row>
    <row r="797" spans="1:22" x14ac:dyDescent="0.3">
      <c r="A797" s="51" t="s">
        <v>1535</v>
      </c>
      <c r="B797" s="52" t="s">
        <v>528</v>
      </c>
      <c r="C797" s="52" t="s">
        <v>1536</v>
      </c>
      <c r="D797" s="52" t="s">
        <v>673</v>
      </c>
      <c r="E797" s="52" t="s">
        <v>674</v>
      </c>
      <c r="F797" s="52" t="s">
        <v>716</v>
      </c>
      <c r="G797" s="52" t="s">
        <v>744</v>
      </c>
      <c r="H797" s="52" t="s">
        <v>938</v>
      </c>
      <c r="I797" s="49" t="s">
        <v>678</v>
      </c>
      <c r="J797" s="52" t="s">
        <v>1422</v>
      </c>
      <c r="K797" s="52" t="s">
        <v>861</v>
      </c>
      <c r="L797" s="52" t="s">
        <v>699</v>
      </c>
      <c r="M797" s="52">
        <v>0.1</v>
      </c>
      <c r="N797" s="52" t="s">
        <v>36</v>
      </c>
      <c r="O797" s="52" t="s">
        <v>665</v>
      </c>
      <c r="P797" s="52" t="s">
        <v>746</v>
      </c>
      <c r="Q797" s="52" t="s">
        <v>683</v>
      </c>
      <c r="R797" s="52" t="s">
        <v>267</v>
      </c>
      <c r="S797" s="52" t="s">
        <v>673</v>
      </c>
      <c r="T797" s="52" t="s">
        <v>1821</v>
      </c>
      <c r="U797" s="52" t="s">
        <v>1824</v>
      </c>
      <c r="V797" s="50" t="s">
        <v>1823</v>
      </c>
    </row>
    <row r="798" spans="1:22" x14ac:dyDescent="0.3">
      <c r="A798" s="48" t="s">
        <v>1533</v>
      </c>
      <c r="B798" s="49" t="s">
        <v>528</v>
      </c>
      <c r="C798" s="49" t="s">
        <v>1534</v>
      </c>
      <c r="D798" s="49" t="s">
        <v>673</v>
      </c>
      <c r="E798" s="49" t="s">
        <v>674</v>
      </c>
      <c r="F798" s="49" t="s">
        <v>935</v>
      </c>
      <c r="G798" s="49" t="s">
        <v>724</v>
      </c>
      <c r="H798" s="49" t="s">
        <v>935</v>
      </c>
      <c r="I798" s="49" t="s">
        <v>678</v>
      </c>
      <c r="J798" s="49" t="s">
        <v>1422</v>
      </c>
      <c r="K798" s="49" t="s">
        <v>861</v>
      </c>
      <c r="L798" s="49" t="s">
        <v>699</v>
      </c>
      <c r="M798" s="49">
        <v>0.1</v>
      </c>
      <c r="N798" s="49" t="s">
        <v>36</v>
      </c>
      <c r="O798" s="49" t="s">
        <v>665</v>
      </c>
      <c r="P798" s="49" t="s">
        <v>746</v>
      </c>
      <c r="Q798" s="49" t="s">
        <v>683</v>
      </c>
      <c r="R798" s="49" t="s">
        <v>267</v>
      </c>
      <c r="S798" s="52" t="s">
        <v>673</v>
      </c>
      <c r="T798" s="49" t="s">
        <v>1821</v>
      </c>
      <c r="U798" s="49" t="s">
        <v>1824</v>
      </c>
      <c r="V798" s="50" t="s">
        <v>1823</v>
      </c>
    </row>
    <row r="799" spans="1:22" x14ac:dyDescent="0.3">
      <c r="A799" s="51" t="s">
        <v>1526</v>
      </c>
      <c r="B799" s="52" t="s">
        <v>528</v>
      </c>
      <c r="C799" s="52" t="s">
        <v>1527</v>
      </c>
      <c r="D799" s="52" t="s">
        <v>673</v>
      </c>
      <c r="E799" s="52" t="s">
        <v>674</v>
      </c>
      <c r="F799" s="52" t="s">
        <v>716</v>
      </c>
      <c r="G799" s="52" t="s">
        <v>744</v>
      </c>
      <c r="H799" s="52" t="s">
        <v>938</v>
      </c>
      <c r="I799" s="49" t="s">
        <v>678</v>
      </c>
      <c r="J799" s="52" t="s">
        <v>1422</v>
      </c>
      <c r="K799" s="52" t="s">
        <v>861</v>
      </c>
      <c r="L799" s="52" t="s">
        <v>699</v>
      </c>
      <c r="M799" s="52">
        <v>0.3</v>
      </c>
      <c r="N799" s="52" t="s">
        <v>36</v>
      </c>
      <c r="O799" s="52" t="s">
        <v>665</v>
      </c>
      <c r="P799" s="52" t="s">
        <v>746</v>
      </c>
      <c r="Q799" s="52" t="s">
        <v>683</v>
      </c>
      <c r="R799" s="52" t="s">
        <v>267</v>
      </c>
      <c r="S799" s="52" t="s">
        <v>673</v>
      </c>
      <c r="T799" s="52" t="s">
        <v>1821</v>
      </c>
      <c r="U799" s="52" t="s">
        <v>1824</v>
      </c>
      <c r="V799" s="50" t="s">
        <v>1823</v>
      </c>
    </row>
    <row r="800" spans="1:22" x14ac:dyDescent="0.3">
      <c r="A800" s="48" t="s">
        <v>1524</v>
      </c>
      <c r="B800" s="49" t="s">
        <v>528</v>
      </c>
      <c r="C800" s="49" t="s">
        <v>1525</v>
      </c>
      <c r="D800" s="49" t="s">
        <v>673</v>
      </c>
      <c r="E800" s="49" t="s">
        <v>674</v>
      </c>
      <c r="F800" s="49" t="s">
        <v>716</v>
      </c>
      <c r="G800" s="49" t="s">
        <v>744</v>
      </c>
      <c r="H800" s="49" t="s">
        <v>677</v>
      </c>
      <c r="I800" s="49" t="s">
        <v>678</v>
      </c>
      <c r="J800" s="49" t="s">
        <v>1422</v>
      </c>
      <c r="K800" s="49" t="s">
        <v>861</v>
      </c>
      <c r="L800" s="49" t="s">
        <v>681</v>
      </c>
      <c r="M800" s="49">
        <v>0.1</v>
      </c>
      <c r="N800" s="49" t="s">
        <v>36</v>
      </c>
      <c r="O800" s="49" t="s">
        <v>665</v>
      </c>
      <c r="P800" s="49" t="s">
        <v>746</v>
      </c>
      <c r="Q800" s="49" t="s">
        <v>683</v>
      </c>
      <c r="R800" s="49" t="s">
        <v>267</v>
      </c>
      <c r="S800" s="52" t="s">
        <v>673</v>
      </c>
      <c r="T800" s="49" t="s">
        <v>1821</v>
      </c>
      <c r="U800" s="49" t="s">
        <v>1824</v>
      </c>
      <c r="V800" s="50" t="s">
        <v>1823</v>
      </c>
    </row>
    <row r="801" spans="1:22" x14ac:dyDescent="0.3">
      <c r="A801" s="51" t="s">
        <v>1531</v>
      </c>
      <c r="B801" s="52" t="s">
        <v>1529</v>
      </c>
      <c r="C801" s="52" t="s">
        <v>1532</v>
      </c>
      <c r="D801" s="52" t="s">
        <v>673</v>
      </c>
      <c r="E801" s="52" t="s">
        <v>674</v>
      </c>
      <c r="F801" s="52" t="s">
        <v>716</v>
      </c>
      <c r="G801" s="52" t="s">
        <v>744</v>
      </c>
      <c r="H801" s="52" t="s">
        <v>935</v>
      </c>
      <c r="I801" s="49" t="s">
        <v>678</v>
      </c>
      <c r="J801" s="52" t="s">
        <v>1422</v>
      </c>
      <c r="K801" s="52" t="s">
        <v>861</v>
      </c>
      <c r="L801" s="52" t="s">
        <v>699</v>
      </c>
      <c r="M801" s="52">
        <v>0.1</v>
      </c>
      <c r="N801" s="52" t="s">
        <v>36</v>
      </c>
      <c r="O801" s="52" t="s">
        <v>665</v>
      </c>
      <c r="P801" s="52" t="s">
        <v>746</v>
      </c>
      <c r="Q801" s="52" t="s">
        <v>683</v>
      </c>
      <c r="R801" s="52" t="s">
        <v>267</v>
      </c>
      <c r="S801" s="52" t="s">
        <v>673</v>
      </c>
      <c r="T801" s="52" t="s">
        <v>1821</v>
      </c>
      <c r="U801" s="52" t="s">
        <v>1824</v>
      </c>
      <c r="V801" s="50" t="s">
        <v>1823</v>
      </c>
    </row>
    <row r="802" spans="1:22" x14ac:dyDescent="0.3">
      <c r="A802" s="48" t="s">
        <v>2327</v>
      </c>
      <c r="B802" s="49" t="s">
        <v>528</v>
      </c>
      <c r="C802" s="49" t="s">
        <v>2328</v>
      </c>
      <c r="D802" s="49" t="s">
        <v>673</v>
      </c>
      <c r="E802" s="49" t="s">
        <v>674</v>
      </c>
      <c r="F802" s="49" t="s">
        <v>716</v>
      </c>
      <c r="G802" s="49" t="s">
        <v>744</v>
      </c>
      <c r="H802" s="49" t="s">
        <v>677</v>
      </c>
      <c r="I802" s="49" t="s">
        <v>678</v>
      </c>
      <c r="J802" s="49" t="s">
        <v>1422</v>
      </c>
      <c r="K802" s="49" t="s">
        <v>861</v>
      </c>
      <c r="L802" s="49" t="s">
        <v>681</v>
      </c>
      <c r="M802" s="49">
        <v>0.2</v>
      </c>
      <c r="N802" s="49" t="s">
        <v>36</v>
      </c>
      <c r="O802" s="49" t="s">
        <v>665</v>
      </c>
      <c r="P802" s="49" t="s">
        <v>746</v>
      </c>
      <c r="Q802" s="49" t="s">
        <v>683</v>
      </c>
      <c r="R802" s="49" t="s">
        <v>267</v>
      </c>
      <c r="S802" s="52" t="s">
        <v>673</v>
      </c>
      <c r="T802" s="49" t="s">
        <v>1821</v>
      </c>
      <c r="U802" s="49" t="s">
        <v>1824</v>
      </c>
      <c r="V802" s="50" t="s">
        <v>1823</v>
      </c>
    </row>
    <row r="803" spans="1:22" x14ac:dyDescent="0.3">
      <c r="A803" s="51" t="s">
        <v>2329</v>
      </c>
      <c r="B803" s="52" t="s">
        <v>952</v>
      </c>
      <c r="C803" s="52" t="s">
        <v>2330</v>
      </c>
      <c r="D803" s="52" t="s">
        <v>673</v>
      </c>
      <c r="E803" s="52" t="s">
        <v>674</v>
      </c>
      <c r="F803" s="52" t="s">
        <v>675</v>
      </c>
      <c r="G803" s="52" t="s">
        <v>744</v>
      </c>
      <c r="H803" s="52" t="s">
        <v>702</v>
      </c>
      <c r="I803" s="49" t="s">
        <v>688</v>
      </c>
      <c r="J803" s="52" t="s">
        <v>713</v>
      </c>
      <c r="K803" s="52" t="s">
        <v>690</v>
      </c>
      <c r="L803" s="52" t="s">
        <v>691</v>
      </c>
      <c r="M803" s="52">
        <v>0.4</v>
      </c>
      <c r="N803" s="52" t="s">
        <v>85</v>
      </c>
      <c r="O803" s="52" t="s">
        <v>665</v>
      </c>
      <c r="P803" s="52" t="s">
        <v>746</v>
      </c>
      <c r="Q803" s="52" t="s">
        <v>683</v>
      </c>
      <c r="R803" s="52" t="s">
        <v>123</v>
      </c>
      <c r="S803" s="52" t="s">
        <v>673</v>
      </c>
      <c r="T803" s="52" t="s">
        <v>1821</v>
      </c>
      <c r="U803" s="52" t="s">
        <v>1824</v>
      </c>
      <c r="V803" s="50" t="s">
        <v>1823</v>
      </c>
    </row>
    <row r="804" spans="1:22" x14ac:dyDescent="0.3">
      <c r="A804" s="48" t="s">
        <v>941</v>
      </c>
      <c r="B804" s="49" t="s">
        <v>154</v>
      </c>
      <c r="C804" s="49" t="s">
        <v>942</v>
      </c>
      <c r="D804" s="49" t="s">
        <v>673</v>
      </c>
      <c r="E804" s="49" t="s">
        <v>674</v>
      </c>
      <c r="F804" s="49" t="s">
        <v>716</v>
      </c>
      <c r="G804" s="49" t="s">
        <v>744</v>
      </c>
      <c r="H804" s="49" t="s">
        <v>935</v>
      </c>
      <c r="I804" s="49" t="s">
        <v>678</v>
      </c>
      <c r="J804" s="49" t="s">
        <v>713</v>
      </c>
      <c r="K804" s="49" t="s">
        <v>690</v>
      </c>
      <c r="L804" s="49" t="s">
        <v>681</v>
      </c>
      <c r="M804" s="49">
        <v>0.6</v>
      </c>
      <c r="N804" s="49" t="s">
        <v>85</v>
      </c>
      <c r="O804" s="49" t="s">
        <v>665</v>
      </c>
      <c r="P804" s="49" t="s">
        <v>746</v>
      </c>
      <c r="Q804" s="49" t="s">
        <v>683</v>
      </c>
      <c r="R804" s="49" t="s">
        <v>123</v>
      </c>
      <c r="S804" s="52" t="s">
        <v>673</v>
      </c>
      <c r="T804" s="49" t="s">
        <v>1821</v>
      </c>
      <c r="U804" s="49" t="s">
        <v>1824</v>
      </c>
      <c r="V804" s="50" t="s">
        <v>1823</v>
      </c>
    </row>
    <row r="805" spans="1:22" x14ac:dyDescent="0.3">
      <c r="A805" s="51" t="s">
        <v>1339</v>
      </c>
      <c r="B805" s="52" t="s">
        <v>1340</v>
      </c>
      <c r="C805" s="52" t="s">
        <v>1341</v>
      </c>
      <c r="D805" s="52" t="s">
        <v>673</v>
      </c>
      <c r="E805" s="52" t="s">
        <v>674</v>
      </c>
      <c r="F805" s="52" t="s">
        <v>675</v>
      </c>
      <c r="G805" s="52" t="s">
        <v>744</v>
      </c>
      <c r="H805" s="52" t="s">
        <v>677</v>
      </c>
      <c r="I805" s="49" t="s">
        <v>688</v>
      </c>
      <c r="J805" s="52" t="s">
        <v>713</v>
      </c>
      <c r="K805" s="52" t="s">
        <v>690</v>
      </c>
      <c r="L805" s="52" t="s">
        <v>681</v>
      </c>
      <c r="M805" s="52">
        <v>0.6</v>
      </c>
      <c r="N805" s="52" t="s">
        <v>69</v>
      </c>
      <c r="O805" s="52" t="s">
        <v>665</v>
      </c>
      <c r="P805" s="52" t="s">
        <v>746</v>
      </c>
      <c r="Q805" s="52" t="s">
        <v>683</v>
      </c>
      <c r="R805" s="52" t="s">
        <v>123</v>
      </c>
      <c r="S805" s="52" t="s">
        <v>673</v>
      </c>
      <c r="T805" s="52" t="s">
        <v>1821</v>
      </c>
      <c r="U805" s="52" t="s">
        <v>1824</v>
      </c>
      <c r="V805" s="50" t="s">
        <v>1823</v>
      </c>
    </row>
    <row r="806" spans="1:22" x14ac:dyDescent="0.3">
      <c r="A806" s="48" t="s">
        <v>824</v>
      </c>
      <c r="B806" s="49" t="s">
        <v>760</v>
      </c>
      <c r="C806" s="49" t="s">
        <v>825</v>
      </c>
      <c r="D806" s="49" t="s">
        <v>673</v>
      </c>
      <c r="E806" s="49" t="s">
        <v>674</v>
      </c>
      <c r="F806" s="49" t="s">
        <v>675</v>
      </c>
      <c r="G806" s="49" t="s">
        <v>676</v>
      </c>
      <c r="H806" s="49" t="s">
        <v>677</v>
      </c>
      <c r="I806" s="49" t="s">
        <v>678</v>
      </c>
      <c r="J806" s="49" t="s">
        <v>713</v>
      </c>
      <c r="K806" s="49" t="s">
        <v>690</v>
      </c>
      <c r="L806" s="49" t="s">
        <v>699</v>
      </c>
      <c r="M806" s="49">
        <v>0.1</v>
      </c>
      <c r="N806" s="49" t="s">
        <v>120</v>
      </c>
      <c r="O806" s="49" t="s">
        <v>665</v>
      </c>
      <c r="P806" s="49" t="s">
        <v>746</v>
      </c>
      <c r="Q806" s="49" t="s">
        <v>683</v>
      </c>
      <c r="R806" s="49" t="s">
        <v>123</v>
      </c>
      <c r="S806" s="52" t="s">
        <v>673</v>
      </c>
      <c r="T806" s="49" t="s">
        <v>1821</v>
      </c>
      <c r="U806" s="49" t="s">
        <v>1824</v>
      </c>
      <c r="V806" s="50" t="s">
        <v>1823</v>
      </c>
    </row>
    <row r="807" spans="1:22" x14ac:dyDescent="0.3">
      <c r="A807" s="51" t="s">
        <v>822</v>
      </c>
      <c r="B807" s="52" t="s">
        <v>760</v>
      </c>
      <c r="C807" s="52" t="s">
        <v>823</v>
      </c>
      <c r="D807" s="52" t="s">
        <v>673</v>
      </c>
      <c r="E807" s="52" t="s">
        <v>674</v>
      </c>
      <c r="F807" s="52" t="s">
        <v>675</v>
      </c>
      <c r="G807" s="52" t="s">
        <v>676</v>
      </c>
      <c r="H807" s="52" t="s">
        <v>677</v>
      </c>
      <c r="I807" s="49" t="s">
        <v>678</v>
      </c>
      <c r="J807" s="52" t="s">
        <v>713</v>
      </c>
      <c r="K807" s="52" t="s">
        <v>690</v>
      </c>
      <c r="L807" s="52" t="s">
        <v>699</v>
      </c>
      <c r="M807" s="52">
        <v>0.9</v>
      </c>
      <c r="N807" s="52" t="s">
        <v>120</v>
      </c>
      <c r="O807" s="52" t="s">
        <v>665</v>
      </c>
      <c r="P807" s="52" t="s">
        <v>746</v>
      </c>
      <c r="Q807" s="52" t="s">
        <v>683</v>
      </c>
      <c r="R807" s="52" t="s">
        <v>123</v>
      </c>
      <c r="S807" s="52" t="s">
        <v>673</v>
      </c>
      <c r="T807" s="52" t="s">
        <v>1821</v>
      </c>
      <c r="U807" s="52" t="s">
        <v>1824</v>
      </c>
      <c r="V807" s="50" t="s">
        <v>1823</v>
      </c>
    </row>
    <row r="808" spans="1:22" x14ac:dyDescent="0.3">
      <c r="A808" s="48" t="s">
        <v>1202</v>
      </c>
      <c r="B808" s="49" t="s">
        <v>154</v>
      </c>
      <c r="C808" s="49" t="s">
        <v>862</v>
      </c>
      <c r="D808" s="49" t="s">
        <v>673</v>
      </c>
      <c r="E808" s="49" t="s">
        <v>674</v>
      </c>
      <c r="F808" s="49" t="s">
        <v>716</v>
      </c>
      <c r="G808" s="49" t="s">
        <v>744</v>
      </c>
      <c r="H808" s="49" t="s">
        <v>935</v>
      </c>
      <c r="I808" s="49" t="s">
        <v>678</v>
      </c>
      <c r="J808" s="49" t="s">
        <v>713</v>
      </c>
      <c r="K808" s="49" t="s">
        <v>690</v>
      </c>
      <c r="L808" s="49" t="s">
        <v>681</v>
      </c>
      <c r="M808" s="49">
        <v>1</v>
      </c>
      <c r="N808" s="49" t="s">
        <v>499</v>
      </c>
      <c r="O808" s="49" t="s">
        <v>665</v>
      </c>
      <c r="P808" s="49" t="s">
        <v>746</v>
      </c>
      <c r="Q808" s="49" t="s">
        <v>683</v>
      </c>
      <c r="R808" s="49" t="s">
        <v>123</v>
      </c>
      <c r="S808" s="52" t="s">
        <v>673</v>
      </c>
      <c r="T808" s="49" t="s">
        <v>1821</v>
      </c>
      <c r="U808" s="49" t="s">
        <v>1824</v>
      </c>
      <c r="V808" s="50" t="s">
        <v>1823</v>
      </c>
    </row>
    <row r="809" spans="1:22" x14ac:dyDescent="0.3">
      <c r="A809" s="51" t="s">
        <v>954</v>
      </c>
      <c r="B809" s="52" t="s">
        <v>955</v>
      </c>
      <c r="C809" s="52" t="s">
        <v>956</v>
      </c>
      <c r="D809" s="52" t="s">
        <v>673</v>
      </c>
      <c r="E809" s="52" t="s">
        <v>674</v>
      </c>
      <c r="F809" s="52" t="s">
        <v>675</v>
      </c>
      <c r="G809" s="52" t="s">
        <v>676</v>
      </c>
      <c r="H809" s="52" t="s">
        <v>677</v>
      </c>
      <c r="I809" s="49" t="s">
        <v>688</v>
      </c>
      <c r="J809" s="52" t="s">
        <v>713</v>
      </c>
      <c r="K809" s="52" t="s">
        <v>690</v>
      </c>
      <c r="L809" s="52" t="s">
        <v>699</v>
      </c>
      <c r="M809" s="52">
        <v>0.1</v>
      </c>
      <c r="N809" s="52" t="s">
        <v>123</v>
      </c>
      <c r="O809" s="52" t="s">
        <v>665</v>
      </c>
      <c r="P809" s="52" t="s">
        <v>746</v>
      </c>
      <c r="Q809" s="52" t="s">
        <v>683</v>
      </c>
      <c r="R809" s="52" t="s">
        <v>269</v>
      </c>
      <c r="S809" s="52" t="s">
        <v>673</v>
      </c>
      <c r="T809" s="52" t="s">
        <v>1821</v>
      </c>
      <c r="U809" s="52" t="s">
        <v>1824</v>
      </c>
      <c r="V809" s="50" t="s">
        <v>1823</v>
      </c>
    </row>
    <row r="810" spans="1:22" x14ac:dyDescent="0.3">
      <c r="A810" s="48" t="s">
        <v>941</v>
      </c>
      <c r="B810" s="49" t="s">
        <v>154</v>
      </c>
      <c r="C810" s="49" t="s">
        <v>942</v>
      </c>
      <c r="D810" s="49" t="s">
        <v>673</v>
      </c>
      <c r="E810" s="49" t="s">
        <v>674</v>
      </c>
      <c r="F810" s="49" t="s">
        <v>716</v>
      </c>
      <c r="G810" s="49" t="s">
        <v>744</v>
      </c>
      <c r="H810" s="49" t="s">
        <v>935</v>
      </c>
      <c r="I810" s="49" t="s">
        <v>678</v>
      </c>
      <c r="J810" s="49" t="s">
        <v>713</v>
      </c>
      <c r="K810" s="49" t="s">
        <v>690</v>
      </c>
      <c r="L810" s="49" t="s">
        <v>681</v>
      </c>
      <c r="M810" s="49">
        <v>0.2</v>
      </c>
      <c r="N810" s="49" t="s">
        <v>123</v>
      </c>
      <c r="O810" s="49" t="s">
        <v>665</v>
      </c>
      <c r="P810" s="49" t="s">
        <v>746</v>
      </c>
      <c r="Q810" s="49" t="s">
        <v>683</v>
      </c>
      <c r="R810" s="49" t="s">
        <v>269</v>
      </c>
      <c r="S810" s="52" t="s">
        <v>673</v>
      </c>
      <c r="T810" s="49" t="s">
        <v>1821</v>
      </c>
      <c r="U810" s="49" t="s">
        <v>1824</v>
      </c>
      <c r="V810" s="50" t="s">
        <v>1823</v>
      </c>
    </row>
    <row r="811" spans="1:22" x14ac:dyDescent="0.3">
      <c r="A811" s="51" t="s">
        <v>1248</v>
      </c>
      <c r="B811" s="52" t="s">
        <v>154</v>
      </c>
      <c r="C811" s="52" t="s">
        <v>1249</v>
      </c>
      <c r="D811" s="52" t="s">
        <v>673</v>
      </c>
      <c r="E811" s="52" t="s">
        <v>674</v>
      </c>
      <c r="F811" s="52" t="s">
        <v>716</v>
      </c>
      <c r="G811" s="52" t="s">
        <v>744</v>
      </c>
      <c r="H811" s="52" t="s">
        <v>935</v>
      </c>
      <c r="I811" s="49" t="s">
        <v>688</v>
      </c>
      <c r="J811" s="52" t="s">
        <v>713</v>
      </c>
      <c r="K811" s="52" t="s">
        <v>690</v>
      </c>
      <c r="L811" s="52" t="s">
        <v>681</v>
      </c>
      <c r="M811" s="52">
        <v>0.1</v>
      </c>
      <c r="N811" s="52" t="s">
        <v>123</v>
      </c>
      <c r="O811" s="52" t="s">
        <v>665</v>
      </c>
      <c r="P811" s="52" t="s">
        <v>746</v>
      </c>
      <c r="Q811" s="52" t="s">
        <v>683</v>
      </c>
      <c r="R811" s="52" t="s">
        <v>269</v>
      </c>
      <c r="S811" s="52" t="s">
        <v>673</v>
      </c>
      <c r="T811" s="52" t="s">
        <v>1821</v>
      </c>
      <c r="U811" s="52" t="s">
        <v>1824</v>
      </c>
      <c r="V811" s="50" t="s">
        <v>1823</v>
      </c>
    </row>
    <row r="812" spans="1:22" x14ac:dyDescent="0.3">
      <c r="A812" s="48" t="s">
        <v>1202</v>
      </c>
      <c r="B812" s="49" t="s">
        <v>154</v>
      </c>
      <c r="C812" s="49" t="s">
        <v>862</v>
      </c>
      <c r="D812" s="49" t="s">
        <v>673</v>
      </c>
      <c r="E812" s="49" t="s">
        <v>674</v>
      </c>
      <c r="F812" s="49" t="s">
        <v>716</v>
      </c>
      <c r="G812" s="49" t="s">
        <v>744</v>
      </c>
      <c r="H812" s="49" t="s">
        <v>935</v>
      </c>
      <c r="I812" s="49" t="s">
        <v>678</v>
      </c>
      <c r="J812" s="49" t="s">
        <v>713</v>
      </c>
      <c r="K812" s="49" t="s">
        <v>690</v>
      </c>
      <c r="L812" s="49" t="s">
        <v>681</v>
      </c>
      <c r="M812" s="49">
        <v>0.2</v>
      </c>
      <c r="N812" s="49" t="s">
        <v>123</v>
      </c>
      <c r="O812" s="49" t="s">
        <v>665</v>
      </c>
      <c r="P812" s="49" t="s">
        <v>746</v>
      </c>
      <c r="Q812" s="49" t="s">
        <v>683</v>
      </c>
      <c r="R812" s="49" t="s">
        <v>269</v>
      </c>
      <c r="S812" s="52" t="s">
        <v>673</v>
      </c>
      <c r="T812" s="49" t="s">
        <v>1821</v>
      </c>
      <c r="U812" s="49" t="s">
        <v>1824</v>
      </c>
      <c r="V812" s="50" t="s">
        <v>1823</v>
      </c>
    </row>
    <row r="813" spans="1:22" x14ac:dyDescent="0.3">
      <c r="A813" s="51" t="s">
        <v>822</v>
      </c>
      <c r="B813" s="52" t="s">
        <v>760</v>
      </c>
      <c r="C813" s="52" t="s">
        <v>823</v>
      </c>
      <c r="D813" s="52" t="s">
        <v>673</v>
      </c>
      <c r="E813" s="52" t="s">
        <v>674</v>
      </c>
      <c r="F813" s="52" t="s">
        <v>675</v>
      </c>
      <c r="G813" s="52" t="s">
        <v>676</v>
      </c>
      <c r="H813" s="52" t="s">
        <v>677</v>
      </c>
      <c r="I813" s="49" t="s">
        <v>678</v>
      </c>
      <c r="J813" s="52" t="s">
        <v>713</v>
      </c>
      <c r="K813" s="52" t="s">
        <v>690</v>
      </c>
      <c r="L813" s="52" t="s">
        <v>699</v>
      </c>
      <c r="M813" s="52">
        <v>0.1</v>
      </c>
      <c r="N813" s="52" t="s">
        <v>123</v>
      </c>
      <c r="O813" s="52" t="s">
        <v>665</v>
      </c>
      <c r="P813" s="52" t="s">
        <v>746</v>
      </c>
      <c r="Q813" s="52" t="s">
        <v>683</v>
      </c>
      <c r="R813" s="52" t="s">
        <v>269</v>
      </c>
      <c r="S813" s="52" t="s">
        <v>673</v>
      </c>
      <c r="T813" s="52" t="s">
        <v>1821</v>
      </c>
      <c r="U813" s="52" t="s">
        <v>1824</v>
      </c>
      <c r="V813" s="50" t="s">
        <v>1823</v>
      </c>
    </row>
    <row r="814" spans="1:22" x14ac:dyDescent="0.3">
      <c r="A814" s="48" t="s">
        <v>1016</v>
      </c>
      <c r="B814" s="49" t="s">
        <v>955</v>
      </c>
      <c r="C814" s="49" t="s">
        <v>1017</v>
      </c>
      <c r="D814" s="49" t="s">
        <v>673</v>
      </c>
      <c r="E814" s="49" t="s">
        <v>674</v>
      </c>
      <c r="F814" s="49" t="s">
        <v>675</v>
      </c>
      <c r="G814" s="49" t="s">
        <v>676</v>
      </c>
      <c r="H814" s="49" t="s">
        <v>677</v>
      </c>
      <c r="I814" s="49" t="s">
        <v>688</v>
      </c>
      <c r="J814" s="49" t="s">
        <v>713</v>
      </c>
      <c r="K814" s="49" t="s">
        <v>690</v>
      </c>
      <c r="L814" s="49" t="s">
        <v>699</v>
      </c>
      <c r="M814" s="49">
        <v>0.1</v>
      </c>
      <c r="N814" s="49" t="s">
        <v>123</v>
      </c>
      <c r="O814" s="49" t="s">
        <v>665</v>
      </c>
      <c r="P814" s="49" t="s">
        <v>746</v>
      </c>
      <c r="Q814" s="49" t="s">
        <v>683</v>
      </c>
      <c r="R814" s="49" t="s">
        <v>269</v>
      </c>
      <c r="S814" s="52" t="s">
        <v>673</v>
      </c>
      <c r="T814" s="49" t="s">
        <v>1821</v>
      </c>
      <c r="U814" s="49" t="s">
        <v>1824</v>
      </c>
      <c r="V814" s="50" t="s">
        <v>1823</v>
      </c>
    </row>
    <row r="815" spans="1:22" x14ac:dyDescent="0.3">
      <c r="A815" s="51" t="s">
        <v>969</v>
      </c>
      <c r="B815" s="52" t="s">
        <v>418</v>
      </c>
      <c r="C815" s="52" t="s">
        <v>970</v>
      </c>
      <c r="D815" s="52" t="s">
        <v>673</v>
      </c>
      <c r="E815" s="52" t="s">
        <v>674</v>
      </c>
      <c r="F815" s="52" t="s">
        <v>675</v>
      </c>
      <c r="G815" s="52" t="s">
        <v>676</v>
      </c>
      <c r="H815" s="52" t="s">
        <v>677</v>
      </c>
      <c r="I815" s="49" t="s">
        <v>678</v>
      </c>
      <c r="J815" s="52" t="s">
        <v>713</v>
      </c>
      <c r="K815" s="52" t="s">
        <v>690</v>
      </c>
      <c r="L815" s="52" t="s">
        <v>681</v>
      </c>
      <c r="M815" s="52">
        <v>0.1</v>
      </c>
      <c r="N815" s="52" t="s">
        <v>123</v>
      </c>
      <c r="O815" s="52" t="s">
        <v>665</v>
      </c>
      <c r="P815" s="52" t="s">
        <v>746</v>
      </c>
      <c r="Q815" s="52" t="s">
        <v>683</v>
      </c>
      <c r="R815" s="52" t="s">
        <v>269</v>
      </c>
      <c r="S815" s="52" t="s">
        <v>673</v>
      </c>
      <c r="T815" s="52" t="s">
        <v>1821</v>
      </c>
      <c r="U815" s="52" t="s">
        <v>1824</v>
      </c>
      <c r="V815" s="50" t="s">
        <v>1823</v>
      </c>
    </row>
    <row r="816" spans="1:22" x14ac:dyDescent="0.3">
      <c r="A816" s="48" t="s">
        <v>1205</v>
      </c>
      <c r="B816" s="49" t="s">
        <v>154</v>
      </c>
      <c r="C816" s="49" t="s">
        <v>1206</v>
      </c>
      <c r="D816" s="49" t="s">
        <v>673</v>
      </c>
      <c r="E816" s="49" t="s">
        <v>674</v>
      </c>
      <c r="F816" s="49" t="s">
        <v>716</v>
      </c>
      <c r="G816" s="49" t="s">
        <v>744</v>
      </c>
      <c r="H816" s="49" t="s">
        <v>935</v>
      </c>
      <c r="I816" s="49" t="s">
        <v>688</v>
      </c>
      <c r="J816" s="49" t="s">
        <v>713</v>
      </c>
      <c r="K816" s="49" t="s">
        <v>690</v>
      </c>
      <c r="L816" s="49" t="s">
        <v>681</v>
      </c>
      <c r="M816" s="49">
        <v>0.1</v>
      </c>
      <c r="N816" s="49" t="s">
        <v>123</v>
      </c>
      <c r="O816" s="49" t="s">
        <v>665</v>
      </c>
      <c r="P816" s="49" t="s">
        <v>746</v>
      </c>
      <c r="Q816" s="49" t="s">
        <v>683</v>
      </c>
      <c r="R816" s="49" t="s">
        <v>269</v>
      </c>
      <c r="S816" s="52" t="s">
        <v>673</v>
      </c>
      <c r="T816" s="49" t="s">
        <v>1821</v>
      </c>
      <c r="U816" s="49" t="s">
        <v>1824</v>
      </c>
      <c r="V816" s="50" t="s">
        <v>1823</v>
      </c>
    </row>
    <row r="817" spans="1:22" x14ac:dyDescent="0.3">
      <c r="A817" s="51" t="s">
        <v>1470</v>
      </c>
      <c r="B817" s="52" t="s">
        <v>544</v>
      </c>
      <c r="C817" s="52" t="s">
        <v>1471</v>
      </c>
      <c r="D817" s="52" t="s">
        <v>684</v>
      </c>
      <c r="E817" s="52" t="s">
        <v>674</v>
      </c>
      <c r="F817" s="52" t="s">
        <v>716</v>
      </c>
      <c r="G817" s="52" t="s">
        <v>744</v>
      </c>
      <c r="H817" s="52" t="s">
        <v>702</v>
      </c>
      <c r="I817" s="52" t="s">
        <v>736</v>
      </c>
      <c r="J817" s="52" t="s">
        <v>737</v>
      </c>
      <c r="K817" s="52" t="s">
        <v>738</v>
      </c>
      <c r="L817" s="52" t="s">
        <v>808</v>
      </c>
      <c r="M817" s="52">
        <v>1</v>
      </c>
      <c r="N817" s="52" t="s">
        <v>254</v>
      </c>
      <c r="O817" s="52" t="s">
        <v>665</v>
      </c>
      <c r="P817" s="52" t="s">
        <v>1584</v>
      </c>
      <c r="Q817" s="52" t="s">
        <v>683</v>
      </c>
      <c r="R817" s="52" t="s">
        <v>48</v>
      </c>
      <c r="S817" s="49" t="s">
        <v>684</v>
      </c>
      <c r="T817" s="52" t="s">
        <v>1821</v>
      </c>
      <c r="U817" s="52" t="s">
        <v>1824</v>
      </c>
      <c r="V817" s="50" t="s">
        <v>1823</v>
      </c>
    </row>
    <row r="818" spans="1:22" x14ac:dyDescent="0.3">
      <c r="A818" s="48" t="s">
        <v>1475</v>
      </c>
      <c r="B818" s="49" t="s">
        <v>544</v>
      </c>
      <c r="C818" s="49" t="s">
        <v>1476</v>
      </c>
      <c r="D818" s="49" t="s">
        <v>684</v>
      </c>
      <c r="E818" s="49" t="s">
        <v>674</v>
      </c>
      <c r="F818" s="49" t="s">
        <v>716</v>
      </c>
      <c r="G818" s="49" t="s">
        <v>731</v>
      </c>
      <c r="H818" s="49" t="s">
        <v>702</v>
      </c>
      <c r="I818" s="49" t="s">
        <v>736</v>
      </c>
      <c r="J818" s="49" t="s">
        <v>737</v>
      </c>
      <c r="K818" s="49" t="s">
        <v>738</v>
      </c>
      <c r="L818" s="49" t="s">
        <v>699</v>
      </c>
      <c r="M818" s="49">
        <v>1</v>
      </c>
      <c r="N818" s="49" t="s">
        <v>164</v>
      </c>
      <c r="O818" s="49" t="s">
        <v>767</v>
      </c>
      <c r="P818" s="52" t="s">
        <v>746</v>
      </c>
      <c r="Q818" s="49" t="s">
        <v>683</v>
      </c>
      <c r="R818" s="49" t="s">
        <v>48</v>
      </c>
      <c r="S818" s="49" t="s">
        <v>684</v>
      </c>
      <c r="T818" s="49" t="s">
        <v>1821</v>
      </c>
      <c r="U818" s="49" t="s">
        <v>1824</v>
      </c>
      <c r="V818" s="50" t="s">
        <v>1823</v>
      </c>
    </row>
    <row r="819" spans="1:22" x14ac:dyDescent="0.3">
      <c r="A819" s="51" t="s">
        <v>1467</v>
      </c>
      <c r="B819" s="52" t="s">
        <v>544</v>
      </c>
      <c r="C819" s="52" t="s">
        <v>1468</v>
      </c>
      <c r="D819" s="52" t="s">
        <v>684</v>
      </c>
      <c r="E819" s="52" t="s">
        <v>674</v>
      </c>
      <c r="F819" s="52" t="s">
        <v>716</v>
      </c>
      <c r="G819" s="52" t="s">
        <v>731</v>
      </c>
      <c r="H819" s="52" t="s">
        <v>702</v>
      </c>
      <c r="I819" s="52" t="s">
        <v>736</v>
      </c>
      <c r="J819" s="52" t="s">
        <v>737</v>
      </c>
      <c r="K819" s="52" t="s">
        <v>738</v>
      </c>
      <c r="L819" s="52" t="s">
        <v>808</v>
      </c>
      <c r="M819" s="52">
        <v>1</v>
      </c>
      <c r="N819" s="52" t="s">
        <v>1474</v>
      </c>
      <c r="O819" s="52" t="s">
        <v>767</v>
      </c>
      <c r="P819" s="52" t="s">
        <v>746</v>
      </c>
      <c r="Q819" s="52" t="s">
        <v>683</v>
      </c>
      <c r="R819" s="52" t="s">
        <v>48</v>
      </c>
      <c r="S819" s="49" t="s">
        <v>684</v>
      </c>
      <c r="T819" s="52" t="s">
        <v>1821</v>
      </c>
      <c r="U819" s="52" t="s">
        <v>1824</v>
      </c>
      <c r="V819" s="50" t="s">
        <v>1823</v>
      </c>
    </row>
    <row r="820" spans="1:22" x14ac:dyDescent="0.3">
      <c r="A820" s="48" t="s">
        <v>1467</v>
      </c>
      <c r="B820" s="49" t="s">
        <v>544</v>
      </c>
      <c r="C820" s="49" t="s">
        <v>1468</v>
      </c>
      <c r="D820" s="49" t="s">
        <v>684</v>
      </c>
      <c r="E820" s="49" t="s">
        <v>674</v>
      </c>
      <c r="F820" s="49" t="s">
        <v>716</v>
      </c>
      <c r="G820" s="49" t="s">
        <v>731</v>
      </c>
      <c r="H820" s="49" t="s">
        <v>702</v>
      </c>
      <c r="I820" s="49" t="s">
        <v>736</v>
      </c>
      <c r="J820" s="49" t="s">
        <v>737</v>
      </c>
      <c r="K820" s="49" t="s">
        <v>738</v>
      </c>
      <c r="L820" s="49" t="s">
        <v>808</v>
      </c>
      <c r="M820" s="49">
        <v>1</v>
      </c>
      <c r="N820" s="49" t="s">
        <v>256</v>
      </c>
      <c r="O820" s="49" t="s">
        <v>767</v>
      </c>
      <c r="P820" s="52" t="s">
        <v>746</v>
      </c>
      <c r="Q820" s="49" t="s">
        <v>683</v>
      </c>
      <c r="R820" s="49" t="s">
        <v>48</v>
      </c>
      <c r="S820" s="49" t="s">
        <v>684</v>
      </c>
      <c r="T820" s="49" t="s">
        <v>1821</v>
      </c>
      <c r="U820" s="49" t="s">
        <v>1824</v>
      </c>
      <c r="V820" s="50" t="s">
        <v>1823</v>
      </c>
    </row>
    <row r="821" spans="1:22" x14ac:dyDescent="0.3">
      <c r="A821" s="51" t="s">
        <v>1473</v>
      </c>
      <c r="B821" s="52" t="s">
        <v>544</v>
      </c>
      <c r="C821" s="52" t="s">
        <v>1473</v>
      </c>
      <c r="D821" s="52" t="s">
        <v>684</v>
      </c>
      <c r="E821" s="52" t="s">
        <v>674</v>
      </c>
      <c r="F821" s="52" t="s">
        <v>716</v>
      </c>
      <c r="G821" s="52" t="s">
        <v>744</v>
      </c>
      <c r="H821" s="52" t="s">
        <v>717</v>
      </c>
      <c r="I821" s="52" t="s">
        <v>736</v>
      </c>
      <c r="J821" s="52" t="s">
        <v>737</v>
      </c>
      <c r="K821" s="52" t="s">
        <v>738</v>
      </c>
      <c r="L821" s="52" t="s">
        <v>808</v>
      </c>
      <c r="M821" s="52">
        <v>1</v>
      </c>
      <c r="N821" s="52" t="s">
        <v>268</v>
      </c>
      <c r="O821" s="52" t="s">
        <v>665</v>
      </c>
      <c r="P821" s="52" t="s">
        <v>746</v>
      </c>
      <c r="Q821" s="52" t="s">
        <v>683</v>
      </c>
      <c r="R821" s="52" t="s">
        <v>48</v>
      </c>
      <c r="S821" s="49" t="s">
        <v>684</v>
      </c>
      <c r="T821" s="52" t="s">
        <v>1821</v>
      </c>
      <c r="U821" s="52" t="s">
        <v>1824</v>
      </c>
      <c r="V821" s="50" t="s">
        <v>1823</v>
      </c>
    </row>
    <row r="822" spans="1:22" x14ac:dyDescent="0.3">
      <c r="A822" s="48" t="s">
        <v>1470</v>
      </c>
      <c r="B822" s="49" t="s">
        <v>544</v>
      </c>
      <c r="C822" s="49" t="s">
        <v>1471</v>
      </c>
      <c r="D822" s="49" t="s">
        <v>684</v>
      </c>
      <c r="E822" s="49" t="s">
        <v>674</v>
      </c>
      <c r="F822" s="49" t="s">
        <v>716</v>
      </c>
      <c r="G822" s="49" t="s">
        <v>744</v>
      </c>
      <c r="H822" s="49" t="s">
        <v>702</v>
      </c>
      <c r="I822" s="49" t="s">
        <v>736</v>
      </c>
      <c r="J822" s="49" t="s">
        <v>737</v>
      </c>
      <c r="K822" s="49" t="s">
        <v>738</v>
      </c>
      <c r="L822" s="49" t="s">
        <v>808</v>
      </c>
      <c r="M822" s="49">
        <v>1</v>
      </c>
      <c r="N822" s="49" t="s">
        <v>349</v>
      </c>
      <c r="O822" s="49" t="s">
        <v>665</v>
      </c>
      <c r="P822" s="49" t="s">
        <v>746</v>
      </c>
      <c r="Q822" s="49" t="s">
        <v>683</v>
      </c>
      <c r="R822" s="49" t="s">
        <v>48</v>
      </c>
      <c r="S822" s="49" t="s">
        <v>684</v>
      </c>
      <c r="T822" s="49" t="s">
        <v>1821</v>
      </c>
      <c r="U822" s="49" t="s">
        <v>1824</v>
      </c>
      <c r="V822" s="50" t="s">
        <v>1823</v>
      </c>
    </row>
    <row r="823" spans="1:22" x14ac:dyDescent="0.3">
      <c r="A823" s="51" t="s">
        <v>1467</v>
      </c>
      <c r="B823" s="52" t="s">
        <v>544</v>
      </c>
      <c r="C823" s="52" t="s">
        <v>1468</v>
      </c>
      <c r="D823" s="52" t="s">
        <v>684</v>
      </c>
      <c r="E823" s="52" t="s">
        <v>674</v>
      </c>
      <c r="F823" s="52" t="s">
        <v>716</v>
      </c>
      <c r="G823" s="52" t="s">
        <v>731</v>
      </c>
      <c r="H823" s="52" t="s">
        <v>702</v>
      </c>
      <c r="I823" s="52" t="s">
        <v>736</v>
      </c>
      <c r="J823" s="52" t="s">
        <v>737</v>
      </c>
      <c r="K823" s="52" t="s">
        <v>738</v>
      </c>
      <c r="L823" s="52" t="s">
        <v>808</v>
      </c>
      <c r="M823" s="52">
        <v>1</v>
      </c>
      <c r="N823" s="52" t="s">
        <v>157</v>
      </c>
      <c r="O823" s="52" t="s">
        <v>767</v>
      </c>
      <c r="P823" s="52" t="s">
        <v>746</v>
      </c>
      <c r="Q823" s="52" t="s">
        <v>683</v>
      </c>
      <c r="R823" s="52" t="s">
        <v>48</v>
      </c>
      <c r="S823" s="49" t="s">
        <v>684</v>
      </c>
      <c r="T823" s="52" t="s">
        <v>1821</v>
      </c>
      <c r="U823" s="52" t="s">
        <v>1824</v>
      </c>
      <c r="V823" s="50" t="s">
        <v>1823</v>
      </c>
    </row>
    <row r="824" spans="1:22" x14ac:dyDescent="0.3">
      <c r="A824" s="48" t="s">
        <v>1467</v>
      </c>
      <c r="B824" s="49" t="s">
        <v>544</v>
      </c>
      <c r="C824" s="49" t="s">
        <v>1468</v>
      </c>
      <c r="D824" s="49" t="s">
        <v>684</v>
      </c>
      <c r="E824" s="49" t="s">
        <v>674</v>
      </c>
      <c r="F824" s="49" t="s">
        <v>716</v>
      </c>
      <c r="G824" s="49" t="s">
        <v>731</v>
      </c>
      <c r="H824" s="49" t="s">
        <v>702</v>
      </c>
      <c r="I824" s="49" t="s">
        <v>736</v>
      </c>
      <c r="J824" s="49" t="s">
        <v>737</v>
      </c>
      <c r="K824" s="49" t="s">
        <v>738</v>
      </c>
      <c r="L824" s="49" t="s">
        <v>808</v>
      </c>
      <c r="M824" s="49">
        <v>1</v>
      </c>
      <c r="N824" s="49" t="s">
        <v>393</v>
      </c>
      <c r="O824" s="49" t="s">
        <v>665</v>
      </c>
      <c r="P824" s="49" t="s">
        <v>746</v>
      </c>
      <c r="Q824" s="49" t="s">
        <v>683</v>
      </c>
      <c r="R824" s="49" t="s">
        <v>48</v>
      </c>
      <c r="S824" s="49" t="s">
        <v>684</v>
      </c>
      <c r="T824" s="49" t="s">
        <v>1821</v>
      </c>
      <c r="U824" s="49" t="s">
        <v>1824</v>
      </c>
      <c r="V824" s="50" t="s">
        <v>1823</v>
      </c>
    </row>
    <row r="825" spans="1:22" x14ac:dyDescent="0.3">
      <c r="A825" s="51" t="s">
        <v>1472</v>
      </c>
      <c r="B825" s="52" t="s">
        <v>544</v>
      </c>
      <c r="C825" s="52" t="s">
        <v>1472</v>
      </c>
      <c r="D825" s="52" t="s">
        <v>684</v>
      </c>
      <c r="E825" s="52" t="s">
        <v>674</v>
      </c>
      <c r="F825" s="52" t="s">
        <v>716</v>
      </c>
      <c r="G825" s="52" t="s">
        <v>744</v>
      </c>
      <c r="H825" s="52" t="s">
        <v>717</v>
      </c>
      <c r="I825" s="52" t="s">
        <v>736</v>
      </c>
      <c r="J825" s="52" t="s">
        <v>737</v>
      </c>
      <c r="K825" s="52" t="s">
        <v>738</v>
      </c>
      <c r="L825" s="52" t="s">
        <v>699</v>
      </c>
      <c r="M825" s="52">
        <v>1</v>
      </c>
      <c r="N825" s="52" t="s">
        <v>344</v>
      </c>
      <c r="O825" s="52" t="s">
        <v>665</v>
      </c>
      <c r="P825" s="52" t="s">
        <v>746</v>
      </c>
      <c r="Q825" s="52" t="s">
        <v>683</v>
      </c>
      <c r="R825" s="52" t="s">
        <v>48</v>
      </c>
      <c r="S825" s="49" t="s">
        <v>684</v>
      </c>
      <c r="T825" s="52" t="s">
        <v>1821</v>
      </c>
      <c r="U825" s="52" t="s">
        <v>1824</v>
      </c>
      <c r="V825" s="50" t="s">
        <v>1823</v>
      </c>
    </row>
    <row r="826" spans="1:22" x14ac:dyDescent="0.3">
      <c r="A826" s="48" t="s">
        <v>1470</v>
      </c>
      <c r="B826" s="49" t="s">
        <v>544</v>
      </c>
      <c r="C826" s="49" t="s">
        <v>1471</v>
      </c>
      <c r="D826" s="49" t="s">
        <v>684</v>
      </c>
      <c r="E826" s="49" t="s">
        <v>674</v>
      </c>
      <c r="F826" s="49" t="s">
        <v>716</v>
      </c>
      <c r="G826" s="49" t="s">
        <v>744</v>
      </c>
      <c r="H826" s="49" t="s">
        <v>702</v>
      </c>
      <c r="I826" s="49" t="s">
        <v>736</v>
      </c>
      <c r="J826" s="49" t="s">
        <v>737</v>
      </c>
      <c r="K826" s="49" t="s">
        <v>738</v>
      </c>
      <c r="L826" s="49" t="s">
        <v>808</v>
      </c>
      <c r="M826" s="49">
        <v>1</v>
      </c>
      <c r="N826" s="49" t="s">
        <v>261</v>
      </c>
      <c r="O826" s="49" t="s">
        <v>767</v>
      </c>
      <c r="P826" s="52" t="s">
        <v>746</v>
      </c>
      <c r="Q826" s="49" t="s">
        <v>683</v>
      </c>
      <c r="R826" s="49" t="s">
        <v>48</v>
      </c>
      <c r="S826" s="49" t="s">
        <v>684</v>
      </c>
      <c r="T826" s="49" t="s">
        <v>1821</v>
      </c>
      <c r="U826" s="49" t="s">
        <v>1824</v>
      </c>
      <c r="V826" s="50" t="s">
        <v>1823</v>
      </c>
    </row>
    <row r="827" spans="1:22" x14ac:dyDescent="0.3">
      <c r="A827" s="51" t="s">
        <v>1470</v>
      </c>
      <c r="B827" s="52" t="s">
        <v>544</v>
      </c>
      <c r="C827" s="52" t="s">
        <v>1471</v>
      </c>
      <c r="D827" s="52" t="s">
        <v>684</v>
      </c>
      <c r="E827" s="52" t="s">
        <v>674</v>
      </c>
      <c r="F827" s="52" t="s">
        <v>716</v>
      </c>
      <c r="G827" s="52" t="s">
        <v>744</v>
      </c>
      <c r="H827" s="52" t="s">
        <v>702</v>
      </c>
      <c r="I827" s="52" t="s">
        <v>736</v>
      </c>
      <c r="J827" s="52" t="s">
        <v>737</v>
      </c>
      <c r="K827" s="52" t="s">
        <v>738</v>
      </c>
      <c r="L827" s="52" t="s">
        <v>808</v>
      </c>
      <c r="M827" s="52">
        <v>1</v>
      </c>
      <c r="N827" s="52" t="s">
        <v>322</v>
      </c>
      <c r="O827" s="52" t="s">
        <v>665</v>
      </c>
      <c r="P827" s="52" t="s">
        <v>746</v>
      </c>
      <c r="Q827" s="52" t="s">
        <v>683</v>
      </c>
      <c r="R827" s="52" t="s">
        <v>48</v>
      </c>
      <c r="S827" s="49" t="s">
        <v>684</v>
      </c>
      <c r="T827" s="52" t="s">
        <v>1821</v>
      </c>
      <c r="U827" s="52" t="s">
        <v>1824</v>
      </c>
      <c r="V827" s="50" t="s">
        <v>1823</v>
      </c>
    </row>
    <row r="828" spans="1:22" x14ac:dyDescent="0.3">
      <c r="A828" s="48" t="s">
        <v>1470</v>
      </c>
      <c r="B828" s="49" t="s">
        <v>544</v>
      </c>
      <c r="C828" s="49" t="s">
        <v>1471</v>
      </c>
      <c r="D828" s="49" t="s">
        <v>684</v>
      </c>
      <c r="E828" s="49" t="s">
        <v>674</v>
      </c>
      <c r="F828" s="49" t="s">
        <v>716</v>
      </c>
      <c r="G828" s="49" t="s">
        <v>744</v>
      </c>
      <c r="H828" s="49" t="s">
        <v>702</v>
      </c>
      <c r="I828" s="49" t="s">
        <v>736</v>
      </c>
      <c r="J828" s="49" t="s">
        <v>737</v>
      </c>
      <c r="K828" s="49" t="s">
        <v>738</v>
      </c>
      <c r="L828" s="49" t="s">
        <v>808</v>
      </c>
      <c r="M828" s="49">
        <v>1</v>
      </c>
      <c r="N828" s="49" t="s">
        <v>444</v>
      </c>
      <c r="O828" s="49" t="s">
        <v>665</v>
      </c>
      <c r="P828" s="49" t="s">
        <v>746</v>
      </c>
      <c r="Q828" s="49" t="s">
        <v>683</v>
      </c>
      <c r="R828" s="49" t="s">
        <v>48</v>
      </c>
      <c r="S828" s="49" t="s">
        <v>684</v>
      </c>
      <c r="T828" s="49" t="s">
        <v>1821</v>
      </c>
      <c r="U828" s="49" t="s">
        <v>1824</v>
      </c>
      <c r="V828" s="50" t="s">
        <v>1823</v>
      </c>
    </row>
    <row r="829" spans="1:22" x14ac:dyDescent="0.3">
      <c r="A829" s="51" t="s">
        <v>1245</v>
      </c>
      <c r="B829" s="52" t="s">
        <v>470</v>
      </c>
      <c r="C829" s="52" t="s">
        <v>1246</v>
      </c>
      <c r="D829" s="52" t="s">
        <v>684</v>
      </c>
      <c r="E829" s="52" t="s">
        <v>674</v>
      </c>
      <c r="F829" s="52" t="s">
        <v>716</v>
      </c>
      <c r="G829" s="52" t="s">
        <v>744</v>
      </c>
      <c r="H829" s="52" t="s">
        <v>702</v>
      </c>
      <c r="I829" s="49" t="s">
        <v>678</v>
      </c>
      <c r="J829" s="52" t="s">
        <v>745</v>
      </c>
      <c r="K829" s="52" t="s">
        <v>738</v>
      </c>
      <c r="L829" s="52" t="s">
        <v>699</v>
      </c>
      <c r="M829" s="52">
        <v>1</v>
      </c>
      <c r="N829" s="52" t="s">
        <v>108</v>
      </c>
      <c r="O829" s="52" t="s">
        <v>665</v>
      </c>
      <c r="P829" s="52" t="s">
        <v>746</v>
      </c>
      <c r="Q829" s="52" t="s">
        <v>683</v>
      </c>
      <c r="R829" s="52" t="s">
        <v>449</v>
      </c>
      <c r="S829" s="49" t="s">
        <v>684</v>
      </c>
      <c r="T829" s="52" t="s">
        <v>1821</v>
      </c>
      <c r="U829" s="52" t="s">
        <v>1824</v>
      </c>
      <c r="V829" s="50" t="s">
        <v>1823</v>
      </c>
    </row>
    <row r="830" spans="1:22" x14ac:dyDescent="0.3">
      <c r="A830" s="48" t="s">
        <v>1245</v>
      </c>
      <c r="B830" s="49" t="s">
        <v>470</v>
      </c>
      <c r="C830" s="49" t="s">
        <v>1246</v>
      </c>
      <c r="D830" s="49" t="s">
        <v>684</v>
      </c>
      <c r="E830" s="49" t="s">
        <v>674</v>
      </c>
      <c r="F830" s="49" t="s">
        <v>716</v>
      </c>
      <c r="G830" s="49" t="s">
        <v>744</v>
      </c>
      <c r="H830" s="49" t="s">
        <v>702</v>
      </c>
      <c r="I830" s="49" t="s">
        <v>678</v>
      </c>
      <c r="J830" s="49" t="s">
        <v>745</v>
      </c>
      <c r="K830" s="49" t="s">
        <v>738</v>
      </c>
      <c r="L830" s="49" t="s">
        <v>699</v>
      </c>
      <c r="M830" s="49">
        <v>0.8</v>
      </c>
      <c r="N830" s="49" t="s">
        <v>55</v>
      </c>
      <c r="O830" s="49" t="s">
        <v>665</v>
      </c>
      <c r="P830" s="49" t="s">
        <v>746</v>
      </c>
      <c r="Q830" s="49" t="s">
        <v>683</v>
      </c>
      <c r="R830" s="49" t="s">
        <v>449</v>
      </c>
      <c r="S830" s="49" t="s">
        <v>684</v>
      </c>
      <c r="T830" s="49" t="s">
        <v>1821</v>
      </c>
      <c r="U830" s="49" t="s">
        <v>1824</v>
      </c>
      <c r="V830" s="50" t="s">
        <v>1823</v>
      </c>
    </row>
    <row r="831" spans="1:22" x14ac:dyDescent="0.3">
      <c r="A831" s="51" t="s">
        <v>1245</v>
      </c>
      <c r="B831" s="52" t="s">
        <v>470</v>
      </c>
      <c r="C831" s="52" t="s">
        <v>1246</v>
      </c>
      <c r="D831" s="52" t="s">
        <v>684</v>
      </c>
      <c r="E831" s="52" t="s">
        <v>674</v>
      </c>
      <c r="F831" s="52" t="s">
        <v>716</v>
      </c>
      <c r="G831" s="52" t="s">
        <v>744</v>
      </c>
      <c r="H831" s="52" t="s">
        <v>702</v>
      </c>
      <c r="I831" s="49" t="s">
        <v>678</v>
      </c>
      <c r="J831" s="52" t="s">
        <v>745</v>
      </c>
      <c r="K831" s="52" t="s">
        <v>738</v>
      </c>
      <c r="L831" s="52" t="s">
        <v>699</v>
      </c>
      <c r="M831" s="52">
        <v>1</v>
      </c>
      <c r="N831" s="52" t="s">
        <v>1466</v>
      </c>
      <c r="O831" s="52" t="s">
        <v>665</v>
      </c>
      <c r="P831" s="52" t="s">
        <v>746</v>
      </c>
      <c r="Q831" s="52" t="s">
        <v>683</v>
      </c>
      <c r="R831" s="52" t="s">
        <v>449</v>
      </c>
      <c r="S831" s="49" t="s">
        <v>684</v>
      </c>
      <c r="T831" s="52" t="s">
        <v>1821</v>
      </c>
      <c r="U831" s="52" t="s">
        <v>1824</v>
      </c>
      <c r="V831" s="50" t="s">
        <v>1823</v>
      </c>
    </row>
    <row r="832" spans="1:22" x14ac:dyDescent="0.3">
      <c r="A832" s="48" t="s">
        <v>1245</v>
      </c>
      <c r="B832" s="49" t="s">
        <v>470</v>
      </c>
      <c r="C832" s="49" t="s">
        <v>1246</v>
      </c>
      <c r="D832" s="49" t="s">
        <v>684</v>
      </c>
      <c r="E832" s="49" t="s">
        <v>674</v>
      </c>
      <c r="F832" s="49" t="s">
        <v>716</v>
      </c>
      <c r="G832" s="49" t="s">
        <v>744</v>
      </c>
      <c r="H832" s="49" t="s">
        <v>702</v>
      </c>
      <c r="I832" s="49" t="s">
        <v>678</v>
      </c>
      <c r="J832" s="49" t="s">
        <v>745</v>
      </c>
      <c r="K832" s="49" t="s">
        <v>738</v>
      </c>
      <c r="L832" s="49" t="s">
        <v>699</v>
      </c>
      <c r="M832" s="49">
        <v>1</v>
      </c>
      <c r="N832" s="49" t="s">
        <v>86</v>
      </c>
      <c r="O832" s="49" t="s">
        <v>767</v>
      </c>
      <c r="P832" s="52" t="s">
        <v>746</v>
      </c>
      <c r="Q832" s="49" t="s">
        <v>683</v>
      </c>
      <c r="R832" s="49" t="s">
        <v>2165</v>
      </c>
      <c r="S832" s="49" t="s">
        <v>684</v>
      </c>
      <c r="T832" s="49" t="s">
        <v>1821</v>
      </c>
      <c r="U832" s="49" t="s">
        <v>1824</v>
      </c>
      <c r="V832" s="50" t="s">
        <v>1823</v>
      </c>
    </row>
    <row r="833" spans="1:22" x14ac:dyDescent="0.3">
      <c r="A833" s="51" t="s">
        <v>1245</v>
      </c>
      <c r="B833" s="52" t="s">
        <v>470</v>
      </c>
      <c r="C833" s="52" t="s">
        <v>1246</v>
      </c>
      <c r="D833" s="52" t="s">
        <v>684</v>
      </c>
      <c r="E833" s="52" t="s">
        <v>674</v>
      </c>
      <c r="F833" s="52" t="s">
        <v>716</v>
      </c>
      <c r="G833" s="52" t="s">
        <v>744</v>
      </c>
      <c r="H833" s="52" t="s">
        <v>702</v>
      </c>
      <c r="I833" s="49" t="s">
        <v>678</v>
      </c>
      <c r="J833" s="52" t="s">
        <v>745</v>
      </c>
      <c r="K833" s="52" t="s">
        <v>738</v>
      </c>
      <c r="L833" s="52" t="s">
        <v>699</v>
      </c>
      <c r="M833" s="52">
        <v>1</v>
      </c>
      <c r="N833" s="52" t="s">
        <v>606</v>
      </c>
      <c r="O833" s="52" t="s">
        <v>665</v>
      </c>
      <c r="P833" s="52" t="s">
        <v>746</v>
      </c>
      <c r="Q833" s="52" t="s">
        <v>683</v>
      </c>
      <c r="R833" s="52" t="s">
        <v>449</v>
      </c>
      <c r="S833" s="49" t="s">
        <v>684</v>
      </c>
      <c r="T833" s="52" t="s">
        <v>1821</v>
      </c>
      <c r="U833" s="52" t="s">
        <v>1824</v>
      </c>
      <c r="V833" s="50" t="s">
        <v>1823</v>
      </c>
    </row>
    <row r="834" spans="1:22" x14ac:dyDescent="0.3">
      <c r="A834" s="48" t="s">
        <v>1245</v>
      </c>
      <c r="B834" s="49" t="s">
        <v>470</v>
      </c>
      <c r="C834" s="49" t="s">
        <v>1246</v>
      </c>
      <c r="D834" s="49" t="s">
        <v>684</v>
      </c>
      <c r="E834" s="49" t="s">
        <v>674</v>
      </c>
      <c r="F834" s="49" t="s">
        <v>716</v>
      </c>
      <c r="G834" s="49" t="s">
        <v>744</v>
      </c>
      <c r="H834" s="49" t="s">
        <v>702</v>
      </c>
      <c r="I834" s="49" t="s">
        <v>678</v>
      </c>
      <c r="J834" s="49" t="s">
        <v>745</v>
      </c>
      <c r="K834" s="49" t="s">
        <v>738</v>
      </c>
      <c r="L834" s="49" t="s">
        <v>699</v>
      </c>
      <c r="M834" s="49">
        <v>1</v>
      </c>
      <c r="N834" s="49" t="s">
        <v>112</v>
      </c>
      <c r="O834" s="49" t="s">
        <v>665</v>
      </c>
      <c r="P834" s="49" t="s">
        <v>746</v>
      </c>
      <c r="Q834" s="49" t="s">
        <v>683</v>
      </c>
      <c r="R834" s="49" t="s">
        <v>449</v>
      </c>
      <c r="S834" s="49" t="s">
        <v>684</v>
      </c>
      <c r="T834" s="49" t="s">
        <v>1821</v>
      </c>
      <c r="U834" s="49" t="s">
        <v>1824</v>
      </c>
      <c r="V834" s="50" t="s">
        <v>1823</v>
      </c>
    </row>
    <row r="835" spans="1:22" x14ac:dyDescent="0.3">
      <c r="A835" s="51" t="s">
        <v>1245</v>
      </c>
      <c r="B835" s="52" t="s">
        <v>470</v>
      </c>
      <c r="C835" s="52" t="s">
        <v>1246</v>
      </c>
      <c r="D835" s="52" t="s">
        <v>684</v>
      </c>
      <c r="E835" s="52" t="s">
        <v>674</v>
      </c>
      <c r="F835" s="52" t="s">
        <v>716</v>
      </c>
      <c r="G835" s="52" t="s">
        <v>744</v>
      </c>
      <c r="H835" s="52" t="s">
        <v>702</v>
      </c>
      <c r="I835" s="49" t="s">
        <v>678</v>
      </c>
      <c r="J835" s="52" t="s">
        <v>745</v>
      </c>
      <c r="K835" s="52" t="s">
        <v>738</v>
      </c>
      <c r="L835" s="52" t="s">
        <v>699</v>
      </c>
      <c r="M835" s="52">
        <v>1</v>
      </c>
      <c r="N835" s="52" t="s">
        <v>145</v>
      </c>
      <c r="O835" s="52" t="s">
        <v>665</v>
      </c>
      <c r="P835" s="52" t="s">
        <v>746</v>
      </c>
      <c r="Q835" s="52" t="s">
        <v>683</v>
      </c>
      <c r="R835" s="52" t="s">
        <v>449</v>
      </c>
      <c r="S835" s="49" t="s">
        <v>684</v>
      </c>
      <c r="T835" s="52" t="s">
        <v>1821</v>
      </c>
      <c r="U835" s="52" t="s">
        <v>1824</v>
      </c>
      <c r="V835" s="50" t="s">
        <v>1823</v>
      </c>
    </row>
    <row r="836" spans="1:22" x14ac:dyDescent="0.3">
      <c r="A836" s="48" t="s">
        <v>1245</v>
      </c>
      <c r="B836" s="49" t="s">
        <v>470</v>
      </c>
      <c r="C836" s="49" t="s">
        <v>1246</v>
      </c>
      <c r="D836" s="49" t="s">
        <v>684</v>
      </c>
      <c r="E836" s="49" t="s">
        <v>674</v>
      </c>
      <c r="F836" s="49" t="s">
        <v>716</v>
      </c>
      <c r="G836" s="49" t="s">
        <v>744</v>
      </c>
      <c r="H836" s="49" t="s">
        <v>702</v>
      </c>
      <c r="I836" s="49" t="s">
        <v>678</v>
      </c>
      <c r="J836" s="49" t="s">
        <v>745</v>
      </c>
      <c r="K836" s="49" t="s">
        <v>738</v>
      </c>
      <c r="L836" s="49" t="s">
        <v>699</v>
      </c>
      <c r="M836" s="49">
        <v>1</v>
      </c>
      <c r="N836" s="49" t="s">
        <v>449</v>
      </c>
      <c r="O836" s="49" t="s">
        <v>665</v>
      </c>
      <c r="P836" s="49" t="s">
        <v>746</v>
      </c>
      <c r="Q836" s="49" t="s">
        <v>683</v>
      </c>
      <c r="R836" s="49" t="s">
        <v>470</v>
      </c>
      <c r="S836" s="49" t="s">
        <v>684</v>
      </c>
      <c r="T836" s="49" t="s">
        <v>1821</v>
      </c>
      <c r="U836" s="49" t="s">
        <v>1824</v>
      </c>
      <c r="V836" s="50" t="s">
        <v>1823</v>
      </c>
    </row>
    <row r="837" spans="1:22" x14ac:dyDescent="0.3">
      <c r="A837" s="51" t="s">
        <v>1245</v>
      </c>
      <c r="B837" s="52" t="s">
        <v>470</v>
      </c>
      <c r="C837" s="52" t="s">
        <v>1246</v>
      </c>
      <c r="D837" s="52" t="s">
        <v>684</v>
      </c>
      <c r="E837" s="52" t="s">
        <v>674</v>
      </c>
      <c r="F837" s="52" t="s">
        <v>716</v>
      </c>
      <c r="G837" s="52" t="s">
        <v>744</v>
      </c>
      <c r="H837" s="52" t="s">
        <v>702</v>
      </c>
      <c r="I837" s="49" t="s">
        <v>678</v>
      </c>
      <c r="J837" s="52" t="s">
        <v>745</v>
      </c>
      <c r="K837" s="52" t="s">
        <v>738</v>
      </c>
      <c r="L837" s="52" t="s">
        <v>699</v>
      </c>
      <c r="M837" s="52">
        <v>1</v>
      </c>
      <c r="N837" s="52" t="s">
        <v>587</v>
      </c>
      <c r="O837" s="52" t="s">
        <v>767</v>
      </c>
      <c r="P837" s="52" t="s">
        <v>746</v>
      </c>
      <c r="Q837" s="52" t="s">
        <v>683</v>
      </c>
      <c r="R837" s="52" t="s">
        <v>2165</v>
      </c>
      <c r="S837" s="49" t="s">
        <v>684</v>
      </c>
      <c r="T837" s="52" t="s">
        <v>1821</v>
      </c>
      <c r="U837" s="52" t="s">
        <v>1824</v>
      </c>
      <c r="V837" s="50" t="s">
        <v>1823</v>
      </c>
    </row>
    <row r="838" spans="1:22" x14ac:dyDescent="0.3">
      <c r="A838" s="48" t="s">
        <v>1245</v>
      </c>
      <c r="B838" s="49" t="s">
        <v>470</v>
      </c>
      <c r="C838" s="49" t="s">
        <v>1246</v>
      </c>
      <c r="D838" s="49" t="s">
        <v>684</v>
      </c>
      <c r="E838" s="49" t="s">
        <v>674</v>
      </c>
      <c r="F838" s="49" t="s">
        <v>716</v>
      </c>
      <c r="G838" s="49" t="s">
        <v>744</v>
      </c>
      <c r="H838" s="49" t="s">
        <v>702</v>
      </c>
      <c r="I838" s="49" t="s">
        <v>678</v>
      </c>
      <c r="J838" s="49" t="s">
        <v>745</v>
      </c>
      <c r="K838" s="49" t="s">
        <v>738</v>
      </c>
      <c r="L838" s="49" t="s">
        <v>699</v>
      </c>
      <c r="M838" s="49">
        <v>1</v>
      </c>
      <c r="N838" s="49" t="s">
        <v>130</v>
      </c>
      <c r="O838" s="49" t="s">
        <v>665</v>
      </c>
      <c r="P838" s="49" t="s">
        <v>746</v>
      </c>
      <c r="Q838" s="49" t="s">
        <v>683</v>
      </c>
      <c r="R838" s="49" t="s">
        <v>449</v>
      </c>
      <c r="S838" s="49" t="s">
        <v>684</v>
      </c>
      <c r="T838" s="49" t="s">
        <v>1821</v>
      </c>
      <c r="U838" s="49" t="s">
        <v>1824</v>
      </c>
      <c r="V838" s="50" t="s">
        <v>1823</v>
      </c>
    </row>
    <row r="839" spans="1:22" x14ac:dyDescent="0.3">
      <c r="A839" s="51" t="s">
        <v>1245</v>
      </c>
      <c r="B839" s="52" t="s">
        <v>470</v>
      </c>
      <c r="C839" s="52" t="s">
        <v>1246</v>
      </c>
      <c r="D839" s="52" t="s">
        <v>684</v>
      </c>
      <c r="E839" s="52" t="s">
        <v>674</v>
      </c>
      <c r="F839" s="52" t="s">
        <v>716</v>
      </c>
      <c r="G839" s="52" t="s">
        <v>744</v>
      </c>
      <c r="H839" s="52" t="s">
        <v>702</v>
      </c>
      <c r="I839" s="49" t="s">
        <v>678</v>
      </c>
      <c r="J839" s="52" t="s">
        <v>745</v>
      </c>
      <c r="K839" s="52" t="s">
        <v>738</v>
      </c>
      <c r="L839" s="52" t="s">
        <v>699</v>
      </c>
      <c r="M839" s="52">
        <v>1</v>
      </c>
      <c r="N839" s="52" t="s">
        <v>326</v>
      </c>
      <c r="O839" s="52" t="s">
        <v>665</v>
      </c>
      <c r="P839" s="52" t="s">
        <v>746</v>
      </c>
      <c r="Q839" s="52" t="s">
        <v>683</v>
      </c>
      <c r="R839" s="52" t="s">
        <v>2331</v>
      </c>
      <c r="S839" s="52" t="s">
        <v>673</v>
      </c>
      <c r="T839" s="52" t="s">
        <v>1821</v>
      </c>
      <c r="U839" s="52" t="s">
        <v>1824</v>
      </c>
      <c r="V839" s="50" t="s">
        <v>1823</v>
      </c>
    </row>
    <row r="840" spans="1:22" x14ac:dyDescent="0.3">
      <c r="A840" s="48" t="s">
        <v>1245</v>
      </c>
      <c r="B840" s="49" t="s">
        <v>470</v>
      </c>
      <c r="C840" s="49" t="s">
        <v>1246</v>
      </c>
      <c r="D840" s="49" t="s">
        <v>684</v>
      </c>
      <c r="E840" s="49" t="s">
        <v>674</v>
      </c>
      <c r="F840" s="49" t="s">
        <v>716</v>
      </c>
      <c r="G840" s="49" t="s">
        <v>744</v>
      </c>
      <c r="H840" s="49" t="s">
        <v>702</v>
      </c>
      <c r="I840" s="49" t="s">
        <v>678</v>
      </c>
      <c r="J840" s="49" t="s">
        <v>745</v>
      </c>
      <c r="K840" s="49" t="s">
        <v>738</v>
      </c>
      <c r="L840" s="49" t="s">
        <v>699</v>
      </c>
      <c r="M840" s="49">
        <v>1</v>
      </c>
      <c r="N840" s="49" t="s">
        <v>1667</v>
      </c>
      <c r="O840" s="49" t="s">
        <v>665</v>
      </c>
      <c r="P840" s="49" t="s">
        <v>746</v>
      </c>
      <c r="Q840" s="49" t="s">
        <v>683</v>
      </c>
      <c r="R840" s="49" t="s">
        <v>449</v>
      </c>
      <c r="S840" s="49" t="s">
        <v>684</v>
      </c>
      <c r="T840" s="49" t="s">
        <v>1821</v>
      </c>
      <c r="U840" s="49" t="s">
        <v>1824</v>
      </c>
      <c r="V840" s="50" t="s">
        <v>1823</v>
      </c>
    </row>
    <row r="841" spans="1:22" x14ac:dyDescent="0.3">
      <c r="A841" s="51" t="s">
        <v>717</v>
      </c>
      <c r="B841" s="52" t="s">
        <v>716</v>
      </c>
      <c r="C841" s="52" t="s">
        <v>715</v>
      </c>
      <c r="D841" s="52" t="s">
        <v>2302</v>
      </c>
      <c r="E841" s="52" t="s">
        <v>674</v>
      </c>
      <c r="F841" s="52" t="s">
        <v>716</v>
      </c>
      <c r="G841" s="52" t="s">
        <v>717</v>
      </c>
      <c r="H841" s="52" t="s">
        <v>717</v>
      </c>
      <c r="I841" s="52" t="s">
        <v>717</v>
      </c>
      <c r="J841" s="52" t="s">
        <v>717</v>
      </c>
      <c r="K841" s="52" t="s">
        <v>717</v>
      </c>
      <c r="L841" s="52" t="s">
        <v>699</v>
      </c>
      <c r="M841" s="52">
        <v>1</v>
      </c>
      <c r="N841" s="52" t="s">
        <v>310</v>
      </c>
      <c r="O841" s="52" t="s">
        <v>665</v>
      </c>
      <c r="P841" s="52" t="s">
        <v>682</v>
      </c>
      <c r="Q841" s="52" t="s">
        <v>683</v>
      </c>
      <c r="R841" s="52" t="s">
        <v>447</v>
      </c>
      <c r="S841" s="52" t="s">
        <v>673</v>
      </c>
      <c r="T841" s="52" t="s">
        <v>1828</v>
      </c>
      <c r="U841" s="52" t="s">
        <v>1824</v>
      </c>
      <c r="V841" s="50" t="s">
        <v>1823</v>
      </c>
    </row>
    <row r="842" spans="1:22" x14ac:dyDescent="0.3">
      <c r="A842" s="48" t="s">
        <v>729</v>
      </c>
      <c r="B842" s="49" t="s">
        <v>704</v>
      </c>
      <c r="C842" s="49" t="s">
        <v>730</v>
      </c>
      <c r="D842" s="49" t="s">
        <v>673</v>
      </c>
      <c r="E842" s="49" t="s">
        <v>674</v>
      </c>
      <c r="F842" s="49" t="s">
        <v>675</v>
      </c>
      <c r="G842" s="49" t="s">
        <v>731</v>
      </c>
      <c r="H842" s="49" t="s">
        <v>702</v>
      </c>
      <c r="I842" s="49" t="s">
        <v>688</v>
      </c>
      <c r="J842" s="49" t="s">
        <v>713</v>
      </c>
      <c r="K842" s="49" t="s">
        <v>690</v>
      </c>
      <c r="L842" s="49" t="s">
        <v>681</v>
      </c>
      <c r="M842" s="49">
        <v>1</v>
      </c>
      <c r="N842" s="49" t="s">
        <v>641</v>
      </c>
      <c r="O842" s="49" t="s">
        <v>665</v>
      </c>
      <c r="P842" s="49" t="s">
        <v>682</v>
      </c>
      <c r="Q842" s="49" t="s">
        <v>683</v>
      </c>
      <c r="R842" s="49" t="s">
        <v>447</v>
      </c>
      <c r="S842" s="52" t="s">
        <v>673</v>
      </c>
      <c r="T842" s="49" t="s">
        <v>1821</v>
      </c>
      <c r="U842" s="49" t="s">
        <v>1824</v>
      </c>
      <c r="V842" s="50" t="s">
        <v>1823</v>
      </c>
    </row>
    <row r="843" spans="1:22" x14ac:dyDescent="0.3">
      <c r="A843" s="51" t="s">
        <v>1470</v>
      </c>
      <c r="B843" s="52" t="s">
        <v>544</v>
      </c>
      <c r="C843" s="52" t="s">
        <v>1471</v>
      </c>
      <c r="D843" s="52" t="s">
        <v>684</v>
      </c>
      <c r="E843" s="52" t="s">
        <v>674</v>
      </c>
      <c r="F843" s="52" t="s">
        <v>716</v>
      </c>
      <c r="G843" s="52" t="s">
        <v>744</v>
      </c>
      <c r="H843" s="52" t="s">
        <v>702</v>
      </c>
      <c r="I843" s="52" t="s">
        <v>736</v>
      </c>
      <c r="J843" s="52" t="s">
        <v>737</v>
      </c>
      <c r="K843" s="52" t="s">
        <v>738</v>
      </c>
      <c r="L843" s="52" t="s">
        <v>808</v>
      </c>
      <c r="M843" s="52">
        <v>1</v>
      </c>
      <c r="N843" s="52" t="s">
        <v>1848</v>
      </c>
      <c r="O843" s="52" t="s">
        <v>665</v>
      </c>
      <c r="P843" s="52" t="s">
        <v>746</v>
      </c>
      <c r="Q843" s="52" t="s">
        <v>683</v>
      </c>
      <c r="R843" s="52" t="s">
        <v>48</v>
      </c>
      <c r="S843" s="49" t="s">
        <v>684</v>
      </c>
      <c r="T843" s="52" t="s">
        <v>1821</v>
      </c>
      <c r="U843" s="52" t="s">
        <v>1824</v>
      </c>
      <c r="V843" s="50" t="s">
        <v>1823</v>
      </c>
    </row>
    <row r="844" spans="1:22" x14ac:dyDescent="0.3">
      <c r="A844" s="48" t="s">
        <v>1470</v>
      </c>
      <c r="B844" s="49" t="s">
        <v>544</v>
      </c>
      <c r="C844" s="49" t="s">
        <v>1471</v>
      </c>
      <c r="D844" s="49" t="s">
        <v>684</v>
      </c>
      <c r="E844" s="49" t="s">
        <v>674</v>
      </c>
      <c r="F844" s="49" t="s">
        <v>716</v>
      </c>
      <c r="G844" s="49" t="s">
        <v>744</v>
      </c>
      <c r="H844" s="49" t="s">
        <v>702</v>
      </c>
      <c r="I844" s="49" t="s">
        <v>736</v>
      </c>
      <c r="J844" s="49" t="s">
        <v>737</v>
      </c>
      <c r="K844" s="49" t="s">
        <v>738</v>
      </c>
      <c r="L844" s="49" t="s">
        <v>808</v>
      </c>
      <c r="M844" s="49">
        <v>1</v>
      </c>
      <c r="N844" s="49" t="s">
        <v>2332</v>
      </c>
      <c r="O844" s="49" t="s">
        <v>767</v>
      </c>
      <c r="P844" s="52" t="s">
        <v>746</v>
      </c>
      <c r="Q844" s="49" t="s">
        <v>683</v>
      </c>
      <c r="R844" s="49" t="s">
        <v>48</v>
      </c>
      <c r="S844" s="49" t="s">
        <v>684</v>
      </c>
      <c r="T844" s="49" t="s">
        <v>1821</v>
      </c>
      <c r="U844" s="49" t="s">
        <v>1824</v>
      </c>
      <c r="V844" s="50" t="s">
        <v>1823</v>
      </c>
    </row>
    <row r="845" spans="1:22" x14ac:dyDescent="0.3">
      <c r="A845" s="51" t="s">
        <v>1477</v>
      </c>
      <c r="B845" s="52" t="s">
        <v>528</v>
      </c>
      <c r="C845" s="52" t="s">
        <v>1478</v>
      </c>
      <c r="D845" s="52" t="s">
        <v>673</v>
      </c>
      <c r="E845" s="52" t="s">
        <v>674</v>
      </c>
      <c r="F845" s="52" t="s">
        <v>675</v>
      </c>
      <c r="G845" s="52" t="s">
        <v>724</v>
      </c>
      <c r="H845" s="52" t="s">
        <v>677</v>
      </c>
      <c r="I845" s="49" t="s">
        <v>678</v>
      </c>
      <c r="J845" s="52" t="s">
        <v>689</v>
      </c>
      <c r="K845" s="52" t="s">
        <v>690</v>
      </c>
      <c r="L845" s="52" t="s">
        <v>699</v>
      </c>
      <c r="M845" s="52">
        <v>0.25</v>
      </c>
      <c r="N845" s="52" t="s">
        <v>426</v>
      </c>
      <c r="O845" s="52" t="s">
        <v>665</v>
      </c>
      <c r="P845" s="52" t="s">
        <v>746</v>
      </c>
      <c r="Q845" s="52" t="s">
        <v>683</v>
      </c>
      <c r="R845" s="52" t="s">
        <v>181</v>
      </c>
      <c r="S845" s="52" t="s">
        <v>673</v>
      </c>
      <c r="T845" s="52" t="s">
        <v>1821</v>
      </c>
      <c r="U845" s="52" t="s">
        <v>1824</v>
      </c>
      <c r="V845" s="50" t="s">
        <v>1823</v>
      </c>
    </row>
    <row r="846" spans="1:22" x14ac:dyDescent="0.3">
      <c r="A846" s="48" t="s">
        <v>1456</v>
      </c>
      <c r="B846" s="49" t="s">
        <v>528</v>
      </c>
      <c r="C846" s="49" t="s">
        <v>1457</v>
      </c>
      <c r="D846" s="49" t="s">
        <v>673</v>
      </c>
      <c r="E846" s="49" t="s">
        <v>674</v>
      </c>
      <c r="F846" s="49" t="s">
        <v>716</v>
      </c>
      <c r="G846" s="49" t="s">
        <v>744</v>
      </c>
      <c r="H846" s="49" t="s">
        <v>938</v>
      </c>
      <c r="I846" s="49" t="s">
        <v>688</v>
      </c>
      <c r="J846" s="49" t="s">
        <v>1422</v>
      </c>
      <c r="K846" s="49" t="s">
        <v>861</v>
      </c>
      <c r="L846" s="49" t="s">
        <v>699</v>
      </c>
      <c r="M846" s="49">
        <v>0.25</v>
      </c>
      <c r="N846" s="49" t="s">
        <v>57</v>
      </c>
      <c r="O846" s="49" t="s">
        <v>665</v>
      </c>
      <c r="P846" s="49" t="s">
        <v>746</v>
      </c>
      <c r="Q846" s="49" t="s">
        <v>683</v>
      </c>
      <c r="R846" s="49" t="s">
        <v>181</v>
      </c>
      <c r="S846" s="52" t="s">
        <v>673</v>
      </c>
      <c r="T846" s="49" t="s">
        <v>1821</v>
      </c>
      <c r="U846" s="49" t="s">
        <v>1824</v>
      </c>
      <c r="V846" s="50" t="s">
        <v>1823</v>
      </c>
    </row>
    <row r="847" spans="1:22" x14ac:dyDescent="0.3">
      <c r="A847" s="51" t="s">
        <v>1450</v>
      </c>
      <c r="B847" s="52" t="s">
        <v>528</v>
      </c>
      <c r="C847" s="52" t="s">
        <v>1451</v>
      </c>
      <c r="D847" s="52" t="s">
        <v>673</v>
      </c>
      <c r="E847" s="52" t="s">
        <v>674</v>
      </c>
      <c r="F847" s="52" t="s">
        <v>675</v>
      </c>
      <c r="G847" s="52" t="s">
        <v>676</v>
      </c>
      <c r="H847" s="52" t="s">
        <v>677</v>
      </c>
      <c r="I847" s="49" t="s">
        <v>688</v>
      </c>
      <c r="J847" s="52" t="s">
        <v>1422</v>
      </c>
      <c r="K847" s="52" t="s">
        <v>861</v>
      </c>
      <c r="L847" s="52" t="s">
        <v>691</v>
      </c>
      <c r="M847" s="52">
        <v>0.5</v>
      </c>
      <c r="N847" s="52" t="s">
        <v>110</v>
      </c>
      <c r="O847" s="52" t="s">
        <v>665</v>
      </c>
      <c r="P847" s="52" t="s">
        <v>746</v>
      </c>
      <c r="Q847" s="52" t="s">
        <v>683</v>
      </c>
      <c r="R847" s="52" t="s">
        <v>181</v>
      </c>
      <c r="S847" s="52" t="s">
        <v>673</v>
      </c>
      <c r="T847" s="52" t="s">
        <v>1821</v>
      </c>
      <c r="U847" s="52" t="s">
        <v>1824</v>
      </c>
      <c r="V847" s="50" t="s">
        <v>1823</v>
      </c>
    </row>
    <row r="848" spans="1:22" x14ac:dyDescent="0.3">
      <c r="A848" s="48" t="s">
        <v>2333</v>
      </c>
      <c r="B848" s="49" t="s">
        <v>528</v>
      </c>
      <c r="C848" s="49" t="s">
        <v>2334</v>
      </c>
      <c r="D848" s="49" t="s">
        <v>673</v>
      </c>
      <c r="E848" s="49" t="s">
        <v>674</v>
      </c>
      <c r="F848" s="49" t="s">
        <v>675</v>
      </c>
      <c r="G848" s="49" t="s">
        <v>676</v>
      </c>
      <c r="H848" s="49" t="s">
        <v>702</v>
      </c>
      <c r="I848" s="49" t="s">
        <v>688</v>
      </c>
      <c r="J848" s="49" t="s">
        <v>689</v>
      </c>
      <c r="K848" s="49" t="s">
        <v>690</v>
      </c>
      <c r="L848" s="49" t="s">
        <v>681</v>
      </c>
      <c r="M848" s="49">
        <v>0.5</v>
      </c>
      <c r="N848" s="49" t="s">
        <v>340</v>
      </c>
      <c r="O848" s="49" t="s">
        <v>665</v>
      </c>
      <c r="P848" s="49" t="s">
        <v>746</v>
      </c>
      <c r="Q848" s="49" t="s">
        <v>683</v>
      </c>
      <c r="R848" s="49" t="s">
        <v>181</v>
      </c>
      <c r="S848" s="52" t="s">
        <v>673</v>
      </c>
      <c r="T848" s="49" t="s">
        <v>1821</v>
      </c>
      <c r="U848" s="49" t="s">
        <v>1824</v>
      </c>
      <c r="V848" s="50" t="s">
        <v>1823</v>
      </c>
    </row>
    <row r="849" spans="1:22" x14ac:dyDescent="0.3">
      <c r="A849" s="51" t="s">
        <v>1479</v>
      </c>
      <c r="B849" s="52" t="s">
        <v>528</v>
      </c>
      <c r="C849" s="52" t="s">
        <v>1480</v>
      </c>
      <c r="D849" s="52" t="s">
        <v>673</v>
      </c>
      <c r="E849" s="52" t="s">
        <v>674</v>
      </c>
      <c r="F849" s="52" t="s">
        <v>675</v>
      </c>
      <c r="G849" s="52" t="s">
        <v>676</v>
      </c>
      <c r="H849" s="52" t="s">
        <v>677</v>
      </c>
      <c r="I849" s="49" t="s">
        <v>678</v>
      </c>
      <c r="J849" s="52" t="s">
        <v>1422</v>
      </c>
      <c r="K849" s="52" t="s">
        <v>861</v>
      </c>
      <c r="L849" s="52" t="s">
        <v>739</v>
      </c>
      <c r="M849" s="52">
        <v>0.25</v>
      </c>
      <c r="N849" s="52" t="s">
        <v>426</v>
      </c>
      <c r="O849" s="52" t="s">
        <v>665</v>
      </c>
      <c r="P849" s="52" t="s">
        <v>746</v>
      </c>
      <c r="Q849" s="52" t="s">
        <v>683</v>
      </c>
      <c r="R849" s="52" t="s">
        <v>181</v>
      </c>
      <c r="S849" s="52" t="s">
        <v>673</v>
      </c>
      <c r="T849" s="52" t="s">
        <v>1821</v>
      </c>
      <c r="U849" s="52" t="s">
        <v>1824</v>
      </c>
      <c r="V849" s="50" t="s">
        <v>1823</v>
      </c>
    </row>
    <row r="850" spans="1:22" x14ac:dyDescent="0.3">
      <c r="A850" s="48" t="s">
        <v>1483</v>
      </c>
      <c r="B850" s="49" t="s">
        <v>528</v>
      </c>
      <c r="C850" s="49" t="s">
        <v>1484</v>
      </c>
      <c r="D850" s="49" t="s">
        <v>1485</v>
      </c>
      <c r="E850" s="49" t="s">
        <v>674</v>
      </c>
      <c r="F850" s="49" t="s">
        <v>716</v>
      </c>
      <c r="G850" s="49" t="s">
        <v>744</v>
      </c>
      <c r="H850" s="49" t="s">
        <v>935</v>
      </c>
      <c r="I850" s="49" t="s">
        <v>678</v>
      </c>
      <c r="J850" s="49" t="s">
        <v>1422</v>
      </c>
      <c r="K850" s="49" t="s">
        <v>861</v>
      </c>
      <c r="L850" s="49" t="s">
        <v>808</v>
      </c>
      <c r="M850" s="49">
        <v>0.25</v>
      </c>
      <c r="N850" s="49" t="s">
        <v>426</v>
      </c>
      <c r="O850" s="49" t="s">
        <v>665</v>
      </c>
      <c r="P850" s="49" t="s">
        <v>746</v>
      </c>
      <c r="Q850" s="49" t="s">
        <v>683</v>
      </c>
      <c r="R850" s="49" t="s">
        <v>181</v>
      </c>
      <c r="S850" s="52" t="s">
        <v>673</v>
      </c>
      <c r="T850" s="49" t="s">
        <v>1821</v>
      </c>
      <c r="U850" s="49" t="s">
        <v>1824</v>
      </c>
      <c r="V850" s="50" t="s">
        <v>1823</v>
      </c>
    </row>
    <row r="851" spans="1:22" x14ac:dyDescent="0.3">
      <c r="A851" s="51" t="s">
        <v>1454</v>
      </c>
      <c r="B851" s="52" t="s">
        <v>528</v>
      </c>
      <c r="C851" s="52" t="s">
        <v>1455</v>
      </c>
      <c r="D851" s="52" t="s">
        <v>673</v>
      </c>
      <c r="E851" s="52" t="s">
        <v>674</v>
      </c>
      <c r="F851" s="52" t="s">
        <v>675</v>
      </c>
      <c r="G851" s="52" t="s">
        <v>676</v>
      </c>
      <c r="H851" s="52" t="s">
        <v>677</v>
      </c>
      <c r="I851" s="49" t="s">
        <v>688</v>
      </c>
      <c r="J851" s="52" t="s">
        <v>1422</v>
      </c>
      <c r="K851" s="52" t="s">
        <v>861</v>
      </c>
      <c r="L851" s="52" t="s">
        <v>681</v>
      </c>
      <c r="M851" s="52">
        <v>0.5</v>
      </c>
      <c r="N851" s="52" t="s">
        <v>110</v>
      </c>
      <c r="O851" s="52" t="s">
        <v>665</v>
      </c>
      <c r="P851" s="52" t="s">
        <v>746</v>
      </c>
      <c r="Q851" s="52" t="s">
        <v>683</v>
      </c>
      <c r="R851" s="52" t="s">
        <v>181</v>
      </c>
      <c r="S851" s="52" t="s">
        <v>673</v>
      </c>
      <c r="T851" s="52" t="s">
        <v>1821</v>
      </c>
      <c r="U851" s="52" t="s">
        <v>1824</v>
      </c>
      <c r="V851" s="50" t="s">
        <v>1823</v>
      </c>
    </row>
    <row r="852" spans="1:22" x14ac:dyDescent="0.3">
      <c r="A852" s="48" t="s">
        <v>1464</v>
      </c>
      <c r="B852" s="49" t="s">
        <v>528</v>
      </c>
      <c r="C852" s="49" t="s">
        <v>1465</v>
      </c>
      <c r="D852" s="49" t="s">
        <v>673</v>
      </c>
      <c r="E852" s="49" t="s">
        <v>674</v>
      </c>
      <c r="F852" s="49" t="s">
        <v>716</v>
      </c>
      <c r="G852" s="49" t="s">
        <v>744</v>
      </c>
      <c r="H852" s="49" t="s">
        <v>935</v>
      </c>
      <c r="I852" s="49" t="s">
        <v>678</v>
      </c>
      <c r="J852" s="49" t="s">
        <v>1422</v>
      </c>
      <c r="K852" s="49" t="s">
        <v>861</v>
      </c>
      <c r="L852" s="49" t="s">
        <v>739</v>
      </c>
      <c r="M852" s="49">
        <v>1</v>
      </c>
      <c r="N852" s="49" t="s">
        <v>397</v>
      </c>
      <c r="O852" s="49" t="s">
        <v>665</v>
      </c>
      <c r="P852" s="49" t="s">
        <v>746</v>
      </c>
      <c r="Q852" s="49" t="s">
        <v>683</v>
      </c>
      <c r="R852" s="49" t="s">
        <v>181</v>
      </c>
      <c r="S852" s="52" t="s">
        <v>673</v>
      </c>
      <c r="T852" s="49" t="s">
        <v>1821</v>
      </c>
      <c r="U852" s="49" t="s">
        <v>1824</v>
      </c>
      <c r="V852" s="50" t="s">
        <v>1823</v>
      </c>
    </row>
    <row r="853" spans="1:22" x14ac:dyDescent="0.3">
      <c r="A853" s="51" t="s">
        <v>1462</v>
      </c>
      <c r="B853" s="52" t="s">
        <v>528</v>
      </c>
      <c r="C853" s="52" t="s">
        <v>1463</v>
      </c>
      <c r="D853" s="52" t="s">
        <v>673</v>
      </c>
      <c r="E853" s="52" t="s">
        <v>674</v>
      </c>
      <c r="F853" s="52" t="s">
        <v>935</v>
      </c>
      <c r="G853" s="52" t="s">
        <v>676</v>
      </c>
      <c r="H853" s="52" t="s">
        <v>935</v>
      </c>
      <c r="I853" s="49" t="s">
        <v>688</v>
      </c>
      <c r="J853" s="52" t="s">
        <v>689</v>
      </c>
      <c r="K853" s="52" t="s">
        <v>690</v>
      </c>
      <c r="L853" s="52" t="s">
        <v>739</v>
      </c>
      <c r="M853" s="52">
        <v>0.5</v>
      </c>
      <c r="N853" s="52" t="s">
        <v>340</v>
      </c>
      <c r="O853" s="52" t="s">
        <v>665</v>
      </c>
      <c r="P853" s="52" t="s">
        <v>746</v>
      </c>
      <c r="Q853" s="52" t="s">
        <v>683</v>
      </c>
      <c r="R853" s="52" t="s">
        <v>181</v>
      </c>
      <c r="S853" s="52" t="s">
        <v>673</v>
      </c>
      <c r="T853" s="52" t="s">
        <v>1821</v>
      </c>
      <c r="U853" s="52" t="s">
        <v>1824</v>
      </c>
      <c r="V853" s="50" t="s">
        <v>1823</v>
      </c>
    </row>
    <row r="854" spans="1:22" x14ac:dyDescent="0.3">
      <c r="A854" s="48" t="s">
        <v>1481</v>
      </c>
      <c r="B854" s="49" t="s">
        <v>528</v>
      </c>
      <c r="C854" s="49" t="s">
        <v>1482</v>
      </c>
      <c r="D854" s="49" t="s">
        <v>673</v>
      </c>
      <c r="E854" s="49" t="s">
        <v>674</v>
      </c>
      <c r="F854" s="49" t="s">
        <v>675</v>
      </c>
      <c r="G854" s="49" t="s">
        <v>724</v>
      </c>
      <c r="H854" s="49" t="s">
        <v>677</v>
      </c>
      <c r="I854" s="49" t="s">
        <v>678</v>
      </c>
      <c r="J854" s="49" t="s">
        <v>689</v>
      </c>
      <c r="K854" s="49" t="s">
        <v>690</v>
      </c>
      <c r="L854" s="49" t="s">
        <v>699</v>
      </c>
      <c r="M854" s="49">
        <v>0.25</v>
      </c>
      <c r="N854" s="49" t="s">
        <v>426</v>
      </c>
      <c r="O854" s="49" t="s">
        <v>665</v>
      </c>
      <c r="P854" s="49" t="s">
        <v>746</v>
      </c>
      <c r="Q854" s="49" t="s">
        <v>683</v>
      </c>
      <c r="R854" s="49" t="s">
        <v>181</v>
      </c>
      <c r="S854" s="52" t="s">
        <v>673</v>
      </c>
      <c r="T854" s="49" t="s">
        <v>1821</v>
      </c>
      <c r="U854" s="49" t="s">
        <v>1824</v>
      </c>
      <c r="V854" s="50" t="s">
        <v>1823</v>
      </c>
    </row>
    <row r="855" spans="1:22" x14ac:dyDescent="0.3">
      <c r="A855" s="51" t="s">
        <v>1446</v>
      </c>
      <c r="B855" s="52" t="s">
        <v>528</v>
      </c>
      <c r="C855" s="52" t="s">
        <v>1447</v>
      </c>
      <c r="D855" s="52" t="s">
        <v>673</v>
      </c>
      <c r="E855" s="52" t="s">
        <v>674</v>
      </c>
      <c r="F855" s="52" t="s">
        <v>716</v>
      </c>
      <c r="G855" s="52" t="s">
        <v>744</v>
      </c>
      <c r="H855" s="52" t="s">
        <v>735</v>
      </c>
      <c r="I855" s="49" t="s">
        <v>678</v>
      </c>
      <c r="J855" s="52" t="s">
        <v>1422</v>
      </c>
      <c r="K855" s="52" t="s">
        <v>861</v>
      </c>
      <c r="L855" s="52" t="s">
        <v>699</v>
      </c>
      <c r="M855" s="52">
        <v>0.25</v>
      </c>
      <c r="N855" s="52" t="s">
        <v>57</v>
      </c>
      <c r="O855" s="52" t="s">
        <v>665</v>
      </c>
      <c r="P855" s="52" t="s">
        <v>746</v>
      </c>
      <c r="Q855" s="52" t="s">
        <v>683</v>
      </c>
      <c r="R855" s="52" t="s">
        <v>181</v>
      </c>
      <c r="S855" s="52" t="s">
        <v>673</v>
      </c>
      <c r="T855" s="52" t="s">
        <v>1821</v>
      </c>
      <c r="U855" s="52" t="s">
        <v>1824</v>
      </c>
      <c r="V855" s="50" t="s">
        <v>1823</v>
      </c>
    </row>
    <row r="856" spans="1:22" x14ac:dyDescent="0.3">
      <c r="A856" s="48" t="s">
        <v>1458</v>
      </c>
      <c r="B856" s="49" t="s">
        <v>528</v>
      </c>
      <c r="C856" s="49" t="s">
        <v>1459</v>
      </c>
      <c r="D856" s="49" t="s">
        <v>673</v>
      </c>
      <c r="E856" s="49" t="s">
        <v>674</v>
      </c>
      <c r="F856" s="49" t="s">
        <v>716</v>
      </c>
      <c r="G856" s="49" t="s">
        <v>744</v>
      </c>
      <c r="H856" s="49" t="s">
        <v>938</v>
      </c>
      <c r="I856" s="49" t="s">
        <v>678</v>
      </c>
      <c r="J856" s="49" t="s">
        <v>1422</v>
      </c>
      <c r="K856" s="49" t="s">
        <v>861</v>
      </c>
      <c r="L856" s="49" t="s">
        <v>699</v>
      </c>
      <c r="M856" s="49">
        <v>0.25</v>
      </c>
      <c r="N856" s="49" t="s">
        <v>57</v>
      </c>
      <c r="O856" s="49" t="s">
        <v>665</v>
      </c>
      <c r="P856" s="49" t="s">
        <v>746</v>
      </c>
      <c r="Q856" s="49" t="s">
        <v>683</v>
      </c>
      <c r="R856" s="49" t="s">
        <v>181</v>
      </c>
      <c r="S856" s="52" t="s">
        <v>673</v>
      </c>
      <c r="T856" s="49" t="s">
        <v>1821</v>
      </c>
      <c r="U856" s="49" t="s">
        <v>1824</v>
      </c>
      <c r="V856" s="50" t="s">
        <v>1823</v>
      </c>
    </row>
    <row r="857" spans="1:22" x14ac:dyDescent="0.3">
      <c r="A857" s="51" t="s">
        <v>1460</v>
      </c>
      <c r="B857" s="52" t="s">
        <v>528</v>
      </c>
      <c r="C857" s="52" t="s">
        <v>1461</v>
      </c>
      <c r="D857" s="52" t="s">
        <v>673</v>
      </c>
      <c r="E857" s="52" t="s">
        <v>674</v>
      </c>
      <c r="F857" s="52" t="s">
        <v>716</v>
      </c>
      <c r="G857" s="52" t="s">
        <v>744</v>
      </c>
      <c r="H857" s="52" t="s">
        <v>677</v>
      </c>
      <c r="I857" s="49" t="s">
        <v>678</v>
      </c>
      <c r="J857" s="52" t="s">
        <v>1422</v>
      </c>
      <c r="K857" s="52" t="s">
        <v>861</v>
      </c>
      <c r="L857" s="52" t="s">
        <v>739</v>
      </c>
      <c r="M857" s="52">
        <v>1</v>
      </c>
      <c r="N857" s="52" t="s">
        <v>438</v>
      </c>
      <c r="O857" s="52" t="s">
        <v>665</v>
      </c>
      <c r="P857" s="52" t="s">
        <v>746</v>
      </c>
      <c r="Q857" s="52" t="s">
        <v>683</v>
      </c>
      <c r="R857" s="52" t="s">
        <v>181</v>
      </c>
      <c r="S857" s="52" t="s">
        <v>673</v>
      </c>
      <c r="T857" s="52" t="s">
        <v>1821</v>
      </c>
      <c r="U857" s="52" t="s">
        <v>1824</v>
      </c>
      <c r="V857" s="50" t="s">
        <v>1823</v>
      </c>
    </row>
    <row r="858" spans="1:22" x14ac:dyDescent="0.3">
      <c r="A858" s="48" t="s">
        <v>1448</v>
      </c>
      <c r="B858" s="49" t="s">
        <v>528</v>
      </c>
      <c r="C858" s="49" t="s">
        <v>1449</v>
      </c>
      <c r="D858" s="49" t="s">
        <v>673</v>
      </c>
      <c r="E858" s="49" t="s">
        <v>674</v>
      </c>
      <c r="F858" s="49" t="s">
        <v>716</v>
      </c>
      <c r="G858" s="49" t="s">
        <v>744</v>
      </c>
      <c r="H858" s="49" t="s">
        <v>938</v>
      </c>
      <c r="I858" s="49" t="s">
        <v>678</v>
      </c>
      <c r="J858" s="49" t="s">
        <v>1422</v>
      </c>
      <c r="K858" s="49" t="s">
        <v>861</v>
      </c>
      <c r="L858" s="49" t="s">
        <v>699</v>
      </c>
      <c r="M858" s="49">
        <v>0.25</v>
      </c>
      <c r="N858" s="49" t="s">
        <v>57</v>
      </c>
      <c r="O858" s="49" t="s">
        <v>665</v>
      </c>
      <c r="P858" s="49" t="s">
        <v>746</v>
      </c>
      <c r="Q858" s="49" t="s">
        <v>683</v>
      </c>
      <c r="R858" s="49" t="s">
        <v>181</v>
      </c>
      <c r="S858" s="52" t="s">
        <v>673</v>
      </c>
      <c r="T858" s="49" t="s">
        <v>1821</v>
      </c>
      <c r="U858" s="49" t="s">
        <v>1824</v>
      </c>
      <c r="V858" s="50" t="s">
        <v>1823</v>
      </c>
    </row>
    <row r="859" spans="1:22" x14ac:dyDescent="0.3">
      <c r="A859" s="51" t="s">
        <v>1456</v>
      </c>
      <c r="B859" s="52" t="s">
        <v>528</v>
      </c>
      <c r="C859" s="52" t="s">
        <v>1457</v>
      </c>
      <c r="D859" s="52" t="s">
        <v>673</v>
      </c>
      <c r="E859" s="52" t="s">
        <v>674</v>
      </c>
      <c r="F859" s="52" t="s">
        <v>716</v>
      </c>
      <c r="G859" s="52" t="s">
        <v>744</v>
      </c>
      <c r="H859" s="52" t="s">
        <v>938</v>
      </c>
      <c r="I859" s="49" t="s">
        <v>688</v>
      </c>
      <c r="J859" s="52" t="s">
        <v>1422</v>
      </c>
      <c r="K859" s="52" t="s">
        <v>861</v>
      </c>
      <c r="L859" s="52" t="s">
        <v>699</v>
      </c>
      <c r="M859" s="52">
        <v>0.3</v>
      </c>
      <c r="N859" s="52" t="s">
        <v>543</v>
      </c>
      <c r="O859" s="52" t="s">
        <v>767</v>
      </c>
      <c r="P859" s="52" t="s">
        <v>746</v>
      </c>
      <c r="Q859" s="52" t="s">
        <v>683</v>
      </c>
      <c r="R859" s="52" t="s">
        <v>181</v>
      </c>
      <c r="S859" s="52" t="s">
        <v>673</v>
      </c>
      <c r="T859" s="52" t="s">
        <v>1821</v>
      </c>
      <c r="U859" s="52" t="s">
        <v>1824</v>
      </c>
      <c r="V859" s="50" t="s">
        <v>1823</v>
      </c>
    </row>
    <row r="860" spans="1:22" x14ac:dyDescent="0.3">
      <c r="A860" s="48" t="s">
        <v>1448</v>
      </c>
      <c r="B860" s="49" t="s">
        <v>528</v>
      </c>
      <c r="C860" s="49" t="s">
        <v>1449</v>
      </c>
      <c r="D860" s="49" t="s">
        <v>673</v>
      </c>
      <c r="E860" s="49" t="s">
        <v>674</v>
      </c>
      <c r="F860" s="49" t="s">
        <v>716</v>
      </c>
      <c r="G860" s="49" t="s">
        <v>744</v>
      </c>
      <c r="H860" s="49" t="s">
        <v>938</v>
      </c>
      <c r="I860" s="49" t="s">
        <v>678</v>
      </c>
      <c r="J860" s="49" t="s">
        <v>1422</v>
      </c>
      <c r="K860" s="49" t="s">
        <v>861</v>
      </c>
      <c r="L860" s="49" t="s">
        <v>699</v>
      </c>
      <c r="M860" s="49">
        <v>0.35</v>
      </c>
      <c r="N860" s="49" t="s">
        <v>543</v>
      </c>
      <c r="O860" s="49" t="s">
        <v>767</v>
      </c>
      <c r="P860" s="52" t="s">
        <v>746</v>
      </c>
      <c r="Q860" s="49" t="s">
        <v>683</v>
      </c>
      <c r="R860" s="49" t="s">
        <v>181</v>
      </c>
      <c r="S860" s="52" t="s">
        <v>673</v>
      </c>
      <c r="T860" s="49" t="s">
        <v>1821</v>
      </c>
      <c r="U860" s="49" t="s">
        <v>1824</v>
      </c>
      <c r="V860" s="50" t="s">
        <v>1823</v>
      </c>
    </row>
    <row r="861" spans="1:22" x14ac:dyDescent="0.3">
      <c r="A861" s="51" t="s">
        <v>879</v>
      </c>
      <c r="B861" s="52" t="s">
        <v>142</v>
      </c>
      <c r="C861" s="52" t="s">
        <v>880</v>
      </c>
      <c r="D861" s="52" t="s">
        <v>673</v>
      </c>
      <c r="E861" s="52" t="s">
        <v>674</v>
      </c>
      <c r="F861" s="52" t="s">
        <v>716</v>
      </c>
      <c r="G861" s="52" t="s">
        <v>744</v>
      </c>
      <c r="H861" s="52" t="s">
        <v>677</v>
      </c>
      <c r="I861" s="49" t="s">
        <v>678</v>
      </c>
      <c r="J861" s="52" t="s">
        <v>698</v>
      </c>
      <c r="K861" s="52" t="s">
        <v>690</v>
      </c>
      <c r="L861" s="52" t="s">
        <v>699</v>
      </c>
      <c r="M861" s="52">
        <v>1</v>
      </c>
      <c r="N861" s="52" t="s">
        <v>521</v>
      </c>
      <c r="O861" s="52" t="s">
        <v>665</v>
      </c>
      <c r="P861" s="52" t="s">
        <v>746</v>
      </c>
      <c r="Q861" s="52" t="s">
        <v>683</v>
      </c>
      <c r="R861" s="52" t="s">
        <v>87</v>
      </c>
      <c r="S861" s="52" t="s">
        <v>673</v>
      </c>
      <c r="T861" s="52" t="s">
        <v>1821</v>
      </c>
      <c r="U861" s="52" t="s">
        <v>1824</v>
      </c>
      <c r="V861" s="50" t="s">
        <v>1823</v>
      </c>
    </row>
    <row r="862" spans="1:22" x14ac:dyDescent="0.3">
      <c r="A862" s="48" t="s">
        <v>879</v>
      </c>
      <c r="B862" s="49" t="s">
        <v>142</v>
      </c>
      <c r="C862" s="49" t="s">
        <v>880</v>
      </c>
      <c r="D862" s="49" t="s">
        <v>673</v>
      </c>
      <c r="E862" s="49" t="s">
        <v>674</v>
      </c>
      <c r="F862" s="49" t="s">
        <v>716</v>
      </c>
      <c r="G862" s="49" t="s">
        <v>744</v>
      </c>
      <c r="H862" s="49" t="s">
        <v>677</v>
      </c>
      <c r="I862" s="49" t="s">
        <v>678</v>
      </c>
      <c r="J862" s="49" t="s">
        <v>698</v>
      </c>
      <c r="K862" s="49" t="s">
        <v>690</v>
      </c>
      <c r="L862" s="49" t="s">
        <v>699</v>
      </c>
      <c r="M862" s="49">
        <v>1</v>
      </c>
      <c r="N862" s="49" t="s">
        <v>345</v>
      </c>
      <c r="O862" s="49" t="s">
        <v>665</v>
      </c>
      <c r="P862" s="49" t="s">
        <v>746</v>
      </c>
      <c r="Q862" s="49" t="s">
        <v>683</v>
      </c>
      <c r="R862" s="49" t="s">
        <v>87</v>
      </c>
      <c r="S862" s="52" t="s">
        <v>673</v>
      </c>
      <c r="T862" s="49" t="s">
        <v>1821</v>
      </c>
      <c r="U862" s="49" t="s">
        <v>1824</v>
      </c>
      <c r="V862" s="50" t="s">
        <v>1823</v>
      </c>
    </row>
    <row r="863" spans="1:22" x14ac:dyDescent="0.3">
      <c r="A863" s="51" t="s">
        <v>879</v>
      </c>
      <c r="B863" s="52" t="s">
        <v>142</v>
      </c>
      <c r="C863" s="52" t="s">
        <v>880</v>
      </c>
      <c r="D863" s="52" t="s">
        <v>673</v>
      </c>
      <c r="E863" s="52" t="s">
        <v>674</v>
      </c>
      <c r="F863" s="52" t="s">
        <v>716</v>
      </c>
      <c r="G863" s="52" t="s">
        <v>744</v>
      </c>
      <c r="H863" s="52" t="s">
        <v>677</v>
      </c>
      <c r="I863" s="49" t="s">
        <v>678</v>
      </c>
      <c r="J863" s="52" t="s">
        <v>698</v>
      </c>
      <c r="K863" s="52" t="s">
        <v>690</v>
      </c>
      <c r="L863" s="52" t="s">
        <v>699</v>
      </c>
      <c r="M863" s="52">
        <v>1</v>
      </c>
      <c r="N863" s="52" t="s">
        <v>530</v>
      </c>
      <c r="O863" s="52" t="s">
        <v>665</v>
      </c>
      <c r="P863" s="52" t="s">
        <v>746</v>
      </c>
      <c r="Q863" s="52" t="s">
        <v>683</v>
      </c>
      <c r="R863" s="52" t="s">
        <v>87</v>
      </c>
      <c r="S863" s="52" t="s">
        <v>673</v>
      </c>
      <c r="T863" s="52" t="s">
        <v>1821</v>
      </c>
      <c r="U863" s="52" t="s">
        <v>1824</v>
      </c>
      <c r="V863" s="50" t="s">
        <v>1823</v>
      </c>
    </row>
    <row r="864" spans="1:22" x14ac:dyDescent="0.3">
      <c r="A864" s="48" t="s">
        <v>879</v>
      </c>
      <c r="B864" s="49" t="s">
        <v>142</v>
      </c>
      <c r="C864" s="49" t="s">
        <v>880</v>
      </c>
      <c r="D864" s="49" t="s">
        <v>673</v>
      </c>
      <c r="E864" s="49" t="s">
        <v>674</v>
      </c>
      <c r="F864" s="49" t="s">
        <v>716</v>
      </c>
      <c r="G864" s="49" t="s">
        <v>744</v>
      </c>
      <c r="H864" s="49" t="s">
        <v>677</v>
      </c>
      <c r="I864" s="49" t="s">
        <v>678</v>
      </c>
      <c r="J864" s="49" t="s">
        <v>698</v>
      </c>
      <c r="K864" s="49" t="s">
        <v>690</v>
      </c>
      <c r="L864" s="49" t="s">
        <v>699</v>
      </c>
      <c r="M864" s="49">
        <v>1</v>
      </c>
      <c r="N864" s="49" t="s">
        <v>599</v>
      </c>
      <c r="O864" s="49" t="s">
        <v>665</v>
      </c>
      <c r="P864" s="49" t="s">
        <v>746</v>
      </c>
      <c r="Q864" s="49" t="s">
        <v>683</v>
      </c>
      <c r="R864" s="49" t="s">
        <v>87</v>
      </c>
      <c r="S864" s="52" t="s">
        <v>673</v>
      </c>
      <c r="T864" s="49" t="s">
        <v>1821</v>
      </c>
      <c r="U864" s="49" t="s">
        <v>1824</v>
      </c>
      <c r="V864" s="50" t="s">
        <v>1823</v>
      </c>
    </row>
    <row r="865" spans="1:22" x14ac:dyDescent="0.3">
      <c r="A865" s="51" t="s">
        <v>879</v>
      </c>
      <c r="B865" s="52" t="s">
        <v>142</v>
      </c>
      <c r="C865" s="52" t="s">
        <v>880</v>
      </c>
      <c r="D865" s="52" t="s">
        <v>673</v>
      </c>
      <c r="E865" s="52" t="s">
        <v>674</v>
      </c>
      <c r="F865" s="52" t="s">
        <v>716</v>
      </c>
      <c r="G865" s="52" t="s">
        <v>744</v>
      </c>
      <c r="H865" s="52" t="s">
        <v>677</v>
      </c>
      <c r="I865" s="49" t="s">
        <v>678</v>
      </c>
      <c r="J865" s="52" t="s">
        <v>698</v>
      </c>
      <c r="K865" s="52" t="s">
        <v>690</v>
      </c>
      <c r="L865" s="52" t="s">
        <v>699</v>
      </c>
      <c r="M865" s="52">
        <v>1</v>
      </c>
      <c r="N865" s="52" t="s">
        <v>101</v>
      </c>
      <c r="O865" s="52" t="s">
        <v>665</v>
      </c>
      <c r="P865" s="52" t="s">
        <v>746</v>
      </c>
      <c r="Q865" s="52" t="s">
        <v>683</v>
      </c>
      <c r="R865" s="52" t="s">
        <v>87</v>
      </c>
      <c r="S865" s="52" t="s">
        <v>673</v>
      </c>
      <c r="T865" s="52" t="s">
        <v>1821</v>
      </c>
      <c r="U865" s="52" t="s">
        <v>1824</v>
      </c>
      <c r="V865" s="50" t="s">
        <v>1823</v>
      </c>
    </row>
    <row r="866" spans="1:22" x14ac:dyDescent="0.3">
      <c r="A866" s="48" t="s">
        <v>879</v>
      </c>
      <c r="B866" s="49" t="s">
        <v>142</v>
      </c>
      <c r="C866" s="49" t="s">
        <v>880</v>
      </c>
      <c r="D866" s="49" t="s">
        <v>673</v>
      </c>
      <c r="E866" s="49" t="s">
        <v>674</v>
      </c>
      <c r="F866" s="49" t="s">
        <v>716</v>
      </c>
      <c r="G866" s="49" t="s">
        <v>744</v>
      </c>
      <c r="H866" s="49" t="s">
        <v>677</v>
      </c>
      <c r="I866" s="49" t="s">
        <v>678</v>
      </c>
      <c r="J866" s="49" t="s">
        <v>698</v>
      </c>
      <c r="K866" s="49" t="s">
        <v>690</v>
      </c>
      <c r="L866" s="49" t="s">
        <v>699</v>
      </c>
      <c r="M866" s="49">
        <v>1</v>
      </c>
      <c r="N866" s="49" t="s">
        <v>419</v>
      </c>
      <c r="O866" s="49" t="s">
        <v>665</v>
      </c>
      <c r="P866" s="49" t="s">
        <v>746</v>
      </c>
      <c r="Q866" s="49" t="s">
        <v>683</v>
      </c>
      <c r="R866" s="49" t="s">
        <v>87</v>
      </c>
      <c r="S866" s="52" t="s">
        <v>673</v>
      </c>
      <c r="T866" s="49" t="s">
        <v>1821</v>
      </c>
      <c r="U866" s="49" t="s">
        <v>1824</v>
      </c>
      <c r="V866" s="50" t="s">
        <v>1823</v>
      </c>
    </row>
    <row r="867" spans="1:22" x14ac:dyDescent="0.3">
      <c r="A867" s="51" t="s">
        <v>879</v>
      </c>
      <c r="B867" s="52" t="s">
        <v>142</v>
      </c>
      <c r="C867" s="52" t="s">
        <v>880</v>
      </c>
      <c r="D867" s="52" t="s">
        <v>673</v>
      </c>
      <c r="E867" s="52" t="s">
        <v>674</v>
      </c>
      <c r="F867" s="52" t="s">
        <v>716</v>
      </c>
      <c r="G867" s="52" t="s">
        <v>744</v>
      </c>
      <c r="H867" s="52" t="s">
        <v>677</v>
      </c>
      <c r="I867" s="49" t="s">
        <v>678</v>
      </c>
      <c r="J867" s="52" t="s">
        <v>698</v>
      </c>
      <c r="K867" s="52" t="s">
        <v>690</v>
      </c>
      <c r="L867" s="52" t="s">
        <v>699</v>
      </c>
      <c r="M867" s="52">
        <v>1</v>
      </c>
      <c r="N867" s="52" t="s">
        <v>316</v>
      </c>
      <c r="O867" s="52" t="s">
        <v>665</v>
      </c>
      <c r="P867" s="52" t="s">
        <v>746</v>
      </c>
      <c r="Q867" s="52" t="s">
        <v>683</v>
      </c>
      <c r="R867" s="52" t="s">
        <v>87</v>
      </c>
      <c r="S867" s="52" t="s">
        <v>673</v>
      </c>
      <c r="T867" s="52" t="s">
        <v>1821</v>
      </c>
      <c r="U867" s="52" t="s">
        <v>1824</v>
      </c>
      <c r="V867" s="50" t="s">
        <v>1823</v>
      </c>
    </row>
    <row r="868" spans="1:22" x14ac:dyDescent="0.3">
      <c r="A868" s="48" t="s">
        <v>879</v>
      </c>
      <c r="B868" s="49" t="s">
        <v>142</v>
      </c>
      <c r="C868" s="49" t="s">
        <v>880</v>
      </c>
      <c r="D868" s="49" t="s">
        <v>673</v>
      </c>
      <c r="E868" s="49" t="s">
        <v>674</v>
      </c>
      <c r="F868" s="49" t="s">
        <v>716</v>
      </c>
      <c r="G868" s="49" t="s">
        <v>744</v>
      </c>
      <c r="H868" s="49" t="s">
        <v>677</v>
      </c>
      <c r="I868" s="49" t="s">
        <v>678</v>
      </c>
      <c r="J868" s="49" t="s">
        <v>698</v>
      </c>
      <c r="K868" s="49" t="s">
        <v>690</v>
      </c>
      <c r="L868" s="49" t="s">
        <v>699</v>
      </c>
      <c r="M868" s="49">
        <v>1</v>
      </c>
      <c r="N868" s="49" t="s">
        <v>317</v>
      </c>
      <c r="O868" s="49" t="s">
        <v>665</v>
      </c>
      <c r="P868" s="49" t="s">
        <v>746</v>
      </c>
      <c r="Q868" s="49" t="s">
        <v>683</v>
      </c>
      <c r="R868" s="49" t="s">
        <v>87</v>
      </c>
      <c r="S868" s="52" t="s">
        <v>673</v>
      </c>
      <c r="T868" s="49" t="s">
        <v>1821</v>
      </c>
      <c r="U868" s="49" t="s">
        <v>1824</v>
      </c>
      <c r="V868" s="50" t="s">
        <v>1823</v>
      </c>
    </row>
    <row r="869" spans="1:22" x14ac:dyDescent="0.3">
      <c r="A869" s="51" t="s">
        <v>879</v>
      </c>
      <c r="B869" s="52" t="s">
        <v>142</v>
      </c>
      <c r="C869" s="52" t="s">
        <v>880</v>
      </c>
      <c r="D869" s="52" t="s">
        <v>673</v>
      </c>
      <c r="E869" s="52" t="s">
        <v>674</v>
      </c>
      <c r="F869" s="52" t="s">
        <v>716</v>
      </c>
      <c r="G869" s="52" t="s">
        <v>744</v>
      </c>
      <c r="H869" s="52" t="s">
        <v>677</v>
      </c>
      <c r="I869" s="49" t="s">
        <v>678</v>
      </c>
      <c r="J869" s="52" t="s">
        <v>698</v>
      </c>
      <c r="K869" s="52" t="s">
        <v>690</v>
      </c>
      <c r="L869" s="52" t="s">
        <v>699</v>
      </c>
      <c r="M869" s="52">
        <v>1</v>
      </c>
      <c r="N869" s="52" t="s">
        <v>328</v>
      </c>
      <c r="O869" s="52" t="s">
        <v>665</v>
      </c>
      <c r="P869" s="52" t="s">
        <v>746</v>
      </c>
      <c r="Q869" s="52" t="s">
        <v>683</v>
      </c>
      <c r="R869" s="52" t="s">
        <v>87</v>
      </c>
      <c r="S869" s="52" t="s">
        <v>673</v>
      </c>
      <c r="T869" s="52" t="s">
        <v>1821</v>
      </c>
      <c r="U869" s="52" t="s">
        <v>1824</v>
      </c>
      <c r="V869" s="50" t="s">
        <v>1823</v>
      </c>
    </row>
    <row r="870" spans="1:22" x14ac:dyDescent="0.3">
      <c r="A870" s="48" t="s">
        <v>879</v>
      </c>
      <c r="B870" s="49" t="s">
        <v>142</v>
      </c>
      <c r="C870" s="49" t="s">
        <v>880</v>
      </c>
      <c r="D870" s="49" t="s">
        <v>673</v>
      </c>
      <c r="E870" s="49" t="s">
        <v>674</v>
      </c>
      <c r="F870" s="49" t="s">
        <v>716</v>
      </c>
      <c r="G870" s="49" t="s">
        <v>744</v>
      </c>
      <c r="H870" s="49" t="s">
        <v>677</v>
      </c>
      <c r="I870" s="49" t="s">
        <v>678</v>
      </c>
      <c r="J870" s="49" t="s">
        <v>698</v>
      </c>
      <c r="K870" s="49" t="s">
        <v>690</v>
      </c>
      <c r="L870" s="49" t="s">
        <v>699</v>
      </c>
      <c r="M870" s="49">
        <v>1</v>
      </c>
      <c r="N870" s="49" t="s">
        <v>125</v>
      </c>
      <c r="O870" s="49" t="s">
        <v>665</v>
      </c>
      <c r="P870" s="49" t="s">
        <v>746</v>
      </c>
      <c r="Q870" s="49" t="s">
        <v>683</v>
      </c>
      <c r="R870" s="49" t="s">
        <v>87</v>
      </c>
      <c r="S870" s="52" t="s">
        <v>673</v>
      </c>
      <c r="T870" s="49" t="s">
        <v>1821</v>
      </c>
      <c r="U870" s="49" t="s">
        <v>1824</v>
      </c>
      <c r="V870" s="50" t="s">
        <v>1823</v>
      </c>
    </row>
    <row r="871" spans="1:22" x14ac:dyDescent="0.3">
      <c r="A871" s="51" t="s">
        <v>879</v>
      </c>
      <c r="B871" s="52" t="s">
        <v>142</v>
      </c>
      <c r="C871" s="52" t="s">
        <v>880</v>
      </c>
      <c r="D871" s="52" t="s">
        <v>673</v>
      </c>
      <c r="E871" s="52" t="s">
        <v>674</v>
      </c>
      <c r="F871" s="52" t="s">
        <v>716</v>
      </c>
      <c r="G871" s="52" t="s">
        <v>744</v>
      </c>
      <c r="H871" s="52" t="s">
        <v>677</v>
      </c>
      <c r="I871" s="49" t="s">
        <v>678</v>
      </c>
      <c r="J871" s="52" t="s">
        <v>698</v>
      </c>
      <c r="K871" s="52" t="s">
        <v>690</v>
      </c>
      <c r="L871" s="52" t="s">
        <v>699</v>
      </c>
      <c r="M871" s="52">
        <v>1</v>
      </c>
      <c r="N871" s="52" t="s">
        <v>533</v>
      </c>
      <c r="O871" s="52" t="s">
        <v>665</v>
      </c>
      <c r="P871" s="52" t="s">
        <v>746</v>
      </c>
      <c r="Q871" s="52" t="s">
        <v>683</v>
      </c>
      <c r="R871" s="52" t="s">
        <v>87</v>
      </c>
      <c r="S871" s="52" t="s">
        <v>673</v>
      </c>
      <c r="T871" s="52" t="s">
        <v>1821</v>
      </c>
      <c r="U871" s="52" t="s">
        <v>1824</v>
      </c>
      <c r="V871" s="50" t="s">
        <v>1823</v>
      </c>
    </row>
    <row r="872" spans="1:22" x14ac:dyDescent="0.3">
      <c r="A872" s="48" t="s">
        <v>879</v>
      </c>
      <c r="B872" s="49" t="s">
        <v>142</v>
      </c>
      <c r="C872" s="49" t="s">
        <v>880</v>
      </c>
      <c r="D872" s="49" t="s">
        <v>673</v>
      </c>
      <c r="E872" s="49" t="s">
        <v>674</v>
      </c>
      <c r="F872" s="49" t="s">
        <v>716</v>
      </c>
      <c r="G872" s="49" t="s">
        <v>744</v>
      </c>
      <c r="H872" s="49" t="s">
        <v>677</v>
      </c>
      <c r="I872" s="49" t="s">
        <v>678</v>
      </c>
      <c r="J872" s="49" t="s">
        <v>698</v>
      </c>
      <c r="K872" s="49" t="s">
        <v>690</v>
      </c>
      <c r="L872" s="49" t="s">
        <v>699</v>
      </c>
      <c r="M872" s="49">
        <v>1</v>
      </c>
      <c r="N872" s="49" t="s">
        <v>335</v>
      </c>
      <c r="O872" s="49" t="s">
        <v>665</v>
      </c>
      <c r="P872" s="49" t="s">
        <v>746</v>
      </c>
      <c r="Q872" s="49" t="s">
        <v>683</v>
      </c>
      <c r="R872" s="49" t="s">
        <v>87</v>
      </c>
      <c r="S872" s="52" t="s">
        <v>673</v>
      </c>
      <c r="T872" s="49" t="s">
        <v>1821</v>
      </c>
      <c r="U872" s="49" t="s">
        <v>1824</v>
      </c>
      <c r="V872" s="50" t="s">
        <v>1823</v>
      </c>
    </row>
    <row r="873" spans="1:22" x14ac:dyDescent="0.3">
      <c r="A873" s="51" t="s">
        <v>879</v>
      </c>
      <c r="B873" s="52" t="s">
        <v>142</v>
      </c>
      <c r="C873" s="52" t="s">
        <v>880</v>
      </c>
      <c r="D873" s="52" t="s">
        <v>673</v>
      </c>
      <c r="E873" s="52" t="s">
        <v>674</v>
      </c>
      <c r="F873" s="52" t="s">
        <v>716</v>
      </c>
      <c r="G873" s="52" t="s">
        <v>744</v>
      </c>
      <c r="H873" s="52" t="s">
        <v>677</v>
      </c>
      <c r="I873" s="49" t="s">
        <v>678</v>
      </c>
      <c r="J873" s="52" t="s">
        <v>698</v>
      </c>
      <c r="K873" s="52" t="s">
        <v>690</v>
      </c>
      <c r="L873" s="52" t="s">
        <v>699</v>
      </c>
      <c r="M873" s="52">
        <v>1</v>
      </c>
      <c r="N873" s="52" t="s">
        <v>441</v>
      </c>
      <c r="O873" s="52" t="s">
        <v>665</v>
      </c>
      <c r="P873" s="52" t="s">
        <v>746</v>
      </c>
      <c r="Q873" s="52" t="s">
        <v>683</v>
      </c>
      <c r="R873" s="52" t="s">
        <v>87</v>
      </c>
      <c r="S873" s="52" t="s">
        <v>673</v>
      </c>
      <c r="T873" s="52" t="s">
        <v>1821</v>
      </c>
      <c r="U873" s="52" t="s">
        <v>1824</v>
      </c>
      <c r="V873" s="50" t="s">
        <v>1823</v>
      </c>
    </row>
    <row r="874" spans="1:22" x14ac:dyDescent="0.3">
      <c r="A874" s="48" t="s">
        <v>837</v>
      </c>
      <c r="B874" s="49" t="s">
        <v>686</v>
      </c>
      <c r="C874" s="49" t="s">
        <v>838</v>
      </c>
      <c r="D874" s="49" t="s">
        <v>673</v>
      </c>
      <c r="E874" s="49" t="s">
        <v>674</v>
      </c>
      <c r="F874" s="49" t="s">
        <v>716</v>
      </c>
      <c r="G874" s="49" t="s">
        <v>731</v>
      </c>
      <c r="H874" s="49" t="s">
        <v>702</v>
      </c>
      <c r="I874" s="49" t="s">
        <v>688</v>
      </c>
      <c r="J874" s="49" t="s">
        <v>689</v>
      </c>
      <c r="K874" s="49" t="s">
        <v>690</v>
      </c>
      <c r="L874" s="49" t="s">
        <v>691</v>
      </c>
      <c r="M874" s="49">
        <v>1</v>
      </c>
      <c r="N874" s="49" t="s">
        <v>2335</v>
      </c>
      <c r="O874" s="49" t="s">
        <v>665</v>
      </c>
      <c r="P874" s="49" t="s">
        <v>682</v>
      </c>
      <c r="Q874" s="49" t="s">
        <v>683</v>
      </c>
      <c r="R874" s="49" t="s">
        <v>447</v>
      </c>
      <c r="S874" s="52" t="s">
        <v>673</v>
      </c>
      <c r="T874" s="49" t="s">
        <v>1821</v>
      </c>
      <c r="U874" s="49" t="s">
        <v>1824</v>
      </c>
      <c r="V874" s="50" t="s">
        <v>1823</v>
      </c>
    </row>
    <row r="875" spans="1:22" x14ac:dyDescent="0.3">
      <c r="A875" s="51" t="s">
        <v>1486</v>
      </c>
      <c r="B875" s="52" t="s">
        <v>544</v>
      </c>
      <c r="C875" s="52" t="s">
        <v>1487</v>
      </c>
      <c r="D875" s="52" t="s">
        <v>684</v>
      </c>
      <c r="E875" s="52" t="s">
        <v>674</v>
      </c>
      <c r="F875" s="52" t="s">
        <v>716</v>
      </c>
      <c r="G875" s="52" t="s">
        <v>744</v>
      </c>
      <c r="H875" s="52" t="s">
        <v>702</v>
      </c>
      <c r="I875" s="52" t="s">
        <v>1488</v>
      </c>
      <c r="J875" s="52" t="s">
        <v>737</v>
      </c>
      <c r="K875" s="52" t="s">
        <v>738</v>
      </c>
      <c r="L875" s="52" t="s">
        <v>699</v>
      </c>
      <c r="M875" s="52">
        <v>0.15</v>
      </c>
      <c r="N875" s="52" t="s">
        <v>134</v>
      </c>
      <c r="O875" s="52" t="s">
        <v>665</v>
      </c>
      <c r="P875" s="52" t="s">
        <v>746</v>
      </c>
      <c r="Q875" s="52" t="s">
        <v>683</v>
      </c>
      <c r="R875" s="52" t="s">
        <v>544</v>
      </c>
      <c r="S875" s="49" t="s">
        <v>684</v>
      </c>
      <c r="T875" s="52" t="s">
        <v>1821</v>
      </c>
      <c r="U875" s="52" t="s">
        <v>1824</v>
      </c>
      <c r="V875" s="50" t="s">
        <v>1823</v>
      </c>
    </row>
    <row r="876" spans="1:22" x14ac:dyDescent="0.3">
      <c r="A876" s="48" t="s">
        <v>1503</v>
      </c>
      <c r="B876" s="49" t="s">
        <v>544</v>
      </c>
      <c r="C876" s="49" t="s">
        <v>1504</v>
      </c>
      <c r="D876" s="49" t="s">
        <v>684</v>
      </c>
      <c r="E876" s="49" t="s">
        <v>674</v>
      </c>
      <c r="F876" s="49" t="s">
        <v>716</v>
      </c>
      <c r="G876" s="49" t="s">
        <v>717</v>
      </c>
      <c r="H876" s="49" t="s">
        <v>717</v>
      </c>
      <c r="I876" s="49" t="s">
        <v>736</v>
      </c>
      <c r="J876" s="49" t="s">
        <v>737</v>
      </c>
      <c r="K876" s="49" t="s">
        <v>738</v>
      </c>
      <c r="L876" s="49" t="s">
        <v>699</v>
      </c>
      <c r="M876" s="49">
        <v>0.7</v>
      </c>
      <c r="N876" s="49" t="s">
        <v>134</v>
      </c>
      <c r="O876" s="49" t="s">
        <v>665</v>
      </c>
      <c r="P876" s="49" t="s">
        <v>746</v>
      </c>
      <c r="Q876" s="49" t="s">
        <v>683</v>
      </c>
      <c r="R876" s="49" t="s">
        <v>544</v>
      </c>
      <c r="S876" s="49" t="s">
        <v>684</v>
      </c>
      <c r="T876" s="49" t="s">
        <v>1821</v>
      </c>
      <c r="U876" s="49" t="s">
        <v>1824</v>
      </c>
      <c r="V876" s="50" t="s">
        <v>1823</v>
      </c>
    </row>
    <row r="877" spans="1:22" x14ac:dyDescent="0.3">
      <c r="A877" s="51" t="s">
        <v>1489</v>
      </c>
      <c r="B877" s="52" t="s">
        <v>544</v>
      </c>
      <c r="C877" s="52" t="s">
        <v>1490</v>
      </c>
      <c r="D877" s="52" t="s">
        <v>684</v>
      </c>
      <c r="E877" s="52" t="s">
        <v>674</v>
      </c>
      <c r="F877" s="52" t="s">
        <v>716</v>
      </c>
      <c r="G877" s="52" t="s">
        <v>744</v>
      </c>
      <c r="H877" s="52" t="s">
        <v>702</v>
      </c>
      <c r="I877" s="52" t="s">
        <v>1488</v>
      </c>
      <c r="J877" s="52" t="s">
        <v>737</v>
      </c>
      <c r="K877" s="52" t="s">
        <v>738</v>
      </c>
      <c r="L877" s="52" t="s">
        <v>699</v>
      </c>
      <c r="M877" s="52">
        <v>0.15</v>
      </c>
      <c r="N877" s="52" t="s">
        <v>134</v>
      </c>
      <c r="O877" s="52" t="s">
        <v>665</v>
      </c>
      <c r="P877" s="52" t="s">
        <v>746</v>
      </c>
      <c r="Q877" s="52" t="s">
        <v>683</v>
      </c>
      <c r="R877" s="52" t="s">
        <v>544</v>
      </c>
      <c r="S877" s="49" t="s">
        <v>684</v>
      </c>
      <c r="T877" s="52" t="s">
        <v>1821</v>
      </c>
      <c r="U877" s="52" t="s">
        <v>1824</v>
      </c>
      <c r="V877" s="50" t="s">
        <v>1823</v>
      </c>
    </row>
    <row r="878" spans="1:22" x14ac:dyDescent="0.3">
      <c r="A878" s="48" t="s">
        <v>1493</v>
      </c>
      <c r="B878" s="49" t="s">
        <v>544</v>
      </c>
      <c r="C878" s="49" t="s">
        <v>1494</v>
      </c>
      <c r="D878" s="49" t="s">
        <v>684</v>
      </c>
      <c r="E878" s="49" t="s">
        <v>674</v>
      </c>
      <c r="F878" s="49" t="s">
        <v>675</v>
      </c>
      <c r="G878" s="49" t="s">
        <v>676</v>
      </c>
      <c r="H878" s="49" t="s">
        <v>677</v>
      </c>
      <c r="I878" s="49" t="s">
        <v>736</v>
      </c>
      <c r="J878" s="49" t="s">
        <v>737</v>
      </c>
      <c r="K878" s="49" t="s">
        <v>738</v>
      </c>
      <c r="L878" s="49" t="s">
        <v>699</v>
      </c>
      <c r="M878" s="49">
        <v>0.1</v>
      </c>
      <c r="N878" s="49" t="s">
        <v>155</v>
      </c>
      <c r="O878" s="49" t="s">
        <v>665</v>
      </c>
      <c r="P878" s="49" t="s">
        <v>746</v>
      </c>
      <c r="Q878" s="49" t="s">
        <v>683</v>
      </c>
      <c r="R878" s="49" t="s">
        <v>544</v>
      </c>
      <c r="S878" s="49" t="s">
        <v>684</v>
      </c>
      <c r="T878" s="49" t="s">
        <v>1821</v>
      </c>
      <c r="U878" s="49" t="s">
        <v>1824</v>
      </c>
      <c r="V878" s="50" t="s">
        <v>1823</v>
      </c>
    </row>
    <row r="879" spans="1:22" x14ac:dyDescent="0.3">
      <c r="A879" s="51" t="s">
        <v>1009</v>
      </c>
      <c r="B879" s="52" t="s">
        <v>707</v>
      </c>
      <c r="C879" s="52" t="s">
        <v>715</v>
      </c>
      <c r="D879" s="52" t="s">
        <v>684</v>
      </c>
      <c r="E879" s="52" t="s">
        <v>674</v>
      </c>
      <c r="F879" s="52" t="s">
        <v>716</v>
      </c>
      <c r="G879" s="52" t="s">
        <v>717</v>
      </c>
      <c r="H879" s="52" t="s">
        <v>717</v>
      </c>
      <c r="I879" s="52" t="s">
        <v>717</v>
      </c>
      <c r="J879" s="52" t="s">
        <v>737</v>
      </c>
      <c r="K879" s="52" t="s">
        <v>738</v>
      </c>
      <c r="L879" s="52" t="s">
        <v>699</v>
      </c>
      <c r="M879" s="52">
        <v>0.3</v>
      </c>
      <c r="N879" s="52" t="s">
        <v>155</v>
      </c>
      <c r="O879" s="52" t="s">
        <v>665</v>
      </c>
      <c r="P879" s="52" t="s">
        <v>746</v>
      </c>
      <c r="Q879" s="52" t="s">
        <v>683</v>
      </c>
      <c r="R879" s="52" t="s">
        <v>544</v>
      </c>
      <c r="S879" s="49" t="s">
        <v>684</v>
      </c>
      <c r="T879" s="52" t="s">
        <v>1821</v>
      </c>
      <c r="U879" s="52" t="s">
        <v>1824</v>
      </c>
      <c r="V879" s="50" t="s">
        <v>1823</v>
      </c>
    </row>
    <row r="880" spans="1:22" x14ac:dyDescent="0.3">
      <c r="A880" s="48" t="s">
        <v>2336</v>
      </c>
      <c r="B880" s="49" t="s">
        <v>544</v>
      </c>
      <c r="C880" s="49" t="s">
        <v>2337</v>
      </c>
      <c r="D880" s="49" t="s">
        <v>684</v>
      </c>
      <c r="E880" s="49" t="s">
        <v>674</v>
      </c>
      <c r="F880" s="49" t="s">
        <v>675</v>
      </c>
      <c r="G880" s="49" t="s">
        <v>676</v>
      </c>
      <c r="H880" s="49" t="s">
        <v>677</v>
      </c>
      <c r="I880" s="49" t="s">
        <v>736</v>
      </c>
      <c r="J880" s="49" t="s">
        <v>737</v>
      </c>
      <c r="K880" s="49" t="s">
        <v>738</v>
      </c>
      <c r="L880" s="49" t="s">
        <v>699</v>
      </c>
      <c r="M880" s="49">
        <v>0.1</v>
      </c>
      <c r="N880" s="49" t="s">
        <v>155</v>
      </c>
      <c r="O880" s="49" t="s">
        <v>665</v>
      </c>
      <c r="P880" s="49" t="s">
        <v>746</v>
      </c>
      <c r="Q880" s="49" t="s">
        <v>683</v>
      </c>
      <c r="R880" s="49" t="s">
        <v>544</v>
      </c>
      <c r="S880" s="49" t="s">
        <v>684</v>
      </c>
      <c r="T880" s="49" t="s">
        <v>1821</v>
      </c>
      <c r="U880" s="49" t="s">
        <v>1824</v>
      </c>
      <c r="V880" s="50" t="s">
        <v>1823</v>
      </c>
    </row>
    <row r="881" spans="1:22" x14ac:dyDescent="0.3">
      <c r="A881" s="51" t="s">
        <v>2338</v>
      </c>
      <c r="B881" s="52" t="s">
        <v>544</v>
      </c>
      <c r="C881" s="52" t="s">
        <v>2339</v>
      </c>
      <c r="D881" s="52" t="s">
        <v>684</v>
      </c>
      <c r="E881" s="52" t="s">
        <v>674</v>
      </c>
      <c r="F881" s="52" t="s">
        <v>716</v>
      </c>
      <c r="G881" s="52" t="s">
        <v>717</v>
      </c>
      <c r="H881" s="52" t="s">
        <v>717</v>
      </c>
      <c r="I881" s="52" t="s">
        <v>736</v>
      </c>
      <c r="J881" s="52" t="s">
        <v>737</v>
      </c>
      <c r="K881" s="52" t="s">
        <v>738</v>
      </c>
      <c r="L881" s="52" t="s">
        <v>699</v>
      </c>
      <c r="M881" s="52">
        <v>0.3</v>
      </c>
      <c r="N881" s="52" t="s">
        <v>155</v>
      </c>
      <c r="O881" s="52" t="s">
        <v>665</v>
      </c>
      <c r="P881" s="52" t="s">
        <v>746</v>
      </c>
      <c r="Q881" s="52" t="s">
        <v>683</v>
      </c>
      <c r="R881" s="52" t="s">
        <v>544</v>
      </c>
      <c r="S881" s="49" t="s">
        <v>684</v>
      </c>
      <c r="T881" s="52" t="s">
        <v>1821</v>
      </c>
      <c r="U881" s="52" t="s">
        <v>1824</v>
      </c>
      <c r="V881" s="50" t="s">
        <v>1823</v>
      </c>
    </row>
    <row r="882" spans="1:22" x14ac:dyDescent="0.3">
      <c r="A882" s="48" t="s">
        <v>1491</v>
      </c>
      <c r="B882" s="49" t="s">
        <v>544</v>
      </c>
      <c r="C882" s="49" t="s">
        <v>1492</v>
      </c>
      <c r="D882" s="49" t="s">
        <v>684</v>
      </c>
      <c r="E882" s="49" t="s">
        <v>674</v>
      </c>
      <c r="F882" s="49" t="s">
        <v>675</v>
      </c>
      <c r="G882" s="49" t="s">
        <v>676</v>
      </c>
      <c r="H882" s="49" t="s">
        <v>677</v>
      </c>
      <c r="I882" s="49" t="s">
        <v>678</v>
      </c>
      <c r="J882" s="49" t="s">
        <v>737</v>
      </c>
      <c r="K882" s="49" t="s">
        <v>738</v>
      </c>
      <c r="L882" s="49" t="s">
        <v>699</v>
      </c>
      <c r="M882" s="49">
        <v>0.1</v>
      </c>
      <c r="N882" s="49" t="s">
        <v>155</v>
      </c>
      <c r="O882" s="49" t="s">
        <v>665</v>
      </c>
      <c r="P882" s="49" t="s">
        <v>746</v>
      </c>
      <c r="Q882" s="49" t="s">
        <v>683</v>
      </c>
      <c r="R882" s="49" t="s">
        <v>544</v>
      </c>
      <c r="S882" s="49" t="s">
        <v>684</v>
      </c>
      <c r="T882" s="49" t="s">
        <v>1821</v>
      </c>
      <c r="U882" s="49" t="s">
        <v>1824</v>
      </c>
      <c r="V882" s="50" t="s">
        <v>1823</v>
      </c>
    </row>
    <row r="883" spans="1:22" x14ac:dyDescent="0.3">
      <c r="A883" s="51" t="s">
        <v>1497</v>
      </c>
      <c r="B883" s="52" t="s">
        <v>544</v>
      </c>
      <c r="C883" s="52" t="s">
        <v>1498</v>
      </c>
      <c r="D883" s="52" t="s">
        <v>684</v>
      </c>
      <c r="E883" s="52" t="s">
        <v>674</v>
      </c>
      <c r="F883" s="52" t="s">
        <v>675</v>
      </c>
      <c r="G883" s="52" t="s">
        <v>676</v>
      </c>
      <c r="H883" s="52" t="s">
        <v>677</v>
      </c>
      <c r="I883" s="49" t="s">
        <v>688</v>
      </c>
      <c r="J883" s="52" t="s">
        <v>737</v>
      </c>
      <c r="K883" s="52" t="s">
        <v>738</v>
      </c>
      <c r="L883" s="52" t="s">
        <v>699</v>
      </c>
      <c r="M883" s="52">
        <v>0.1</v>
      </c>
      <c r="N883" s="52" t="s">
        <v>155</v>
      </c>
      <c r="O883" s="52" t="s">
        <v>665</v>
      </c>
      <c r="P883" s="52" t="s">
        <v>746</v>
      </c>
      <c r="Q883" s="52" t="s">
        <v>683</v>
      </c>
      <c r="R883" s="52" t="s">
        <v>544</v>
      </c>
      <c r="S883" s="49" t="s">
        <v>684</v>
      </c>
      <c r="T883" s="52" t="s">
        <v>1821</v>
      </c>
      <c r="U883" s="52" t="s">
        <v>1824</v>
      </c>
      <c r="V883" s="50" t="s">
        <v>1823</v>
      </c>
    </row>
    <row r="884" spans="1:22" x14ac:dyDescent="0.3">
      <c r="A884" s="48" t="s">
        <v>1505</v>
      </c>
      <c r="B884" s="49" t="s">
        <v>544</v>
      </c>
      <c r="C884" s="49" t="s">
        <v>1499</v>
      </c>
      <c r="D884" s="49" t="s">
        <v>684</v>
      </c>
      <c r="E884" s="49" t="s">
        <v>674</v>
      </c>
      <c r="F884" s="49" t="s">
        <v>716</v>
      </c>
      <c r="G884" s="49" t="s">
        <v>717</v>
      </c>
      <c r="H884" s="49" t="s">
        <v>717</v>
      </c>
      <c r="I884" s="49" t="s">
        <v>736</v>
      </c>
      <c r="J884" s="49" t="s">
        <v>737</v>
      </c>
      <c r="K884" s="49" t="s">
        <v>738</v>
      </c>
      <c r="L884" s="49" t="s">
        <v>699</v>
      </c>
      <c r="M884" s="49">
        <v>0.2</v>
      </c>
      <c r="N884" s="49" t="s">
        <v>213</v>
      </c>
      <c r="O884" s="49" t="s">
        <v>665</v>
      </c>
      <c r="P884" s="49" t="s">
        <v>746</v>
      </c>
      <c r="Q884" s="49" t="s">
        <v>683</v>
      </c>
      <c r="R884" s="49" t="s">
        <v>544</v>
      </c>
      <c r="S884" s="49" t="s">
        <v>684</v>
      </c>
      <c r="T884" s="49" t="s">
        <v>1821</v>
      </c>
      <c r="U884" s="49" t="s">
        <v>1824</v>
      </c>
      <c r="V884" s="50" t="s">
        <v>1823</v>
      </c>
    </row>
    <row r="885" spans="1:22" x14ac:dyDescent="0.3">
      <c r="A885" s="51" t="s">
        <v>1506</v>
      </c>
      <c r="B885" s="52" t="s">
        <v>544</v>
      </c>
      <c r="C885" s="52" t="s">
        <v>1500</v>
      </c>
      <c r="D885" s="52" t="s">
        <v>684</v>
      </c>
      <c r="E885" s="52" t="s">
        <v>674</v>
      </c>
      <c r="F885" s="52" t="s">
        <v>716</v>
      </c>
      <c r="G885" s="52" t="s">
        <v>717</v>
      </c>
      <c r="H885" s="52" t="s">
        <v>717</v>
      </c>
      <c r="I885" s="52" t="s">
        <v>736</v>
      </c>
      <c r="J885" s="52" t="s">
        <v>737</v>
      </c>
      <c r="K885" s="52" t="s">
        <v>738</v>
      </c>
      <c r="L885" s="52" t="s">
        <v>699</v>
      </c>
      <c r="M885" s="52">
        <v>0.2</v>
      </c>
      <c r="N885" s="52" t="s">
        <v>213</v>
      </c>
      <c r="O885" s="52" t="s">
        <v>665</v>
      </c>
      <c r="P885" s="52" t="s">
        <v>746</v>
      </c>
      <c r="Q885" s="52" t="s">
        <v>683</v>
      </c>
      <c r="R885" s="52" t="s">
        <v>544</v>
      </c>
      <c r="S885" s="49" t="s">
        <v>684</v>
      </c>
      <c r="T885" s="52" t="s">
        <v>1821</v>
      </c>
      <c r="U885" s="52" t="s">
        <v>1824</v>
      </c>
      <c r="V885" s="50" t="s">
        <v>1823</v>
      </c>
    </row>
    <row r="886" spans="1:22" x14ac:dyDescent="0.3">
      <c r="A886" s="48" t="s">
        <v>1501</v>
      </c>
      <c r="B886" s="49" t="s">
        <v>544</v>
      </c>
      <c r="C886" s="49" t="s">
        <v>1502</v>
      </c>
      <c r="D886" s="49" t="s">
        <v>684</v>
      </c>
      <c r="E886" s="49" t="s">
        <v>674</v>
      </c>
      <c r="F886" s="49" t="s">
        <v>716</v>
      </c>
      <c r="G886" s="49" t="s">
        <v>717</v>
      </c>
      <c r="H886" s="49" t="s">
        <v>717</v>
      </c>
      <c r="I886" s="49" t="s">
        <v>736</v>
      </c>
      <c r="J886" s="49" t="s">
        <v>737</v>
      </c>
      <c r="K886" s="49" t="s">
        <v>738</v>
      </c>
      <c r="L886" s="49" t="s">
        <v>699</v>
      </c>
      <c r="M886" s="49">
        <v>0.2</v>
      </c>
      <c r="N886" s="49" t="s">
        <v>213</v>
      </c>
      <c r="O886" s="49" t="s">
        <v>665</v>
      </c>
      <c r="P886" s="49" t="s">
        <v>746</v>
      </c>
      <c r="Q886" s="49" t="s">
        <v>683</v>
      </c>
      <c r="R886" s="49" t="s">
        <v>544</v>
      </c>
      <c r="S886" s="49" t="s">
        <v>684</v>
      </c>
      <c r="T886" s="49" t="s">
        <v>1821</v>
      </c>
      <c r="U886" s="49" t="s">
        <v>1824</v>
      </c>
      <c r="V886" s="50" t="s">
        <v>1823</v>
      </c>
    </row>
    <row r="887" spans="1:22" x14ac:dyDescent="0.3">
      <c r="A887" s="51" t="s">
        <v>1503</v>
      </c>
      <c r="B887" s="52" t="s">
        <v>544</v>
      </c>
      <c r="C887" s="52" t="s">
        <v>1504</v>
      </c>
      <c r="D887" s="52" t="s">
        <v>684</v>
      </c>
      <c r="E887" s="52" t="s">
        <v>674</v>
      </c>
      <c r="F887" s="52" t="s">
        <v>716</v>
      </c>
      <c r="G887" s="52" t="s">
        <v>717</v>
      </c>
      <c r="H887" s="52" t="s">
        <v>717</v>
      </c>
      <c r="I887" s="52" t="s">
        <v>736</v>
      </c>
      <c r="J887" s="52" t="s">
        <v>737</v>
      </c>
      <c r="K887" s="52" t="s">
        <v>738</v>
      </c>
      <c r="L887" s="52" t="s">
        <v>699</v>
      </c>
      <c r="M887" s="52">
        <v>0.2</v>
      </c>
      <c r="N887" s="52" t="s">
        <v>213</v>
      </c>
      <c r="O887" s="52" t="s">
        <v>665</v>
      </c>
      <c r="P887" s="52" t="s">
        <v>746</v>
      </c>
      <c r="Q887" s="52" t="s">
        <v>683</v>
      </c>
      <c r="R887" s="52" t="s">
        <v>544</v>
      </c>
      <c r="S887" s="49" t="s">
        <v>684</v>
      </c>
      <c r="T887" s="52" t="s">
        <v>1821</v>
      </c>
      <c r="U887" s="52" t="s">
        <v>1824</v>
      </c>
      <c r="V887" s="50" t="s">
        <v>1823</v>
      </c>
    </row>
    <row r="888" spans="1:22" x14ac:dyDescent="0.3">
      <c r="A888" s="48" t="s">
        <v>1009</v>
      </c>
      <c r="B888" s="49" t="s">
        <v>707</v>
      </c>
      <c r="C888" s="49" t="s">
        <v>715</v>
      </c>
      <c r="D888" s="49" t="s">
        <v>684</v>
      </c>
      <c r="E888" s="49" t="s">
        <v>674</v>
      </c>
      <c r="F888" s="49" t="s">
        <v>716</v>
      </c>
      <c r="G888" s="49" t="s">
        <v>717</v>
      </c>
      <c r="H888" s="49" t="s">
        <v>717</v>
      </c>
      <c r="I888" s="49" t="s">
        <v>717</v>
      </c>
      <c r="J888" s="49" t="s">
        <v>737</v>
      </c>
      <c r="K888" s="49" t="s">
        <v>738</v>
      </c>
      <c r="L888" s="49" t="s">
        <v>699</v>
      </c>
      <c r="M888" s="49">
        <v>0.2</v>
      </c>
      <c r="N888" s="49" t="s">
        <v>213</v>
      </c>
      <c r="O888" s="49" t="s">
        <v>665</v>
      </c>
      <c r="P888" s="49" t="s">
        <v>746</v>
      </c>
      <c r="Q888" s="49" t="s">
        <v>683</v>
      </c>
      <c r="R888" s="49" t="s">
        <v>544</v>
      </c>
      <c r="S888" s="49" t="s">
        <v>684</v>
      </c>
      <c r="T888" s="49" t="s">
        <v>1821</v>
      </c>
      <c r="U888" s="49" t="s">
        <v>1824</v>
      </c>
      <c r="V888" s="50" t="s">
        <v>1823</v>
      </c>
    </row>
    <row r="889" spans="1:22" x14ac:dyDescent="0.3">
      <c r="A889" s="51" t="s">
        <v>1501</v>
      </c>
      <c r="B889" s="52" t="s">
        <v>544</v>
      </c>
      <c r="C889" s="52" t="s">
        <v>1502</v>
      </c>
      <c r="D889" s="52" t="s">
        <v>684</v>
      </c>
      <c r="E889" s="52" t="s">
        <v>674</v>
      </c>
      <c r="F889" s="52" t="s">
        <v>716</v>
      </c>
      <c r="G889" s="52" t="s">
        <v>717</v>
      </c>
      <c r="H889" s="52" t="s">
        <v>717</v>
      </c>
      <c r="I889" s="52" t="s">
        <v>736</v>
      </c>
      <c r="J889" s="52" t="s">
        <v>737</v>
      </c>
      <c r="K889" s="52" t="s">
        <v>738</v>
      </c>
      <c r="L889" s="52" t="s">
        <v>699</v>
      </c>
      <c r="M889" s="52">
        <v>0.2</v>
      </c>
      <c r="N889" s="52" t="s">
        <v>244</v>
      </c>
      <c r="O889" s="52" t="s">
        <v>665</v>
      </c>
      <c r="P889" s="52" t="s">
        <v>746</v>
      </c>
      <c r="Q889" s="52" t="s">
        <v>683</v>
      </c>
      <c r="R889" s="52" t="s">
        <v>544</v>
      </c>
      <c r="S889" s="49" t="s">
        <v>684</v>
      </c>
      <c r="T889" s="52" t="s">
        <v>1821</v>
      </c>
      <c r="U889" s="52" t="s">
        <v>1824</v>
      </c>
      <c r="V889" s="50" t="s">
        <v>1823</v>
      </c>
    </row>
    <row r="890" spans="1:22" x14ac:dyDescent="0.3">
      <c r="A890" s="48" t="s">
        <v>1505</v>
      </c>
      <c r="B890" s="49" t="s">
        <v>544</v>
      </c>
      <c r="C890" s="49" t="s">
        <v>1499</v>
      </c>
      <c r="D890" s="49" t="s">
        <v>684</v>
      </c>
      <c r="E890" s="49" t="s">
        <v>674</v>
      </c>
      <c r="F890" s="49" t="s">
        <v>716</v>
      </c>
      <c r="G890" s="49" t="s">
        <v>717</v>
      </c>
      <c r="H890" s="49" t="s">
        <v>717</v>
      </c>
      <c r="I890" s="49" t="s">
        <v>736</v>
      </c>
      <c r="J890" s="49" t="s">
        <v>737</v>
      </c>
      <c r="K890" s="49" t="s">
        <v>738</v>
      </c>
      <c r="L890" s="49" t="s">
        <v>699</v>
      </c>
      <c r="M890" s="49">
        <v>0.2</v>
      </c>
      <c r="N890" s="49" t="s">
        <v>244</v>
      </c>
      <c r="O890" s="49" t="s">
        <v>665</v>
      </c>
      <c r="P890" s="49" t="s">
        <v>746</v>
      </c>
      <c r="Q890" s="49" t="s">
        <v>683</v>
      </c>
      <c r="R890" s="49" t="s">
        <v>544</v>
      </c>
      <c r="S890" s="49" t="s">
        <v>684</v>
      </c>
      <c r="T890" s="49" t="s">
        <v>1821</v>
      </c>
      <c r="U890" s="49" t="s">
        <v>1824</v>
      </c>
      <c r="V890" s="50" t="s">
        <v>1823</v>
      </c>
    </row>
    <row r="891" spans="1:22" x14ac:dyDescent="0.3">
      <c r="A891" s="51" t="s">
        <v>1503</v>
      </c>
      <c r="B891" s="52" t="s">
        <v>544</v>
      </c>
      <c r="C891" s="52" t="s">
        <v>1504</v>
      </c>
      <c r="D891" s="52" t="s">
        <v>684</v>
      </c>
      <c r="E891" s="52" t="s">
        <v>674</v>
      </c>
      <c r="F891" s="52" t="s">
        <v>716</v>
      </c>
      <c r="G891" s="52" t="s">
        <v>717</v>
      </c>
      <c r="H891" s="52" t="s">
        <v>717</v>
      </c>
      <c r="I891" s="52" t="s">
        <v>736</v>
      </c>
      <c r="J891" s="52" t="s">
        <v>737</v>
      </c>
      <c r="K891" s="52" t="s">
        <v>738</v>
      </c>
      <c r="L891" s="52" t="s">
        <v>699</v>
      </c>
      <c r="M891" s="52">
        <v>0.2</v>
      </c>
      <c r="N891" s="52" t="s">
        <v>244</v>
      </c>
      <c r="O891" s="52" t="s">
        <v>665</v>
      </c>
      <c r="P891" s="52" t="s">
        <v>746</v>
      </c>
      <c r="Q891" s="52" t="s">
        <v>683</v>
      </c>
      <c r="R891" s="52" t="s">
        <v>544</v>
      </c>
      <c r="S891" s="49" t="s">
        <v>684</v>
      </c>
      <c r="T891" s="52" t="s">
        <v>1821</v>
      </c>
      <c r="U891" s="52" t="s">
        <v>1824</v>
      </c>
      <c r="V891" s="50" t="s">
        <v>1823</v>
      </c>
    </row>
    <row r="892" spans="1:22" x14ac:dyDescent="0.3">
      <c r="A892" s="48" t="s">
        <v>1009</v>
      </c>
      <c r="B892" s="49" t="s">
        <v>707</v>
      </c>
      <c r="C892" s="49" t="s">
        <v>715</v>
      </c>
      <c r="D892" s="49" t="s">
        <v>684</v>
      </c>
      <c r="E892" s="49" t="s">
        <v>674</v>
      </c>
      <c r="F892" s="49" t="s">
        <v>716</v>
      </c>
      <c r="G892" s="49" t="s">
        <v>717</v>
      </c>
      <c r="H892" s="49" t="s">
        <v>717</v>
      </c>
      <c r="I892" s="49" t="s">
        <v>717</v>
      </c>
      <c r="J892" s="49" t="s">
        <v>737</v>
      </c>
      <c r="K892" s="49" t="s">
        <v>738</v>
      </c>
      <c r="L892" s="49" t="s">
        <v>699</v>
      </c>
      <c r="M892" s="49">
        <v>0.2</v>
      </c>
      <c r="N892" s="49" t="s">
        <v>244</v>
      </c>
      <c r="O892" s="49" t="s">
        <v>665</v>
      </c>
      <c r="P892" s="49" t="s">
        <v>746</v>
      </c>
      <c r="Q892" s="49" t="s">
        <v>683</v>
      </c>
      <c r="R892" s="49" t="s">
        <v>544</v>
      </c>
      <c r="S892" s="49" t="s">
        <v>684</v>
      </c>
      <c r="T892" s="49" t="s">
        <v>1821</v>
      </c>
      <c r="U892" s="49" t="s">
        <v>1824</v>
      </c>
      <c r="V892" s="50" t="s">
        <v>1823</v>
      </c>
    </row>
    <row r="893" spans="1:22" x14ac:dyDescent="0.3">
      <c r="A893" s="51" t="s">
        <v>1506</v>
      </c>
      <c r="B893" s="52" t="s">
        <v>544</v>
      </c>
      <c r="C893" s="52" t="s">
        <v>1500</v>
      </c>
      <c r="D893" s="52" t="s">
        <v>684</v>
      </c>
      <c r="E893" s="52" t="s">
        <v>674</v>
      </c>
      <c r="F893" s="52" t="s">
        <v>716</v>
      </c>
      <c r="G893" s="52" t="s">
        <v>717</v>
      </c>
      <c r="H893" s="52" t="s">
        <v>717</v>
      </c>
      <c r="I893" s="52" t="s">
        <v>736</v>
      </c>
      <c r="J893" s="52" t="s">
        <v>737</v>
      </c>
      <c r="K893" s="52" t="s">
        <v>738</v>
      </c>
      <c r="L893" s="52" t="s">
        <v>699</v>
      </c>
      <c r="M893" s="52">
        <v>0.2</v>
      </c>
      <c r="N893" s="52" t="s">
        <v>244</v>
      </c>
      <c r="O893" s="52" t="s">
        <v>665</v>
      </c>
      <c r="P893" s="52" t="s">
        <v>746</v>
      </c>
      <c r="Q893" s="52" t="s">
        <v>683</v>
      </c>
      <c r="R893" s="52" t="s">
        <v>544</v>
      </c>
      <c r="S893" s="49" t="s">
        <v>684</v>
      </c>
      <c r="T893" s="52" t="s">
        <v>1821</v>
      </c>
      <c r="U893" s="52" t="s">
        <v>1824</v>
      </c>
      <c r="V893" s="50" t="s">
        <v>1823</v>
      </c>
    </row>
    <row r="894" spans="1:22" x14ac:dyDescent="0.3">
      <c r="A894" s="48" t="s">
        <v>2338</v>
      </c>
      <c r="B894" s="49" t="s">
        <v>544</v>
      </c>
      <c r="C894" s="49" t="s">
        <v>2339</v>
      </c>
      <c r="D894" s="49" t="s">
        <v>684</v>
      </c>
      <c r="E894" s="49" t="s">
        <v>674</v>
      </c>
      <c r="F894" s="49" t="s">
        <v>716</v>
      </c>
      <c r="G894" s="49" t="s">
        <v>717</v>
      </c>
      <c r="H894" s="49" t="s">
        <v>717</v>
      </c>
      <c r="I894" s="49" t="s">
        <v>736</v>
      </c>
      <c r="J894" s="49" t="s">
        <v>737</v>
      </c>
      <c r="K894" s="49" t="s">
        <v>738</v>
      </c>
      <c r="L894" s="49" t="s">
        <v>699</v>
      </c>
      <c r="M894" s="49">
        <v>1</v>
      </c>
      <c r="N894" s="49" t="s">
        <v>286</v>
      </c>
      <c r="O894" s="49" t="s">
        <v>665</v>
      </c>
      <c r="P894" s="49" t="s">
        <v>746</v>
      </c>
      <c r="Q894" s="49" t="s">
        <v>683</v>
      </c>
      <c r="R894" s="49" t="s">
        <v>544</v>
      </c>
      <c r="S894" s="49" t="s">
        <v>684</v>
      </c>
      <c r="T894" s="49" t="s">
        <v>1821</v>
      </c>
      <c r="U894" s="49" t="s">
        <v>1824</v>
      </c>
      <c r="V894" s="50" t="s">
        <v>1823</v>
      </c>
    </row>
    <row r="895" spans="1:22" x14ac:dyDescent="0.3">
      <c r="A895" s="51" t="s">
        <v>1489</v>
      </c>
      <c r="B895" s="52" t="s">
        <v>544</v>
      </c>
      <c r="C895" s="52" t="s">
        <v>1490</v>
      </c>
      <c r="D895" s="52" t="s">
        <v>684</v>
      </c>
      <c r="E895" s="52" t="s">
        <v>674</v>
      </c>
      <c r="F895" s="52" t="s">
        <v>716</v>
      </c>
      <c r="G895" s="52" t="s">
        <v>744</v>
      </c>
      <c r="H895" s="52" t="s">
        <v>702</v>
      </c>
      <c r="I895" s="52" t="s">
        <v>1488</v>
      </c>
      <c r="J895" s="52" t="s">
        <v>737</v>
      </c>
      <c r="K895" s="52" t="s">
        <v>738</v>
      </c>
      <c r="L895" s="52" t="s">
        <v>699</v>
      </c>
      <c r="M895" s="52">
        <v>0.2</v>
      </c>
      <c r="N895" s="52" t="s">
        <v>303</v>
      </c>
      <c r="O895" s="52" t="s">
        <v>665</v>
      </c>
      <c r="P895" s="52" t="s">
        <v>746</v>
      </c>
      <c r="Q895" s="52" t="s">
        <v>683</v>
      </c>
      <c r="R895" s="52" t="s">
        <v>544</v>
      </c>
      <c r="S895" s="49" t="s">
        <v>684</v>
      </c>
      <c r="T895" s="52" t="s">
        <v>1821</v>
      </c>
      <c r="U895" s="52" t="s">
        <v>1824</v>
      </c>
      <c r="V895" s="50" t="s">
        <v>1823</v>
      </c>
    </row>
    <row r="896" spans="1:22" x14ac:dyDescent="0.3">
      <c r="A896" s="48" t="s">
        <v>1486</v>
      </c>
      <c r="B896" s="49" t="s">
        <v>544</v>
      </c>
      <c r="C896" s="49" t="s">
        <v>1487</v>
      </c>
      <c r="D896" s="49" t="s">
        <v>684</v>
      </c>
      <c r="E896" s="49" t="s">
        <v>674</v>
      </c>
      <c r="F896" s="49" t="s">
        <v>716</v>
      </c>
      <c r="G896" s="49" t="s">
        <v>744</v>
      </c>
      <c r="H896" s="49" t="s">
        <v>702</v>
      </c>
      <c r="I896" s="49" t="s">
        <v>1488</v>
      </c>
      <c r="J896" s="49" t="s">
        <v>737</v>
      </c>
      <c r="K896" s="49" t="s">
        <v>738</v>
      </c>
      <c r="L896" s="49" t="s">
        <v>699</v>
      </c>
      <c r="M896" s="49">
        <v>0.2</v>
      </c>
      <c r="N896" s="49" t="s">
        <v>303</v>
      </c>
      <c r="O896" s="49" t="s">
        <v>665</v>
      </c>
      <c r="P896" s="49" t="s">
        <v>746</v>
      </c>
      <c r="Q896" s="49" t="s">
        <v>683</v>
      </c>
      <c r="R896" s="49" t="s">
        <v>544</v>
      </c>
      <c r="S896" s="49" t="s">
        <v>684</v>
      </c>
      <c r="T896" s="49" t="s">
        <v>1821</v>
      </c>
      <c r="U896" s="49" t="s">
        <v>1824</v>
      </c>
      <c r="V896" s="50" t="s">
        <v>1823</v>
      </c>
    </row>
    <row r="897" spans="1:22" x14ac:dyDescent="0.3">
      <c r="A897" s="51" t="s">
        <v>1503</v>
      </c>
      <c r="B897" s="52" t="s">
        <v>544</v>
      </c>
      <c r="C897" s="52" t="s">
        <v>1504</v>
      </c>
      <c r="D897" s="52" t="s">
        <v>684</v>
      </c>
      <c r="E897" s="52" t="s">
        <v>674</v>
      </c>
      <c r="F897" s="52" t="s">
        <v>716</v>
      </c>
      <c r="G897" s="52" t="s">
        <v>717</v>
      </c>
      <c r="H897" s="52" t="s">
        <v>717</v>
      </c>
      <c r="I897" s="52" t="s">
        <v>736</v>
      </c>
      <c r="J897" s="52" t="s">
        <v>737</v>
      </c>
      <c r="K897" s="52" t="s">
        <v>738</v>
      </c>
      <c r="L897" s="52" t="s">
        <v>699</v>
      </c>
      <c r="M897" s="52">
        <v>0.6</v>
      </c>
      <c r="N897" s="52" t="s">
        <v>303</v>
      </c>
      <c r="O897" s="52" t="s">
        <v>665</v>
      </c>
      <c r="P897" s="52" t="s">
        <v>746</v>
      </c>
      <c r="Q897" s="52" t="s">
        <v>683</v>
      </c>
      <c r="R897" s="52" t="s">
        <v>544</v>
      </c>
      <c r="S897" s="49" t="s">
        <v>684</v>
      </c>
      <c r="T897" s="52" t="s">
        <v>1821</v>
      </c>
      <c r="U897" s="52" t="s">
        <v>1824</v>
      </c>
      <c r="V897" s="50" t="s">
        <v>1823</v>
      </c>
    </row>
    <row r="898" spans="1:22" x14ac:dyDescent="0.3">
      <c r="A898" s="48" t="s">
        <v>717</v>
      </c>
      <c r="B898" s="49" t="s">
        <v>716</v>
      </c>
      <c r="C898" s="49" t="s">
        <v>715</v>
      </c>
      <c r="D898" s="49" t="s">
        <v>2302</v>
      </c>
      <c r="E898" s="49" t="s">
        <v>674</v>
      </c>
      <c r="F898" s="49" t="s">
        <v>716</v>
      </c>
      <c r="G898" s="49" t="s">
        <v>717</v>
      </c>
      <c r="H898" s="49" t="s">
        <v>717</v>
      </c>
      <c r="I898" s="49" t="s">
        <v>717</v>
      </c>
      <c r="J898" s="49" t="s">
        <v>717</v>
      </c>
      <c r="K898" s="49" t="s">
        <v>717</v>
      </c>
      <c r="L898" s="49" t="s">
        <v>699</v>
      </c>
      <c r="M898" s="49">
        <v>0.6</v>
      </c>
      <c r="N898" s="49" t="s">
        <v>305</v>
      </c>
      <c r="O898" s="49" t="s">
        <v>665</v>
      </c>
      <c r="P898" s="49" t="s">
        <v>746</v>
      </c>
      <c r="Q898" s="49" t="s">
        <v>683</v>
      </c>
      <c r="R898" s="49" t="s">
        <v>544</v>
      </c>
      <c r="S898" s="49" t="s">
        <v>684</v>
      </c>
      <c r="T898" s="49" t="s">
        <v>1828</v>
      </c>
      <c r="U898" s="49" t="s">
        <v>1824</v>
      </c>
      <c r="V898" s="50" t="s">
        <v>1823</v>
      </c>
    </row>
    <row r="899" spans="1:22" x14ac:dyDescent="0.3">
      <c r="A899" s="51" t="s">
        <v>1009</v>
      </c>
      <c r="B899" s="52" t="s">
        <v>707</v>
      </c>
      <c r="C899" s="52" t="s">
        <v>715</v>
      </c>
      <c r="D899" s="52" t="s">
        <v>684</v>
      </c>
      <c r="E899" s="52" t="s">
        <v>674</v>
      </c>
      <c r="F899" s="52" t="s">
        <v>716</v>
      </c>
      <c r="G899" s="52" t="s">
        <v>717</v>
      </c>
      <c r="H899" s="52" t="s">
        <v>717</v>
      </c>
      <c r="I899" s="52" t="s">
        <v>717</v>
      </c>
      <c r="J899" s="52" t="s">
        <v>737</v>
      </c>
      <c r="K899" s="52" t="s">
        <v>738</v>
      </c>
      <c r="L899" s="52" t="s">
        <v>699</v>
      </c>
      <c r="M899" s="52">
        <v>0.2</v>
      </c>
      <c r="N899" s="52" t="s">
        <v>516</v>
      </c>
      <c r="O899" s="52" t="s">
        <v>665</v>
      </c>
      <c r="P899" s="52" t="s">
        <v>746</v>
      </c>
      <c r="Q899" s="52" t="s">
        <v>683</v>
      </c>
      <c r="R899" s="52" t="s">
        <v>544</v>
      </c>
      <c r="S899" s="49" t="s">
        <v>684</v>
      </c>
      <c r="T899" s="52" t="s">
        <v>1821</v>
      </c>
      <c r="U899" s="52" t="s">
        <v>1824</v>
      </c>
      <c r="V899" s="50" t="s">
        <v>1823</v>
      </c>
    </row>
    <row r="900" spans="1:22" x14ac:dyDescent="0.3">
      <c r="A900" s="48" t="s">
        <v>1506</v>
      </c>
      <c r="B900" s="49" t="s">
        <v>544</v>
      </c>
      <c r="C900" s="49" t="s">
        <v>1500</v>
      </c>
      <c r="D900" s="49" t="s">
        <v>684</v>
      </c>
      <c r="E900" s="49" t="s">
        <v>674</v>
      </c>
      <c r="F900" s="49" t="s">
        <v>716</v>
      </c>
      <c r="G900" s="49" t="s">
        <v>717</v>
      </c>
      <c r="H900" s="49" t="s">
        <v>717</v>
      </c>
      <c r="I900" s="49" t="s">
        <v>736</v>
      </c>
      <c r="J900" s="49" t="s">
        <v>737</v>
      </c>
      <c r="K900" s="49" t="s">
        <v>738</v>
      </c>
      <c r="L900" s="49" t="s">
        <v>699</v>
      </c>
      <c r="M900" s="49">
        <v>0.2</v>
      </c>
      <c r="N900" s="49" t="s">
        <v>516</v>
      </c>
      <c r="O900" s="49" t="s">
        <v>665</v>
      </c>
      <c r="P900" s="49" t="s">
        <v>746</v>
      </c>
      <c r="Q900" s="49" t="s">
        <v>683</v>
      </c>
      <c r="R900" s="49" t="s">
        <v>544</v>
      </c>
      <c r="S900" s="49" t="s">
        <v>684</v>
      </c>
      <c r="T900" s="49" t="s">
        <v>1821</v>
      </c>
      <c r="U900" s="49" t="s">
        <v>1824</v>
      </c>
      <c r="V900" s="50" t="s">
        <v>1823</v>
      </c>
    </row>
    <row r="901" spans="1:22" x14ac:dyDescent="0.3">
      <c r="A901" s="51" t="s">
        <v>1503</v>
      </c>
      <c r="B901" s="52" t="s">
        <v>544</v>
      </c>
      <c r="C901" s="52" t="s">
        <v>1504</v>
      </c>
      <c r="D901" s="52" t="s">
        <v>684</v>
      </c>
      <c r="E901" s="52" t="s">
        <v>674</v>
      </c>
      <c r="F901" s="52" t="s">
        <v>716</v>
      </c>
      <c r="G901" s="52" t="s">
        <v>717</v>
      </c>
      <c r="H901" s="52" t="s">
        <v>717</v>
      </c>
      <c r="I901" s="52" t="s">
        <v>736</v>
      </c>
      <c r="J901" s="52" t="s">
        <v>737</v>
      </c>
      <c r="K901" s="52" t="s">
        <v>738</v>
      </c>
      <c r="L901" s="52" t="s">
        <v>699</v>
      </c>
      <c r="M901" s="52">
        <v>0.2</v>
      </c>
      <c r="N901" s="52" t="s">
        <v>516</v>
      </c>
      <c r="O901" s="52" t="s">
        <v>665</v>
      </c>
      <c r="P901" s="52" t="s">
        <v>746</v>
      </c>
      <c r="Q901" s="52" t="s">
        <v>683</v>
      </c>
      <c r="R901" s="52" t="s">
        <v>544</v>
      </c>
      <c r="S901" s="49" t="s">
        <v>684</v>
      </c>
      <c r="T901" s="52" t="s">
        <v>1821</v>
      </c>
      <c r="U901" s="52" t="s">
        <v>1824</v>
      </c>
      <c r="V901" s="50" t="s">
        <v>1823</v>
      </c>
    </row>
    <row r="902" spans="1:22" x14ac:dyDescent="0.3">
      <c r="A902" s="48" t="s">
        <v>1505</v>
      </c>
      <c r="B902" s="49" t="s">
        <v>544</v>
      </c>
      <c r="C902" s="49" t="s">
        <v>1499</v>
      </c>
      <c r="D902" s="49" t="s">
        <v>684</v>
      </c>
      <c r="E902" s="49" t="s">
        <v>674</v>
      </c>
      <c r="F902" s="49" t="s">
        <v>716</v>
      </c>
      <c r="G902" s="49" t="s">
        <v>717</v>
      </c>
      <c r="H902" s="49" t="s">
        <v>717</v>
      </c>
      <c r="I902" s="49" t="s">
        <v>736</v>
      </c>
      <c r="J902" s="49" t="s">
        <v>737</v>
      </c>
      <c r="K902" s="49" t="s">
        <v>738</v>
      </c>
      <c r="L902" s="49" t="s">
        <v>699</v>
      </c>
      <c r="M902" s="49">
        <v>0.2</v>
      </c>
      <c r="N902" s="49" t="s">
        <v>516</v>
      </c>
      <c r="O902" s="49" t="s">
        <v>665</v>
      </c>
      <c r="P902" s="49" t="s">
        <v>746</v>
      </c>
      <c r="Q902" s="49" t="s">
        <v>683</v>
      </c>
      <c r="R902" s="49" t="s">
        <v>544</v>
      </c>
      <c r="S902" s="49" t="s">
        <v>684</v>
      </c>
      <c r="T902" s="49" t="s">
        <v>1821</v>
      </c>
      <c r="U902" s="49" t="s">
        <v>1824</v>
      </c>
      <c r="V902" s="50" t="s">
        <v>1823</v>
      </c>
    </row>
    <row r="903" spans="1:22" x14ac:dyDescent="0.3">
      <c r="A903" s="51" t="s">
        <v>1501</v>
      </c>
      <c r="B903" s="52" t="s">
        <v>544</v>
      </c>
      <c r="C903" s="52" t="s">
        <v>1502</v>
      </c>
      <c r="D903" s="52" t="s">
        <v>684</v>
      </c>
      <c r="E903" s="52" t="s">
        <v>674</v>
      </c>
      <c r="F903" s="52" t="s">
        <v>716</v>
      </c>
      <c r="G903" s="52" t="s">
        <v>717</v>
      </c>
      <c r="H903" s="52" t="s">
        <v>717</v>
      </c>
      <c r="I903" s="52" t="s">
        <v>736</v>
      </c>
      <c r="J903" s="52" t="s">
        <v>737</v>
      </c>
      <c r="K903" s="52" t="s">
        <v>738</v>
      </c>
      <c r="L903" s="52" t="s">
        <v>699</v>
      </c>
      <c r="M903" s="52">
        <v>0.2</v>
      </c>
      <c r="N903" s="52" t="s">
        <v>516</v>
      </c>
      <c r="O903" s="52" t="s">
        <v>665</v>
      </c>
      <c r="P903" s="52" t="s">
        <v>746</v>
      </c>
      <c r="Q903" s="52" t="s">
        <v>683</v>
      </c>
      <c r="R903" s="52" t="s">
        <v>544</v>
      </c>
      <c r="S903" s="49" t="s">
        <v>684</v>
      </c>
      <c r="T903" s="52" t="s">
        <v>1821</v>
      </c>
      <c r="U903" s="52" t="s">
        <v>1824</v>
      </c>
      <c r="V903" s="50" t="s">
        <v>1823</v>
      </c>
    </row>
    <row r="904" spans="1:22" x14ac:dyDescent="0.3">
      <c r="A904" s="48" t="s">
        <v>1506</v>
      </c>
      <c r="B904" s="49" t="s">
        <v>544</v>
      </c>
      <c r="C904" s="49" t="s">
        <v>1500</v>
      </c>
      <c r="D904" s="49" t="s">
        <v>684</v>
      </c>
      <c r="E904" s="49" t="s">
        <v>674</v>
      </c>
      <c r="F904" s="49" t="s">
        <v>716</v>
      </c>
      <c r="G904" s="49" t="s">
        <v>717</v>
      </c>
      <c r="H904" s="49" t="s">
        <v>717</v>
      </c>
      <c r="I904" s="49" t="s">
        <v>736</v>
      </c>
      <c r="J904" s="49" t="s">
        <v>737</v>
      </c>
      <c r="K904" s="49" t="s">
        <v>738</v>
      </c>
      <c r="L904" s="49" t="s">
        <v>699</v>
      </c>
      <c r="M904" s="49">
        <v>0.2</v>
      </c>
      <c r="N904" s="49" t="s">
        <v>639</v>
      </c>
      <c r="O904" s="49" t="s">
        <v>665</v>
      </c>
      <c r="P904" s="49" t="s">
        <v>746</v>
      </c>
      <c r="Q904" s="49" t="s">
        <v>683</v>
      </c>
      <c r="R904" s="49" t="s">
        <v>544</v>
      </c>
      <c r="S904" s="49" t="s">
        <v>684</v>
      </c>
      <c r="T904" s="49" t="s">
        <v>1821</v>
      </c>
      <c r="U904" s="49" t="s">
        <v>1824</v>
      </c>
      <c r="V904" s="50" t="s">
        <v>1823</v>
      </c>
    </row>
    <row r="905" spans="1:22" x14ac:dyDescent="0.3">
      <c r="A905" s="51" t="s">
        <v>1503</v>
      </c>
      <c r="B905" s="52" t="s">
        <v>544</v>
      </c>
      <c r="C905" s="52" t="s">
        <v>1504</v>
      </c>
      <c r="D905" s="52" t="s">
        <v>684</v>
      </c>
      <c r="E905" s="52" t="s">
        <v>674</v>
      </c>
      <c r="F905" s="52" t="s">
        <v>716</v>
      </c>
      <c r="G905" s="52" t="s">
        <v>717</v>
      </c>
      <c r="H905" s="52" t="s">
        <v>717</v>
      </c>
      <c r="I905" s="52" t="s">
        <v>736</v>
      </c>
      <c r="J905" s="52" t="s">
        <v>737</v>
      </c>
      <c r="K905" s="52" t="s">
        <v>738</v>
      </c>
      <c r="L905" s="52" t="s">
        <v>699</v>
      </c>
      <c r="M905" s="52">
        <v>0.2</v>
      </c>
      <c r="N905" s="52" t="s">
        <v>639</v>
      </c>
      <c r="O905" s="52" t="s">
        <v>665</v>
      </c>
      <c r="P905" s="52" t="s">
        <v>746</v>
      </c>
      <c r="Q905" s="52" t="s">
        <v>683</v>
      </c>
      <c r="R905" s="52" t="s">
        <v>544</v>
      </c>
      <c r="S905" s="49" t="s">
        <v>684</v>
      </c>
      <c r="T905" s="52" t="s">
        <v>1821</v>
      </c>
      <c r="U905" s="52" t="s">
        <v>1824</v>
      </c>
      <c r="V905" s="50" t="s">
        <v>1823</v>
      </c>
    </row>
    <row r="906" spans="1:22" x14ac:dyDescent="0.3">
      <c r="A906" s="48" t="s">
        <v>1505</v>
      </c>
      <c r="B906" s="49" t="s">
        <v>544</v>
      </c>
      <c r="C906" s="49" t="s">
        <v>1499</v>
      </c>
      <c r="D906" s="49" t="s">
        <v>684</v>
      </c>
      <c r="E906" s="49" t="s">
        <v>674</v>
      </c>
      <c r="F906" s="49" t="s">
        <v>716</v>
      </c>
      <c r="G906" s="49" t="s">
        <v>717</v>
      </c>
      <c r="H906" s="49" t="s">
        <v>717</v>
      </c>
      <c r="I906" s="49" t="s">
        <v>736</v>
      </c>
      <c r="J906" s="49" t="s">
        <v>737</v>
      </c>
      <c r="K906" s="49" t="s">
        <v>738</v>
      </c>
      <c r="L906" s="49" t="s">
        <v>699</v>
      </c>
      <c r="M906" s="49">
        <v>0.2</v>
      </c>
      <c r="N906" s="49" t="s">
        <v>639</v>
      </c>
      <c r="O906" s="49" t="s">
        <v>665</v>
      </c>
      <c r="P906" s="49" t="s">
        <v>746</v>
      </c>
      <c r="Q906" s="49" t="s">
        <v>683</v>
      </c>
      <c r="R906" s="49" t="s">
        <v>544</v>
      </c>
      <c r="S906" s="49" t="s">
        <v>684</v>
      </c>
      <c r="T906" s="49" t="s">
        <v>1821</v>
      </c>
      <c r="U906" s="49" t="s">
        <v>1824</v>
      </c>
      <c r="V906" s="50" t="s">
        <v>1823</v>
      </c>
    </row>
    <row r="907" spans="1:22" x14ac:dyDescent="0.3">
      <c r="A907" s="51" t="s">
        <v>1501</v>
      </c>
      <c r="B907" s="52" t="s">
        <v>544</v>
      </c>
      <c r="C907" s="52" t="s">
        <v>1502</v>
      </c>
      <c r="D907" s="52" t="s">
        <v>684</v>
      </c>
      <c r="E907" s="52" t="s">
        <v>674</v>
      </c>
      <c r="F907" s="52" t="s">
        <v>716</v>
      </c>
      <c r="G907" s="52" t="s">
        <v>717</v>
      </c>
      <c r="H907" s="52" t="s">
        <v>717</v>
      </c>
      <c r="I907" s="52" t="s">
        <v>736</v>
      </c>
      <c r="J907" s="52" t="s">
        <v>737</v>
      </c>
      <c r="K907" s="52" t="s">
        <v>738</v>
      </c>
      <c r="L907" s="52" t="s">
        <v>699</v>
      </c>
      <c r="M907" s="52">
        <v>0.2</v>
      </c>
      <c r="N907" s="52" t="s">
        <v>639</v>
      </c>
      <c r="O907" s="52" t="s">
        <v>665</v>
      </c>
      <c r="P907" s="52" t="s">
        <v>746</v>
      </c>
      <c r="Q907" s="52" t="s">
        <v>683</v>
      </c>
      <c r="R907" s="52" t="s">
        <v>544</v>
      </c>
      <c r="S907" s="49" t="s">
        <v>684</v>
      </c>
      <c r="T907" s="52" t="s">
        <v>1821</v>
      </c>
      <c r="U907" s="52" t="s">
        <v>1824</v>
      </c>
      <c r="V907" s="50" t="s">
        <v>1823</v>
      </c>
    </row>
    <row r="908" spans="1:22" x14ac:dyDescent="0.3">
      <c r="A908" s="48" t="s">
        <v>1009</v>
      </c>
      <c r="B908" s="49" t="s">
        <v>707</v>
      </c>
      <c r="C908" s="49" t="s">
        <v>715</v>
      </c>
      <c r="D908" s="49" t="s">
        <v>684</v>
      </c>
      <c r="E908" s="49" t="s">
        <v>674</v>
      </c>
      <c r="F908" s="49" t="s">
        <v>716</v>
      </c>
      <c r="G908" s="49" t="s">
        <v>717</v>
      </c>
      <c r="H908" s="49" t="s">
        <v>717</v>
      </c>
      <c r="I908" s="49" t="s">
        <v>717</v>
      </c>
      <c r="J908" s="49" t="s">
        <v>737</v>
      </c>
      <c r="K908" s="49" t="s">
        <v>738</v>
      </c>
      <c r="L908" s="49" t="s">
        <v>699</v>
      </c>
      <c r="M908" s="49">
        <v>0.2</v>
      </c>
      <c r="N908" s="49" t="s">
        <v>639</v>
      </c>
      <c r="O908" s="49" t="s">
        <v>665</v>
      </c>
      <c r="P908" s="49" t="s">
        <v>746</v>
      </c>
      <c r="Q908" s="49" t="s">
        <v>683</v>
      </c>
      <c r="R908" s="49" t="s">
        <v>544</v>
      </c>
      <c r="S908" s="49" t="s">
        <v>684</v>
      </c>
      <c r="T908" s="49" t="s">
        <v>1821</v>
      </c>
      <c r="U908" s="49" t="s">
        <v>1824</v>
      </c>
      <c r="V908" s="50" t="s">
        <v>1823</v>
      </c>
    </row>
    <row r="909" spans="1:22" x14ac:dyDescent="0.3">
      <c r="A909" s="51" t="s">
        <v>756</v>
      </c>
      <c r="B909" s="52" t="s">
        <v>753</v>
      </c>
      <c r="C909" s="52" t="s">
        <v>756</v>
      </c>
      <c r="D909" s="52" t="s">
        <v>755</v>
      </c>
      <c r="E909" s="52" t="s">
        <v>674</v>
      </c>
      <c r="F909" s="52" t="s">
        <v>716</v>
      </c>
      <c r="G909" s="52" t="s">
        <v>744</v>
      </c>
      <c r="H909" s="52" t="s">
        <v>702</v>
      </c>
      <c r="I909" s="49" t="s">
        <v>678</v>
      </c>
      <c r="J909" s="52" t="s">
        <v>679</v>
      </c>
      <c r="K909" s="52" t="s">
        <v>680</v>
      </c>
      <c r="L909" s="52" t="s">
        <v>681</v>
      </c>
      <c r="M909" s="52">
        <v>1</v>
      </c>
      <c r="N909" s="52" t="s">
        <v>2340</v>
      </c>
      <c r="O909" s="52" t="s">
        <v>665</v>
      </c>
      <c r="P909" s="52" t="s">
        <v>746</v>
      </c>
      <c r="Q909" s="52" t="s">
        <v>683</v>
      </c>
      <c r="R909" s="52" t="s">
        <v>285</v>
      </c>
      <c r="S909" s="49" t="s">
        <v>755</v>
      </c>
      <c r="T909" s="52" t="s">
        <v>1821</v>
      </c>
      <c r="U909" s="52" t="s">
        <v>1824</v>
      </c>
      <c r="V909" s="50" t="s">
        <v>1823</v>
      </c>
    </row>
    <row r="910" spans="1:22" x14ac:dyDescent="0.3">
      <c r="A910" s="48" t="s">
        <v>1002</v>
      </c>
      <c r="B910" s="49" t="s">
        <v>998</v>
      </c>
      <c r="C910" s="49" t="s">
        <v>1003</v>
      </c>
      <c r="D910" s="49" t="s">
        <v>673</v>
      </c>
      <c r="E910" s="49" t="s">
        <v>674</v>
      </c>
      <c r="F910" s="49" t="s">
        <v>716</v>
      </c>
      <c r="G910" s="49" t="s">
        <v>744</v>
      </c>
      <c r="H910" s="49" t="s">
        <v>677</v>
      </c>
      <c r="I910" s="49" t="s">
        <v>678</v>
      </c>
      <c r="J910" s="49" t="s">
        <v>751</v>
      </c>
      <c r="K910" s="49" t="s">
        <v>690</v>
      </c>
      <c r="L910" s="49" t="s">
        <v>681</v>
      </c>
      <c r="M910" s="49">
        <v>1</v>
      </c>
      <c r="N910" s="49" t="s">
        <v>1660</v>
      </c>
      <c r="O910" s="49" t="s">
        <v>767</v>
      </c>
      <c r="P910" s="52" t="s">
        <v>746</v>
      </c>
      <c r="Q910" s="49" t="s">
        <v>683</v>
      </c>
      <c r="R910" s="49" t="s">
        <v>278</v>
      </c>
      <c r="S910" s="52" t="s">
        <v>673</v>
      </c>
      <c r="T910" s="49" t="s">
        <v>1821</v>
      </c>
      <c r="U910" s="49" t="s">
        <v>1824</v>
      </c>
      <c r="V910" s="50" t="s">
        <v>1823</v>
      </c>
    </row>
    <row r="911" spans="1:22" x14ac:dyDescent="0.3">
      <c r="A911" s="51" t="s">
        <v>911</v>
      </c>
      <c r="B911" s="52" t="s">
        <v>544</v>
      </c>
      <c r="C911" s="52" t="s">
        <v>912</v>
      </c>
      <c r="D911" s="52" t="s">
        <v>684</v>
      </c>
      <c r="E911" s="52" t="s">
        <v>674</v>
      </c>
      <c r="F911" s="52" t="s">
        <v>716</v>
      </c>
      <c r="G911" s="52" t="s">
        <v>744</v>
      </c>
      <c r="H911" s="52" t="s">
        <v>702</v>
      </c>
      <c r="I911" s="52" t="s">
        <v>736</v>
      </c>
      <c r="J911" s="52" t="s">
        <v>737</v>
      </c>
      <c r="K911" s="52" t="s">
        <v>738</v>
      </c>
      <c r="L911" s="52" t="s">
        <v>808</v>
      </c>
      <c r="M911" s="52">
        <v>0.5</v>
      </c>
      <c r="N911" s="52" t="s">
        <v>608</v>
      </c>
      <c r="O911" s="52" t="s">
        <v>665</v>
      </c>
      <c r="P911" s="52" t="s">
        <v>746</v>
      </c>
      <c r="Q911" s="52" t="s">
        <v>683</v>
      </c>
      <c r="R911" s="52" t="s">
        <v>300</v>
      </c>
      <c r="S911" s="49" t="s">
        <v>684</v>
      </c>
      <c r="T911" s="52" t="s">
        <v>1821</v>
      </c>
      <c r="U911" s="52" t="s">
        <v>1824</v>
      </c>
      <c r="V911" s="50" t="s">
        <v>1823</v>
      </c>
    </row>
    <row r="912" spans="1:22" x14ac:dyDescent="0.3">
      <c r="A912" s="48" t="s">
        <v>911</v>
      </c>
      <c r="B912" s="49" t="s">
        <v>544</v>
      </c>
      <c r="C912" s="49" t="s">
        <v>912</v>
      </c>
      <c r="D912" s="49" t="s">
        <v>684</v>
      </c>
      <c r="E912" s="49" t="s">
        <v>674</v>
      </c>
      <c r="F912" s="49" t="s">
        <v>716</v>
      </c>
      <c r="G912" s="49" t="s">
        <v>744</v>
      </c>
      <c r="H912" s="49" t="s">
        <v>702</v>
      </c>
      <c r="I912" s="49" t="s">
        <v>736</v>
      </c>
      <c r="J912" s="49" t="s">
        <v>737</v>
      </c>
      <c r="K912" s="49" t="s">
        <v>738</v>
      </c>
      <c r="L912" s="49" t="s">
        <v>808</v>
      </c>
      <c r="M912" s="49">
        <v>0.5</v>
      </c>
      <c r="N912" s="49" t="s">
        <v>2341</v>
      </c>
      <c r="O912" s="49" t="s">
        <v>767</v>
      </c>
      <c r="P912" s="52" t="s">
        <v>746</v>
      </c>
      <c r="Q912" s="49" t="s">
        <v>683</v>
      </c>
      <c r="R912" s="49" t="s">
        <v>516</v>
      </c>
      <c r="S912" s="49" t="s">
        <v>684</v>
      </c>
      <c r="T912" s="49" t="s">
        <v>1821</v>
      </c>
      <c r="U912" s="49" t="s">
        <v>1824</v>
      </c>
      <c r="V912" s="50" t="s">
        <v>1823</v>
      </c>
    </row>
    <row r="913" spans="1:22" x14ac:dyDescent="0.3">
      <c r="A913" s="51" t="s">
        <v>911</v>
      </c>
      <c r="B913" s="52" t="s">
        <v>544</v>
      </c>
      <c r="C913" s="52" t="s">
        <v>912</v>
      </c>
      <c r="D913" s="52" t="s">
        <v>684</v>
      </c>
      <c r="E913" s="52" t="s">
        <v>674</v>
      </c>
      <c r="F913" s="52" t="s">
        <v>716</v>
      </c>
      <c r="G913" s="52" t="s">
        <v>744</v>
      </c>
      <c r="H913" s="52" t="s">
        <v>702</v>
      </c>
      <c r="I913" s="52" t="s">
        <v>736</v>
      </c>
      <c r="J913" s="52" t="s">
        <v>737</v>
      </c>
      <c r="K913" s="52" t="s">
        <v>738</v>
      </c>
      <c r="L913" s="52" t="s">
        <v>808</v>
      </c>
      <c r="M913" s="52">
        <v>0.5</v>
      </c>
      <c r="N913" s="52" t="s">
        <v>594</v>
      </c>
      <c r="O913" s="52" t="s">
        <v>767</v>
      </c>
      <c r="P913" s="52" t="s">
        <v>746</v>
      </c>
      <c r="Q913" s="52" t="s">
        <v>683</v>
      </c>
      <c r="R913" s="52" t="s">
        <v>516</v>
      </c>
      <c r="S913" s="49" t="s">
        <v>684</v>
      </c>
      <c r="T913" s="52" t="s">
        <v>1821</v>
      </c>
      <c r="U913" s="52" t="s">
        <v>1824</v>
      </c>
      <c r="V913" s="50" t="s">
        <v>1823</v>
      </c>
    </row>
    <row r="914" spans="1:22" x14ac:dyDescent="0.3">
      <c r="A914" s="48" t="s">
        <v>898</v>
      </c>
      <c r="B914" s="49" t="s">
        <v>544</v>
      </c>
      <c r="C914" s="49" t="s">
        <v>899</v>
      </c>
      <c r="D914" s="49" t="s">
        <v>684</v>
      </c>
      <c r="E914" s="49" t="s">
        <v>674</v>
      </c>
      <c r="F914" s="49" t="s">
        <v>716</v>
      </c>
      <c r="G914" s="49" t="s">
        <v>744</v>
      </c>
      <c r="H914" s="49" t="s">
        <v>702</v>
      </c>
      <c r="I914" s="49" t="s">
        <v>736</v>
      </c>
      <c r="J914" s="49" t="s">
        <v>737</v>
      </c>
      <c r="K914" s="49" t="s">
        <v>738</v>
      </c>
      <c r="L914" s="49" t="s">
        <v>808</v>
      </c>
      <c r="M914" s="49">
        <v>0.5</v>
      </c>
      <c r="N914" s="49" t="s">
        <v>1651</v>
      </c>
      <c r="O914" s="49" t="s">
        <v>665</v>
      </c>
      <c r="P914" s="49" t="s">
        <v>746</v>
      </c>
      <c r="Q914" s="49" t="s">
        <v>683</v>
      </c>
      <c r="R914" s="49" t="s">
        <v>516</v>
      </c>
      <c r="S914" s="49" t="s">
        <v>684</v>
      </c>
      <c r="T914" s="49" t="s">
        <v>1821</v>
      </c>
      <c r="U914" s="49" t="s">
        <v>1824</v>
      </c>
      <c r="V914" s="50" t="s">
        <v>1823</v>
      </c>
    </row>
    <row r="915" spans="1:22" x14ac:dyDescent="0.3">
      <c r="A915" s="51" t="s">
        <v>898</v>
      </c>
      <c r="B915" s="52" t="s">
        <v>544</v>
      </c>
      <c r="C915" s="52" t="s">
        <v>899</v>
      </c>
      <c r="D915" s="52" t="s">
        <v>684</v>
      </c>
      <c r="E915" s="52" t="s">
        <v>674</v>
      </c>
      <c r="F915" s="52" t="s">
        <v>716</v>
      </c>
      <c r="G915" s="52" t="s">
        <v>744</v>
      </c>
      <c r="H915" s="52" t="s">
        <v>702</v>
      </c>
      <c r="I915" s="52" t="s">
        <v>736</v>
      </c>
      <c r="J915" s="52" t="s">
        <v>737</v>
      </c>
      <c r="K915" s="52" t="s">
        <v>738</v>
      </c>
      <c r="L915" s="52" t="s">
        <v>808</v>
      </c>
      <c r="M915" s="52">
        <v>0.5</v>
      </c>
      <c r="N915" s="52" t="s">
        <v>281</v>
      </c>
      <c r="O915" s="52" t="s">
        <v>665</v>
      </c>
      <c r="P915" s="52" t="s">
        <v>746</v>
      </c>
      <c r="Q915" s="52" t="s">
        <v>683</v>
      </c>
      <c r="R915" s="52" t="s">
        <v>516</v>
      </c>
      <c r="S915" s="49" t="s">
        <v>684</v>
      </c>
      <c r="T915" s="52" t="s">
        <v>1821</v>
      </c>
      <c r="U915" s="52" t="s">
        <v>1824</v>
      </c>
      <c r="V915" s="50" t="s">
        <v>1823</v>
      </c>
    </row>
    <row r="916" spans="1:22" x14ac:dyDescent="0.3">
      <c r="A916" s="48" t="s">
        <v>898</v>
      </c>
      <c r="B916" s="49" t="s">
        <v>544</v>
      </c>
      <c r="C916" s="49" t="s">
        <v>899</v>
      </c>
      <c r="D916" s="49" t="s">
        <v>684</v>
      </c>
      <c r="E916" s="49" t="s">
        <v>674</v>
      </c>
      <c r="F916" s="49" t="s">
        <v>716</v>
      </c>
      <c r="G916" s="49" t="s">
        <v>744</v>
      </c>
      <c r="H916" s="49" t="s">
        <v>702</v>
      </c>
      <c r="I916" s="49" t="s">
        <v>736</v>
      </c>
      <c r="J916" s="49" t="s">
        <v>737</v>
      </c>
      <c r="K916" s="49" t="s">
        <v>738</v>
      </c>
      <c r="L916" s="49" t="s">
        <v>808</v>
      </c>
      <c r="M916" s="49">
        <v>0.5</v>
      </c>
      <c r="N916" s="49" t="s">
        <v>608</v>
      </c>
      <c r="O916" s="49" t="s">
        <v>665</v>
      </c>
      <c r="P916" s="49" t="s">
        <v>746</v>
      </c>
      <c r="Q916" s="49" t="s">
        <v>683</v>
      </c>
      <c r="R916" s="49" t="s">
        <v>300</v>
      </c>
      <c r="S916" s="49" t="s">
        <v>684</v>
      </c>
      <c r="T916" s="49" t="s">
        <v>1821</v>
      </c>
      <c r="U916" s="49" t="s">
        <v>1824</v>
      </c>
      <c r="V916" s="50" t="s">
        <v>1823</v>
      </c>
    </row>
    <row r="917" spans="1:22" x14ac:dyDescent="0.3">
      <c r="A917" s="51" t="s">
        <v>911</v>
      </c>
      <c r="B917" s="52" t="s">
        <v>544</v>
      </c>
      <c r="C917" s="52" t="s">
        <v>912</v>
      </c>
      <c r="D917" s="52" t="s">
        <v>684</v>
      </c>
      <c r="E917" s="52" t="s">
        <v>674</v>
      </c>
      <c r="F917" s="52" t="s">
        <v>716</v>
      </c>
      <c r="G917" s="52" t="s">
        <v>744</v>
      </c>
      <c r="H917" s="52" t="s">
        <v>702</v>
      </c>
      <c r="I917" s="52" t="s">
        <v>736</v>
      </c>
      <c r="J917" s="52" t="s">
        <v>737</v>
      </c>
      <c r="K917" s="52" t="s">
        <v>738</v>
      </c>
      <c r="L917" s="52" t="s">
        <v>808</v>
      </c>
      <c r="M917" s="52">
        <v>0.5</v>
      </c>
      <c r="N917" s="52" t="s">
        <v>281</v>
      </c>
      <c r="O917" s="52" t="s">
        <v>665</v>
      </c>
      <c r="P917" s="52" t="s">
        <v>746</v>
      </c>
      <c r="Q917" s="52" t="s">
        <v>683</v>
      </c>
      <c r="R917" s="52" t="s">
        <v>516</v>
      </c>
      <c r="S917" s="49" t="s">
        <v>684</v>
      </c>
      <c r="T917" s="52" t="s">
        <v>1821</v>
      </c>
      <c r="U917" s="52" t="s">
        <v>1824</v>
      </c>
      <c r="V917" s="50" t="s">
        <v>1823</v>
      </c>
    </row>
    <row r="918" spans="1:22" x14ac:dyDescent="0.3">
      <c r="A918" s="48" t="s">
        <v>1587</v>
      </c>
      <c r="B918" s="49" t="s">
        <v>544</v>
      </c>
      <c r="C918" s="49" t="s">
        <v>1588</v>
      </c>
      <c r="D918" s="49" t="s">
        <v>684</v>
      </c>
      <c r="E918" s="49" t="s">
        <v>674</v>
      </c>
      <c r="F918" s="49" t="s">
        <v>716</v>
      </c>
      <c r="G918" s="49" t="s">
        <v>744</v>
      </c>
      <c r="H918" s="49" t="s">
        <v>702</v>
      </c>
      <c r="I918" s="49" t="s">
        <v>736</v>
      </c>
      <c r="J918" s="49" t="s">
        <v>737</v>
      </c>
      <c r="K918" s="49" t="s">
        <v>738</v>
      </c>
      <c r="L918" s="49" t="s">
        <v>808</v>
      </c>
      <c r="M918" s="49">
        <v>1</v>
      </c>
      <c r="N918" s="49" t="s">
        <v>529</v>
      </c>
      <c r="O918" s="49" t="s">
        <v>665</v>
      </c>
      <c r="P918" s="49" t="s">
        <v>746</v>
      </c>
      <c r="Q918" s="49" t="s">
        <v>683</v>
      </c>
      <c r="R918" s="49" t="s">
        <v>516</v>
      </c>
      <c r="S918" s="49" t="s">
        <v>684</v>
      </c>
      <c r="T918" s="49" t="s">
        <v>1821</v>
      </c>
      <c r="U918" s="49" t="s">
        <v>1824</v>
      </c>
      <c r="V918" s="50" t="s">
        <v>1823</v>
      </c>
    </row>
    <row r="919" spans="1:22" x14ac:dyDescent="0.3">
      <c r="A919" s="51" t="s">
        <v>898</v>
      </c>
      <c r="B919" s="52" t="s">
        <v>544</v>
      </c>
      <c r="C919" s="52" t="s">
        <v>899</v>
      </c>
      <c r="D919" s="52" t="s">
        <v>684</v>
      </c>
      <c r="E919" s="52" t="s">
        <v>674</v>
      </c>
      <c r="F919" s="52" t="s">
        <v>716</v>
      </c>
      <c r="G919" s="52" t="s">
        <v>744</v>
      </c>
      <c r="H919" s="52" t="s">
        <v>702</v>
      </c>
      <c r="I919" s="52" t="s">
        <v>736</v>
      </c>
      <c r="J919" s="52" t="s">
        <v>737</v>
      </c>
      <c r="K919" s="52" t="s">
        <v>738</v>
      </c>
      <c r="L919" s="52" t="s">
        <v>808</v>
      </c>
      <c r="M919" s="52">
        <v>0.5</v>
      </c>
      <c r="N919" s="52" t="s">
        <v>594</v>
      </c>
      <c r="O919" s="52" t="s">
        <v>767</v>
      </c>
      <c r="P919" s="52" t="s">
        <v>746</v>
      </c>
      <c r="Q919" s="52" t="s">
        <v>683</v>
      </c>
      <c r="R919" s="52" t="s">
        <v>516</v>
      </c>
      <c r="S919" s="49" t="s">
        <v>684</v>
      </c>
      <c r="T919" s="52" t="s">
        <v>1821</v>
      </c>
      <c r="U919" s="52" t="s">
        <v>1824</v>
      </c>
      <c r="V919" s="50" t="s">
        <v>1823</v>
      </c>
    </row>
    <row r="920" spans="1:22" x14ac:dyDescent="0.3">
      <c r="A920" s="48" t="s">
        <v>917</v>
      </c>
      <c r="B920" s="49" t="s">
        <v>544</v>
      </c>
      <c r="C920" s="49" t="s">
        <v>918</v>
      </c>
      <c r="D920" s="49" t="s">
        <v>684</v>
      </c>
      <c r="E920" s="49" t="s">
        <v>674</v>
      </c>
      <c r="F920" s="49" t="s">
        <v>716</v>
      </c>
      <c r="G920" s="49" t="s">
        <v>744</v>
      </c>
      <c r="H920" s="49" t="s">
        <v>702</v>
      </c>
      <c r="I920" s="49" t="s">
        <v>736</v>
      </c>
      <c r="J920" s="49" t="s">
        <v>737</v>
      </c>
      <c r="K920" s="49" t="s">
        <v>738</v>
      </c>
      <c r="L920" s="49" t="s">
        <v>808</v>
      </c>
      <c r="M920" s="49">
        <v>1</v>
      </c>
      <c r="N920" s="49" t="s">
        <v>1589</v>
      </c>
      <c r="O920" s="49" t="s">
        <v>665</v>
      </c>
      <c r="P920" s="49" t="s">
        <v>746</v>
      </c>
      <c r="Q920" s="49" t="s">
        <v>683</v>
      </c>
      <c r="R920" s="49" t="s">
        <v>516</v>
      </c>
      <c r="S920" s="49" t="s">
        <v>684</v>
      </c>
      <c r="T920" s="49" t="s">
        <v>1821</v>
      </c>
      <c r="U920" s="49" t="s">
        <v>1824</v>
      </c>
      <c r="V920" s="50" t="s">
        <v>1823</v>
      </c>
    </row>
    <row r="921" spans="1:22" x14ac:dyDescent="0.3">
      <c r="A921" s="51" t="s">
        <v>898</v>
      </c>
      <c r="B921" s="52" t="s">
        <v>544</v>
      </c>
      <c r="C921" s="52" t="s">
        <v>899</v>
      </c>
      <c r="D921" s="52" t="s">
        <v>684</v>
      </c>
      <c r="E921" s="52" t="s">
        <v>674</v>
      </c>
      <c r="F921" s="52" t="s">
        <v>716</v>
      </c>
      <c r="G921" s="52" t="s">
        <v>744</v>
      </c>
      <c r="H921" s="52" t="s">
        <v>702</v>
      </c>
      <c r="I921" s="52" t="s">
        <v>736</v>
      </c>
      <c r="J921" s="52" t="s">
        <v>737</v>
      </c>
      <c r="K921" s="52" t="s">
        <v>738</v>
      </c>
      <c r="L921" s="52" t="s">
        <v>808</v>
      </c>
      <c r="M921" s="52">
        <v>0.5</v>
      </c>
      <c r="N921" s="52" t="s">
        <v>2341</v>
      </c>
      <c r="O921" s="52" t="s">
        <v>767</v>
      </c>
      <c r="P921" s="52" t="s">
        <v>746</v>
      </c>
      <c r="Q921" s="52" t="s">
        <v>683</v>
      </c>
      <c r="R921" s="52" t="s">
        <v>516</v>
      </c>
      <c r="S921" s="49" t="s">
        <v>684</v>
      </c>
      <c r="T921" s="52" t="s">
        <v>1821</v>
      </c>
      <c r="U921" s="52" t="s">
        <v>1824</v>
      </c>
      <c r="V921" s="50" t="s">
        <v>1823</v>
      </c>
    </row>
    <row r="922" spans="1:22" x14ac:dyDescent="0.3">
      <c r="A922" s="48" t="s">
        <v>911</v>
      </c>
      <c r="B922" s="49" t="s">
        <v>544</v>
      </c>
      <c r="C922" s="49" t="s">
        <v>912</v>
      </c>
      <c r="D922" s="49" t="s">
        <v>684</v>
      </c>
      <c r="E922" s="49" t="s">
        <v>674</v>
      </c>
      <c r="F922" s="49" t="s">
        <v>716</v>
      </c>
      <c r="G922" s="49" t="s">
        <v>744</v>
      </c>
      <c r="H922" s="49" t="s">
        <v>702</v>
      </c>
      <c r="I922" s="49" t="s">
        <v>736</v>
      </c>
      <c r="J922" s="49" t="s">
        <v>737</v>
      </c>
      <c r="K922" s="49" t="s">
        <v>738</v>
      </c>
      <c r="L922" s="49" t="s">
        <v>808</v>
      </c>
      <c r="M922" s="49">
        <v>0.5</v>
      </c>
      <c r="N922" s="49" t="s">
        <v>1651</v>
      </c>
      <c r="O922" s="49" t="s">
        <v>665</v>
      </c>
      <c r="P922" s="49" t="s">
        <v>746</v>
      </c>
      <c r="Q922" s="49" t="s">
        <v>683</v>
      </c>
      <c r="R922" s="49" t="s">
        <v>516</v>
      </c>
      <c r="S922" s="49" t="s">
        <v>684</v>
      </c>
      <c r="T922" s="49" t="s">
        <v>1821</v>
      </c>
      <c r="U922" s="49" t="s">
        <v>1824</v>
      </c>
      <c r="V922" s="50" t="s">
        <v>1823</v>
      </c>
    </row>
    <row r="923" spans="1:22" x14ac:dyDescent="0.3">
      <c r="A923" s="51" t="s">
        <v>917</v>
      </c>
      <c r="B923" s="52" t="s">
        <v>544</v>
      </c>
      <c r="C923" s="52" t="s">
        <v>918</v>
      </c>
      <c r="D923" s="52" t="s">
        <v>684</v>
      </c>
      <c r="E923" s="52" t="s">
        <v>674</v>
      </c>
      <c r="F923" s="52" t="s">
        <v>716</v>
      </c>
      <c r="G923" s="52" t="s">
        <v>744</v>
      </c>
      <c r="H923" s="52" t="s">
        <v>702</v>
      </c>
      <c r="I923" s="52" t="s">
        <v>736</v>
      </c>
      <c r="J923" s="52" t="s">
        <v>737</v>
      </c>
      <c r="K923" s="52" t="s">
        <v>738</v>
      </c>
      <c r="L923" s="52" t="s">
        <v>808</v>
      </c>
      <c r="M923" s="52">
        <v>1</v>
      </c>
      <c r="N923" s="52" t="s">
        <v>68</v>
      </c>
      <c r="O923" s="52" t="s">
        <v>665</v>
      </c>
      <c r="P923" s="52" t="s">
        <v>746</v>
      </c>
      <c r="Q923" s="52" t="s">
        <v>683</v>
      </c>
      <c r="R923" s="52" t="s">
        <v>516</v>
      </c>
      <c r="S923" s="49" t="s">
        <v>684</v>
      </c>
      <c r="T923" s="52" t="s">
        <v>1821</v>
      </c>
      <c r="U923" s="52" t="s">
        <v>1824</v>
      </c>
      <c r="V923" s="50" t="s">
        <v>1823</v>
      </c>
    </row>
    <row r="924" spans="1:22" x14ac:dyDescent="0.3">
      <c r="A924" s="48" t="s">
        <v>857</v>
      </c>
      <c r="B924" s="49" t="s">
        <v>858</v>
      </c>
      <c r="C924" s="49" t="s">
        <v>859</v>
      </c>
      <c r="D924" s="49" t="s">
        <v>684</v>
      </c>
      <c r="E924" s="49" t="s">
        <v>674</v>
      </c>
      <c r="F924" s="49" t="s">
        <v>716</v>
      </c>
      <c r="G924" s="49" t="s">
        <v>744</v>
      </c>
      <c r="H924" s="49" t="s">
        <v>677</v>
      </c>
      <c r="I924" s="49" t="s">
        <v>688</v>
      </c>
      <c r="J924" s="49" t="s">
        <v>860</v>
      </c>
      <c r="K924" s="49" t="s">
        <v>861</v>
      </c>
      <c r="L924" s="49" t="s">
        <v>699</v>
      </c>
      <c r="M924" s="49">
        <v>0.75</v>
      </c>
      <c r="N924" s="49" t="s">
        <v>381</v>
      </c>
      <c r="O924" s="49" t="s">
        <v>665</v>
      </c>
      <c r="P924" s="49" t="s">
        <v>746</v>
      </c>
      <c r="Q924" s="49" t="s">
        <v>683</v>
      </c>
      <c r="R924" s="49" t="s">
        <v>300</v>
      </c>
      <c r="S924" s="49" t="s">
        <v>684</v>
      </c>
      <c r="T924" s="49" t="s">
        <v>1821</v>
      </c>
      <c r="U924" s="49" t="s">
        <v>1824</v>
      </c>
      <c r="V924" s="50" t="s">
        <v>1823</v>
      </c>
    </row>
    <row r="925" spans="1:22" x14ac:dyDescent="0.3">
      <c r="A925" s="51" t="s">
        <v>1050</v>
      </c>
      <c r="B925" s="52" t="s">
        <v>132</v>
      </c>
      <c r="C925" s="52" t="s">
        <v>1051</v>
      </c>
      <c r="D925" s="52" t="s">
        <v>673</v>
      </c>
      <c r="E925" s="52" t="s">
        <v>674</v>
      </c>
      <c r="F925" s="52" t="s">
        <v>716</v>
      </c>
      <c r="G925" s="52" t="s">
        <v>731</v>
      </c>
      <c r="H925" s="52" t="s">
        <v>702</v>
      </c>
      <c r="I925" s="49" t="s">
        <v>688</v>
      </c>
      <c r="J925" s="52" t="s">
        <v>713</v>
      </c>
      <c r="K925" s="52" t="s">
        <v>690</v>
      </c>
      <c r="L925" s="52" t="s">
        <v>691</v>
      </c>
      <c r="M925" s="52">
        <v>0.5</v>
      </c>
      <c r="N925" s="52" t="s">
        <v>383</v>
      </c>
      <c r="O925" s="52" t="s">
        <v>767</v>
      </c>
      <c r="P925" s="52" t="s">
        <v>746</v>
      </c>
      <c r="Q925" s="52" t="s">
        <v>683</v>
      </c>
      <c r="R925" s="52" t="s">
        <v>300</v>
      </c>
      <c r="S925" s="49" t="s">
        <v>684</v>
      </c>
      <c r="T925" s="52" t="s">
        <v>1821</v>
      </c>
      <c r="U925" s="52" t="s">
        <v>1824</v>
      </c>
      <c r="V925" s="50" t="s">
        <v>1823</v>
      </c>
    </row>
    <row r="926" spans="1:22" x14ac:dyDescent="0.3">
      <c r="A926" s="48" t="s">
        <v>1154</v>
      </c>
      <c r="B926" s="49" t="s">
        <v>544</v>
      </c>
      <c r="C926" s="49" t="s">
        <v>1155</v>
      </c>
      <c r="D926" s="49" t="s">
        <v>684</v>
      </c>
      <c r="E926" s="49" t="s">
        <v>674</v>
      </c>
      <c r="F926" s="49" t="s">
        <v>716</v>
      </c>
      <c r="G926" s="49" t="s">
        <v>744</v>
      </c>
      <c r="H926" s="49" t="s">
        <v>702</v>
      </c>
      <c r="I926" s="49" t="s">
        <v>736</v>
      </c>
      <c r="J926" s="49" t="s">
        <v>737</v>
      </c>
      <c r="K926" s="49" t="s">
        <v>738</v>
      </c>
      <c r="L926" s="49" t="s">
        <v>699</v>
      </c>
      <c r="M926" s="49">
        <v>0.5</v>
      </c>
      <c r="N926" s="49" t="s">
        <v>454</v>
      </c>
      <c r="O926" s="49" t="s">
        <v>665</v>
      </c>
      <c r="P926" s="49" t="s">
        <v>746</v>
      </c>
      <c r="Q926" s="49" t="s">
        <v>683</v>
      </c>
      <c r="R926" s="49" t="s">
        <v>300</v>
      </c>
      <c r="S926" s="49" t="s">
        <v>684</v>
      </c>
      <c r="T926" s="49" t="s">
        <v>1821</v>
      </c>
      <c r="U926" s="49" t="s">
        <v>1824</v>
      </c>
      <c r="V926" s="50" t="s">
        <v>1823</v>
      </c>
    </row>
    <row r="927" spans="1:22" x14ac:dyDescent="0.3">
      <c r="A927" s="51" t="s">
        <v>722</v>
      </c>
      <c r="B927" s="52" t="s">
        <v>686</v>
      </c>
      <c r="C927" s="52" t="s">
        <v>723</v>
      </c>
      <c r="D927" s="52" t="s">
        <v>673</v>
      </c>
      <c r="E927" s="52" t="s">
        <v>674</v>
      </c>
      <c r="F927" s="52" t="s">
        <v>675</v>
      </c>
      <c r="G927" s="52" t="s">
        <v>724</v>
      </c>
      <c r="H927" s="52" t="s">
        <v>677</v>
      </c>
      <c r="I927" s="49" t="s">
        <v>688</v>
      </c>
      <c r="J927" s="52" t="s">
        <v>689</v>
      </c>
      <c r="K927" s="52" t="s">
        <v>690</v>
      </c>
      <c r="L927" s="52" t="s">
        <v>681</v>
      </c>
      <c r="M927" s="52">
        <v>0.3</v>
      </c>
      <c r="N927" s="52" t="s">
        <v>197</v>
      </c>
      <c r="O927" s="52" t="s">
        <v>665</v>
      </c>
      <c r="P927" s="52" t="s">
        <v>682</v>
      </c>
      <c r="Q927" s="52" t="s">
        <v>683</v>
      </c>
      <c r="R927" s="52" t="s">
        <v>217</v>
      </c>
      <c r="S927" s="49" t="s">
        <v>684</v>
      </c>
      <c r="T927" s="52" t="s">
        <v>1821</v>
      </c>
      <c r="U927" s="52" t="s">
        <v>1824</v>
      </c>
      <c r="V927" s="50" t="s">
        <v>1823</v>
      </c>
    </row>
    <row r="928" spans="1:22" x14ac:dyDescent="0.3">
      <c r="A928" s="48" t="s">
        <v>2342</v>
      </c>
      <c r="B928" s="49" t="s">
        <v>528</v>
      </c>
      <c r="C928" s="49" t="s">
        <v>1668</v>
      </c>
      <c r="D928" s="49" t="s">
        <v>673</v>
      </c>
      <c r="E928" s="49" t="s">
        <v>674</v>
      </c>
      <c r="F928" s="49" t="s">
        <v>675</v>
      </c>
      <c r="G928" s="49" t="s">
        <v>744</v>
      </c>
      <c r="H928" s="49" t="s">
        <v>677</v>
      </c>
      <c r="I928" s="49" t="s">
        <v>678</v>
      </c>
      <c r="J928" s="49" t="s">
        <v>1422</v>
      </c>
      <c r="K928" s="49" t="s">
        <v>861</v>
      </c>
      <c r="L928" s="49" t="s">
        <v>699</v>
      </c>
      <c r="M928" s="49">
        <v>0.5</v>
      </c>
      <c r="N928" s="49" t="s">
        <v>362</v>
      </c>
      <c r="O928" s="49" t="s">
        <v>665</v>
      </c>
      <c r="P928" s="49" t="s">
        <v>711</v>
      </c>
      <c r="Q928" s="49" t="s">
        <v>683</v>
      </c>
      <c r="R928" s="49" t="s">
        <v>528</v>
      </c>
      <c r="S928" s="52" t="s">
        <v>673</v>
      </c>
      <c r="T928" s="49" t="s">
        <v>1821</v>
      </c>
      <c r="U928" s="49" t="s">
        <v>1824</v>
      </c>
      <c r="V928" s="50" t="s">
        <v>1823</v>
      </c>
    </row>
    <row r="929" spans="1:22" x14ac:dyDescent="0.3">
      <c r="A929" s="51" t="s">
        <v>1462</v>
      </c>
      <c r="B929" s="52" t="s">
        <v>528</v>
      </c>
      <c r="C929" s="52" t="s">
        <v>1463</v>
      </c>
      <c r="D929" s="52" t="s">
        <v>673</v>
      </c>
      <c r="E929" s="52" t="s">
        <v>674</v>
      </c>
      <c r="F929" s="52" t="s">
        <v>935</v>
      </c>
      <c r="G929" s="52" t="s">
        <v>676</v>
      </c>
      <c r="H929" s="52" t="s">
        <v>935</v>
      </c>
      <c r="I929" s="49" t="s">
        <v>688</v>
      </c>
      <c r="J929" s="52" t="s">
        <v>689</v>
      </c>
      <c r="K929" s="52" t="s">
        <v>690</v>
      </c>
      <c r="L929" s="52" t="s">
        <v>739</v>
      </c>
      <c r="M929" s="52">
        <v>0.34</v>
      </c>
      <c r="N929" s="52" t="s">
        <v>75</v>
      </c>
      <c r="O929" s="52" t="s">
        <v>665</v>
      </c>
      <c r="P929" s="52" t="s">
        <v>711</v>
      </c>
      <c r="Q929" s="52" t="s">
        <v>683</v>
      </c>
      <c r="R929" s="52" t="s">
        <v>528</v>
      </c>
      <c r="S929" s="52" t="s">
        <v>673</v>
      </c>
      <c r="T929" s="52" t="s">
        <v>1821</v>
      </c>
      <c r="U929" s="52" t="s">
        <v>1824</v>
      </c>
      <c r="V929" s="50" t="s">
        <v>1823</v>
      </c>
    </row>
    <row r="930" spans="1:22" x14ac:dyDescent="0.3">
      <c r="A930" s="48" t="s">
        <v>1671</v>
      </c>
      <c r="B930" s="49" t="s">
        <v>707</v>
      </c>
      <c r="C930" s="49" t="s">
        <v>708</v>
      </c>
      <c r="D930" s="49" t="s">
        <v>673</v>
      </c>
      <c r="E930" s="49" t="s">
        <v>674</v>
      </c>
      <c r="F930" s="49" t="s">
        <v>709</v>
      </c>
      <c r="G930" s="49" t="s">
        <v>709</v>
      </c>
      <c r="H930" s="49" t="s">
        <v>709</v>
      </c>
      <c r="I930" s="49" t="s">
        <v>709</v>
      </c>
      <c r="J930" s="49" t="s">
        <v>689</v>
      </c>
      <c r="K930" s="49" t="s">
        <v>690</v>
      </c>
      <c r="L930" s="49" t="s">
        <v>699</v>
      </c>
      <c r="M930" s="49">
        <v>0.5</v>
      </c>
      <c r="N930" s="49" t="s">
        <v>264</v>
      </c>
      <c r="O930" s="49" t="s">
        <v>665</v>
      </c>
      <c r="P930" s="49" t="s">
        <v>746</v>
      </c>
      <c r="Q930" s="49" t="s">
        <v>683</v>
      </c>
      <c r="R930" s="49" t="s">
        <v>528</v>
      </c>
      <c r="S930" s="52" t="s">
        <v>673</v>
      </c>
      <c r="T930" s="49" t="s">
        <v>1821</v>
      </c>
      <c r="U930" s="49" t="s">
        <v>1824</v>
      </c>
      <c r="V930" s="50" t="s">
        <v>1823</v>
      </c>
    </row>
    <row r="931" spans="1:22" x14ac:dyDescent="0.3">
      <c r="A931" s="51" t="s">
        <v>2343</v>
      </c>
      <c r="B931" s="52" t="s">
        <v>528</v>
      </c>
      <c r="C931" s="52" t="s">
        <v>1673</v>
      </c>
      <c r="D931" s="52" t="s">
        <v>673</v>
      </c>
      <c r="E931" s="52" t="s">
        <v>674</v>
      </c>
      <c r="F931" s="52" t="s">
        <v>935</v>
      </c>
      <c r="G931" s="52" t="s">
        <v>724</v>
      </c>
      <c r="H931" s="52" t="s">
        <v>702</v>
      </c>
      <c r="I931" s="49" t="s">
        <v>678</v>
      </c>
      <c r="J931" s="52" t="s">
        <v>1422</v>
      </c>
      <c r="K931" s="52" t="s">
        <v>861</v>
      </c>
      <c r="L931" s="52" t="s">
        <v>691</v>
      </c>
      <c r="M931" s="52">
        <v>0.5</v>
      </c>
      <c r="N931" s="52" t="s">
        <v>362</v>
      </c>
      <c r="O931" s="52" t="s">
        <v>665</v>
      </c>
      <c r="P931" s="52" t="s">
        <v>711</v>
      </c>
      <c r="Q931" s="52" t="s">
        <v>683</v>
      </c>
      <c r="R931" s="52" t="s">
        <v>528</v>
      </c>
      <c r="S931" s="52" t="s">
        <v>673</v>
      </c>
      <c r="T931" s="52" t="s">
        <v>1821</v>
      </c>
      <c r="U931" s="52" t="s">
        <v>1824</v>
      </c>
      <c r="V931" s="50" t="s">
        <v>1823</v>
      </c>
    </row>
    <row r="932" spans="1:22" x14ac:dyDescent="0.3">
      <c r="A932" s="48" t="s">
        <v>1672</v>
      </c>
      <c r="B932" s="49" t="s">
        <v>707</v>
      </c>
      <c r="C932" s="49" t="s">
        <v>708</v>
      </c>
      <c r="D932" s="49" t="s">
        <v>673</v>
      </c>
      <c r="E932" s="49" t="s">
        <v>674</v>
      </c>
      <c r="F932" s="49" t="s">
        <v>709</v>
      </c>
      <c r="G932" s="49" t="s">
        <v>709</v>
      </c>
      <c r="H932" s="49" t="s">
        <v>709</v>
      </c>
      <c r="I932" s="49" t="s">
        <v>709</v>
      </c>
      <c r="J932" s="49" t="s">
        <v>1422</v>
      </c>
      <c r="K932" s="49" t="s">
        <v>861</v>
      </c>
      <c r="L932" s="49" t="s">
        <v>699</v>
      </c>
      <c r="M932" s="49">
        <v>0.3</v>
      </c>
      <c r="N932" s="49" t="s">
        <v>181</v>
      </c>
      <c r="O932" s="49" t="s">
        <v>665</v>
      </c>
      <c r="P932" s="49" t="s">
        <v>746</v>
      </c>
      <c r="Q932" s="49" t="s">
        <v>683</v>
      </c>
      <c r="R932" s="49" t="s">
        <v>528</v>
      </c>
      <c r="S932" s="52" t="s">
        <v>673</v>
      </c>
      <c r="T932" s="49" t="s">
        <v>1821</v>
      </c>
      <c r="U932" s="49" t="s">
        <v>1824</v>
      </c>
      <c r="V932" s="50" t="s">
        <v>1823</v>
      </c>
    </row>
    <row r="933" spans="1:22" x14ac:dyDescent="0.3">
      <c r="A933" s="51" t="s">
        <v>1675</v>
      </c>
      <c r="B933" s="52" t="s">
        <v>528</v>
      </c>
      <c r="C933" s="52" t="s">
        <v>1676</v>
      </c>
      <c r="D933" s="52" t="s">
        <v>673</v>
      </c>
      <c r="E933" s="52" t="s">
        <v>674</v>
      </c>
      <c r="F933" s="52" t="s">
        <v>675</v>
      </c>
      <c r="G933" s="52" t="s">
        <v>744</v>
      </c>
      <c r="H933" s="52" t="s">
        <v>702</v>
      </c>
      <c r="I933" s="49" t="s">
        <v>678</v>
      </c>
      <c r="J933" s="52" t="s">
        <v>1422</v>
      </c>
      <c r="K933" s="52" t="s">
        <v>861</v>
      </c>
      <c r="L933" s="52" t="s">
        <v>766</v>
      </c>
      <c r="M933" s="52">
        <v>0.5</v>
      </c>
      <c r="N933" s="52" t="s">
        <v>151</v>
      </c>
      <c r="O933" s="52" t="s">
        <v>665</v>
      </c>
      <c r="P933" s="52" t="s">
        <v>711</v>
      </c>
      <c r="Q933" s="52" t="s">
        <v>683</v>
      </c>
      <c r="R933" s="52" t="s">
        <v>528</v>
      </c>
      <c r="S933" s="52" t="s">
        <v>673</v>
      </c>
      <c r="T933" s="52" t="s">
        <v>1821</v>
      </c>
      <c r="U933" s="52" t="s">
        <v>1824</v>
      </c>
      <c r="V933" s="50" t="s">
        <v>1823</v>
      </c>
    </row>
    <row r="934" spans="1:22" x14ac:dyDescent="0.3">
      <c r="A934" s="48" t="s">
        <v>2344</v>
      </c>
      <c r="B934" s="49" t="s">
        <v>528</v>
      </c>
      <c r="C934" s="49" t="s">
        <v>1674</v>
      </c>
      <c r="D934" s="49" t="s">
        <v>673</v>
      </c>
      <c r="E934" s="49" t="s">
        <v>674</v>
      </c>
      <c r="F934" s="49" t="s">
        <v>675</v>
      </c>
      <c r="G934" s="49" t="s">
        <v>744</v>
      </c>
      <c r="H934" s="49" t="s">
        <v>702</v>
      </c>
      <c r="I934" s="49" t="s">
        <v>678</v>
      </c>
      <c r="J934" s="49" t="s">
        <v>1422</v>
      </c>
      <c r="K934" s="49" t="s">
        <v>861</v>
      </c>
      <c r="L934" s="49" t="s">
        <v>691</v>
      </c>
      <c r="M934" s="49">
        <v>0.5</v>
      </c>
      <c r="N934" s="49" t="s">
        <v>151</v>
      </c>
      <c r="O934" s="49" t="s">
        <v>665</v>
      </c>
      <c r="P934" s="49" t="s">
        <v>711</v>
      </c>
      <c r="Q934" s="49" t="s">
        <v>683</v>
      </c>
      <c r="R934" s="49" t="s">
        <v>528</v>
      </c>
      <c r="S934" s="52" t="s">
        <v>673</v>
      </c>
      <c r="T934" s="49" t="s">
        <v>1821</v>
      </c>
      <c r="U934" s="49" t="s">
        <v>1824</v>
      </c>
      <c r="V934" s="50" t="s">
        <v>1823</v>
      </c>
    </row>
    <row r="935" spans="1:22" x14ac:dyDescent="0.3">
      <c r="A935" s="51" t="s">
        <v>1669</v>
      </c>
      <c r="B935" s="52" t="s">
        <v>1529</v>
      </c>
      <c r="C935" s="52" t="s">
        <v>1670</v>
      </c>
      <c r="D935" s="52" t="s">
        <v>673</v>
      </c>
      <c r="E935" s="52" t="s">
        <v>674</v>
      </c>
      <c r="F935" s="52" t="s">
        <v>675</v>
      </c>
      <c r="G935" s="52" t="s">
        <v>724</v>
      </c>
      <c r="H935" s="52" t="s">
        <v>935</v>
      </c>
      <c r="I935" s="49" t="s">
        <v>678</v>
      </c>
      <c r="J935" s="52" t="s">
        <v>1422</v>
      </c>
      <c r="K935" s="52" t="s">
        <v>861</v>
      </c>
      <c r="L935" s="52" t="s">
        <v>739</v>
      </c>
      <c r="M935" s="52">
        <v>0.5</v>
      </c>
      <c r="N935" s="52" t="s">
        <v>267</v>
      </c>
      <c r="O935" s="52" t="s">
        <v>665</v>
      </c>
      <c r="P935" s="52" t="s">
        <v>746</v>
      </c>
      <c r="Q935" s="52" t="s">
        <v>683</v>
      </c>
      <c r="R935" s="52" t="s">
        <v>528</v>
      </c>
      <c r="S935" s="52" t="s">
        <v>673</v>
      </c>
      <c r="T935" s="52" t="s">
        <v>1821</v>
      </c>
      <c r="U935" s="52" t="s">
        <v>1824</v>
      </c>
      <c r="V935" s="50" t="s">
        <v>1823</v>
      </c>
    </row>
    <row r="936" spans="1:22" x14ac:dyDescent="0.3">
      <c r="A936" s="48" t="s">
        <v>1460</v>
      </c>
      <c r="B936" s="49" t="s">
        <v>528</v>
      </c>
      <c r="C936" s="49" t="s">
        <v>1461</v>
      </c>
      <c r="D936" s="49" t="s">
        <v>673</v>
      </c>
      <c r="E936" s="49" t="s">
        <v>674</v>
      </c>
      <c r="F936" s="49" t="s">
        <v>716</v>
      </c>
      <c r="G936" s="49" t="s">
        <v>744</v>
      </c>
      <c r="H936" s="49" t="s">
        <v>677</v>
      </c>
      <c r="I936" s="49" t="s">
        <v>678</v>
      </c>
      <c r="J936" s="49" t="s">
        <v>1422</v>
      </c>
      <c r="K936" s="49" t="s">
        <v>861</v>
      </c>
      <c r="L936" s="49" t="s">
        <v>739</v>
      </c>
      <c r="M936" s="49">
        <v>0.5</v>
      </c>
      <c r="N936" s="49" t="s">
        <v>267</v>
      </c>
      <c r="O936" s="49" t="s">
        <v>665</v>
      </c>
      <c r="P936" s="49" t="s">
        <v>746</v>
      </c>
      <c r="Q936" s="49" t="s">
        <v>683</v>
      </c>
      <c r="R936" s="49" t="s">
        <v>528</v>
      </c>
      <c r="S936" s="52" t="s">
        <v>673</v>
      </c>
      <c r="T936" s="49" t="s">
        <v>1821</v>
      </c>
      <c r="U936" s="49" t="s">
        <v>1824</v>
      </c>
      <c r="V936" s="50" t="s">
        <v>1823</v>
      </c>
    </row>
    <row r="937" spans="1:22" x14ac:dyDescent="0.3">
      <c r="A937" s="51" t="s">
        <v>1669</v>
      </c>
      <c r="B937" s="52" t="s">
        <v>1529</v>
      </c>
      <c r="C937" s="52" t="s">
        <v>1670</v>
      </c>
      <c r="D937" s="52" t="s">
        <v>673</v>
      </c>
      <c r="E937" s="52" t="s">
        <v>674</v>
      </c>
      <c r="F937" s="52" t="s">
        <v>675</v>
      </c>
      <c r="G937" s="52" t="s">
        <v>724</v>
      </c>
      <c r="H937" s="52" t="s">
        <v>935</v>
      </c>
      <c r="I937" s="49" t="s">
        <v>678</v>
      </c>
      <c r="J937" s="52" t="s">
        <v>1422</v>
      </c>
      <c r="K937" s="52" t="s">
        <v>861</v>
      </c>
      <c r="L937" s="52" t="s">
        <v>739</v>
      </c>
      <c r="M937" s="52">
        <v>0.5</v>
      </c>
      <c r="N937" s="52" t="s">
        <v>264</v>
      </c>
      <c r="O937" s="52" t="s">
        <v>665</v>
      </c>
      <c r="P937" s="52" t="s">
        <v>746</v>
      </c>
      <c r="Q937" s="52" t="s">
        <v>683</v>
      </c>
      <c r="R937" s="52" t="s">
        <v>528</v>
      </c>
      <c r="S937" s="52" t="s">
        <v>673</v>
      </c>
      <c r="T937" s="52" t="s">
        <v>1821</v>
      </c>
      <c r="U937" s="52" t="s">
        <v>1824</v>
      </c>
      <c r="V937" s="50" t="s">
        <v>1823</v>
      </c>
    </row>
    <row r="938" spans="1:22" x14ac:dyDescent="0.3">
      <c r="A938" s="48" t="s">
        <v>1452</v>
      </c>
      <c r="B938" s="49" t="s">
        <v>528</v>
      </c>
      <c r="C938" s="49" t="s">
        <v>1453</v>
      </c>
      <c r="D938" s="49" t="s">
        <v>673</v>
      </c>
      <c r="E938" s="49" t="s">
        <v>674</v>
      </c>
      <c r="F938" s="49" t="s">
        <v>675</v>
      </c>
      <c r="G938" s="49" t="s">
        <v>676</v>
      </c>
      <c r="H938" s="49" t="s">
        <v>702</v>
      </c>
      <c r="I938" s="49" t="s">
        <v>678</v>
      </c>
      <c r="J938" s="49" t="s">
        <v>1422</v>
      </c>
      <c r="K938" s="49" t="s">
        <v>861</v>
      </c>
      <c r="L938" s="49" t="s">
        <v>739</v>
      </c>
      <c r="M938" s="49">
        <v>0.4</v>
      </c>
      <c r="N938" s="49" t="s">
        <v>181</v>
      </c>
      <c r="O938" s="49" t="s">
        <v>665</v>
      </c>
      <c r="P938" s="49" t="s">
        <v>746</v>
      </c>
      <c r="Q938" s="49" t="s">
        <v>683</v>
      </c>
      <c r="R938" s="49" t="s">
        <v>528</v>
      </c>
      <c r="S938" s="52" t="s">
        <v>673</v>
      </c>
      <c r="T938" s="49" t="s">
        <v>1821</v>
      </c>
      <c r="U938" s="49" t="s">
        <v>1824</v>
      </c>
      <c r="V938" s="50" t="s">
        <v>1823</v>
      </c>
    </row>
    <row r="939" spans="1:22" x14ac:dyDescent="0.3">
      <c r="A939" s="51" t="s">
        <v>1671</v>
      </c>
      <c r="B939" s="52" t="s">
        <v>707</v>
      </c>
      <c r="C939" s="52" t="s">
        <v>708</v>
      </c>
      <c r="D939" s="52" t="s">
        <v>673</v>
      </c>
      <c r="E939" s="52" t="s">
        <v>674</v>
      </c>
      <c r="F939" s="52" t="s">
        <v>709</v>
      </c>
      <c r="G939" s="52" t="s">
        <v>709</v>
      </c>
      <c r="H939" s="52" t="s">
        <v>709</v>
      </c>
      <c r="I939" s="52" t="s">
        <v>709</v>
      </c>
      <c r="J939" s="52" t="s">
        <v>689</v>
      </c>
      <c r="K939" s="52" t="s">
        <v>690</v>
      </c>
      <c r="L939" s="52" t="s">
        <v>699</v>
      </c>
      <c r="M939" s="52">
        <v>0.3</v>
      </c>
      <c r="N939" s="52" t="s">
        <v>181</v>
      </c>
      <c r="O939" s="52" t="s">
        <v>665</v>
      </c>
      <c r="P939" s="52" t="s">
        <v>746</v>
      </c>
      <c r="Q939" s="52" t="s">
        <v>683</v>
      </c>
      <c r="R939" s="52" t="s">
        <v>528</v>
      </c>
      <c r="S939" s="52" t="s">
        <v>673</v>
      </c>
      <c r="T939" s="52" t="s">
        <v>1821</v>
      </c>
      <c r="U939" s="52" t="s">
        <v>1824</v>
      </c>
      <c r="V939" s="50" t="s">
        <v>1823</v>
      </c>
    </row>
    <row r="940" spans="1:22" x14ac:dyDescent="0.3">
      <c r="A940" s="48" t="s">
        <v>1481</v>
      </c>
      <c r="B940" s="49" t="s">
        <v>528</v>
      </c>
      <c r="C940" s="49" t="s">
        <v>1482</v>
      </c>
      <c r="D940" s="49" t="s">
        <v>673</v>
      </c>
      <c r="E940" s="49" t="s">
        <v>674</v>
      </c>
      <c r="F940" s="49" t="s">
        <v>675</v>
      </c>
      <c r="G940" s="49" t="s">
        <v>724</v>
      </c>
      <c r="H940" s="49" t="s">
        <v>677</v>
      </c>
      <c r="I940" s="49" t="s">
        <v>678</v>
      </c>
      <c r="J940" s="49" t="s">
        <v>689</v>
      </c>
      <c r="K940" s="49" t="s">
        <v>690</v>
      </c>
      <c r="L940" s="49" t="s">
        <v>699</v>
      </c>
      <c r="M940" s="49">
        <v>0.33</v>
      </c>
      <c r="N940" s="49" t="s">
        <v>75</v>
      </c>
      <c r="O940" s="49" t="s">
        <v>665</v>
      </c>
      <c r="P940" s="49" t="s">
        <v>711</v>
      </c>
      <c r="Q940" s="49" t="s">
        <v>683</v>
      </c>
      <c r="R940" s="49" t="s">
        <v>528</v>
      </c>
      <c r="S940" s="52" t="s">
        <v>673</v>
      </c>
      <c r="T940" s="49" t="s">
        <v>1821</v>
      </c>
      <c r="U940" s="49" t="s">
        <v>1824</v>
      </c>
      <c r="V940" s="50" t="s">
        <v>1823</v>
      </c>
    </row>
    <row r="941" spans="1:22" x14ac:dyDescent="0.3">
      <c r="A941" s="51" t="s">
        <v>1477</v>
      </c>
      <c r="B941" s="52" t="s">
        <v>528</v>
      </c>
      <c r="C941" s="52" t="s">
        <v>1478</v>
      </c>
      <c r="D941" s="52" t="s">
        <v>673</v>
      </c>
      <c r="E941" s="52" t="s">
        <v>674</v>
      </c>
      <c r="F941" s="52" t="s">
        <v>675</v>
      </c>
      <c r="G941" s="52" t="s">
        <v>724</v>
      </c>
      <c r="H941" s="52" t="s">
        <v>677</v>
      </c>
      <c r="I941" s="49" t="s">
        <v>678</v>
      </c>
      <c r="J941" s="52" t="s">
        <v>689</v>
      </c>
      <c r="K941" s="52" t="s">
        <v>690</v>
      </c>
      <c r="L941" s="52" t="s">
        <v>699</v>
      </c>
      <c r="M941" s="52">
        <v>0.33</v>
      </c>
      <c r="N941" s="52" t="s">
        <v>75</v>
      </c>
      <c r="O941" s="52" t="s">
        <v>665</v>
      </c>
      <c r="P941" s="52" t="s">
        <v>711</v>
      </c>
      <c r="Q941" s="52" t="s">
        <v>683</v>
      </c>
      <c r="R941" s="52" t="s">
        <v>528</v>
      </c>
      <c r="S941" s="52" t="s">
        <v>673</v>
      </c>
      <c r="T941" s="52" t="s">
        <v>1821</v>
      </c>
      <c r="U941" s="52" t="s">
        <v>1824</v>
      </c>
      <c r="V941" s="50" t="s">
        <v>1823</v>
      </c>
    </row>
    <row r="942" spans="1:22" x14ac:dyDescent="0.3">
      <c r="A942" s="48" t="s">
        <v>818</v>
      </c>
      <c r="B942" s="49" t="s">
        <v>470</v>
      </c>
      <c r="C942" s="49" t="s">
        <v>819</v>
      </c>
      <c r="D942" s="49" t="s">
        <v>684</v>
      </c>
      <c r="E942" s="49" t="s">
        <v>674</v>
      </c>
      <c r="F942" s="49" t="s">
        <v>716</v>
      </c>
      <c r="G942" s="49" t="s">
        <v>724</v>
      </c>
      <c r="H942" s="49" t="s">
        <v>677</v>
      </c>
      <c r="I942" s="49" t="s">
        <v>678</v>
      </c>
      <c r="J942" s="49" t="s">
        <v>745</v>
      </c>
      <c r="K942" s="49" t="s">
        <v>738</v>
      </c>
      <c r="L942" s="49" t="s">
        <v>699</v>
      </c>
      <c r="M942" s="49">
        <v>0.3</v>
      </c>
      <c r="N942" s="49" t="s">
        <v>71</v>
      </c>
      <c r="O942" s="49" t="s">
        <v>767</v>
      </c>
      <c r="P942" s="52" t="s">
        <v>746</v>
      </c>
      <c r="Q942" s="49" t="s">
        <v>683</v>
      </c>
      <c r="R942" s="49" t="s">
        <v>471</v>
      </c>
      <c r="S942" s="49" t="s">
        <v>684</v>
      </c>
      <c r="T942" s="49" t="s">
        <v>1821</v>
      </c>
      <c r="U942" s="49" t="s">
        <v>1824</v>
      </c>
      <c r="V942" s="50" t="s">
        <v>1823</v>
      </c>
    </row>
    <row r="943" spans="1:22" x14ac:dyDescent="0.3">
      <c r="A943" s="51" t="s">
        <v>1245</v>
      </c>
      <c r="B943" s="52" t="s">
        <v>470</v>
      </c>
      <c r="C943" s="52" t="s">
        <v>1246</v>
      </c>
      <c r="D943" s="52" t="s">
        <v>684</v>
      </c>
      <c r="E943" s="52" t="s">
        <v>674</v>
      </c>
      <c r="F943" s="52" t="s">
        <v>716</v>
      </c>
      <c r="G943" s="52" t="s">
        <v>744</v>
      </c>
      <c r="H943" s="52" t="s">
        <v>702</v>
      </c>
      <c r="I943" s="49" t="s">
        <v>678</v>
      </c>
      <c r="J943" s="52" t="s">
        <v>745</v>
      </c>
      <c r="K943" s="52" t="s">
        <v>738</v>
      </c>
      <c r="L943" s="52" t="s">
        <v>699</v>
      </c>
      <c r="M943" s="52">
        <v>0.5</v>
      </c>
      <c r="N943" s="52" t="s">
        <v>71</v>
      </c>
      <c r="O943" s="52" t="s">
        <v>767</v>
      </c>
      <c r="P943" s="52" t="s">
        <v>746</v>
      </c>
      <c r="Q943" s="52" t="s">
        <v>683</v>
      </c>
      <c r="R943" s="52" t="s">
        <v>471</v>
      </c>
      <c r="S943" s="49" t="s">
        <v>684</v>
      </c>
      <c r="T943" s="52" t="s">
        <v>1821</v>
      </c>
      <c r="U943" s="52" t="s">
        <v>1824</v>
      </c>
      <c r="V943" s="50" t="s">
        <v>1823</v>
      </c>
    </row>
    <row r="944" spans="1:22" x14ac:dyDescent="0.3">
      <c r="A944" s="48" t="s">
        <v>1058</v>
      </c>
      <c r="B944" s="49" t="s">
        <v>470</v>
      </c>
      <c r="C944" s="49" t="s">
        <v>1059</v>
      </c>
      <c r="D944" s="49" t="s">
        <v>684</v>
      </c>
      <c r="E944" s="49" t="s">
        <v>674</v>
      </c>
      <c r="F944" s="49" t="s">
        <v>675</v>
      </c>
      <c r="G944" s="49" t="s">
        <v>1060</v>
      </c>
      <c r="H944" s="49" t="s">
        <v>702</v>
      </c>
      <c r="I944" s="49" t="s">
        <v>736</v>
      </c>
      <c r="J944" s="49" t="s">
        <v>745</v>
      </c>
      <c r="K944" s="49" t="s">
        <v>738</v>
      </c>
      <c r="L944" s="49" t="s">
        <v>699</v>
      </c>
      <c r="M944" s="49">
        <v>0.2</v>
      </c>
      <c r="N944" s="49" t="s">
        <v>71</v>
      </c>
      <c r="O944" s="49" t="s">
        <v>767</v>
      </c>
      <c r="P944" s="52" t="s">
        <v>746</v>
      </c>
      <c r="Q944" s="49" t="s">
        <v>683</v>
      </c>
      <c r="R944" s="49" t="s">
        <v>471</v>
      </c>
      <c r="S944" s="49" t="s">
        <v>684</v>
      </c>
      <c r="T944" s="49" t="s">
        <v>1821</v>
      </c>
      <c r="U944" s="49" t="s">
        <v>1824</v>
      </c>
      <c r="V944" s="50" t="s">
        <v>1823</v>
      </c>
    </row>
    <row r="945" spans="1:22" x14ac:dyDescent="0.3">
      <c r="A945" s="51" t="s">
        <v>978</v>
      </c>
      <c r="B945" s="52" t="s">
        <v>470</v>
      </c>
      <c r="C945" s="52" t="s">
        <v>979</v>
      </c>
      <c r="D945" s="52" t="s">
        <v>684</v>
      </c>
      <c r="E945" s="52" t="s">
        <v>674</v>
      </c>
      <c r="F945" s="52" t="s">
        <v>675</v>
      </c>
      <c r="G945" s="52" t="s">
        <v>676</v>
      </c>
      <c r="H945" s="52" t="s">
        <v>677</v>
      </c>
      <c r="I945" s="52" t="s">
        <v>736</v>
      </c>
      <c r="J945" s="52" t="s">
        <v>745</v>
      </c>
      <c r="K945" s="52" t="s">
        <v>738</v>
      </c>
      <c r="L945" s="52" t="s">
        <v>699</v>
      </c>
      <c r="M945" s="52">
        <v>0.4</v>
      </c>
      <c r="N945" s="52" t="s">
        <v>129</v>
      </c>
      <c r="O945" s="52" t="s">
        <v>767</v>
      </c>
      <c r="P945" s="52" t="s">
        <v>746</v>
      </c>
      <c r="Q945" s="52" t="s">
        <v>683</v>
      </c>
      <c r="R945" s="52" t="s">
        <v>471</v>
      </c>
      <c r="S945" s="49" t="s">
        <v>684</v>
      </c>
      <c r="T945" s="52" t="s">
        <v>1821</v>
      </c>
      <c r="U945" s="52" t="s">
        <v>1824</v>
      </c>
      <c r="V945" s="50" t="s">
        <v>1823</v>
      </c>
    </row>
    <row r="946" spans="1:22" x14ac:dyDescent="0.3">
      <c r="A946" s="48" t="s">
        <v>1031</v>
      </c>
      <c r="B946" s="49" t="s">
        <v>470</v>
      </c>
      <c r="C946" s="49" t="s">
        <v>1032</v>
      </c>
      <c r="D946" s="49" t="s">
        <v>684</v>
      </c>
      <c r="E946" s="49" t="s">
        <v>674</v>
      </c>
      <c r="F946" s="49" t="s">
        <v>716</v>
      </c>
      <c r="G946" s="49" t="s">
        <v>744</v>
      </c>
      <c r="H946" s="49" t="s">
        <v>702</v>
      </c>
      <c r="I946" s="49" t="s">
        <v>736</v>
      </c>
      <c r="J946" s="49" t="s">
        <v>745</v>
      </c>
      <c r="K946" s="49" t="s">
        <v>738</v>
      </c>
      <c r="L946" s="49" t="s">
        <v>699</v>
      </c>
      <c r="M946" s="49">
        <v>0.6</v>
      </c>
      <c r="N946" s="49" t="s">
        <v>129</v>
      </c>
      <c r="O946" s="49" t="s">
        <v>767</v>
      </c>
      <c r="P946" s="52" t="s">
        <v>746</v>
      </c>
      <c r="Q946" s="49" t="s">
        <v>683</v>
      </c>
      <c r="R946" s="49" t="s">
        <v>471</v>
      </c>
      <c r="S946" s="49" t="s">
        <v>684</v>
      </c>
      <c r="T946" s="49" t="s">
        <v>1821</v>
      </c>
      <c r="U946" s="49" t="s">
        <v>1824</v>
      </c>
      <c r="V946" s="50" t="s">
        <v>1823</v>
      </c>
    </row>
    <row r="947" spans="1:22" x14ac:dyDescent="0.3">
      <c r="A947" s="51" t="s">
        <v>1508</v>
      </c>
      <c r="B947" s="52" t="s">
        <v>1403</v>
      </c>
      <c r="C947" s="52" t="s">
        <v>773</v>
      </c>
      <c r="D947" s="52" t="s">
        <v>684</v>
      </c>
      <c r="E947" s="52" t="s">
        <v>674</v>
      </c>
      <c r="F947" s="52" t="s">
        <v>773</v>
      </c>
      <c r="G947" s="52" t="s">
        <v>773</v>
      </c>
      <c r="H947" s="52" t="s">
        <v>773</v>
      </c>
      <c r="I947" s="52" t="s">
        <v>773</v>
      </c>
      <c r="J947" s="52" t="s">
        <v>745</v>
      </c>
      <c r="K947" s="52" t="s">
        <v>738</v>
      </c>
      <c r="L947" s="52" t="s">
        <v>699</v>
      </c>
      <c r="M947" s="52">
        <v>0.1</v>
      </c>
      <c r="N947" s="52" t="s">
        <v>1507</v>
      </c>
      <c r="O947" s="52" t="s">
        <v>665</v>
      </c>
      <c r="P947" s="52" t="s">
        <v>746</v>
      </c>
      <c r="Q947" s="52" t="s">
        <v>683</v>
      </c>
      <c r="R947" s="52" t="s">
        <v>471</v>
      </c>
      <c r="S947" s="49" t="s">
        <v>684</v>
      </c>
      <c r="T947" s="52" t="s">
        <v>1821</v>
      </c>
      <c r="U947" s="52" t="s">
        <v>1824</v>
      </c>
      <c r="V947" s="50" t="s">
        <v>1823</v>
      </c>
    </row>
    <row r="948" spans="1:22" x14ac:dyDescent="0.3">
      <c r="A948" s="48" t="s">
        <v>983</v>
      </c>
      <c r="B948" s="49" t="s">
        <v>981</v>
      </c>
      <c r="C948" s="49" t="s">
        <v>984</v>
      </c>
      <c r="D948" s="49" t="s">
        <v>684</v>
      </c>
      <c r="E948" s="49" t="s">
        <v>674</v>
      </c>
      <c r="F948" s="49" t="s">
        <v>716</v>
      </c>
      <c r="G948" s="49" t="s">
        <v>744</v>
      </c>
      <c r="H948" s="49" t="s">
        <v>702</v>
      </c>
      <c r="I948" s="49" t="s">
        <v>736</v>
      </c>
      <c r="J948" s="49" t="s">
        <v>745</v>
      </c>
      <c r="K948" s="49" t="s">
        <v>738</v>
      </c>
      <c r="L948" s="49" t="s">
        <v>699</v>
      </c>
      <c r="M948" s="49">
        <v>0.8</v>
      </c>
      <c r="N948" s="49" t="s">
        <v>1507</v>
      </c>
      <c r="O948" s="49" t="s">
        <v>665</v>
      </c>
      <c r="P948" s="49" t="s">
        <v>746</v>
      </c>
      <c r="Q948" s="49" t="s">
        <v>683</v>
      </c>
      <c r="R948" s="49" t="s">
        <v>471</v>
      </c>
      <c r="S948" s="49" t="s">
        <v>684</v>
      </c>
      <c r="T948" s="49" t="s">
        <v>1821</v>
      </c>
      <c r="U948" s="49" t="s">
        <v>1824</v>
      </c>
      <c r="V948" s="50" t="s">
        <v>1823</v>
      </c>
    </row>
    <row r="949" spans="1:22" x14ac:dyDescent="0.3">
      <c r="A949" s="51" t="s">
        <v>1402</v>
      </c>
      <c r="B949" s="52" t="s">
        <v>1403</v>
      </c>
      <c r="C949" s="52" t="s">
        <v>773</v>
      </c>
      <c r="D949" s="52" t="s">
        <v>684</v>
      </c>
      <c r="E949" s="52" t="s">
        <v>674</v>
      </c>
      <c r="F949" s="52" t="s">
        <v>773</v>
      </c>
      <c r="G949" s="52" t="s">
        <v>773</v>
      </c>
      <c r="H949" s="52" t="s">
        <v>773</v>
      </c>
      <c r="I949" s="52" t="s">
        <v>773</v>
      </c>
      <c r="J949" s="52" t="s">
        <v>745</v>
      </c>
      <c r="K949" s="52" t="s">
        <v>738</v>
      </c>
      <c r="L949" s="52" t="s">
        <v>699</v>
      </c>
      <c r="M949" s="52">
        <v>0.1</v>
      </c>
      <c r="N949" s="52" t="s">
        <v>1507</v>
      </c>
      <c r="O949" s="52" t="s">
        <v>665</v>
      </c>
      <c r="P949" s="52" t="s">
        <v>746</v>
      </c>
      <c r="Q949" s="52" t="s">
        <v>683</v>
      </c>
      <c r="R949" s="52" t="s">
        <v>471</v>
      </c>
      <c r="S949" s="49" t="s">
        <v>684</v>
      </c>
      <c r="T949" s="52" t="s">
        <v>1821</v>
      </c>
      <c r="U949" s="52" t="s">
        <v>1824</v>
      </c>
      <c r="V949" s="50" t="s">
        <v>1823</v>
      </c>
    </row>
    <row r="950" spans="1:22" x14ac:dyDescent="0.3">
      <c r="A950" s="48" t="s">
        <v>2345</v>
      </c>
      <c r="B950" s="49" t="s">
        <v>1510</v>
      </c>
      <c r="C950" s="49" t="s">
        <v>2346</v>
      </c>
      <c r="D950" s="49" t="s">
        <v>684</v>
      </c>
      <c r="E950" s="49" t="s">
        <v>674</v>
      </c>
      <c r="F950" s="49" t="s">
        <v>716</v>
      </c>
      <c r="G950" s="49" t="s">
        <v>744</v>
      </c>
      <c r="H950" s="49" t="s">
        <v>702</v>
      </c>
      <c r="I950" s="49" t="s">
        <v>736</v>
      </c>
      <c r="J950" s="49" t="s">
        <v>745</v>
      </c>
      <c r="K950" s="49" t="s">
        <v>738</v>
      </c>
      <c r="L950" s="49" t="s">
        <v>699</v>
      </c>
      <c r="M950" s="49">
        <v>0.8</v>
      </c>
      <c r="N950" s="49" t="s">
        <v>1511</v>
      </c>
      <c r="O950" s="49" t="s">
        <v>665</v>
      </c>
      <c r="P950" s="49" t="s">
        <v>746</v>
      </c>
      <c r="Q950" s="49" t="s">
        <v>683</v>
      </c>
      <c r="R950" s="49" t="s">
        <v>471</v>
      </c>
      <c r="S950" s="49" t="s">
        <v>684</v>
      </c>
      <c r="T950" s="49" t="s">
        <v>1821</v>
      </c>
      <c r="U950" s="49" t="s">
        <v>1824</v>
      </c>
      <c r="V950" s="50" t="s">
        <v>1823</v>
      </c>
    </row>
    <row r="951" spans="1:22" x14ac:dyDescent="0.3">
      <c r="A951" s="51" t="s">
        <v>1402</v>
      </c>
      <c r="B951" s="52" t="s">
        <v>1403</v>
      </c>
      <c r="C951" s="52" t="s">
        <v>773</v>
      </c>
      <c r="D951" s="52" t="s">
        <v>684</v>
      </c>
      <c r="E951" s="52" t="s">
        <v>674</v>
      </c>
      <c r="F951" s="52" t="s">
        <v>773</v>
      </c>
      <c r="G951" s="52" t="s">
        <v>773</v>
      </c>
      <c r="H951" s="52" t="s">
        <v>773</v>
      </c>
      <c r="I951" s="52" t="s">
        <v>773</v>
      </c>
      <c r="J951" s="52" t="s">
        <v>745</v>
      </c>
      <c r="K951" s="52" t="s">
        <v>738</v>
      </c>
      <c r="L951" s="52" t="s">
        <v>699</v>
      </c>
      <c r="M951" s="52">
        <v>0.1</v>
      </c>
      <c r="N951" s="52" t="s">
        <v>1511</v>
      </c>
      <c r="O951" s="52" t="s">
        <v>665</v>
      </c>
      <c r="P951" s="52" t="s">
        <v>746</v>
      </c>
      <c r="Q951" s="52" t="s">
        <v>683</v>
      </c>
      <c r="R951" s="52" t="s">
        <v>471</v>
      </c>
      <c r="S951" s="49" t="s">
        <v>684</v>
      </c>
      <c r="T951" s="52" t="s">
        <v>1821</v>
      </c>
      <c r="U951" s="52" t="s">
        <v>1824</v>
      </c>
      <c r="V951" s="50" t="s">
        <v>1823</v>
      </c>
    </row>
    <row r="952" spans="1:22" x14ac:dyDescent="0.3">
      <c r="A952" s="48" t="s">
        <v>1508</v>
      </c>
      <c r="B952" s="49" t="s">
        <v>1403</v>
      </c>
      <c r="C952" s="49" t="s">
        <v>773</v>
      </c>
      <c r="D952" s="49" t="s">
        <v>684</v>
      </c>
      <c r="E952" s="49" t="s">
        <v>674</v>
      </c>
      <c r="F952" s="49" t="s">
        <v>773</v>
      </c>
      <c r="G952" s="49" t="s">
        <v>773</v>
      </c>
      <c r="H952" s="49" t="s">
        <v>773</v>
      </c>
      <c r="I952" s="49" t="s">
        <v>773</v>
      </c>
      <c r="J952" s="49" t="s">
        <v>745</v>
      </c>
      <c r="K952" s="49" t="s">
        <v>738</v>
      </c>
      <c r="L952" s="49" t="s">
        <v>699</v>
      </c>
      <c r="M952" s="49">
        <v>0.1</v>
      </c>
      <c r="N952" s="49" t="s">
        <v>1511</v>
      </c>
      <c r="O952" s="49" t="s">
        <v>665</v>
      </c>
      <c r="P952" s="49" t="s">
        <v>746</v>
      </c>
      <c r="Q952" s="49" t="s">
        <v>683</v>
      </c>
      <c r="R952" s="49" t="s">
        <v>471</v>
      </c>
      <c r="S952" s="49" t="s">
        <v>684</v>
      </c>
      <c r="T952" s="49" t="s">
        <v>1821</v>
      </c>
      <c r="U952" s="49" t="s">
        <v>1824</v>
      </c>
      <c r="V952" s="50" t="s">
        <v>1823</v>
      </c>
    </row>
    <row r="953" spans="1:22" x14ac:dyDescent="0.3">
      <c r="A953" s="51" t="s">
        <v>980</v>
      </c>
      <c r="B953" s="52" t="s">
        <v>981</v>
      </c>
      <c r="C953" s="52" t="s">
        <v>982</v>
      </c>
      <c r="D953" s="52" t="s">
        <v>684</v>
      </c>
      <c r="E953" s="52" t="s">
        <v>674</v>
      </c>
      <c r="F953" s="52" t="s">
        <v>716</v>
      </c>
      <c r="G953" s="52" t="s">
        <v>744</v>
      </c>
      <c r="H953" s="52" t="s">
        <v>702</v>
      </c>
      <c r="I953" s="52" t="s">
        <v>736</v>
      </c>
      <c r="J953" s="52" t="s">
        <v>745</v>
      </c>
      <c r="K953" s="52" t="s">
        <v>738</v>
      </c>
      <c r="L953" s="52" t="s">
        <v>699</v>
      </c>
      <c r="M953" s="52">
        <v>0.6</v>
      </c>
      <c r="N953" s="52" t="s">
        <v>1509</v>
      </c>
      <c r="O953" s="52" t="s">
        <v>665</v>
      </c>
      <c r="P953" s="52" t="s">
        <v>746</v>
      </c>
      <c r="Q953" s="52" t="s">
        <v>683</v>
      </c>
      <c r="R953" s="52" t="s">
        <v>258</v>
      </c>
      <c r="S953" s="52" t="s">
        <v>673</v>
      </c>
      <c r="T953" s="52" t="s">
        <v>1821</v>
      </c>
      <c r="U953" s="52" t="s">
        <v>1824</v>
      </c>
      <c r="V953" s="50" t="s">
        <v>1823</v>
      </c>
    </row>
    <row r="954" spans="1:22" x14ac:dyDescent="0.3">
      <c r="A954" s="48" t="s">
        <v>1402</v>
      </c>
      <c r="B954" s="49" t="s">
        <v>1403</v>
      </c>
      <c r="C954" s="49" t="s">
        <v>773</v>
      </c>
      <c r="D954" s="49" t="s">
        <v>684</v>
      </c>
      <c r="E954" s="49" t="s">
        <v>674</v>
      </c>
      <c r="F954" s="49" t="s">
        <v>773</v>
      </c>
      <c r="G954" s="49" t="s">
        <v>773</v>
      </c>
      <c r="H954" s="49" t="s">
        <v>773</v>
      </c>
      <c r="I954" s="49" t="s">
        <v>773</v>
      </c>
      <c r="J954" s="49" t="s">
        <v>745</v>
      </c>
      <c r="K954" s="49" t="s">
        <v>738</v>
      </c>
      <c r="L954" s="49" t="s">
        <v>699</v>
      </c>
      <c r="M954" s="49">
        <v>0.1</v>
      </c>
      <c r="N954" s="49" t="s">
        <v>1509</v>
      </c>
      <c r="O954" s="49" t="s">
        <v>665</v>
      </c>
      <c r="P954" s="49" t="s">
        <v>746</v>
      </c>
      <c r="Q954" s="49" t="s">
        <v>683</v>
      </c>
      <c r="R954" s="49" t="s">
        <v>258</v>
      </c>
      <c r="S954" s="52" t="s">
        <v>673</v>
      </c>
      <c r="T954" s="49" t="s">
        <v>1821</v>
      </c>
      <c r="U954" s="49" t="s">
        <v>1824</v>
      </c>
      <c r="V954" s="50" t="s">
        <v>1823</v>
      </c>
    </row>
    <row r="955" spans="1:22" x14ac:dyDescent="0.3">
      <c r="A955" s="51" t="s">
        <v>2347</v>
      </c>
      <c r="B955" s="52" t="s">
        <v>1510</v>
      </c>
      <c r="C955" s="52" t="s">
        <v>2348</v>
      </c>
      <c r="D955" s="52" t="s">
        <v>684</v>
      </c>
      <c r="E955" s="52" t="s">
        <v>674</v>
      </c>
      <c r="F955" s="52" t="s">
        <v>734</v>
      </c>
      <c r="G955" s="52" t="s">
        <v>735</v>
      </c>
      <c r="H955" s="52" t="s">
        <v>735</v>
      </c>
      <c r="I955" s="52" t="s">
        <v>736</v>
      </c>
      <c r="J955" s="52" t="s">
        <v>745</v>
      </c>
      <c r="K955" s="52" t="s">
        <v>738</v>
      </c>
      <c r="L955" s="52" t="s">
        <v>699</v>
      </c>
      <c r="M955" s="52">
        <v>0.3</v>
      </c>
      <c r="N955" s="52" t="s">
        <v>1509</v>
      </c>
      <c r="O955" s="52" t="s">
        <v>665</v>
      </c>
      <c r="P955" s="52" t="s">
        <v>746</v>
      </c>
      <c r="Q955" s="52" t="s">
        <v>683</v>
      </c>
      <c r="R955" s="52" t="s">
        <v>258</v>
      </c>
      <c r="S955" s="52" t="s">
        <v>673</v>
      </c>
      <c r="T955" s="52" t="s">
        <v>1821</v>
      </c>
      <c r="U955" s="52" t="s">
        <v>1824</v>
      </c>
      <c r="V955" s="50" t="s">
        <v>1823</v>
      </c>
    </row>
    <row r="956" spans="1:22" x14ac:dyDescent="0.3">
      <c r="A956" s="48" t="s">
        <v>2323</v>
      </c>
      <c r="B956" s="49" t="s">
        <v>470</v>
      </c>
      <c r="C956" s="49" t="s">
        <v>2324</v>
      </c>
      <c r="D956" s="49" t="s">
        <v>684</v>
      </c>
      <c r="E956" s="49" t="s">
        <v>674</v>
      </c>
      <c r="F956" s="49" t="s">
        <v>716</v>
      </c>
      <c r="G956" s="49" t="s">
        <v>724</v>
      </c>
      <c r="H956" s="49" t="s">
        <v>717</v>
      </c>
      <c r="I956" s="49" t="s">
        <v>736</v>
      </c>
      <c r="J956" s="49" t="s">
        <v>745</v>
      </c>
      <c r="K956" s="49" t="s">
        <v>738</v>
      </c>
      <c r="L956" s="49" t="s">
        <v>699</v>
      </c>
      <c r="M956" s="49">
        <v>0.7</v>
      </c>
      <c r="N956" s="49" t="s">
        <v>1514</v>
      </c>
      <c r="O956" s="49" t="s">
        <v>767</v>
      </c>
      <c r="P956" s="52" t="s">
        <v>746</v>
      </c>
      <c r="Q956" s="49" t="s">
        <v>683</v>
      </c>
      <c r="R956" s="49" t="s">
        <v>471</v>
      </c>
      <c r="S956" s="49" t="s">
        <v>684</v>
      </c>
      <c r="T956" s="49" t="s">
        <v>1821</v>
      </c>
      <c r="U956" s="49" t="s">
        <v>1824</v>
      </c>
      <c r="V956" s="50" t="s">
        <v>1823</v>
      </c>
    </row>
    <row r="957" spans="1:22" x14ac:dyDescent="0.3">
      <c r="A957" s="51" t="s">
        <v>1397</v>
      </c>
      <c r="B957" s="52" t="s">
        <v>981</v>
      </c>
      <c r="C957" s="52" t="s">
        <v>1398</v>
      </c>
      <c r="D957" s="52" t="s">
        <v>684</v>
      </c>
      <c r="E957" s="52" t="s">
        <v>674</v>
      </c>
      <c r="F957" s="52" t="s">
        <v>716</v>
      </c>
      <c r="G957" s="52" t="s">
        <v>744</v>
      </c>
      <c r="H957" s="52" t="s">
        <v>702</v>
      </c>
      <c r="I957" s="52" t="s">
        <v>736</v>
      </c>
      <c r="J957" s="52" t="s">
        <v>745</v>
      </c>
      <c r="K957" s="52" t="s">
        <v>738</v>
      </c>
      <c r="L957" s="52" t="s">
        <v>739</v>
      </c>
      <c r="M957" s="52">
        <v>0.3</v>
      </c>
      <c r="N957" s="52" t="s">
        <v>1514</v>
      </c>
      <c r="O957" s="52" t="s">
        <v>767</v>
      </c>
      <c r="P957" s="52" t="s">
        <v>746</v>
      </c>
      <c r="Q957" s="52" t="s">
        <v>683</v>
      </c>
      <c r="R957" s="52" t="s">
        <v>471</v>
      </c>
      <c r="S957" s="49" t="s">
        <v>684</v>
      </c>
      <c r="T957" s="52" t="s">
        <v>1821</v>
      </c>
      <c r="U957" s="52" t="s">
        <v>1824</v>
      </c>
      <c r="V957" s="50" t="s">
        <v>1823</v>
      </c>
    </row>
    <row r="958" spans="1:22" x14ac:dyDescent="0.3">
      <c r="A958" s="48" t="s">
        <v>1512</v>
      </c>
      <c r="B958" s="49" t="s">
        <v>470</v>
      </c>
      <c r="C958" s="49" t="s">
        <v>1513</v>
      </c>
      <c r="D958" s="49" t="s">
        <v>684</v>
      </c>
      <c r="E958" s="49" t="s">
        <v>674</v>
      </c>
      <c r="F958" s="49" t="s">
        <v>716</v>
      </c>
      <c r="G958" s="49" t="s">
        <v>744</v>
      </c>
      <c r="H958" s="49" t="s">
        <v>702</v>
      </c>
      <c r="I958" s="49" t="s">
        <v>736</v>
      </c>
      <c r="J958" s="49" t="s">
        <v>745</v>
      </c>
      <c r="K958" s="49" t="s">
        <v>738</v>
      </c>
      <c r="L958" s="49" t="s">
        <v>699</v>
      </c>
      <c r="M958" s="49">
        <v>0.1</v>
      </c>
      <c r="N958" s="49" t="s">
        <v>325</v>
      </c>
      <c r="O958" s="49" t="s">
        <v>665</v>
      </c>
      <c r="P958" s="49" t="s">
        <v>746</v>
      </c>
      <c r="Q958" s="49" t="s">
        <v>683</v>
      </c>
      <c r="R958" s="49" t="s">
        <v>471</v>
      </c>
      <c r="S958" s="49" t="s">
        <v>684</v>
      </c>
      <c r="T958" s="49" t="s">
        <v>1821</v>
      </c>
      <c r="U958" s="49" t="s">
        <v>1824</v>
      </c>
      <c r="V958" s="50" t="s">
        <v>1823</v>
      </c>
    </row>
    <row r="959" spans="1:22" x14ac:dyDescent="0.3">
      <c r="A959" s="51" t="s">
        <v>1031</v>
      </c>
      <c r="B959" s="52" t="s">
        <v>470</v>
      </c>
      <c r="C959" s="52" t="s">
        <v>1032</v>
      </c>
      <c r="D959" s="52" t="s">
        <v>684</v>
      </c>
      <c r="E959" s="52" t="s">
        <v>674</v>
      </c>
      <c r="F959" s="52" t="s">
        <v>716</v>
      </c>
      <c r="G959" s="52" t="s">
        <v>744</v>
      </c>
      <c r="H959" s="52" t="s">
        <v>702</v>
      </c>
      <c r="I959" s="52" t="s">
        <v>736</v>
      </c>
      <c r="J959" s="52" t="s">
        <v>745</v>
      </c>
      <c r="K959" s="52" t="s">
        <v>738</v>
      </c>
      <c r="L959" s="52" t="s">
        <v>699</v>
      </c>
      <c r="M959" s="52">
        <v>0.6</v>
      </c>
      <c r="N959" s="52" t="s">
        <v>325</v>
      </c>
      <c r="O959" s="52" t="s">
        <v>665</v>
      </c>
      <c r="P959" s="52" t="s">
        <v>746</v>
      </c>
      <c r="Q959" s="52" t="s">
        <v>683</v>
      </c>
      <c r="R959" s="52" t="s">
        <v>471</v>
      </c>
      <c r="S959" s="49" t="s">
        <v>684</v>
      </c>
      <c r="T959" s="52" t="s">
        <v>1821</v>
      </c>
      <c r="U959" s="52" t="s">
        <v>1824</v>
      </c>
      <c r="V959" s="50" t="s">
        <v>1823</v>
      </c>
    </row>
    <row r="960" spans="1:22" x14ac:dyDescent="0.3">
      <c r="A960" s="48" t="s">
        <v>1058</v>
      </c>
      <c r="B960" s="49" t="s">
        <v>470</v>
      </c>
      <c r="C960" s="49" t="s">
        <v>1059</v>
      </c>
      <c r="D960" s="49" t="s">
        <v>684</v>
      </c>
      <c r="E960" s="49" t="s">
        <v>674</v>
      </c>
      <c r="F960" s="49" t="s">
        <v>675</v>
      </c>
      <c r="G960" s="49" t="s">
        <v>1060</v>
      </c>
      <c r="H960" s="49" t="s">
        <v>702</v>
      </c>
      <c r="I960" s="49" t="s">
        <v>736</v>
      </c>
      <c r="J960" s="49" t="s">
        <v>745</v>
      </c>
      <c r="K960" s="49" t="s">
        <v>738</v>
      </c>
      <c r="L960" s="49" t="s">
        <v>699</v>
      </c>
      <c r="M960" s="49">
        <v>0.2</v>
      </c>
      <c r="N960" s="49" t="s">
        <v>325</v>
      </c>
      <c r="O960" s="49" t="s">
        <v>665</v>
      </c>
      <c r="P960" s="49" t="s">
        <v>746</v>
      </c>
      <c r="Q960" s="49" t="s">
        <v>683</v>
      </c>
      <c r="R960" s="49" t="s">
        <v>471</v>
      </c>
      <c r="S960" s="49" t="s">
        <v>684</v>
      </c>
      <c r="T960" s="49" t="s">
        <v>1821</v>
      </c>
      <c r="U960" s="49" t="s">
        <v>1824</v>
      </c>
      <c r="V960" s="50" t="s">
        <v>1823</v>
      </c>
    </row>
    <row r="961" spans="1:22" x14ac:dyDescent="0.3">
      <c r="A961" s="51" t="s">
        <v>1402</v>
      </c>
      <c r="B961" s="52" t="s">
        <v>1403</v>
      </c>
      <c r="C961" s="52" t="s">
        <v>773</v>
      </c>
      <c r="D961" s="52" t="s">
        <v>684</v>
      </c>
      <c r="E961" s="52" t="s">
        <v>674</v>
      </c>
      <c r="F961" s="52" t="s">
        <v>773</v>
      </c>
      <c r="G961" s="52" t="s">
        <v>773</v>
      </c>
      <c r="H961" s="52" t="s">
        <v>773</v>
      </c>
      <c r="I961" s="52" t="s">
        <v>773</v>
      </c>
      <c r="J961" s="52" t="s">
        <v>745</v>
      </c>
      <c r="K961" s="52" t="s">
        <v>738</v>
      </c>
      <c r="L961" s="52" t="s">
        <v>699</v>
      </c>
      <c r="M961" s="52">
        <v>0.1</v>
      </c>
      <c r="N961" s="52" t="s">
        <v>325</v>
      </c>
      <c r="O961" s="52" t="s">
        <v>665</v>
      </c>
      <c r="P961" s="52" t="s">
        <v>746</v>
      </c>
      <c r="Q961" s="52" t="s">
        <v>683</v>
      </c>
      <c r="R961" s="52" t="s">
        <v>471</v>
      </c>
      <c r="S961" s="49" t="s">
        <v>684</v>
      </c>
      <c r="T961" s="52" t="s">
        <v>1821</v>
      </c>
      <c r="U961" s="52" t="s">
        <v>1824</v>
      </c>
      <c r="V961" s="50" t="s">
        <v>1823</v>
      </c>
    </row>
    <row r="962" spans="1:22" x14ac:dyDescent="0.3">
      <c r="A962" s="48" t="s">
        <v>978</v>
      </c>
      <c r="B962" s="49" t="s">
        <v>470</v>
      </c>
      <c r="C962" s="49" t="s">
        <v>979</v>
      </c>
      <c r="D962" s="49" t="s">
        <v>684</v>
      </c>
      <c r="E962" s="49" t="s">
        <v>674</v>
      </c>
      <c r="F962" s="49" t="s">
        <v>675</v>
      </c>
      <c r="G962" s="49" t="s">
        <v>676</v>
      </c>
      <c r="H962" s="49" t="s">
        <v>677</v>
      </c>
      <c r="I962" s="49" t="s">
        <v>736</v>
      </c>
      <c r="J962" s="49" t="s">
        <v>745</v>
      </c>
      <c r="K962" s="49" t="s">
        <v>738</v>
      </c>
      <c r="L962" s="49" t="s">
        <v>699</v>
      </c>
      <c r="M962" s="49">
        <v>0.5</v>
      </c>
      <c r="N962" s="49" t="s">
        <v>370</v>
      </c>
      <c r="O962" s="49" t="s">
        <v>665</v>
      </c>
      <c r="P962" s="49" t="s">
        <v>746</v>
      </c>
      <c r="Q962" s="49" t="s">
        <v>683</v>
      </c>
      <c r="R962" s="49" t="s">
        <v>471</v>
      </c>
      <c r="S962" s="49" t="s">
        <v>684</v>
      </c>
      <c r="T962" s="49" t="s">
        <v>1821</v>
      </c>
      <c r="U962" s="49" t="s">
        <v>1824</v>
      </c>
      <c r="V962" s="50" t="s">
        <v>1823</v>
      </c>
    </row>
    <row r="963" spans="1:22" x14ac:dyDescent="0.3">
      <c r="A963" s="51" t="s">
        <v>2349</v>
      </c>
      <c r="B963" s="52" t="s">
        <v>1510</v>
      </c>
      <c r="C963" s="52" t="s">
        <v>2350</v>
      </c>
      <c r="D963" s="52" t="s">
        <v>684</v>
      </c>
      <c r="E963" s="52" t="s">
        <v>674</v>
      </c>
      <c r="F963" s="52" t="s">
        <v>716</v>
      </c>
      <c r="G963" s="52" t="s">
        <v>744</v>
      </c>
      <c r="H963" s="52" t="s">
        <v>702</v>
      </c>
      <c r="I963" s="52" t="s">
        <v>736</v>
      </c>
      <c r="J963" s="52" t="s">
        <v>745</v>
      </c>
      <c r="K963" s="52" t="s">
        <v>738</v>
      </c>
      <c r="L963" s="52" t="s">
        <v>699</v>
      </c>
      <c r="M963" s="52">
        <v>0.3</v>
      </c>
      <c r="N963" s="52" t="s">
        <v>370</v>
      </c>
      <c r="O963" s="52" t="s">
        <v>665</v>
      </c>
      <c r="P963" s="52" t="s">
        <v>746</v>
      </c>
      <c r="Q963" s="52" t="s">
        <v>683</v>
      </c>
      <c r="R963" s="52" t="s">
        <v>471</v>
      </c>
      <c r="S963" s="49" t="s">
        <v>684</v>
      </c>
      <c r="T963" s="52" t="s">
        <v>1821</v>
      </c>
      <c r="U963" s="52" t="s">
        <v>1824</v>
      </c>
      <c r="V963" s="50" t="s">
        <v>1823</v>
      </c>
    </row>
    <row r="964" spans="1:22" x14ac:dyDescent="0.3">
      <c r="A964" s="48" t="s">
        <v>1402</v>
      </c>
      <c r="B964" s="49" t="s">
        <v>1403</v>
      </c>
      <c r="C964" s="49" t="s">
        <v>773</v>
      </c>
      <c r="D964" s="49" t="s">
        <v>684</v>
      </c>
      <c r="E964" s="49" t="s">
        <v>674</v>
      </c>
      <c r="F964" s="49" t="s">
        <v>773</v>
      </c>
      <c r="G964" s="49" t="s">
        <v>773</v>
      </c>
      <c r="H964" s="49" t="s">
        <v>773</v>
      </c>
      <c r="I964" s="49" t="s">
        <v>773</v>
      </c>
      <c r="J964" s="49" t="s">
        <v>745</v>
      </c>
      <c r="K964" s="49" t="s">
        <v>738</v>
      </c>
      <c r="L964" s="49" t="s">
        <v>699</v>
      </c>
      <c r="M964" s="49">
        <v>0.1</v>
      </c>
      <c r="N964" s="49" t="s">
        <v>370</v>
      </c>
      <c r="O964" s="49" t="s">
        <v>665</v>
      </c>
      <c r="P964" s="49" t="s">
        <v>746</v>
      </c>
      <c r="Q964" s="49" t="s">
        <v>683</v>
      </c>
      <c r="R964" s="49" t="s">
        <v>471</v>
      </c>
      <c r="S964" s="49" t="s">
        <v>684</v>
      </c>
      <c r="T964" s="49" t="s">
        <v>1821</v>
      </c>
      <c r="U964" s="49" t="s">
        <v>1824</v>
      </c>
      <c r="V964" s="50" t="s">
        <v>1823</v>
      </c>
    </row>
    <row r="965" spans="1:22" x14ac:dyDescent="0.3">
      <c r="A965" s="51" t="s">
        <v>1515</v>
      </c>
      <c r="B965" s="52" t="s">
        <v>981</v>
      </c>
      <c r="C965" s="52" t="s">
        <v>1516</v>
      </c>
      <c r="D965" s="52" t="s">
        <v>684</v>
      </c>
      <c r="E965" s="52" t="s">
        <v>674</v>
      </c>
      <c r="F965" s="52" t="s">
        <v>716</v>
      </c>
      <c r="G965" s="52" t="s">
        <v>744</v>
      </c>
      <c r="H965" s="52" t="s">
        <v>702</v>
      </c>
      <c r="I965" s="52" t="s">
        <v>736</v>
      </c>
      <c r="J965" s="52" t="s">
        <v>745</v>
      </c>
      <c r="K965" s="52" t="s">
        <v>738</v>
      </c>
      <c r="L965" s="52" t="s">
        <v>699</v>
      </c>
      <c r="M965" s="52">
        <v>0.1</v>
      </c>
      <c r="N965" s="52" t="s">
        <v>370</v>
      </c>
      <c r="O965" s="52" t="s">
        <v>665</v>
      </c>
      <c r="P965" s="52" t="s">
        <v>746</v>
      </c>
      <c r="Q965" s="52" t="s">
        <v>683</v>
      </c>
      <c r="R965" s="52" t="s">
        <v>471</v>
      </c>
      <c r="S965" s="49" t="s">
        <v>684</v>
      </c>
      <c r="T965" s="52" t="s">
        <v>1821</v>
      </c>
      <c r="U965" s="52" t="s">
        <v>1824</v>
      </c>
      <c r="V965" s="50" t="s">
        <v>1823</v>
      </c>
    </row>
    <row r="966" spans="1:22" x14ac:dyDescent="0.3">
      <c r="A966" s="48" t="s">
        <v>1402</v>
      </c>
      <c r="B966" s="49" t="s">
        <v>1403</v>
      </c>
      <c r="C966" s="49" t="s">
        <v>773</v>
      </c>
      <c r="D966" s="49" t="s">
        <v>684</v>
      </c>
      <c r="E966" s="49" t="s">
        <v>674</v>
      </c>
      <c r="F966" s="49" t="s">
        <v>773</v>
      </c>
      <c r="G966" s="49" t="s">
        <v>773</v>
      </c>
      <c r="H966" s="49" t="s">
        <v>773</v>
      </c>
      <c r="I966" s="49" t="s">
        <v>773</v>
      </c>
      <c r="J966" s="49" t="s">
        <v>745</v>
      </c>
      <c r="K966" s="49" t="s">
        <v>738</v>
      </c>
      <c r="L966" s="49" t="s">
        <v>699</v>
      </c>
      <c r="M966" s="49">
        <v>0.1</v>
      </c>
      <c r="N966" s="49" t="s">
        <v>376</v>
      </c>
      <c r="O966" s="49" t="s">
        <v>665</v>
      </c>
      <c r="P966" s="49" t="s">
        <v>746</v>
      </c>
      <c r="Q966" s="49" t="s">
        <v>683</v>
      </c>
      <c r="R966" s="49" t="s">
        <v>1519</v>
      </c>
      <c r="S966" s="49" t="s">
        <v>684</v>
      </c>
      <c r="T966" s="49" t="s">
        <v>1821</v>
      </c>
      <c r="U966" s="49" t="s">
        <v>1824</v>
      </c>
      <c r="V966" s="50" t="s">
        <v>1823</v>
      </c>
    </row>
    <row r="967" spans="1:22" x14ac:dyDescent="0.3">
      <c r="A967" s="51" t="s">
        <v>2351</v>
      </c>
      <c r="B967" s="52" t="s">
        <v>470</v>
      </c>
      <c r="C967" s="52" t="s">
        <v>2352</v>
      </c>
      <c r="D967" s="52" t="s">
        <v>684</v>
      </c>
      <c r="E967" s="52" t="s">
        <v>674</v>
      </c>
      <c r="F967" s="52" t="s">
        <v>716</v>
      </c>
      <c r="G967" s="52" t="s">
        <v>744</v>
      </c>
      <c r="H967" s="52" t="s">
        <v>702</v>
      </c>
      <c r="I967" s="52" t="s">
        <v>736</v>
      </c>
      <c r="J967" s="52" t="s">
        <v>745</v>
      </c>
      <c r="K967" s="52" t="s">
        <v>738</v>
      </c>
      <c r="L967" s="52" t="s">
        <v>739</v>
      </c>
      <c r="M967" s="52">
        <v>0.1</v>
      </c>
      <c r="N967" s="52" t="s">
        <v>376</v>
      </c>
      <c r="O967" s="52" t="s">
        <v>665</v>
      </c>
      <c r="P967" s="52" t="s">
        <v>746</v>
      </c>
      <c r="Q967" s="52" t="s">
        <v>683</v>
      </c>
      <c r="R967" s="52" t="s">
        <v>1519</v>
      </c>
      <c r="S967" s="49" t="s">
        <v>684</v>
      </c>
      <c r="T967" s="52" t="s">
        <v>1821</v>
      </c>
      <c r="U967" s="52" t="s">
        <v>1824</v>
      </c>
      <c r="V967" s="50" t="s">
        <v>1823</v>
      </c>
    </row>
    <row r="968" spans="1:22" x14ac:dyDescent="0.3">
      <c r="A968" s="48" t="s">
        <v>2353</v>
      </c>
      <c r="B968" s="49" t="s">
        <v>1510</v>
      </c>
      <c r="C968" s="49" t="s">
        <v>2354</v>
      </c>
      <c r="D968" s="49" t="s">
        <v>684</v>
      </c>
      <c r="E968" s="49" t="s">
        <v>674</v>
      </c>
      <c r="F968" s="49" t="s">
        <v>716</v>
      </c>
      <c r="G968" s="49" t="s">
        <v>676</v>
      </c>
      <c r="H968" s="49" t="s">
        <v>717</v>
      </c>
      <c r="I968" s="49" t="s">
        <v>736</v>
      </c>
      <c r="J968" s="49" t="s">
        <v>745</v>
      </c>
      <c r="K968" s="49" t="s">
        <v>738</v>
      </c>
      <c r="L968" s="49" t="s">
        <v>739</v>
      </c>
      <c r="M968" s="49">
        <v>0.1</v>
      </c>
      <c r="N968" s="49" t="s">
        <v>376</v>
      </c>
      <c r="O968" s="49" t="s">
        <v>665</v>
      </c>
      <c r="P968" s="49" t="s">
        <v>746</v>
      </c>
      <c r="Q968" s="49" t="s">
        <v>683</v>
      </c>
      <c r="R968" s="49" t="s">
        <v>1519</v>
      </c>
      <c r="S968" s="49" t="s">
        <v>684</v>
      </c>
      <c r="T968" s="49" t="s">
        <v>1821</v>
      </c>
      <c r="U968" s="49" t="s">
        <v>1824</v>
      </c>
      <c r="V968" s="50" t="s">
        <v>1823</v>
      </c>
    </row>
    <row r="969" spans="1:22" x14ac:dyDescent="0.3">
      <c r="A969" s="51" t="s">
        <v>2355</v>
      </c>
      <c r="B969" s="52" t="s">
        <v>470</v>
      </c>
      <c r="C969" s="52" t="s">
        <v>2356</v>
      </c>
      <c r="D969" s="52" t="s">
        <v>684</v>
      </c>
      <c r="E969" s="52" t="s">
        <v>674</v>
      </c>
      <c r="F969" s="52" t="s">
        <v>716</v>
      </c>
      <c r="G969" s="52" t="s">
        <v>744</v>
      </c>
      <c r="H969" s="52" t="s">
        <v>717</v>
      </c>
      <c r="I969" s="52" t="s">
        <v>736</v>
      </c>
      <c r="J969" s="52" t="s">
        <v>745</v>
      </c>
      <c r="K969" s="52" t="s">
        <v>738</v>
      </c>
      <c r="L969" s="52" t="s">
        <v>699</v>
      </c>
      <c r="M969" s="52">
        <v>0.2</v>
      </c>
      <c r="N969" s="52" t="s">
        <v>376</v>
      </c>
      <c r="O969" s="52" t="s">
        <v>665</v>
      </c>
      <c r="P969" s="52" t="s">
        <v>746</v>
      </c>
      <c r="Q969" s="52" t="s">
        <v>683</v>
      </c>
      <c r="R969" s="52" t="s">
        <v>1519</v>
      </c>
      <c r="S969" s="49" t="s">
        <v>684</v>
      </c>
      <c r="T969" s="52" t="s">
        <v>1821</v>
      </c>
      <c r="U969" s="52" t="s">
        <v>1824</v>
      </c>
      <c r="V969" s="50" t="s">
        <v>1823</v>
      </c>
    </row>
    <row r="970" spans="1:22" x14ac:dyDescent="0.3">
      <c r="A970" s="48" t="s">
        <v>2357</v>
      </c>
      <c r="B970" s="49" t="s">
        <v>1510</v>
      </c>
      <c r="C970" s="49" t="s">
        <v>2358</v>
      </c>
      <c r="D970" s="49" t="s">
        <v>684</v>
      </c>
      <c r="E970" s="49" t="s">
        <v>674</v>
      </c>
      <c r="F970" s="49" t="s">
        <v>716</v>
      </c>
      <c r="G970" s="49" t="s">
        <v>676</v>
      </c>
      <c r="H970" s="49" t="s">
        <v>702</v>
      </c>
      <c r="I970" s="49" t="s">
        <v>736</v>
      </c>
      <c r="J970" s="49" t="s">
        <v>745</v>
      </c>
      <c r="K970" s="49" t="s">
        <v>738</v>
      </c>
      <c r="L970" s="49" t="s">
        <v>699</v>
      </c>
      <c r="M970" s="49">
        <v>0.2</v>
      </c>
      <c r="N970" s="49" t="s">
        <v>376</v>
      </c>
      <c r="O970" s="49" t="s">
        <v>665</v>
      </c>
      <c r="P970" s="49" t="s">
        <v>746</v>
      </c>
      <c r="Q970" s="49" t="s">
        <v>683</v>
      </c>
      <c r="R970" s="49" t="s">
        <v>1519</v>
      </c>
      <c r="S970" s="49" t="s">
        <v>684</v>
      </c>
      <c r="T970" s="49" t="s">
        <v>1821</v>
      </c>
      <c r="U970" s="49" t="s">
        <v>1824</v>
      </c>
      <c r="V970" s="50" t="s">
        <v>1823</v>
      </c>
    </row>
    <row r="971" spans="1:22" x14ac:dyDescent="0.3">
      <c r="A971" s="51" t="s">
        <v>1517</v>
      </c>
      <c r="B971" s="52" t="s">
        <v>470</v>
      </c>
      <c r="C971" s="52" t="s">
        <v>1518</v>
      </c>
      <c r="D971" s="52" t="s">
        <v>684</v>
      </c>
      <c r="E971" s="52" t="s">
        <v>674</v>
      </c>
      <c r="F971" s="52" t="s">
        <v>716</v>
      </c>
      <c r="G971" s="52" t="s">
        <v>744</v>
      </c>
      <c r="H971" s="52" t="s">
        <v>702</v>
      </c>
      <c r="I971" s="52" t="s">
        <v>736</v>
      </c>
      <c r="J971" s="52" t="s">
        <v>745</v>
      </c>
      <c r="K971" s="52" t="s">
        <v>738</v>
      </c>
      <c r="L971" s="52" t="s">
        <v>699</v>
      </c>
      <c r="M971" s="52">
        <v>0.3</v>
      </c>
      <c r="N971" s="52" t="s">
        <v>376</v>
      </c>
      <c r="O971" s="52" t="s">
        <v>665</v>
      </c>
      <c r="P971" s="52" t="s">
        <v>746</v>
      </c>
      <c r="Q971" s="52" t="s">
        <v>683</v>
      </c>
      <c r="R971" s="52" t="s">
        <v>1519</v>
      </c>
      <c r="S971" s="49" t="s">
        <v>684</v>
      </c>
      <c r="T971" s="52" t="s">
        <v>1821</v>
      </c>
      <c r="U971" s="52" t="s">
        <v>1824</v>
      </c>
      <c r="V971" s="50" t="s">
        <v>1823</v>
      </c>
    </row>
    <row r="972" spans="1:22" x14ac:dyDescent="0.3">
      <c r="A972" s="48" t="s">
        <v>1402</v>
      </c>
      <c r="B972" s="49" t="s">
        <v>1403</v>
      </c>
      <c r="C972" s="49" t="s">
        <v>773</v>
      </c>
      <c r="D972" s="49" t="s">
        <v>684</v>
      </c>
      <c r="E972" s="49" t="s">
        <v>674</v>
      </c>
      <c r="F972" s="49" t="s">
        <v>773</v>
      </c>
      <c r="G972" s="49" t="s">
        <v>773</v>
      </c>
      <c r="H972" s="49" t="s">
        <v>773</v>
      </c>
      <c r="I972" s="49" t="s">
        <v>773</v>
      </c>
      <c r="J972" s="49" t="s">
        <v>745</v>
      </c>
      <c r="K972" s="49" t="s">
        <v>738</v>
      </c>
      <c r="L972" s="49" t="s">
        <v>699</v>
      </c>
      <c r="M972" s="49">
        <v>0.2</v>
      </c>
      <c r="N972" s="49" t="s">
        <v>1520</v>
      </c>
      <c r="O972" s="49" t="s">
        <v>665</v>
      </c>
      <c r="P972" s="49" t="s">
        <v>746</v>
      </c>
      <c r="Q972" s="49" t="s">
        <v>683</v>
      </c>
      <c r="R972" s="49" t="s">
        <v>471</v>
      </c>
      <c r="S972" s="49" t="s">
        <v>684</v>
      </c>
      <c r="T972" s="49" t="s">
        <v>1821</v>
      </c>
      <c r="U972" s="49" t="s">
        <v>1824</v>
      </c>
      <c r="V972" s="50" t="s">
        <v>1823</v>
      </c>
    </row>
    <row r="973" spans="1:22" x14ac:dyDescent="0.3">
      <c r="A973" s="51" t="s">
        <v>2359</v>
      </c>
      <c r="B973" s="52" t="s">
        <v>470</v>
      </c>
      <c r="C973" s="52" t="s">
        <v>2360</v>
      </c>
      <c r="D973" s="52" t="s">
        <v>684</v>
      </c>
      <c r="E973" s="52" t="s">
        <v>674</v>
      </c>
      <c r="F973" s="52" t="s">
        <v>716</v>
      </c>
      <c r="G973" s="52" t="s">
        <v>724</v>
      </c>
      <c r="H973" s="52" t="s">
        <v>702</v>
      </c>
      <c r="I973" s="52" t="s">
        <v>736</v>
      </c>
      <c r="J973" s="52" t="s">
        <v>745</v>
      </c>
      <c r="K973" s="52" t="s">
        <v>738</v>
      </c>
      <c r="L973" s="52" t="s">
        <v>699</v>
      </c>
      <c r="M973" s="52">
        <v>0.2</v>
      </c>
      <c r="N973" s="52" t="s">
        <v>1520</v>
      </c>
      <c r="O973" s="52" t="s">
        <v>665</v>
      </c>
      <c r="P973" s="52" t="s">
        <v>746</v>
      </c>
      <c r="Q973" s="52" t="s">
        <v>683</v>
      </c>
      <c r="R973" s="52" t="s">
        <v>471</v>
      </c>
      <c r="S973" s="49" t="s">
        <v>684</v>
      </c>
      <c r="T973" s="52" t="s">
        <v>1821</v>
      </c>
      <c r="U973" s="52" t="s">
        <v>1824</v>
      </c>
      <c r="V973" s="50" t="s">
        <v>1823</v>
      </c>
    </row>
    <row r="974" spans="1:22" x14ac:dyDescent="0.3">
      <c r="A974" s="48" t="s">
        <v>983</v>
      </c>
      <c r="B974" s="49" t="s">
        <v>981</v>
      </c>
      <c r="C974" s="49" t="s">
        <v>984</v>
      </c>
      <c r="D974" s="49" t="s">
        <v>684</v>
      </c>
      <c r="E974" s="49" t="s">
        <v>674</v>
      </c>
      <c r="F974" s="49" t="s">
        <v>716</v>
      </c>
      <c r="G974" s="49" t="s">
        <v>744</v>
      </c>
      <c r="H974" s="49" t="s">
        <v>702</v>
      </c>
      <c r="I974" s="49" t="s">
        <v>736</v>
      </c>
      <c r="J974" s="49" t="s">
        <v>745</v>
      </c>
      <c r="K974" s="49" t="s">
        <v>738</v>
      </c>
      <c r="L974" s="49" t="s">
        <v>699</v>
      </c>
      <c r="M974" s="49">
        <v>0.6</v>
      </c>
      <c r="N974" s="49" t="s">
        <v>1520</v>
      </c>
      <c r="O974" s="49" t="s">
        <v>665</v>
      </c>
      <c r="P974" s="49" t="s">
        <v>746</v>
      </c>
      <c r="Q974" s="49" t="s">
        <v>683</v>
      </c>
      <c r="R974" s="49" t="s">
        <v>471</v>
      </c>
      <c r="S974" s="49" t="s">
        <v>684</v>
      </c>
      <c r="T974" s="49" t="s">
        <v>1821</v>
      </c>
      <c r="U974" s="49" t="s">
        <v>1824</v>
      </c>
      <c r="V974" s="50" t="s">
        <v>1823</v>
      </c>
    </row>
    <row r="975" spans="1:22" x14ac:dyDescent="0.3">
      <c r="A975" s="51" t="s">
        <v>1245</v>
      </c>
      <c r="B975" s="52" t="s">
        <v>470</v>
      </c>
      <c r="C975" s="52" t="s">
        <v>1246</v>
      </c>
      <c r="D975" s="52" t="s">
        <v>684</v>
      </c>
      <c r="E975" s="52" t="s">
        <v>674</v>
      </c>
      <c r="F975" s="52" t="s">
        <v>716</v>
      </c>
      <c r="G975" s="52" t="s">
        <v>744</v>
      </c>
      <c r="H975" s="52" t="s">
        <v>702</v>
      </c>
      <c r="I975" s="49" t="s">
        <v>678</v>
      </c>
      <c r="J975" s="52" t="s">
        <v>745</v>
      </c>
      <c r="K975" s="52" t="s">
        <v>738</v>
      </c>
      <c r="L975" s="52" t="s">
        <v>699</v>
      </c>
      <c r="M975" s="52">
        <v>0.8</v>
      </c>
      <c r="N975" s="52" t="s">
        <v>450</v>
      </c>
      <c r="O975" s="52" t="s">
        <v>665</v>
      </c>
      <c r="P975" s="52" t="s">
        <v>746</v>
      </c>
      <c r="Q975" s="52" t="s">
        <v>683</v>
      </c>
      <c r="R975" s="52" t="s">
        <v>1519</v>
      </c>
      <c r="S975" s="49" t="s">
        <v>684</v>
      </c>
      <c r="T975" s="52" t="s">
        <v>1821</v>
      </c>
      <c r="U975" s="52" t="s">
        <v>1824</v>
      </c>
      <c r="V975" s="50" t="s">
        <v>1823</v>
      </c>
    </row>
    <row r="976" spans="1:22" x14ac:dyDescent="0.3">
      <c r="A976" s="48" t="s">
        <v>1521</v>
      </c>
      <c r="B976" s="49" t="s">
        <v>470</v>
      </c>
      <c r="C976" s="49" t="s">
        <v>1522</v>
      </c>
      <c r="D976" s="49" t="s">
        <v>684</v>
      </c>
      <c r="E976" s="49" t="s">
        <v>674</v>
      </c>
      <c r="F976" s="49" t="s">
        <v>716</v>
      </c>
      <c r="G976" s="49" t="s">
        <v>744</v>
      </c>
      <c r="H976" s="49" t="s">
        <v>702</v>
      </c>
      <c r="I976" s="49" t="s">
        <v>736</v>
      </c>
      <c r="J976" s="49" t="s">
        <v>745</v>
      </c>
      <c r="K976" s="49" t="s">
        <v>738</v>
      </c>
      <c r="L976" s="49" t="s">
        <v>699</v>
      </c>
      <c r="M976" s="49">
        <v>0.1</v>
      </c>
      <c r="N976" s="49" t="s">
        <v>450</v>
      </c>
      <c r="O976" s="49" t="s">
        <v>665</v>
      </c>
      <c r="P976" s="49" t="s">
        <v>746</v>
      </c>
      <c r="Q976" s="49" t="s">
        <v>683</v>
      </c>
      <c r="R976" s="49" t="s">
        <v>1519</v>
      </c>
      <c r="S976" s="49" t="s">
        <v>684</v>
      </c>
      <c r="T976" s="49" t="s">
        <v>1821</v>
      </c>
      <c r="U976" s="49" t="s">
        <v>1824</v>
      </c>
      <c r="V976" s="50" t="s">
        <v>1823</v>
      </c>
    </row>
    <row r="977" spans="1:22" x14ac:dyDescent="0.3">
      <c r="A977" s="51" t="s">
        <v>1402</v>
      </c>
      <c r="B977" s="52" t="s">
        <v>1403</v>
      </c>
      <c r="C977" s="52" t="s">
        <v>773</v>
      </c>
      <c r="D977" s="52" t="s">
        <v>684</v>
      </c>
      <c r="E977" s="52" t="s">
        <v>674</v>
      </c>
      <c r="F977" s="52" t="s">
        <v>773</v>
      </c>
      <c r="G977" s="52" t="s">
        <v>773</v>
      </c>
      <c r="H977" s="52" t="s">
        <v>773</v>
      </c>
      <c r="I977" s="52" t="s">
        <v>773</v>
      </c>
      <c r="J977" s="52" t="s">
        <v>745</v>
      </c>
      <c r="K977" s="52" t="s">
        <v>738</v>
      </c>
      <c r="L977" s="52" t="s">
        <v>699</v>
      </c>
      <c r="M977" s="52">
        <v>0.1</v>
      </c>
      <c r="N977" s="52" t="s">
        <v>450</v>
      </c>
      <c r="O977" s="52" t="s">
        <v>665</v>
      </c>
      <c r="P977" s="52" t="s">
        <v>746</v>
      </c>
      <c r="Q977" s="52" t="s">
        <v>683</v>
      </c>
      <c r="R977" s="52" t="s">
        <v>1519</v>
      </c>
      <c r="S977" s="49" t="s">
        <v>684</v>
      </c>
      <c r="T977" s="52" t="s">
        <v>1821</v>
      </c>
      <c r="U977" s="52" t="s">
        <v>1824</v>
      </c>
      <c r="V977" s="50" t="s">
        <v>1823</v>
      </c>
    </row>
    <row r="978" spans="1:22" x14ac:dyDescent="0.3">
      <c r="A978" s="48" t="s">
        <v>1245</v>
      </c>
      <c r="B978" s="49" t="s">
        <v>470</v>
      </c>
      <c r="C978" s="49" t="s">
        <v>1246</v>
      </c>
      <c r="D978" s="49" t="s">
        <v>684</v>
      </c>
      <c r="E978" s="49" t="s">
        <v>674</v>
      </c>
      <c r="F978" s="49" t="s">
        <v>716</v>
      </c>
      <c r="G978" s="49" t="s">
        <v>744</v>
      </c>
      <c r="H978" s="49" t="s">
        <v>702</v>
      </c>
      <c r="I978" s="49" t="s">
        <v>678</v>
      </c>
      <c r="J978" s="49" t="s">
        <v>745</v>
      </c>
      <c r="K978" s="49" t="s">
        <v>738</v>
      </c>
      <c r="L978" s="49" t="s">
        <v>699</v>
      </c>
      <c r="M978" s="49">
        <v>0.8</v>
      </c>
      <c r="N978" s="49" t="s">
        <v>1523</v>
      </c>
      <c r="O978" s="49" t="s">
        <v>767</v>
      </c>
      <c r="P978" s="52" t="s">
        <v>746</v>
      </c>
      <c r="Q978" s="49" t="s">
        <v>683</v>
      </c>
      <c r="R978" s="49" t="s">
        <v>471</v>
      </c>
      <c r="S978" s="49" t="s">
        <v>684</v>
      </c>
      <c r="T978" s="49" t="s">
        <v>1821</v>
      </c>
      <c r="U978" s="49" t="s">
        <v>1824</v>
      </c>
      <c r="V978" s="50" t="s">
        <v>1823</v>
      </c>
    </row>
    <row r="979" spans="1:22" x14ac:dyDescent="0.3">
      <c r="A979" s="51" t="s">
        <v>1423</v>
      </c>
      <c r="B979" s="52" t="s">
        <v>981</v>
      </c>
      <c r="C979" s="52" t="s">
        <v>1424</v>
      </c>
      <c r="D979" s="52" t="s">
        <v>684</v>
      </c>
      <c r="E979" s="52" t="s">
        <v>674</v>
      </c>
      <c r="F979" s="52" t="s">
        <v>716</v>
      </c>
      <c r="G979" s="52" t="s">
        <v>744</v>
      </c>
      <c r="H979" s="52" t="s">
        <v>702</v>
      </c>
      <c r="I979" s="52" t="s">
        <v>736</v>
      </c>
      <c r="J979" s="52" t="s">
        <v>745</v>
      </c>
      <c r="K979" s="52" t="s">
        <v>738</v>
      </c>
      <c r="L979" s="52" t="s">
        <v>699</v>
      </c>
      <c r="M979" s="52">
        <v>0.2</v>
      </c>
      <c r="N979" s="52" t="s">
        <v>1523</v>
      </c>
      <c r="O979" s="52" t="s">
        <v>767</v>
      </c>
      <c r="P979" s="52" t="s">
        <v>746</v>
      </c>
      <c r="Q979" s="52" t="s">
        <v>683</v>
      </c>
      <c r="R979" s="52" t="s">
        <v>471</v>
      </c>
      <c r="S979" s="49" t="s">
        <v>684</v>
      </c>
      <c r="T979" s="52" t="s">
        <v>1821</v>
      </c>
      <c r="U979" s="52" t="s">
        <v>1824</v>
      </c>
      <c r="V979" s="50" t="s">
        <v>1823</v>
      </c>
    </row>
    <row r="980" spans="1:22" x14ac:dyDescent="0.3">
      <c r="A980" s="48" t="s">
        <v>1423</v>
      </c>
      <c r="B980" s="49" t="s">
        <v>981</v>
      </c>
      <c r="C980" s="49" t="s">
        <v>1424</v>
      </c>
      <c r="D980" s="49" t="s">
        <v>684</v>
      </c>
      <c r="E980" s="49" t="s">
        <v>674</v>
      </c>
      <c r="F980" s="49" t="s">
        <v>716</v>
      </c>
      <c r="G980" s="49" t="s">
        <v>744</v>
      </c>
      <c r="H980" s="49" t="s">
        <v>702</v>
      </c>
      <c r="I980" s="49" t="s">
        <v>736</v>
      </c>
      <c r="J980" s="49" t="s">
        <v>745</v>
      </c>
      <c r="K980" s="49" t="s">
        <v>738</v>
      </c>
      <c r="L980" s="49" t="s">
        <v>699</v>
      </c>
      <c r="M980" s="49">
        <v>0.2</v>
      </c>
      <c r="N980" s="49" t="s">
        <v>490</v>
      </c>
      <c r="O980" s="49" t="s">
        <v>665</v>
      </c>
      <c r="P980" s="49" t="s">
        <v>746</v>
      </c>
      <c r="Q980" s="49" t="s">
        <v>683</v>
      </c>
      <c r="R980" s="49" t="s">
        <v>471</v>
      </c>
      <c r="S980" s="49" t="s">
        <v>684</v>
      </c>
      <c r="T980" s="49" t="s">
        <v>1821</v>
      </c>
      <c r="U980" s="49" t="s">
        <v>1824</v>
      </c>
      <c r="V980" s="50" t="s">
        <v>1823</v>
      </c>
    </row>
    <row r="981" spans="1:22" x14ac:dyDescent="0.3">
      <c r="A981" s="51" t="s">
        <v>1402</v>
      </c>
      <c r="B981" s="52" t="s">
        <v>1403</v>
      </c>
      <c r="C981" s="52" t="s">
        <v>773</v>
      </c>
      <c r="D981" s="52" t="s">
        <v>684</v>
      </c>
      <c r="E981" s="52" t="s">
        <v>674</v>
      </c>
      <c r="F981" s="52" t="s">
        <v>773</v>
      </c>
      <c r="G981" s="52" t="s">
        <v>773</v>
      </c>
      <c r="H981" s="52" t="s">
        <v>773</v>
      </c>
      <c r="I981" s="52" t="s">
        <v>773</v>
      </c>
      <c r="J981" s="52" t="s">
        <v>745</v>
      </c>
      <c r="K981" s="52" t="s">
        <v>738</v>
      </c>
      <c r="L981" s="52" t="s">
        <v>699</v>
      </c>
      <c r="M981" s="52">
        <v>0.1</v>
      </c>
      <c r="N981" s="52" t="s">
        <v>490</v>
      </c>
      <c r="O981" s="52" t="s">
        <v>665</v>
      </c>
      <c r="P981" s="52" t="s">
        <v>746</v>
      </c>
      <c r="Q981" s="52" t="s">
        <v>683</v>
      </c>
      <c r="R981" s="52" t="s">
        <v>471</v>
      </c>
      <c r="S981" s="49" t="s">
        <v>684</v>
      </c>
      <c r="T981" s="52" t="s">
        <v>1821</v>
      </c>
      <c r="U981" s="52" t="s">
        <v>1824</v>
      </c>
      <c r="V981" s="50" t="s">
        <v>1823</v>
      </c>
    </row>
    <row r="982" spans="1:22" x14ac:dyDescent="0.3">
      <c r="A982" s="48" t="s">
        <v>818</v>
      </c>
      <c r="B982" s="49" t="s">
        <v>470</v>
      </c>
      <c r="C982" s="49" t="s">
        <v>819</v>
      </c>
      <c r="D982" s="49" t="s">
        <v>684</v>
      </c>
      <c r="E982" s="49" t="s">
        <v>674</v>
      </c>
      <c r="F982" s="49" t="s">
        <v>716</v>
      </c>
      <c r="G982" s="49" t="s">
        <v>724</v>
      </c>
      <c r="H982" s="49" t="s">
        <v>677</v>
      </c>
      <c r="I982" s="49" t="s">
        <v>678</v>
      </c>
      <c r="J982" s="49" t="s">
        <v>745</v>
      </c>
      <c r="K982" s="49" t="s">
        <v>738</v>
      </c>
      <c r="L982" s="49" t="s">
        <v>699</v>
      </c>
      <c r="M982" s="49">
        <v>0.7</v>
      </c>
      <c r="N982" s="49" t="s">
        <v>490</v>
      </c>
      <c r="O982" s="49" t="s">
        <v>665</v>
      </c>
      <c r="P982" s="49" t="s">
        <v>746</v>
      </c>
      <c r="Q982" s="49" t="s">
        <v>683</v>
      </c>
      <c r="R982" s="49" t="s">
        <v>471</v>
      </c>
      <c r="S982" s="49" t="s">
        <v>684</v>
      </c>
      <c r="T982" s="49" t="s">
        <v>1821</v>
      </c>
      <c r="U982" s="49" t="s">
        <v>1824</v>
      </c>
      <c r="V982" s="50" t="s">
        <v>1823</v>
      </c>
    </row>
    <row r="983" spans="1:22" x14ac:dyDescent="0.3">
      <c r="A983" s="51" t="s">
        <v>1394</v>
      </c>
      <c r="B983" s="52" t="s">
        <v>470</v>
      </c>
      <c r="C983" s="52" t="s">
        <v>1395</v>
      </c>
      <c r="D983" s="52" t="s">
        <v>684</v>
      </c>
      <c r="E983" s="52" t="s">
        <v>674</v>
      </c>
      <c r="F983" s="52" t="s">
        <v>716</v>
      </c>
      <c r="G983" s="52" t="s">
        <v>744</v>
      </c>
      <c r="H983" s="52" t="s">
        <v>702</v>
      </c>
      <c r="I983" s="52" t="s">
        <v>736</v>
      </c>
      <c r="J983" s="52" t="s">
        <v>745</v>
      </c>
      <c r="K983" s="52" t="s">
        <v>738</v>
      </c>
      <c r="L983" s="52" t="s">
        <v>739</v>
      </c>
      <c r="M983" s="52">
        <v>0.2</v>
      </c>
      <c r="N983" s="52" t="s">
        <v>515</v>
      </c>
      <c r="O983" s="52" t="s">
        <v>665</v>
      </c>
      <c r="P983" s="52" t="s">
        <v>746</v>
      </c>
      <c r="Q983" s="52" t="s">
        <v>683</v>
      </c>
      <c r="R983" s="52" t="s">
        <v>471</v>
      </c>
      <c r="S983" s="49" t="s">
        <v>684</v>
      </c>
      <c r="T983" s="52" t="s">
        <v>1821</v>
      </c>
      <c r="U983" s="52" t="s">
        <v>1824</v>
      </c>
      <c r="V983" s="50" t="s">
        <v>1823</v>
      </c>
    </row>
    <row r="984" spans="1:22" x14ac:dyDescent="0.3">
      <c r="A984" s="48" t="s">
        <v>983</v>
      </c>
      <c r="B984" s="49" t="s">
        <v>981</v>
      </c>
      <c r="C984" s="49" t="s">
        <v>984</v>
      </c>
      <c r="D984" s="49" t="s">
        <v>684</v>
      </c>
      <c r="E984" s="49" t="s">
        <v>674</v>
      </c>
      <c r="F984" s="49" t="s">
        <v>716</v>
      </c>
      <c r="G984" s="49" t="s">
        <v>744</v>
      </c>
      <c r="H984" s="49" t="s">
        <v>702</v>
      </c>
      <c r="I984" s="49" t="s">
        <v>736</v>
      </c>
      <c r="J984" s="49" t="s">
        <v>745</v>
      </c>
      <c r="K984" s="49" t="s">
        <v>738</v>
      </c>
      <c r="L984" s="49" t="s">
        <v>699</v>
      </c>
      <c r="M984" s="49">
        <v>0.4</v>
      </c>
      <c r="N984" s="49" t="s">
        <v>515</v>
      </c>
      <c r="O984" s="49" t="s">
        <v>665</v>
      </c>
      <c r="P984" s="49" t="s">
        <v>746</v>
      </c>
      <c r="Q984" s="49" t="s">
        <v>683</v>
      </c>
      <c r="R984" s="49" t="s">
        <v>471</v>
      </c>
      <c r="S984" s="49" t="s">
        <v>684</v>
      </c>
      <c r="T984" s="49" t="s">
        <v>1821</v>
      </c>
      <c r="U984" s="49" t="s">
        <v>1824</v>
      </c>
      <c r="V984" s="50" t="s">
        <v>1823</v>
      </c>
    </row>
    <row r="985" spans="1:22" x14ac:dyDescent="0.3">
      <c r="A985" s="51" t="s">
        <v>1402</v>
      </c>
      <c r="B985" s="52" t="s">
        <v>1403</v>
      </c>
      <c r="C985" s="52" t="s">
        <v>773</v>
      </c>
      <c r="D985" s="52" t="s">
        <v>684</v>
      </c>
      <c r="E985" s="52" t="s">
        <v>674</v>
      </c>
      <c r="F985" s="52" t="s">
        <v>773</v>
      </c>
      <c r="G985" s="52" t="s">
        <v>773</v>
      </c>
      <c r="H985" s="52" t="s">
        <v>773</v>
      </c>
      <c r="I985" s="52" t="s">
        <v>773</v>
      </c>
      <c r="J985" s="52" t="s">
        <v>745</v>
      </c>
      <c r="K985" s="52" t="s">
        <v>738</v>
      </c>
      <c r="L985" s="52" t="s">
        <v>699</v>
      </c>
      <c r="M985" s="52">
        <v>0.1</v>
      </c>
      <c r="N985" s="52" t="s">
        <v>515</v>
      </c>
      <c r="O985" s="52" t="s">
        <v>665</v>
      </c>
      <c r="P985" s="52" t="s">
        <v>746</v>
      </c>
      <c r="Q985" s="52" t="s">
        <v>683</v>
      </c>
      <c r="R985" s="52" t="s">
        <v>471</v>
      </c>
      <c r="S985" s="49" t="s">
        <v>684</v>
      </c>
      <c r="T985" s="52" t="s">
        <v>1821</v>
      </c>
      <c r="U985" s="52" t="s">
        <v>1824</v>
      </c>
      <c r="V985" s="50" t="s">
        <v>1823</v>
      </c>
    </row>
    <row r="986" spans="1:22" x14ac:dyDescent="0.3">
      <c r="A986" s="48" t="s">
        <v>2345</v>
      </c>
      <c r="B986" s="49" t="s">
        <v>1510</v>
      </c>
      <c r="C986" s="49" t="s">
        <v>2346</v>
      </c>
      <c r="D986" s="49" t="s">
        <v>684</v>
      </c>
      <c r="E986" s="49" t="s">
        <v>674</v>
      </c>
      <c r="F986" s="49" t="s">
        <v>716</v>
      </c>
      <c r="G986" s="49" t="s">
        <v>744</v>
      </c>
      <c r="H986" s="49" t="s">
        <v>702</v>
      </c>
      <c r="I986" s="49" t="s">
        <v>736</v>
      </c>
      <c r="J986" s="49" t="s">
        <v>745</v>
      </c>
      <c r="K986" s="49" t="s">
        <v>738</v>
      </c>
      <c r="L986" s="49" t="s">
        <v>699</v>
      </c>
      <c r="M986" s="49">
        <v>0.3</v>
      </c>
      <c r="N986" s="49" t="s">
        <v>515</v>
      </c>
      <c r="O986" s="49" t="s">
        <v>665</v>
      </c>
      <c r="P986" s="49" t="s">
        <v>746</v>
      </c>
      <c r="Q986" s="49" t="s">
        <v>683</v>
      </c>
      <c r="R986" s="49" t="s">
        <v>471</v>
      </c>
      <c r="S986" s="49" t="s">
        <v>684</v>
      </c>
      <c r="T986" s="49" t="s">
        <v>1821</v>
      </c>
      <c r="U986" s="49" t="s">
        <v>1824</v>
      </c>
      <c r="V986" s="50" t="s">
        <v>1823</v>
      </c>
    </row>
    <row r="987" spans="1:22" x14ac:dyDescent="0.3">
      <c r="A987" s="51" t="s">
        <v>816</v>
      </c>
      <c r="B987" s="52" t="s">
        <v>470</v>
      </c>
      <c r="C987" s="52" t="s">
        <v>817</v>
      </c>
      <c r="D987" s="52" t="s">
        <v>684</v>
      </c>
      <c r="E987" s="52" t="s">
        <v>674</v>
      </c>
      <c r="F987" s="52" t="s">
        <v>675</v>
      </c>
      <c r="G987" s="52" t="s">
        <v>724</v>
      </c>
      <c r="H987" s="52" t="s">
        <v>677</v>
      </c>
      <c r="I987" s="49" t="s">
        <v>678</v>
      </c>
      <c r="J987" s="52" t="s">
        <v>745</v>
      </c>
      <c r="K987" s="52" t="s">
        <v>738</v>
      </c>
      <c r="L987" s="52" t="s">
        <v>699</v>
      </c>
      <c r="M987" s="52">
        <v>0.4</v>
      </c>
      <c r="N987" s="52" t="s">
        <v>524</v>
      </c>
      <c r="O987" s="52" t="s">
        <v>665</v>
      </c>
      <c r="P987" s="52" t="s">
        <v>746</v>
      </c>
      <c r="Q987" s="52" t="s">
        <v>683</v>
      </c>
      <c r="R987" s="52" t="s">
        <v>471</v>
      </c>
      <c r="S987" s="49" t="s">
        <v>684</v>
      </c>
      <c r="T987" s="52" t="s">
        <v>1821</v>
      </c>
      <c r="U987" s="52" t="s">
        <v>1824</v>
      </c>
      <c r="V987" s="50" t="s">
        <v>1823</v>
      </c>
    </row>
    <row r="988" spans="1:22" x14ac:dyDescent="0.3">
      <c r="A988" s="48" t="s">
        <v>1508</v>
      </c>
      <c r="B988" s="49" t="s">
        <v>1403</v>
      </c>
      <c r="C988" s="49" t="s">
        <v>773</v>
      </c>
      <c r="D988" s="49" t="s">
        <v>684</v>
      </c>
      <c r="E988" s="49" t="s">
        <v>674</v>
      </c>
      <c r="F988" s="49" t="s">
        <v>773</v>
      </c>
      <c r="G988" s="49" t="s">
        <v>773</v>
      </c>
      <c r="H988" s="49" t="s">
        <v>773</v>
      </c>
      <c r="I988" s="49" t="s">
        <v>773</v>
      </c>
      <c r="J988" s="49" t="s">
        <v>745</v>
      </c>
      <c r="K988" s="49" t="s">
        <v>738</v>
      </c>
      <c r="L988" s="49" t="s">
        <v>699</v>
      </c>
      <c r="M988" s="49">
        <v>0.1</v>
      </c>
      <c r="N988" s="49" t="s">
        <v>524</v>
      </c>
      <c r="O988" s="49" t="s">
        <v>665</v>
      </c>
      <c r="P988" s="49" t="s">
        <v>746</v>
      </c>
      <c r="Q988" s="49" t="s">
        <v>683</v>
      </c>
      <c r="R988" s="49" t="s">
        <v>471</v>
      </c>
      <c r="S988" s="49" t="s">
        <v>684</v>
      </c>
      <c r="T988" s="49" t="s">
        <v>1821</v>
      </c>
      <c r="U988" s="49" t="s">
        <v>1824</v>
      </c>
      <c r="V988" s="50" t="s">
        <v>1823</v>
      </c>
    </row>
    <row r="989" spans="1:22" x14ac:dyDescent="0.3">
      <c r="A989" s="51" t="s">
        <v>1399</v>
      </c>
      <c r="B989" s="52" t="s">
        <v>470</v>
      </c>
      <c r="C989" s="52" t="s">
        <v>1400</v>
      </c>
      <c r="D989" s="52" t="s">
        <v>684</v>
      </c>
      <c r="E989" s="52" t="s">
        <v>674</v>
      </c>
      <c r="F989" s="52" t="s">
        <v>675</v>
      </c>
      <c r="G989" s="52" t="s">
        <v>676</v>
      </c>
      <c r="H989" s="52" t="s">
        <v>677</v>
      </c>
      <c r="I989" s="49" t="s">
        <v>688</v>
      </c>
      <c r="J989" s="52" t="s">
        <v>745</v>
      </c>
      <c r="K989" s="52" t="s">
        <v>738</v>
      </c>
      <c r="L989" s="52" t="s">
        <v>699</v>
      </c>
      <c r="M989" s="52">
        <v>0.1</v>
      </c>
      <c r="N989" s="52" t="s">
        <v>524</v>
      </c>
      <c r="O989" s="52" t="s">
        <v>665</v>
      </c>
      <c r="P989" s="52" t="s">
        <v>746</v>
      </c>
      <c r="Q989" s="52" t="s">
        <v>683</v>
      </c>
      <c r="R989" s="52" t="s">
        <v>471</v>
      </c>
      <c r="S989" s="49" t="s">
        <v>684</v>
      </c>
      <c r="T989" s="52" t="s">
        <v>1821</v>
      </c>
      <c r="U989" s="52" t="s">
        <v>1824</v>
      </c>
      <c r="V989" s="50" t="s">
        <v>1823</v>
      </c>
    </row>
    <row r="990" spans="1:22" x14ac:dyDescent="0.3">
      <c r="A990" s="48" t="s">
        <v>1397</v>
      </c>
      <c r="B990" s="49" t="s">
        <v>981</v>
      </c>
      <c r="C990" s="49" t="s">
        <v>1398</v>
      </c>
      <c r="D990" s="49" t="s">
        <v>684</v>
      </c>
      <c r="E990" s="49" t="s">
        <v>674</v>
      </c>
      <c r="F990" s="49" t="s">
        <v>716</v>
      </c>
      <c r="G990" s="49" t="s">
        <v>744</v>
      </c>
      <c r="H990" s="49" t="s">
        <v>702</v>
      </c>
      <c r="I990" s="49" t="s">
        <v>736</v>
      </c>
      <c r="J990" s="49" t="s">
        <v>745</v>
      </c>
      <c r="K990" s="49" t="s">
        <v>738</v>
      </c>
      <c r="L990" s="49" t="s">
        <v>739</v>
      </c>
      <c r="M990" s="49">
        <v>0.4</v>
      </c>
      <c r="N990" s="49" t="s">
        <v>524</v>
      </c>
      <c r="O990" s="49" t="s">
        <v>665</v>
      </c>
      <c r="P990" s="49" t="s">
        <v>746</v>
      </c>
      <c r="Q990" s="49" t="s">
        <v>683</v>
      </c>
      <c r="R990" s="49" t="s">
        <v>471</v>
      </c>
      <c r="S990" s="49" t="s">
        <v>684</v>
      </c>
      <c r="T990" s="49" t="s">
        <v>1821</v>
      </c>
      <c r="U990" s="49" t="s">
        <v>1824</v>
      </c>
      <c r="V990" s="50" t="s">
        <v>1823</v>
      </c>
    </row>
    <row r="991" spans="1:22" x14ac:dyDescent="0.3">
      <c r="A991" s="51" t="s">
        <v>1245</v>
      </c>
      <c r="B991" s="52" t="s">
        <v>470</v>
      </c>
      <c r="C991" s="52" t="s">
        <v>1246</v>
      </c>
      <c r="D991" s="52" t="s">
        <v>684</v>
      </c>
      <c r="E991" s="52" t="s">
        <v>674</v>
      </c>
      <c r="F991" s="52" t="s">
        <v>716</v>
      </c>
      <c r="G991" s="52" t="s">
        <v>744</v>
      </c>
      <c r="H991" s="52" t="s">
        <v>702</v>
      </c>
      <c r="I991" s="49" t="s">
        <v>678</v>
      </c>
      <c r="J991" s="52" t="s">
        <v>745</v>
      </c>
      <c r="K991" s="52" t="s">
        <v>738</v>
      </c>
      <c r="L991" s="52" t="s">
        <v>699</v>
      </c>
      <c r="M991" s="52">
        <v>0.5</v>
      </c>
      <c r="N991" s="52" t="s">
        <v>471</v>
      </c>
      <c r="O991" s="52" t="s">
        <v>665</v>
      </c>
      <c r="P991" s="52" t="s">
        <v>746</v>
      </c>
      <c r="Q991" s="52" t="s">
        <v>683</v>
      </c>
      <c r="R991" s="52" t="s">
        <v>470</v>
      </c>
      <c r="S991" s="49" t="s">
        <v>684</v>
      </c>
      <c r="T991" s="52" t="s">
        <v>1821</v>
      </c>
      <c r="U991" s="52" t="s">
        <v>1824</v>
      </c>
      <c r="V991" s="50" t="s">
        <v>1823</v>
      </c>
    </row>
    <row r="992" spans="1:22" x14ac:dyDescent="0.3">
      <c r="A992" s="48" t="s">
        <v>2345</v>
      </c>
      <c r="B992" s="49" t="s">
        <v>1510</v>
      </c>
      <c r="C992" s="49" t="s">
        <v>2346</v>
      </c>
      <c r="D992" s="49" t="s">
        <v>684</v>
      </c>
      <c r="E992" s="49" t="s">
        <v>674</v>
      </c>
      <c r="F992" s="49" t="s">
        <v>716</v>
      </c>
      <c r="G992" s="49" t="s">
        <v>744</v>
      </c>
      <c r="H992" s="49" t="s">
        <v>702</v>
      </c>
      <c r="I992" s="49" t="s">
        <v>736</v>
      </c>
      <c r="J992" s="49" t="s">
        <v>745</v>
      </c>
      <c r="K992" s="49" t="s">
        <v>738</v>
      </c>
      <c r="L992" s="49" t="s">
        <v>699</v>
      </c>
      <c r="M992" s="49">
        <v>0.2</v>
      </c>
      <c r="N992" s="49" t="s">
        <v>471</v>
      </c>
      <c r="O992" s="49" t="s">
        <v>665</v>
      </c>
      <c r="P992" s="49" t="s">
        <v>746</v>
      </c>
      <c r="Q992" s="49" t="s">
        <v>683</v>
      </c>
      <c r="R992" s="49" t="s">
        <v>470</v>
      </c>
      <c r="S992" s="49" t="s">
        <v>684</v>
      </c>
      <c r="T992" s="49" t="s">
        <v>1821</v>
      </c>
      <c r="U992" s="49" t="s">
        <v>1824</v>
      </c>
      <c r="V992" s="50" t="s">
        <v>1823</v>
      </c>
    </row>
    <row r="993" spans="1:22" x14ac:dyDescent="0.3">
      <c r="A993" s="51" t="s">
        <v>1508</v>
      </c>
      <c r="B993" s="52" t="s">
        <v>1403</v>
      </c>
      <c r="C993" s="52" t="s">
        <v>773</v>
      </c>
      <c r="D993" s="52" t="s">
        <v>684</v>
      </c>
      <c r="E993" s="52" t="s">
        <v>674</v>
      </c>
      <c r="F993" s="52" t="s">
        <v>773</v>
      </c>
      <c r="G993" s="52" t="s">
        <v>773</v>
      </c>
      <c r="H993" s="52" t="s">
        <v>773</v>
      </c>
      <c r="I993" s="52" t="s">
        <v>773</v>
      </c>
      <c r="J993" s="52" t="s">
        <v>745</v>
      </c>
      <c r="K993" s="52" t="s">
        <v>738</v>
      </c>
      <c r="L993" s="52" t="s">
        <v>699</v>
      </c>
      <c r="M993" s="52">
        <v>0.1</v>
      </c>
      <c r="N993" s="52" t="s">
        <v>471</v>
      </c>
      <c r="O993" s="52" t="s">
        <v>665</v>
      </c>
      <c r="P993" s="52" t="s">
        <v>746</v>
      </c>
      <c r="Q993" s="52" t="s">
        <v>683</v>
      </c>
      <c r="R993" s="52" t="s">
        <v>470</v>
      </c>
      <c r="S993" s="49" t="s">
        <v>684</v>
      </c>
      <c r="T993" s="52" t="s">
        <v>1821</v>
      </c>
      <c r="U993" s="52" t="s">
        <v>1824</v>
      </c>
      <c r="V993" s="50" t="s">
        <v>1823</v>
      </c>
    </row>
    <row r="994" spans="1:22" x14ac:dyDescent="0.3">
      <c r="A994" s="48" t="s">
        <v>1031</v>
      </c>
      <c r="B994" s="49" t="s">
        <v>470</v>
      </c>
      <c r="C994" s="49" t="s">
        <v>1032</v>
      </c>
      <c r="D994" s="49" t="s">
        <v>684</v>
      </c>
      <c r="E994" s="49" t="s">
        <v>674</v>
      </c>
      <c r="F994" s="49" t="s">
        <v>716</v>
      </c>
      <c r="G994" s="49" t="s">
        <v>744</v>
      </c>
      <c r="H994" s="49" t="s">
        <v>702</v>
      </c>
      <c r="I994" s="49" t="s">
        <v>736</v>
      </c>
      <c r="J994" s="49" t="s">
        <v>745</v>
      </c>
      <c r="K994" s="49" t="s">
        <v>738</v>
      </c>
      <c r="L994" s="49" t="s">
        <v>699</v>
      </c>
      <c r="M994" s="49">
        <v>0.2</v>
      </c>
      <c r="N994" s="49" t="s">
        <v>471</v>
      </c>
      <c r="O994" s="49" t="s">
        <v>665</v>
      </c>
      <c r="P994" s="49" t="s">
        <v>746</v>
      </c>
      <c r="Q994" s="49" t="s">
        <v>683</v>
      </c>
      <c r="R994" s="49" t="s">
        <v>470</v>
      </c>
      <c r="S994" s="49" t="s">
        <v>684</v>
      </c>
      <c r="T994" s="49" t="s">
        <v>1821</v>
      </c>
      <c r="U994" s="49" t="s">
        <v>1824</v>
      </c>
      <c r="V994" s="50" t="s">
        <v>1823</v>
      </c>
    </row>
    <row r="995" spans="1:22" x14ac:dyDescent="0.3">
      <c r="A995" s="51" t="s">
        <v>2361</v>
      </c>
      <c r="B995" s="52" t="s">
        <v>528</v>
      </c>
      <c r="C995" s="52" t="s">
        <v>2362</v>
      </c>
      <c r="D995" s="52" t="s">
        <v>673</v>
      </c>
      <c r="E995" s="52" t="s">
        <v>674</v>
      </c>
      <c r="F995" s="52" t="s">
        <v>716</v>
      </c>
      <c r="G995" s="52" t="s">
        <v>744</v>
      </c>
      <c r="H995" s="52" t="s">
        <v>677</v>
      </c>
      <c r="I995" s="49" t="s">
        <v>678</v>
      </c>
      <c r="J995" s="52" t="s">
        <v>1422</v>
      </c>
      <c r="K995" s="52" t="s">
        <v>861</v>
      </c>
      <c r="L995" s="52" t="s">
        <v>801</v>
      </c>
      <c r="M995" s="52">
        <v>0.35</v>
      </c>
      <c r="N995" s="52" t="s">
        <v>543</v>
      </c>
      <c r="O995" s="52" t="s">
        <v>767</v>
      </c>
      <c r="P995" s="52" t="s">
        <v>746</v>
      </c>
      <c r="Q995" s="52" t="s">
        <v>683</v>
      </c>
      <c r="R995" s="52" t="s">
        <v>181</v>
      </c>
      <c r="S995" s="52" t="s">
        <v>673</v>
      </c>
      <c r="T995" s="52" t="s">
        <v>1821</v>
      </c>
      <c r="U995" s="52" t="s">
        <v>1824</v>
      </c>
      <c r="V995" s="50" t="s">
        <v>1823</v>
      </c>
    </row>
    <row r="996" spans="1:22" x14ac:dyDescent="0.3">
      <c r="A996" s="48" t="s">
        <v>1245</v>
      </c>
      <c r="B996" s="49" t="s">
        <v>470</v>
      </c>
      <c r="C996" s="49" t="s">
        <v>1246</v>
      </c>
      <c r="D996" s="49" t="s">
        <v>684</v>
      </c>
      <c r="E996" s="49" t="s">
        <v>674</v>
      </c>
      <c r="F996" s="49" t="s">
        <v>716</v>
      </c>
      <c r="G996" s="49" t="s">
        <v>744</v>
      </c>
      <c r="H996" s="49" t="s">
        <v>702</v>
      </c>
      <c r="I996" s="49" t="s">
        <v>678</v>
      </c>
      <c r="J996" s="49" t="s">
        <v>745</v>
      </c>
      <c r="K996" s="49" t="s">
        <v>738</v>
      </c>
      <c r="L996" s="49" t="s">
        <v>699</v>
      </c>
      <c r="M996" s="49">
        <v>0.5</v>
      </c>
      <c r="N996" s="49" t="s">
        <v>331</v>
      </c>
      <c r="O996" s="49" t="s">
        <v>665</v>
      </c>
      <c r="P996" s="49" t="s">
        <v>746</v>
      </c>
      <c r="Q996" s="49" t="s">
        <v>683</v>
      </c>
      <c r="R996" s="49" t="s">
        <v>470</v>
      </c>
      <c r="S996" s="49" t="s">
        <v>684</v>
      </c>
      <c r="T996" s="49" t="s">
        <v>1821</v>
      </c>
      <c r="U996" s="49" t="s">
        <v>1824</v>
      </c>
      <c r="V996" s="50" t="s">
        <v>1823</v>
      </c>
    </row>
    <row r="997" spans="1:22" x14ac:dyDescent="0.3">
      <c r="A997" s="51" t="s">
        <v>816</v>
      </c>
      <c r="B997" s="52" t="s">
        <v>470</v>
      </c>
      <c r="C997" s="52" t="s">
        <v>817</v>
      </c>
      <c r="D997" s="52" t="s">
        <v>684</v>
      </c>
      <c r="E997" s="52" t="s">
        <v>674</v>
      </c>
      <c r="F997" s="52" t="s">
        <v>675</v>
      </c>
      <c r="G997" s="52" t="s">
        <v>724</v>
      </c>
      <c r="H997" s="52" t="s">
        <v>677</v>
      </c>
      <c r="I997" s="49" t="s">
        <v>678</v>
      </c>
      <c r="J997" s="52" t="s">
        <v>745</v>
      </c>
      <c r="K997" s="52" t="s">
        <v>738</v>
      </c>
      <c r="L997" s="52" t="s">
        <v>699</v>
      </c>
      <c r="M997" s="52">
        <v>0.25</v>
      </c>
      <c r="N997" s="52" t="s">
        <v>331</v>
      </c>
      <c r="O997" s="52" t="s">
        <v>665</v>
      </c>
      <c r="P997" s="52" t="s">
        <v>746</v>
      </c>
      <c r="Q997" s="52" t="s">
        <v>683</v>
      </c>
      <c r="R997" s="52" t="s">
        <v>470</v>
      </c>
      <c r="S997" s="49" t="s">
        <v>684</v>
      </c>
      <c r="T997" s="52" t="s">
        <v>1821</v>
      </c>
      <c r="U997" s="52" t="s">
        <v>1824</v>
      </c>
      <c r="V997" s="50" t="s">
        <v>1823</v>
      </c>
    </row>
    <row r="998" spans="1:22" x14ac:dyDescent="0.3">
      <c r="A998" s="48" t="s">
        <v>818</v>
      </c>
      <c r="B998" s="49" t="s">
        <v>470</v>
      </c>
      <c r="C998" s="49" t="s">
        <v>819</v>
      </c>
      <c r="D998" s="49" t="s">
        <v>684</v>
      </c>
      <c r="E998" s="49" t="s">
        <v>674</v>
      </c>
      <c r="F998" s="49" t="s">
        <v>716</v>
      </c>
      <c r="G998" s="49" t="s">
        <v>724</v>
      </c>
      <c r="H998" s="49" t="s">
        <v>677</v>
      </c>
      <c r="I998" s="49" t="s">
        <v>678</v>
      </c>
      <c r="J998" s="49" t="s">
        <v>745</v>
      </c>
      <c r="K998" s="49" t="s">
        <v>738</v>
      </c>
      <c r="L998" s="49" t="s">
        <v>699</v>
      </c>
      <c r="M998" s="49">
        <v>0.25</v>
      </c>
      <c r="N998" s="49" t="s">
        <v>331</v>
      </c>
      <c r="O998" s="49" t="s">
        <v>665</v>
      </c>
      <c r="P998" s="49" t="s">
        <v>746</v>
      </c>
      <c r="Q998" s="49" t="s">
        <v>683</v>
      </c>
      <c r="R998" s="49" t="s">
        <v>470</v>
      </c>
      <c r="S998" s="49" t="s">
        <v>684</v>
      </c>
      <c r="T998" s="49" t="s">
        <v>1821</v>
      </c>
      <c r="U998" s="49" t="s">
        <v>1824</v>
      </c>
      <c r="V998" s="50" t="s">
        <v>1823</v>
      </c>
    </row>
    <row r="999" spans="1:22" x14ac:dyDescent="0.3">
      <c r="A999" s="51" t="s">
        <v>1444</v>
      </c>
      <c r="B999" s="52" t="s">
        <v>470</v>
      </c>
      <c r="C999" s="52" t="s">
        <v>1445</v>
      </c>
      <c r="D999" s="52" t="s">
        <v>684</v>
      </c>
      <c r="E999" s="52" t="s">
        <v>674</v>
      </c>
      <c r="F999" s="52" t="s">
        <v>675</v>
      </c>
      <c r="G999" s="52" t="s">
        <v>676</v>
      </c>
      <c r="H999" s="52" t="s">
        <v>677</v>
      </c>
      <c r="I999" s="49" t="s">
        <v>688</v>
      </c>
      <c r="J999" s="52" t="s">
        <v>745</v>
      </c>
      <c r="K999" s="52" t="s">
        <v>738</v>
      </c>
      <c r="L999" s="52" t="s">
        <v>739</v>
      </c>
      <c r="M999" s="52">
        <v>0.5</v>
      </c>
      <c r="N999" s="52" t="s">
        <v>392</v>
      </c>
      <c r="O999" s="52" t="s">
        <v>665</v>
      </c>
      <c r="P999" s="52" t="s">
        <v>746</v>
      </c>
      <c r="Q999" s="52" t="s">
        <v>683</v>
      </c>
      <c r="R999" s="52" t="s">
        <v>470</v>
      </c>
      <c r="S999" s="49" t="s">
        <v>684</v>
      </c>
      <c r="T999" s="52" t="s">
        <v>1821</v>
      </c>
      <c r="U999" s="52" t="s">
        <v>1824</v>
      </c>
      <c r="V999" s="50" t="s">
        <v>1823</v>
      </c>
    </row>
    <row r="1000" spans="1:22" x14ac:dyDescent="0.3">
      <c r="A1000" s="48" t="s">
        <v>978</v>
      </c>
      <c r="B1000" s="49" t="s">
        <v>470</v>
      </c>
      <c r="C1000" s="49" t="s">
        <v>979</v>
      </c>
      <c r="D1000" s="49" t="s">
        <v>684</v>
      </c>
      <c r="E1000" s="49" t="s">
        <v>674</v>
      </c>
      <c r="F1000" s="49" t="s">
        <v>675</v>
      </c>
      <c r="G1000" s="49" t="s">
        <v>676</v>
      </c>
      <c r="H1000" s="49" t="s">
        <v>677</v>
      </c>
      <c r="I1000" s="49" t="s">
        <v>736</v>
      </c>
      <c r="J1000" s="49" t="s">
        <v>745</v>
      </c>
      <c r="K1000" s="49" t="s">
        <v>738</v>
      </c>
      <c r="L1000" s="49" t="s">
        <v>699</v>
      </c>
      <c r="M1000" s="49">
        <v>0.5</v>
      </c>
      <c r="N1000" s="49" t="s">
        <v>392</v>
      </c>
      <c r="O1000" s="49" t="s">
        <v>665</v>
      </c>
      <c r="P1000" s="49" t="s">
        <v>746</v>
      </c>
      <c r="Q1000" s="49" t="s">
        <v>683</v>
      </c>
      <c r="R1000" s="49" t="s">
        <v>470</v>
      </c>
      <c r="S1000" s="49" t="s">
        <v>684</v>
      </c>
      <c r="T1000" s="49" t="s">
        <v>1821</v>
      </c>
      <c r="U1000" s="49" t="s">
        <v>1824</v>
      </c>
      <c r="V1000" s="50" t="s">
        <v>1823</v>
      </c>
    </row>
    <row r="1001" spans="1:22" x14ac:dyDescent="0.3">
      <c r="A1001" s="51" t="s">
        <v>2363</v>
      </c>
      <c r="B1001" s="52" t="s">
        <v>2364</v>
      </c>
      <c r="C1001" s="52" t="s">
        <v>2363</v>
      </c>
      <c r="D1001" s="52" t="s">
        <v>684</v>
      </c>
      <c r="E1001" s="52" t="s">
        <v>674</v>
      </c>
      <c r="F1001" s="52" t="s">
        <v>716</v>
      </c>
      <c r="G1001" s="52" t="s">
        <v>717</v>
      </c>
      <c r="H1001" s="52" t="s">
        <v>717</v>
      </c>
      <c r="I1001" s="52" t="s">
        <v>736</v>
      </c>
      <c r="J1001" s="52" t="s">
        <v>745</v>
      </c>
      <c r="K1001" s="52" t="s">
        <v>738</v>
      </c>
      <c r="L1001" s="52" t="s">
        <v>699</v>
      </c>
      <c r="M1001" s="52">
        <v>0.7</v>
      </c>
      <c r="N1001" s="52" t="s">
        <v>1401</v>
      </c>
      <c r="O1001" s="52" t="s">
        <v>665</v>
      </c>
      <c r="P1001" s="52" t="s">
        <v>746</v>
      </c>
      <c r="Q1001" s="52" t="s">
        <v>683</v>
      </c>
      <c r="R1001" s="52" t="s">
        <v>470</v>
      </c>
      <c r="S1001" s="49" t="s">
        <v>684</v>
      </c>
      <c r="T1001" s="52" t="s">
        <v>1821</v>
      </c>
      <c r="U1001" s="52" t="s">
        <v>1824</v>
      </c>
      <c r="V1001" s="50" t="s">
        <v>1823</v>
      </c>
    </row>
    <row r="1002" spans="1:22" x14ac:dyDescent="0.3">
      <c r="A1002" s="48" t="s">
        <v>1508</v>
      </c>
      <c r="B1002" s="49" t="s">
        <v>1403</v>
      </c>
      <c r="C1002" s="49" t="s">
        <v>773</v>
      </c>
      <c r="D1002" s="49" t="s">
        <v>684</v>
      </c>
      <c r="E1002" s="49" t="s">
        <v>674</v>
      </c>
      <c r="F1002" s="49" t="s">
        <v>773</v>
      </c>
      <c r="G1002" s="49" t="s">
        <v>773</v>
      </c>
      <c r="H1002" s="49" t="s">
        <v>773</v>
      </c>
      <c r="I1002" s="49" t="s">
        <v>773</v>
      </c>
      <c r="J1002" s="49" t="s">
        <v>745</v>
      </c>
      <c r="K1002" s="49" t="s">
        <v>738</v>
      </c>
      <c r="L1002" s="49" t="s">
        <v>699</v>
      </c>
      <c r="M1002" s="49">
        <v>0.2</v>
      </c>
      <c r="N1002" s="49" t="s">
        <v>1401</v>
      </c>
      <c r="O1002" s="49" t="s">
        <v>665</v>
      </c>
      <c r="P1002" s="49" t="s">
        <v>746</v>
      </c>
      <c r="Q1002" s="49" t="s">
        <v>683</v>
      </c>
      <c r="R1002" s="49" t="s">
        <v>470</v>
      </c>
      <c r="S1002" s="49" t="s">
        <v>684</v>
      </c>
      <c r="T1002" s="49" t="s">
        <v>1821</v>
      </c>
      <c r="U1002" s="49" t="s">
        <v>1824</v>
      </c>
      <c r="V1002" s="50" t="s">
        <v>1823</v>
      </c>
    </row>
    <row r="1003" spans="1:22" x14ac:dyDescent="0.3">
      <c r="A1003" s="51" t="s">
        <v>1402</v>
      </c>
      <c r="B1003" s="52" t="s">
        <v>1403</v>
      </c>
      <c r="C1003" s="52" t="s">
        <v>773</v>
      </c>
      <c r="D1003" s="52" t="s">
        <v>684</v>
      </c>
      <c r="E1003" s="52" t="s">
        <v>674</v>
      </c>
      <c r="F1003" s="52" t="s">
        <v>773</v>
      </c>
      <c r="G1003" s="52" t="s">
        <v>773</v>
      </c>
      <c r="H1003" s="52" t="s">
        <v>773</v>
      </c>
      <c r="I1003" s="52" t="s">
        <v>773</v>
      </c>
      <c r="J1003" s="52" t="s">
        <v>745</v>
      </c>
      <c r="K1003" s="52" t="s">
        <v>738</v>
      </c>
      <c r="L1003" s="52" t="s">
        <v>699</v>
      </c>
      <c r="M1003" s="52">
        <v>0.1</v>
      </c>
      <c r="N1003" s="52" t="s">
        <v>1401</v>
      </c>
      <c r="O1003" s="52" t="s">
        <v>665</v>
      </c>
      <c r="P1003" s="52" t="s">
        <v>746</v>
      </c>
      <c r="Q1003" s="52" t="s">
        <v>683</v>
      </c>
      <c r="R1003" s="52" t="s">
        <v>470</v>
      </c>
      <c r="S1003" s="49" t="s">
        <v>684</v>
      </c>
      <c r="T1003" s="52" t="s">
        <v>1821</v>
      </c>
      <c r="U1003" s="52" t="s">
        <v>1824</v>
      </c>
      <c r="V1003" s="50" t="s">
        <v>1823</v>
      </c>
    </row>
    <row r="1004" spans="1:22" x14ac:dyDescent="0.3">
      <c r="A1004" s="48" t="s">
        <v>1399</v>
      </c>
      <c r="B1004" s="49" t="s">
        <v>470</v>
      </c>
      <c r="C1004" s="49" t="s">
        <v>1400</v>
      </c>
      <c r="D1004" s="49" t="s">
        <v>684</v>
      </c>
      <c r="E1004" s="49" t="s">
        <v>674</v>
      </c>
      <c r="F1004" s="49" t="s">
        <v>675</v>
      </c>
      <c r="G1004" s="49" t="s">
        <v>676</v>
      </c>
      <c r="H1004" s="49" t="s">
        <v>677</v>
      </c>
      <c r="I1004" s="49" t="s">
        <v>688</v>
      </c>
      <c r="J1004" s="49" t="s">
        <v>745</v>
      </c>
      <c r="K1004" s="49" t="s">
        <v>738</v>
      </c>
      <c r="L1004" s="49" t="s">
        <v>699</v>
      </c>
      <c r="M1004" s="49">
        <v>0.25</v>
      </c>
      <c r="N1004" s="49" t="s">
        <v>1396</v>
      </c>
      <c r="O1004" s="49" t="s">
        <v>665</v>
      </c>
      <c r="P1004" s="49" t="s">
        <v>746</v>
      </c>
      <c r="Q1004" s="49" t="s">
        <v>683</v>
      </c>
      <c r="R1004" s="49" t="s">
        <v>470</v>
      </c>
      <c r="S1004" s="49" t="s">
        <v>684</v>
      </c>
      <c r="T1004" s="49" t="s">
        <v>1821</v>
      </c>
      <c r="U1004" s="49" t="s">
        <v>1824</v>
      </c>
      <c r="V1004" s="50" t="s">
        <v>1823</v>
      </c>
    </row>
    <row r="1005" spans="1:22" x14ac:dyDescent="0.3">
      <c r="A1005" s="51" t="s">
        <v>1397</v>
      </c>
      <c r="B1005" s="52" t="s">
        <v>981</v>
      </c>
      <c r="C1005" s="52" t="s">
        <v>1398</v>
      </c>
      <c r="D1005" s="52" t="s">
        <v>684</v>
      </c>
      <c r="E1005" s="52" t="s">
        <v>674</v>
      </c>
      <c r="F1005" s="52" t="s">
        <v>716</v>
      </c>
      <c r="G1005" s="52" t="s">
        <v>744</v>
      </c>
      <c r="H1005" s="52" t="s">
        <v>702</v>
      </c>
      <c r="I1005" s="52" t="s">
        <v>736</v>
      </c>
      <c r="J1005" s="52" t="s">
        <v>745</v>
      </c>
      <c r="K1005" s="52" t="s">
        <v>738</v>
      </c>
      <c r="L1005" s="52" t="s">
        <v>739</v>
      </c>
      <c r="M1005" s="52">
        <v>0.25</v>
      </c>
      <c r="N1005" s="52" t="s">
        <v>1396</v>
      </c>
      <c r="O1005" s="52" t="s">
        <v>665</v>
      </c>
      <c r="P1005" s="52" t="s">
        <v>746</v>
      </c>
      <c r="Q1005" s="52" t="s">
        <v>683</v>
      </c>
      <c r="R1005" s="52" t="s">
        <v>470</v>
      </c>
      <c r="S1005" s="49" t="s">
        <v>684</v>
      </c>
      <c r="T1005" s="52" t="s">
        <v>1821</v>
      </c>
      <c r="U1005" s="52" t="s">
        <v>1824</v>
      </c>
      <c r="V1005" s="50" t="s">
        <v>1823</v>
      </c>
    </row>
    <row r="1006" spans="1:22" x14ac:dyDescent="0.3">
      <c r="A1006" s="48" t="s">
        <v>1394</v>
      </c>
      <c r="B1006" s="49" t="s">
        <v>470</v>
      </c>
      <c r="C1006" s="49" t="s">
        <v>1395</v>
      </c>
      <c r="D1006" s="49" t="s">
        <v>684</v>
      </c>
      <c r="E1006" s="49" t="s">
        <v>674</v>
      </c>
      <c r="F1006" s="49" t="s">
        <v>716</v>
      </c>
      <c r="G1006" s="49" t="s">
        <v>744</v>
      </c>
      <c r="H1006" s="49" t="s">
        <v>702</v>
      </c>
      <c r="I1006" s="49" t="s">
        <v>736</v>
      </c>
      <c r="J1006" s="49" t="s">
        <v>745</v>
      </c>
      <c r="K1006" s="49" t="s">
        <v>738</v>
      </c>
      <c r="L1006" s="49" t="s">
        <v>739</v>
      </c>
      <c r="M1006" s="49">
        <v>0.25</v>
      </c>
      <c r="N1006" s="49" t="s">
        <v>1396</v>
      </c>
      <c r="O1006" s="49" t="s">
        <v>665</v>
      </c>
      <c r="P1006" s="49" t="s">
        <v>746</v>
      </c>
      <c r="Q1006" s="49" t="s">
        <v>683</v>
      </c>
      <c r="R1006" s="49" t="s">
        <v>470</v>
      </c>
      <c r="S1006" s="49" t="s">
        <v>684</v>
      </c>
      <c r="T1006" s="49" t="s">
        <v>1821</v>
      </c>
      <c r="U1006" s="49" t="s">
        <v>1824</v>
      </c>
      <c r="V1006" s="50" t="s">
        <v>1823</v>
      </c>
    </row>
    <row r="1007" spans="1:22" x14ac:dyDescent="0.3">
      <c r="A1007" s="51" t="s">
        <v>818</v>
      </c>
      <c r="B1007" s="52" t="s">
        <v>470</v>
      </c>
      <c r="C1007" s="52" t="s">
        <v>819</v>
      </c>
      <c r="D1007" s="52" t="s">
        <v>684</v>
      </c>
      <c r="E1007" s="52" t="s">
        <v>674</v>
      </c>
      <c r="F1007" s="52" t="s">
        <v>716</v>
      </c>
      <c r="G1007" s="52" t="s">
        <v>724</v>
      </c>
      <c r="H1007" s="52" t="s">
        <v>677</v>
      </c>
      <c r="I1007" s="49" t="s">
        <v>678</v>
      </c>
      <c r="J1007" s="52" t="s">
        <v>745</v>
      </c>
      <c r="K1007" s="52" t="s">
        <v>738</v>
      </c>
      <c r="L1007" s="52" t="s">
        <v>699</v>
      </c>
      <c r="M1007" s="52">
        <v>0.25</v>
      </c>
      <c r="N1007" s="52" t="s">
        <v>1396</v>
      </c>
      <c r="O1007" s="52" t="s">
        <v>665</v>
      </c>
      <c r="P1007" s="52" t="s">
        <v>746</v>
      </c>
      <c r="Q1007" s="52" t="s">
        <v>683</v>
      </c>
      <c r="R1007" s="52" t="s">
        <v>470</v>
      </c>
      <c r="S1007" s="49" t="s">
        <v>684</v>
      </c>
      <c r="T1007" s="52" t="s">
        <v>1821</v>
      </c>
      <c r="U1007" s="52" t="s">
        <v>1824</v>
      </c>
      <c r="V1007" s="50" t="s">
        <v>1823</v>
      </c>
    </row>
    <row r="1008" spans="1:22" x14ac:dyDescent="0.3">
      <c r="A1008" s="48" t="s">
        <v>978</v>
      </c>
      <c r="B1008" s="49" t="s">
        <v>470</v>
      </c>
      <c r="C1008" s="49" t="s">
        <v>979</v>
      </c>
      <c r="D1008" s="49" t="s">
        <v>684</v>
      </c>
      <c r="E1008" s="49" t="s">
        <v>674</v>
      </c>
      <c r="F1008" s="49" t="s">
        <v>675</v>
      </c>
      <c r="G1008" s="49" t="s">
        <v>676</v>
      </c>
      <c r="H1008" s="49" t="s">
        <v>677</v>
      </c>
      <c r="I1008" s="49" t="s">
        <v>736</v>
      </c>
      <c r="J1008" s="49" t="s">
        <v>745</v>
      </c>
      <c r="K1008" s="49" t="s">
        <v>738</v>
      </c>
      <c r="L1008" s="49" t="s">
        <v>699</v>
      </c>
      <c r="M1008" s="49">
        <v>0.35</v>
      </c>
      <c r="N1008" s="49" t="s">
        <v>168</v>
      </c>
      <c r="O1008" s="49" t="s">
        <v>665</v>
      </c>
      <c r="P1008" s="49" t="s">
        <v>746</v>
      </c>
      <c r="Q1008" s="49" t="s">
        <v>683</v>
      </c>
      <c r="R1008" s="49" t="s">
        <v>470</v>
      </c>
      <c r="S1008" s="49" t="s">
        <v>684</v>
      </c>
      <c r="T1008" s="49" t="s">
        <v>1821</v>
      </c>
      <c r="U1008" s="49" t="s">
        <v>1824</v>
      </c>
      <c r="V1008" s="50" t="s">
        <v>1823</v>
      </c>
    </row>
    <row r="1009" spans="1:22" x14ac:dyDescent="0.3">
      <c r="A1009" s="51" t="s">
        <v>1444</v>
      </c>
      <c r="B1009" s="52" t="s">
        <v>470</v>
      </c>
      <c r="C1009" s="52" t="s">
        <v>1445</v>
      </c>
      <c r="D1009" s="52" t="s">
        <v>684</v>
      </c>
      <c r="E1009" s="52" t="s">
        <v>674</v>
      </c>
      <c r="F1009" s="52" t="s">
        <v>675</v>
      </c>
      <c r="G1009" s="52" t="s">
        <v>676</v>
      </c>
      <c r="H1009" s="52" t="s">
        <v>677</v>
      </c>
      <c r="I1009" s="49" t="s">
        <v>688</v>
      </c>
      <c r="J1009" s="52" t="s">
        <v>745</v>
      </c>
      <c r="K1009" s="52" t="s">
        <v>738</v>
      </c>
      <c r="L1009" s="52" t="s">
        <v>739</v>
      </c>
      <c r="M1009" s="52">
        <v>0.65</v>
      </c>
      <c r="N1009" s="52" t="s">
        <v>168</v>
      </c>
      <c r="O1009" s="52" t="s">
        <v>665</v>
      </c>
      <c r="P1009" s="52" t="s">
        <v>746</v>
      </c>
      <c r="Q1009" s="52" t="s">
        <v>683</v>
      </c>
      <c r="R1009" s="52" t="s">
        <v>470</v>
      </c>
      <c r="S1009" s="49" t="s">
        <v>684</v>
      </c>
      <c r="T1009" s="52" t="s">
        <v>1821</v>
      </c>
      <c r="U1009" s="52" t="s">
        <v>1824</v>
      </c>
      <c r="V1009" s="50" t="s">
        <v>1823</v>
      </c>
    </row>
    <row r="1010" spans="1:22" x14ac:dyDescent="0.3">
      <c r="A1010" s="48" t="s">
        <v>2365</v>
      </c>
      <c r="B1010" s="49" t="s">
        <v>470</v>
      </c>
      <c r="C1010" s="49" t="s">
        <v>2366</v>
      </c>
      <c r="D1010" s="49" t="s">
        <v>684</v>
      </c>
      <c r="E1010" s="49" t="s">
        <v>674</v>
      </c>
      <c r="F1010" s="49" t="s">
        <v>716</v>
      </c>
      <c r="G1010" s="49" t="s">
        <v>724</v>
      </c>
      <c r="H1010" s="49" t="s">
        <v>702</v>
      </c>
      <c r="I1010" s="49" t="s">
        <v>736</v>
      </c>
      <c r="J1010" s="49" t="s">
        <v>745</v>
      </c>
      <c r="K1010" s="49" t="s">
        <v>738</v>
      </c>
      <c r="L1010" s="49" t="s">
        <v>699</v>
      </c>
      <c r="M1010" s="49">
        <v>0.5</v>
      </c>
      <c r="N1010" s="49" t="s">
        <v>1666</v>
      </c>
      <c r="O1010" s="49" t="s">
        <v>665</v>
      </c>
      <c r="P1010" s="49" t="s">
        <v>746</v>
      </c>
      <c r="Q1010" s="49" t="s">
        <v>683</v>
      </c>
      <c r="R1010" s="49" t="s">
        <v>470</v>
      </c>
      <c r="S1010" s="49" t="s">
        <v>684</v>
      </c>
      <c r="T1010" s="49" t="s">
        <v>1821</v>
      </c>
      <c r="U1010" s="49" t="s">
        <v>1824</v>
      </c>
      <c r="V1010" s="50" t="s">
        <v>1823</v>
      </c>
    </row>
    <row r="1011" spans="1:22" x14ac:dyDescent="0.3">
      <c r="A1011" s="51" t="s">
        <v>2367</v>
      </c>
      <c r="B1011" s="52" t="s">
        <v>470</v>
      </c>
      <c r="C1011" s="52" t="s">
        <v>2368</v>
      </c>
      <c r="D1011" s="52" t="s">
        <v>684</v>
      </c>
      <c r="E1011" s="52" t="s">
        <v>674</v>
      </c>
      <c r="F1011" s="52" t="s">
        <v>716</v>
      </c>
      <c r="G1011" s="52" t="s">
        <v>724</v>
      </c>
      <c r="H1011" s="52" t="s">
        <v>702</v>
      </c>
      <c r="I1011" s="52" t="s">
        <v>736</v>
      </c>
      <c r="J1011" s="52" t="s">
        <v>745</v>
      </c>
      <c r="K1011" s="52" t="s">
        <v>738</v>
      </c>
      <c r="L1011" s="52" t="s">
        <v>699</v>
      </c>
      <c r="M1011" s="52">
        <v>0.5</v>
      </c>
      <c r="N1011" s="52" t="s">
        <v>1666</v>
      </c>
      <c r="O1011" s="52" t="s">
        <v>665</v>
      </c>
      <c r="P1011" s="52" t="s">
        <v>746</v>
      </c>
      <c r="Q1011" s="52" t="s">
        <v>683</v>
      </c>
      <c r="R1011" s="52" t="s">
        <v>470</v>
      </c>
      <c r="S1011" s="49" t="s">
        <v>684</v>
      </c>
      <c r="T1011" s="52" t="s">
        <v>1821</v>
      </c>
      <c r="U1011" s="52" t="s">
        <v>1824</v>
      </c>
      <c r="V1011" s="50" t="s">
        <v>1823</v>
      </c>
    </row>
    <row r="1012" spans="1:22" x14ac:dyDescent="0.3">
      <c r="A1012" s="48" t="s">
        <v>1402</v>
      </c>
      <c r="B1012" s="49" t="s">
        <v>1403</v>
      </c>
      <c r="C1012" s="49" t="s">
        <v>773</v>
      </c>
      <c r="D1012" s="49" t="s">
        <v>684</v>
      </c>
      <c r="E1012" s="49" t="s">
        <v>674</v>
      </c>
      <c r="F1012" s="49" t="s">
        <v>773</v>
      </c>
      <c r="G1012" s="49" t="s">
        <v>773</v>
      </c>
      <c r="H1012" s="49" t="s">
        <v>773</v>
      </c>
      <c r="I1012" s="49" t="s">
        <v>773</v>
      </c>
      <c r="J1012" s="49" t="s">
        <v>745</v>
      </c>
      <c r="K1012" s="49" t="s">
        <v>738</v>
      </c>
      <c r="L1012" s="49" t="s">
        <v>699</v>
      </c>
      <c r="M1012" s="49">
        <v>0.5</v>
      </c>
      <c r="N1012" s="49" t="s">
        <v>1665</v>
      </c>
      <c r="O1012" s="49" t="s">
        <v>665</v>
      </c>
      <c r="P1012" s="49" t="s">
        <v>746</v>
      </c>
      <c r="Q1012" s="49" t="s">
        <v>683</v>
      </c>
      <c r="R1012" s="49" t="s">
        <v>470</v>
      </c>
      <c r="S1012" s="49" t="s">
        <v>684</v>
      </c>
      <c r="T1012" s="49" t="s">
        <v>1821</v>
      </c>
      <c r="U1012" s="49" t="s">
        <v>1824</v>
      </c>
      <c r="V1012" s="50" t="s">
        <v>1823</v>
      </c>
    </row>
    <row r="1013" spans="1:22" x14ac:dyDescent="0.3">
      <c r="A1013" s="51" t="s">
        <v>1508</v>
      </c>
      <c r="B1013" s="52" t="s">
        <v>1403</v>
      </c>
      <c r="C1013" s="52" t="s">
        <v>773</v>
      </c>
      <c r="D1013" s="52" t="s">
        <v>684</v>
      </c>
      <c r="E1013" s="52" t="s">
        <v>674</v>
      </c>
      <c r="F1013" s="52" t="s">
        <v>773</v>
      </c>
      <c r="G1013" s="52" t="s">
        <v>773</v>
      </c>
      <c r="H1013" s="52" t="s">
        <v>773</v>
      </c>
      <c r="I1013" s="52" t="s">
        <v>773</v>
      </c>
      <c r="J1013" s="52" t="s">
        <v>745</v>
      </c>
      <c r="K1013" s="52" t="s">
        <v>738</v>
      </c>
      <c r="L1013" s="52" t="s">
        <v>699</v>
      </c>
      <c r="M1013" s="52">
        <v>0.5</v>
      </c>
      <c r="N1013" s="52" t="s">
        <v>1665</v>
      </c>
      <c r="O1013" s="52" t="s">
        <v>665</v>
      </c>
      <c r="P1013" s="52" t="s">
        <v>746</v>
      </c>
      <c r="Q1013" s="52" t="s">
        <v>683</v>
      </c>
      <c r="R1013" s="52" t="s">
        <v>470</v>
      </c>
      <c r="S1013" s="49" t="s">
        <v>684</v>
      </c>
      <c r="T1013" s="52" t="s">
        <v>1821</v>
      </c>
      <c r="U1013" s="52" t="s">
        <v>1824</v>
      </c>
      <c r="V1013" s="50" t="s">
        <v>1823</v>
      </c>
    </row>
    <row r="1014" spans="1:22" x14ac:dyDescent="0.3">
      <c r="A1014" s="48" t="s">
        <v>747</v>
      </c>
      <c r="B1014" s="49" t="s">
        <v>470</v>
      </c>
      <c r="C1014" s="49" t="s">
        <v>747</v>
      </c>
      <c r="D1014" s="49" t="s">
        <v>684</v>
      </c>
      <c r="E1014" s="49" t="s">
        <v>674</v>
      </c>
      <c r="F1014" s="49" t="s">
        <v>716</v>
      </c>
      <c r="G1014" s="49" t="s">
        <v>744</v>
      </c>
      <c r="H1014" s="49" t="s">
        <v>702</v>
      </c>
      <c r="I1014" s="49" t="s">
        <v>736</v>
      </c>
      <c r="J1014" s="49" t="s">
        <v>745</v>
      </c>
      <c r="K1014" s="49" t="s">
        <v>738</v>
      </c>
      <c r="L1014" s="49" t="s">
        <v>699</v>
      </c>
      <c r="M1014" s="49">
        <v>0.6</v>
      </c>
      <c r="N1014" s="49" t="s">
        <v>83</v>
      </c>
      <c r="O1014" s="49" t="s">
        <v>665</v>
      </c>
      <c r="P1014" s="49" t="s">
        <v>746</v>
      </c>
      <c r="Q1014" s="49" t="s">
        <v>683</v>
      </c>
      <c r="R1014" s="49" t="s">
        <v>470</v>
      </c>
      <c r="S1014" s="49" t="s">
        <v>684</v>
      </c>
      <c r="T1014" s="49" t="s">
        <v>1821</v>
      </c>
      <c r="U1014" s="49" t="s">
        <v>1824</v>
      </c>
      <c r="V1014" s="50" t="s">
        <v>1823</v>
      </c>
    </row>
    <row r="1015" spans="1:22" x14ac:dyDescent="0.3">
      <c r="A1015" s="51" t="s">
        <v>742</v>
      </c>
      <c r="B1015" s="52" t="s">
        <v>470</v>
      </c>
      <c r="C1015" s="52" t="s">
        <v>743</v>
      </c>
      <c r="D1015" s="52" t="s">
        <v>684</v>
      </c>
      <c r="E1015" s="52" t="s">
        <v>674</v>
      </c>
      <c r="F1015" s="52" t="s">
        <v>716</v>
      </c>
      <c r="G1015" s="52" t="s">
        <v>744</v>
      </c>
      <c r="H1015" s="52" t="s">
        <v>702</v>
      </c>
      <c r="I1015" s="52" t="s">
        <v>736</v>
      </c>
      <c r="J1015" s="52" t="s">
        <v>745</v>
      </c>
      <c r="K1015" s="52" t="s">
        <v>738</v>
      </c>
      <c r="L1015" s="52" t="s">
        <v>699</v>
      </c>
      <c r="M1015" s="52">
        <v>0.4</v>
      </c>
      <c r="N1015" s="52" t="s">
        <v>83</v>
      </c>
      <c r="O1015" s="52" t="s">
        <v>665</v>
      </c>
      <c r="P1015" s="52" t="s">
        <v>746</v>
      </c>
      <c r="Q1015" s="52" t="s">
        <v>683</v>
      </c>
      <c r="R1015" s="52" t="s">
        <v>470</v>
      </c>
      <c r="S1015" s="49" t="s">
        <v>684</v>
      </c>
      <c r="T1015" s="52" t="s">
        <v>1821</v>
      </c>
      <c r="U1015" s="52" t="s">
        <v>1824</v>
      </c>
      <c r="V1015" s="50" t="s">
        <v>1823</v>
      </c>
    </row>
    <row r="1016" spans="1:22" x14ac:dyDescent="0.3">
      <c r="A1016" s="48" t="s">
        <v>1495</v>
      </c>
      <c r="B1016" s="49" t="s">
        <v>544</v>
      </c>
      <c r="C1016" s="49" t="s">
        <v>1496</v>
      </c>
      <c r="D1016" s="49" t="s">
        <v>684</v>
      </c>
      <c r="E1016" s="49" t="s">
        <v>674</v>
      </c>
      <c r="F1016" s="49" t="s">
        <v>675</v>
      </c>
      <c r="G1016" s="49" t="s">
        <v>676</v>
      </c>
      <c r="H1016" s="49" t="s">
        <v>677</v>
      </c>
      <c r="I1016" s="49" t="s">
        <v>736</v>
      </c>
      <c r="J1016" s="49" t="s">
        <v>737</v>
      </c>
      <c r="K1016" s="49" t="s">
        <v>738</v>
      </c>
      <c r="L1016" s="49" t="s">
        <v>699</v>
      </c>
      <c r="M1016" s="49">
        <v>0.3</v>
      </c>
      <c r="N1016" s="49" t="s">
        <v>283</v>
      </c>
      <c r="O1016" s="49" t="s">
        <v>665</v>
      </c>
      <c r="P1016" s="49" t="s">
        <v>746</v>
      </c>
      <c r="Q1016" s="49" t="s">
        <v>683</v>
      </c>
      <c r="R1016" s="49" t="s">
        <v>155</v>
      </c>
      <c r="S1016" s="49" t="s">
        <v>684</v>
      </c>
      <c r="T1016" s="49" t="s">
        <v>1821</v>
      </c>
      <c r="U1016" s="49" t="s">
        <v>1824</v>
      </c>
      <c r="V1016" s="50" t="s">
        <v>1823</v>
      </c>
    </row>
    <row r="1017" spans="1:22" x14ac:dyDescent="0.3">
      <c r="A1017" s="51" t="s">
        <v>1503</v>
      </c>
      <c r="B1017" s="52" t="s">
        <v>544</v>
      </c>
      <c r="C1017" s="52" t="s">
        <v>1504</v>
      </c>
      <c r="D1017" s="52" t="s">
        <v>684</v>
      </c>
      <c r="E1017" s="52" t="s">
        <v>674</v>
      </c>
      <c r="F1017" s="52" t="s">
        <v>716</v>
      </c>
      <c r="G1017" s="52" t="s">
        <v>717</v>
      </c>
      <c r="H1017" s="52" t="s">
        <v>717</v>
      </c>
      <c r="I1017" s="52" t="s">
        <v>736</v>
      </c>
      <c r="J1017" s="52" t="s">
        <v>737</v>
      </c>
      <c r="K1017" s="52" t="s">
        <v>738</v>
      </c>
      <c r="L1017" s="52" t="s">
        <v>699</v>
      </c>
      <c r="M1017" s="52">
        <v>0.1</v>
      </c>
      <c r="N1017" s="52" t="s">
        <v>497</v>
      </c>
      <c r="O1017" s="52" t="s">
        <v>665</v>
      </c>
      <c r="P1017" s="52" t="s">
        <v>746</v>
      </c>
      <c r="Q1017" s="52" t="s">
        <v>683</v>
      </c>
      <c r="R1017" s="52" t="s">
        <v>155</v>
      </c>
      <c r="S1017" s="49" t="s">
        <v>684</v>
      </c>
      <c r="T1017" s="52" t="s">
        <v>1821</v>
      </c>
      <c r="U1017" s="52" t="s">
        <v>1824</v>
      </c>
      <c r="V1017" s="50" t="s">
        <v>1823</v>
      </c>
    </row>
    <row r="1018" spans="1:22" x14ac:dyDescent="0.3">
      <c r="A1018" s="48" t="s">
        <v>2369</v>
      </c>
      <c r="B1018" s="49" t="s">
        <v>544</v>
      </c>
      <c r="C1018" s="49" t="s">
        <v>2370</v>
      </c>
      <c r="D1018" s="49" t="s">
        <v>684</v>
      </c>
      <c r="E1018" s="49" t="s">
        <v>674</v>
      </c>
      <c r="F1018" s="49" t="s">
        <v>716</v>
      </c>
      <c r="G1018" s="49" t="s">
        <v>744</v>
      </c>
      <c r="H1018" s="49" t="s">
        <v>677</v>
      </c>
      <c r="I1018" s="49" t="s">
        <v>736</v>
      </c>
      <c r="J1018" s="49" t="s">
        <v>737</v>
      </c>
      <c r="K1018" s="49" t="s">
        <v>738</v>
      </c>
      <c r="L1018" s="49" t="s">
        <v>691</v>
      </c>
      <c r="M1018" s="49">
        <v>0.4</v>
      </c>
      <c r="N1018" s="49" t="s">
        <v>497</v>
      </c>
      <c r="O1018" s="49" t="s">
        <v>665</v>
      </c>
      <c r="P1018" s="49" t="s">
        <v>746</v>
      </c>
      <c r="Q1018" s="49" t="s">
        <v>683</v>
      </c>
      <c r="R1018" s="49" t="s">
        <v>155</v>
      </c>
      <c r="S1018" s="49" t="s">
        <v>684</v>
      </c>
      <c r="T1018" s="49" t="s">
        <v>1821</v>
      </c>
      <c r="U1018" s="49" t="s">
        <v>1824</v>
      </c>
      <c r="V1018" s="50" t="s">
        <v>1823</v>
      </c>
    </row>
    <row r="1019" spans="1:22" x14ac:dyDescent="0.3">
      <c r="A1019" s="51" t="s">
        <v>1612</v>
      </c>
      <c r="B1019" s="52" t="s">
        <v>544</v>
      </c>
      <c r="C1019" s="52" t="s">
        <v>1613</v>
      </c>
      <c r="D1019" s="52" t="s">
        <v>684</v>
      </c>
      <c r="E1019" s="52" t="s">
        <v>674</v>
      </c>
      <c r="F1019" s="52" t="s">
        <v>716</v>
      </c>
      <c r="G1019" s="52" t="s">
        <v>744</v>
      </c>
      <c r="H1019" s="52" t="s">
        <v>677</v>
      </c>
      <c r="I1019" s="49" t="s">
        <v>688</v>
      </c>
      <c r="J1019" s="52" t="s">
        <v>737</v>
      </c>
      <c r="K1019" s="52" t="s">
        <v>738</v>
      </c>
      <c r="L1019" s="52" t="s">
        <v>808</v>
      </c>
      <c r="M1019" s="52">
        <v>0.3</v>
      </c>
      <c r="N1019" s="52" t="s">
        <v>288</v>
      </c>
      <c r="O1019" s="52" t="s">
        <v>665</v>
      </c>
      <c r="P1019" s="52" t="s">
        <v>746</v>
      </c>
      <c r="Q1019" s="52" t="s">
        <v>683</v>
      </c>
      <c r="R1019" s="52" t="s">
        <v>155</v>
      </c>
      <c r="S1019" s="49" t="s">
        <v>684</v>
      </c>
      <c r="T1019" s="52" t="s">
        <v>1821</v>
      </c>
      <c r="U1019" s="52" t="s">
        <v>1824</v>
      </c>
      <c r="V1019" s="50" t="s">
        <v>1823</v>
      </c>
    </row>
    <row r="1020" spans="1:22" x14ac:dyDescent="0.3">
      <c r="A1020" s="48" t="s">
        <v>1609</v>
      </c>
      <c r="B1020" s="49" t="s">
        <v>544</v>
      </c>
      <c r="C1020" s="49" t="s">
        <v>1610</v>
      </c>
      <c r="D1020" s="49" t="s">
        <v>684</v>
      </c>
      <c r="E1020" s="49" t="s">
        <v>674</v>
      </c>
      <c r="F1020" s="49" t="s">
        <v>675</v>
      </c>
      <c r="G1020" s="49" t="s">
        <v>676</v>
      </c>
      <c r="H1020" s="49" t="s">
        <v>677</v>
      </c>
      <c r="I1020" s="49" t="s">
        <v>736</v>
      </c>
      <c r="J1020" s="49" t="s">
        <v>737</v>
      </c>
      <c r="K1020" s="49" t="s">
        <v>738</v>
      </c>
      <c r="L1020" s="49" t="s">
        <v>699</v>
      </c>
      <c r="M1020" s="49">
        <v>0.4</v>
      </c>
      <c r="N1020" s="49" t="s">
        <v>283</v>
      </c>
      <c r="O1020" s="49" t="s">
        <v>665</v>
      </c>
      <c r="P1020" s="49" t="s">
        <v>746</v>
      </c>
      <c r="Q1020" s="49" t="s">
        <v>683</v>
      </c>
      <c r="R1020" s="49" t="s">
        <v>155</v>
      </c>
      <c r="S1020" s="49" t="s">
        <v>684</v>
      </c>
      <c r="T1020" s="49" t="s">
        <v>1821</v>
      </c>
      <c r="U1020" s="49" t="s">
        <v>1824</v>
      </c>
      <c r="V1020" s="50" t="s">
        <v>1823</v>
      </c>
    </row>
    <row r="1021" spans="1:22" x14ac:dyDescent="0.3">
      <c r="A1021" s="51" t="s">
        <v>1497</v>
      </c>
      <c r="B1021" s="52" t="s">
        <v>544</v>
      </c>
      <c r="C1021" s="52" t="s">
        <v>1498</v>
      </c>
      <c r="D1021" s="52" t="s">
        <v>684</v>
      </c>
      <c r="E1021" s="52" t="s">
        <v>674</v>
      </c>
      <c r="F1021" s="52" t="s">
        <v>675</v>
      </c>
      <c r="G1021" s="52" t="s">
        <v>676</v>
      </c>
      <c r="H1021" s="52" t="s">
        <v>677</v>
      </c>
      <c r="I1021" s="49" t="s">
        <v>688</v>
      </c>
      <c r="J1021" s="52" t="s">
        <v>737</v>
      </c>
      <c r="K1021" s="52" t="s">
        <v>738</v>
      </c>
      <c r="L1021" s="52" t="s">
        <v>699</v>
      </c>
      <c r="M1021" s="52">
        <v>0.3</v>
      </c>
      <c r="N1021" s="52" t="s">
        <v>283</v>
      </c>
      <c r="O1021" s="52" t="s">
        <v>665</v>
      </c>
      <c r="P1021" s="52" t="s">
        <v>746</v>
      </c>
      <c r="Q1021" s="52" t="s">
        <v>683</v>
      </c>
      <c r="R1021" s="52" t="s">
        <v>155</v>
      </c>
      <c r="S1021" s="49" t="s">
        <v>684</v>
      </c>
      <c r="T1021" s="52" t="s">
        <v>1821</v>
      </c>
      <c r="U1021" s="52" t="s">
        <v>1824</v>
      </c>
      <c r="V1021" s="50" t="s">
        <v>1823</v>
      </c>
    </row>
    <row r="1022" spans="1:22" x14ac:dyDescent="0.3">
      <c r="A1022" s="48" t="s">
        <v>911</v>
      </c>
      <c r="B1022" s="49" t="s">
        <v>544</v>
      </c>
      <c r="C1022" s="49" t="s">
        <v>912</v>
      </c>
      <c r="D1022" s="49" t="s">
        <v>684</v>
      </c>
      <c r="E1022" s="49" t="s">
        <v>674</v>
      </c>
      <c r="F1022" s="49" t="s">
        <v>716</v>
      </c>
      <c r="G1022" s="49" t="s">
        <v>744</v>
      </c>
      <c r="H1022" s="49" t="s">
        <v>702</v>
      </c>
      <c r="I1022" s="49" t="s">
        <v>736</v>
      </c>
      <c r="J1022" s="49" t="s">
        <v>737</v>
      </c>
      <c r="K1022" s="49" t="s">
        <v>738</v>
      </c>
      <c r="L1022" s="49" t="s">
        <v>808</v>
      </c>
      <c r="M1022" s="49">
        <v>0.2</v>
      </c>
      <c r="N1022" s="49" t="s">
        <v>288</v>
      </c>
      <c r="O1022" s="49" t="s">
        <v>665</v>
      </c>
      <c r="P1022" s="49" t="s">
        <v>746</v>
      </c>
      <c r="Q1022" s="49" t="s">
        <v>683</v>
      </c>
      <c r="R1022" s="49" t="s">
        <v>155</v>
      </c>
      <c r="S1022" s="49" t="s">
        <v>684</v>
      </c>
      <c r="T1022" s="49" t="s">
        <v>1821</v>
      </c>
      <c r="U1022" s="49" t="s">
        <v>1824</v>
      </c>
      <c r="V1022" s="50" t="s">
        <v>1823</v>
      </c>
    </row>
    <row r="1023" spans="1:22" x14ac:dyDescent="0.3">
      <c r="A1023" s="51" t="s">
        <v>2371</v>
      </c>
      <c r="B1023" s="52" t="s">
        <v>544</v>
      </c>
      <c r="C1023" s="52" t="s">
        <v>2372</v>
      </c>
      <c r="D1023" s="52" t="s">
        <v>684</v>
      </c>
      <c r="E1023" s="52" t="s">
        <v>674</v>
      </c>
      <c r="F1023" s="52" t="s">
        <v>716</v>
      </c>
      <c r="G1023" s="52" t="s">
        <v>744</v>
      </c>
      <c r="H1023" s="52" t="s">
        <v>677</v>
      </c>
      <c r="I1023" s="52" t="s">
        <v>736</v>
      </c>
      <c r="J1023" s="52" t="s">
        <v>737</v>
      </c>
      <c r="K1023" s="52" t="s">
        <v>738</v>
      </c>
      <c r="L1023" s="52" t="s">
        <v>691</v>
      </c>
      <c r="M1023" s="52">
        <v>0.5</v>
      </c>
      <c r="N1023" s="52" t="s">
        <v>497</v>
      </c>
      <c r="O1023" s="52" t="s">
        <v>665</v>
      </c>
      <c r="P1023" s="52" t="s">
        <v>746</v>
      </c>
      <c r="Q1023" s="52" t="s">
        <v>683</v>
      </c>
      <c r="R1023" s="52" t="s">
        <v>155</v>
      </c>
      <c r="S1023" s="49" t="s">
        <v>684</v>
      </c>
      <c r="T1023" s="52" t="s">
        <v>1821</v>
      </c>
      <c r="U1023" s="52" t="s">
        <v>1824</v>
      </c>
      <c r="V1023" s="50" t="s">
        <v>1823</v>
      </c>
    </row>
    <row r="1024" spans="1:22" x14ac:dyDescent="0.3">
      <c r="A1024" s="48" t="s">
        <v>1611</v>
      </c>
      <c r="B1024" s="49" t="s">
        <v>544</v>
      </c>
      <c r="C1024" s="49" t="s">
        <v>1611</v>
      </c>
      <c r="D1024" s="49" t="s">
        <v>684</v>
      </c>
      <c r="E1024" s="49" t="s">
        <v>674</v>
      </c>
      <c r="F1024" s="49" t="s">
        <v>716</v>
      </c>
      <c r="G1024" s="49" t="s">
        <v>744</v>
      </c>
      <c r="H1024" s="49" t="s">
        <v>702</v>
      </c>
      <c r="I1024" s="49" t="s">
        <v>736</v>
      </c>
      <c r="J1024" s="49" t="s">
        <v>737</v>
      </c>
      <c r="K1024" s="49" t="s">
        <v>738</v>
      </c>
      <c r="L1024" s="49" t="s">
        <v>739</v>
      </c>
      <c r="M1024" s="49">
        <v>0.5</v>
      </c>
      <c r="N1024" s="49" t="s">
        <v>288</v>
      </c>
      <c r="O1024" s="49" t="s">
        <v>665</v>
      </c>
      <c r="P1024" s="49" t="s">
        <v>746</v>
      </c>
      <c r="Q1024" s="49" t="s">
        <v>683</v>
      </c>
      <c r="R1024" s="49" t="s">
        <v>155</v>
      </c>
      <c r="S1024" s="49" t="s">
        <v>684</v>
      </c>
      <c r="T1024" s="49" t="s">
        <v>1821</v>
      </c>
      <c r="U1024" s="49" t="s">
        <v>1824</v>
      </c>
      <c r="V1024" s="50" t="s">
        <v>1823</v>
      </c>
    </row>
    <row r="1025" spans="1:22" x14ac:dyDescent="0.3">
      <c r="A1025" s="51" t="s">
        <v>2373</v>
      </c>
      <c r="B1025" s="52" t="s">
        <v>544</v>
      </c>
      <c r="C1025" s="52" t="s">
        <v>2374</v>
      </c>
      <c r="D1025" s="52" t="s">
        <v>684</v>
      </c>
      <c r="E1025" s="52" t="s">
        <v>674</v>
      </c>
      <c r="F1025" s="52" t="s">
        <v>675</v>
      </c>
      <c r="G1025" s="52" t="s">
        <v>744</v>
      </c>
      <c r="H1025" s="52" t="s">
        <v>677</v>
      </c>
      <c r="I1025" s="52" t="s">
        <v>736</v>
      </c>
      <c r="J1025" s="52" t="s">
        <v>737</v>
      </c>
      <c r="K1025" s="52" t="s">
        <v>738</v>
      </c>
      <c r="L1025" s="52" t="s">
        <v>691</v>
      </c>
      <c r="M1025" s="52">
        <v>0.2</v>
      </c>
      <c r="N1025" s="52" t="s">
        <v>356</v>
      </c>
      <c r="O1025" s="52" t="s">
        <v>665</v>
      </c>
      <c r="P1025" s="52" t="s">
        <v>746</v>
      </c>
      <c r="Q1025" s="52" t="s">
        <v>683</v>
      </c>
      <c r="R1025" s="52" t="s">
        <v>155</v>
      </c>
      <c r="S1025" s="49" t="s">
        <v>684</v>
      </c>
      <c r="T1025" s="52" t="s">
        <v>1821</v>
      </c>
      <c r="U1025" s="52" t="s">
        <v>1824</v>
      </c>
      <c r="V1025" s="50" t="s">
        <v>1823</v>
      </c>
    </row>
    <row r="1026" spans="1:22" x14ac:dyDescent="0.3">
      <c r="A1026" s="48" t="s">
        <v>2375</v>
      </c>
      <c r="B1026" s="49" t="s">
        <v>544</v>
      </c>
      <c r="C1026" s="49" t="s">
        <v>2376</v>
      </c>
      <c r="D1026" s="49" t="s">
        <v>684</v>
      </c>
      <c r="E1026" s="49" t="s">
        <v>674</v>
      </c>
      <c r="F1026" s="49" t="s">
        <v>675</v>
      </c>
      <c r="G1026" s="49" t="s">
        <v>744</v>
      </c>
      <c r="H1026" s="49" t="s">
        <v>677</v>
      </c>
      <c r="I1026" s="49" t="s">
        <v>736</v>
      </c>
      <c r="J1026" s="49" t="s">
        <v>737</v>
      </c>
      <c r="K1026" s="49" t="s">
        <v>738</v>
      </c>
      <c r="L1026" s="49" t="s">
        <v>681</v>
      </c>
      <c r="M1026" s="49">
        <v>0.2</v>
      </c>
      <c r="N1026" s="49" t="s">
        <v>356</v>
      </c>
      <c r="O1026" s="49" t="s">
        <v>665</v>
      </c>
      <c r="P1026" s="49" t="s">
        <v>746</v>
      </c>
      <c r="Q1026" s="49" t="s">
        <v>683</v>
      </c>
      <c r="R1026" s="49" t="s">
        <v>155</v>
      </c>
      <c r="S1026" s="49" t="s">
        <v>684</v>
      </c>
      <c r="T1026" s="49" t="s">
        <v>1821</v>
      </c>
      <c r="U1026" s="49" t="s">
        <v>1824</v>
      </c>
      <c r="V1026" s="50" t="s">
        <v>1823</v>
      </c>
    </row>
    <row r="1027" spans="1:22" x14ac:dyDescent="0.3">
      <c r="A1027" s="51" t="s">
        <v>1611</v>
      </c>
      <c r="B1027" s="52" t="s">
        <v>544</v>
      </c>
      <c r="C1027" s="52" t="s">
        <v>1611</v>
      </c>
      <c r="D1027" s="52" t="s">
        <v>684</v>
      </c>
      <c r="E1027" s="52" t="s">
        <v>674</v>
      </c>
      <c r="F1027" s="52" t="s">
        <v>716</v>
      </c>
      <c r="G1027" s="52" t="s">
        <v>744</v>
      </c>
      <c r="H1027" s="52" t="s">
        <v>702</v>
      </c>
      <c r="I1027" s="52" t="s">
        <v>736</v>
      </c>
      <c r="J1027" s="52" t="s">
        <v>737</v>
      </c>
      <c r="K1027" s="52" t="s">
        <v>738</v>
      </c>
      <c r="L1027" s="52" t="s">
        <v>739</v>
      </c>
      <c r="M1027" s="52">
        <v>0.6</v>
      </c>
      <c r="N1027" s="52" t="s">
        <v>356</v>
      </c>
      <c r="O1027" s="52" t="s">
        <v>665</v>
      </c>
      <c r="P1027" s="52" t="s">
        <v>746</v>
      </c>
      <c r="Q1027" s="52" t="s">
        <v>683</v>
      </c>
      <c r="R1027" s="52" t="s">
        <v>155</v>
      </c>
      <c r="S1027" s="49" t="s">
        <v>684</v>
      </c>
      <c r="T1027" s="52" t="s">
        <v>1821</v>
      </c>
      <c r="U1027" s="52" t="s">
        <v>1824</v>
      </c>
      <c r="V1027" s="50" t="s">
        <v>1823</v>
      </c>
    </row>
    <row r="1028" spans="1:22" x14ac:dyDescent="0.3">
      <c r="A1028" s="48" t="s">
        <v>911</v>
      </c>
      <c r="B1028" s="49" t="s">
        <v>544</v>
      </c>
      <c r="C1028" s="49" t="s">
        <v>912</v>
      </c>
      <c r="D1028" s="49" t="s">
        <v>684</v>
      </c>
      <c r="E1028" s="49" t="s">
        <v>674</v>
      </c>
      <c r="F1028" s="49" t="s">
        <v>716</v>
      </c>
      <c r="G1028" s="49" t="s">
        <v>744</v>
      </c>
      <c r="H1028" s="49" t="s">
        <v>702</v>
      </c>
      <c r="I1028" s="49" t="s">
        <v>736</v>
      </c>
      <c r="J1028" s="49" t="s">
        <v>737</v>
      </c>
      <c r="K1028" s="49" t="s">
        <v>738</v>
      </c>
      <c r="L1028" s="49" t="s">
        <v>808</v>
      </c>
      <c r="M1028" s="49">
        <v>1</v>
      </c>
      <c r="N1028" s="49" t="s">
        <v>400</v>
      </c>
      <c r="O1028" s="49" t="s">
        <v>665</v>
      </c>
      <c r="P1028" s="49" t="s">
        <v>746</v>
      </c>
      <c r="Q1028" s="49" t="s">
        <v>683</v>
      </c>
      <c r="R1028" s="49" t="s">
        <v>155</v>
      </c>
      <c r="S1028" s="49" t="s">
        <v>684</v>
      </c>
      <c r="T1028" s="49" t="s">
        <v>1821</v>
      </c>
      <c r="U1028" s="49" t="s">
        <v>1824</v>
      </c>
      <c r="V1028" s="50" t="s">
        <v>1823</v>
      </c>
    </row>
    <row r="1029" spans="1:22" x14ac:dyDescent="0.3">
      <c r="A1029" s="48" t="s">
        <v>1503</v>
      </c>
      <c r="B1029" s="49" t="s">
        <v>544</v>
      </c>
      <c r="C1029" s="49" t="s">
        <v>1504</v>
      </c>
      <c r="D1029" s="49" t="s">
        <v>684</v>
      </c>
      <c r="E1029" s="49" t="s">
        <v>674</v>
      </c>
      <c r="F1029" s="49" t="s">
        <v>716</v>
      </c>
      <c r="G1029" s="49" t="s">
        <v>717</v>
      </c>
      <c r="H1029" s="49" t="s">
        <v>717</v>
      </c>
      <c r="I1029" s="49" t="s">
        <v>736</v>
      </c>
      <c r="J1029" s="49" t="s">
        <v>737</v>
      </c>
      <c r="K1029" s="49" t="s">
        <v>738</v>
      </c>
      <c r="L1029" s="49" t="s">
        <v>699</v>
      </c>
      <c r="M1029" s="49">
        <v>0.5</v>
      </c>
      <c r="N1029" s="49" t="s">
        <v>495</v>
      </c>
      <c r="O1029" s="49" t="s">
        <v>767</v>
      </c>
      <c r="P1029" s="52" t="s">
        <v>746</v>
      </c>
      <c r="Q1029" s="49" t="s">
        <v>683</v>
      </c>
      <c r="R1029" s="49" t="s">
        <v>89</v>
      </c>
      <c r="S1029" s="49" t="s">
        <v>684</v>
      </c>
      <c r="T1029" s="49" t="s">
        <v>1821</v>
      </c>
      <c r="U1029" s="49" t="s">
        <v>1824</v>
      </c>
      <c r="V1029" s="50" t="s">
        <v>1823</v>
      </c>
    </row>
    <row r="1030" spans="1:22" x14ac:dyDescent="0.3">
      <c r="A1030" s="51" t="s">
        <v>969</v>
      </c>
      <c r="B1030" s="52" t="s">
        <v>418</v>
      </c>
      <c r="C1030" s="52" t="s">
        <v>970</v>
      </c>
      <c r="D1030" s="52" t="s">
        <v>673</v>
      </c>
      <c r="E1030" s="52" t="s">
        <v>674</v>
      </c>
      <c r="F1030" s="52" t="s">
        <v>675</v>
      </c>
      <c r="G1030" s="52" t="s">
        <v>676</v>
      </c>
      <c r="H1030" s="52" t="s">
        <v>677</v>
      </c>
      <c r="I1030" s="49" t="s">
        <v>678</v>
      </c>
      <c r="J1030" s="52" t="s">
        <v>713</v>
      </c>
      <c r="K1030" s="52" t="s">
        <v>690</v>
      </c>
      <c r="L1030" s="52" t="s">
        <v>681</v>
      </c>
      <c r="M1030" s="52">
        <v>0.4</v>
      </c>
      <c r="N1030" s="52" t="s">
        <v>462</v>
      </c>
      <c r="O1030" s="52" t="s">
        <v>665</v>
      </c>
      <c r="P1030" s="52" t="s">
        <v>746</v>
      </c>
      <c r="Q1030" s="52" t="s">
        <v>683</v>
      </c>
      <c r="R1030" s="52" t="s">
        <v>89</v>
      </c>
      <c r="S1030" s="49" t="s">
        <v>684</v>
      </c>
      <c r="T1030" s="52" t="s">
        <v>1821</v>
      </c>
      <c r="U1030" s="52" t="s">
        <v>1824</v>
      </c>
      <c r="V1030" s="50" t="s">
        <v>1823</v>
      </c>
    </row>
    <row r="1031" spans="1:22" x14ac:dyDescent="0.3">
      <c r="A1031" s="48" t="s">
        <v>1029</v>
      </c>
      <c r="B1031" s="49" t="s">
        <v>470</v>
      </c>
      <c r="C1031" s="49" t="s">
        <v>1030</v>
      </c>
      <c r="D1031" s="49" t="s">
        <v>684</v>
      </c>
      <c r="E1031" s="49" t="s">
        <v>674</v>
      </c>
      <c r="F1031" s="49" t="s">
        <v>716</v>
      </c>
      <c r="G1031" s="49" t="s">
        <v>744</v>
      </c>
      <c r="H1031" s="49" t="s">
        <v>702</v>
      </c>
      <c r="I1031" s="49" t="s">
        <v>736</v>
      </c>
      <c r="J1031" s="49" t="s">
        <v>745</v>
      </c>
      <c r="K1031" s="49" t="s">
        <v>738</v>
      </c>
      <c r="L1031" s="49" t="s">
        <v>699</v>
      </c>
      <c r="M1031" s="49">
        <v>0.2</v>
      </c>
      <c r="N1031" s="49" t="s">
        <v>144</v>
      </c>
      <c r="O1031" s="49" t="s">
        <v>767</v>
      </c>
      <c r="P1031" s="52" t="s">
        <v>746</v>
      </c>
      <c r="Q1031" s="49" t="s">
        <v>683</v>
      </c>
      <c r="R1031" s="49" t="s">
        <v>458</v>
      </c>
      <c r="S1031" s="49" t="s">
        <v>684</v>
      </c>
      <c r="T1031" s="49" t="s">
        <v>1821</v>
      </c>
      <c r="U1031" s="49" t="s">
        <v>1824</v>
      </c>
      <c r="V1031" s="50" t="s">
        <v>1823</v>
      </c>
    </row>
    <row r="1032" spans="1:22" x14ac:dyDescent="0.3">
      <c r="A1032" s="51" t="s">
        <v>1517</v>
      </c>
      <c r="B1032" s="52" t="s">
        <v>470</v>
      </c>
      <c r="C1032" s="52" t="s">
        <v>1518</v>
      </c>
      <c r="D1032" s="52" t="s">
        <v>684</v>
      </c>
      <c r="E1032" s="52" t="s">
        <v>674</v>
      </c>
      <c r="F1032" s="52" t="s">
        <v>716</v>
      </c>
      <c r="G1032" s="52" t="s">
        <v>744</v>
      </c>
      <c r="H1032" s="52" t="s">
        <v>702</v>
      </c>
      <c r="I1032" s="52" t="s">
        <v>736</v>
      </c>
      <c r="J1032" s="52" t="s">
        <v>745</v>
      </c>
      <c r="K1032" s="52" t="s">
        <v>738</v>
      </c>
      <c r="L1032" s="52" t="s">
        <v>699</v>
      </c>
      <c r="M1032" s="52">
        <v>0.2</v>
      </c>
      <c r="N1032" s="52" t="s">
        <v>144</v>
      </c>
      <c r="O1032" s="52" t="s">
        <v>767</v>
      </c>
      <c r="P1032" s="52" t="s">
        <v>746</v>
      </c>
      <c r="Q1032" s="52" t="s">
        <v>683</v>
      </c>
      <c r="R1032" s="52" t="s">
        <v>458</v>
      </c>
      <c r="S1032" s="49" t="s">
        <v>684</v>
      </c>
      <c r="T1032" s="52" t="s">
        <v>1821</v>
      </c>
      <c r="U1032" s="52" t="s">
        <v>1824</v>
      </c>
      <c r="V1032" s="50" t="s">
        <v>1823</v>
      </c>
    </row>
    <row r="1033" spans="1:22" x14ac:dyDescent="0.3">
      <c r="A1033" s="48" t="s">
        <v>2377</v>
      </c>
      <c r="B1033" s="49" t="s">
        <v>470</v>
      </c>
      <c r="C1033" s="49" t="s">
        <v>2378</v>
      </c>
      <c r="D1033" s="49" t="s">
        <v>684</v>
      </c>
      <c r="E1033" s="49" t="s">
        <v>674</v>
      </c>
      <c r="F1033" s="49" t="s">
        <v>716</v>
      </c>
      <c r="G1033" s="49" t="s">
        <v>744</v>
      </c>
      <c r="H1033" s="49" t="s">
        <v>702</v>
      </c>
      <c r="I1033" s="49" t="s">
        <v>736</v>
      </c>
      <c r="J1033" s="49" t="s">
        <v>745</v>
      </c>
      <c r="K1033" s="49" t="s">
        <v>738</v>
      </c>
      <c r="L1033" s="49" t="s">
        <v>699</v>
      </c>
      <c r="M1033" s="49">
        <v>0.2</v>
      </c>
      <c r="N1033" s="49" t="s">
        <v>144</v>
      </c>
      <c r="O1033" s="49" t="s">
        <v>767</v>
      </c>
      <c r="P1033" s="52" t="s">
        <v>746</v>
      </c>
      <c r="Q1033" s="49" t="s">
        <v>683</v>
      </c>
      <c r="R1033" s="49" t="s">
        <v>458</v>
      </c>
      <c r="S1033" s="49" t="s">
        <v>684</v>
      </c>
      <c r="T1033" s="49" t="s">
        <v>1821</v>
      </c>
      <c r="U1033" s="49" t="s">
        <v>1824</v>
      </c>
      <c r="V1033" s="50" t="s">
        <v>1823</v>
      </c>
    </row>
    <row r="1034" spans="1:22" x14ac:dyDescent="0.3">
      <c r="A1034" s="51" t="s">
        <v>1423</v>
      </c>
      <c r="B1034" s="52" t="s">
        <v>981</v>
      </c>
      <c r="C1034" s="52" t="s">
        <v>1424</v>
      </c>
      <c r="D1034" s="52" t="s">
        <v>684</v>
      </c>
      <c r="E1034" s="52" t="s">
        <v>674</v>
      </c>
      <c r="F1034" s="52" t="s">
        <v>716</v>
      </c>
      <c r="G1034" s="52" t="s">
        <v>744</v>
      </c>
      <c r="H1034" s="52" t="s">
        <v>702</v>
      </c>
      <c r="I1034" s="52" t="s">
        <v>736</v>
      </c>
      <c r="J1034" s="52" t="s">
        <v>745</v>
      </c>
      <c r="K1034" s="52" t="s">
        <v>738</v>
      </c>
      <c r="L1034" s="52" t="s">
        <v>699</v>
      </c>
      <c r="M1034" s="52">
        <v>0.2</v>
      </c>
      <c r="N1034" s="52" t="s">
        <v>144</v>
      </c>
      <c r="O1034" s="52" t="s">
        <v>767</v>
      </c>
      <c r="P1034" s="52" t="s">
        <v>746</v>
      </c>
      <c r="Q1034" s="52" t="s">
        <v>683</v>
      </c>
      <c r="R1034" s="52" t="s">
        <v>458</v>
      </c>
      <c r="S1034" s="49" t="s">
        <v>684</v>
      </c>
      <c r="T1034" s="52" t="s">
        <v>1821</v>
      </c>
      <c r="U1034" s="52" t="s">
        <v>1824</v>
      </c>
      <c r="V1034" s="50" t="s">
        <v>1823</v>
      </c>
    </row>
    <row r="1035" spans="1:22" x14ac:dyDescent="0.3">
      <c r="A1035" s="48" t="s">
        <v>959</v>
      </c>
      <c r="B1035" s="49" t="s">
        <v>960</v>
      </c>
      <c r="C1035" s="49" t="s">
        <v>961</v>
      </c>
      <c r="D1035" s="49" t="s">
        <v>673</v>
      </c>
      <c r="E1035" s="49" t="s">
        <v>674</v>
      </c>
      <c r="F1035" s="49" t="s">
        <v>675</v>
      </c>
      <c r="G1035" s="49" t="s">
        <v>676</v>
      </c>
      <c r="H1035" s="49" t="s">
        <v>677</v>
      </c>
      <c r="I1035" s="49" t="s">
        <v>678</v>
      </c>
      <c r="J1035" s="49" t="s">
        <v>713</v>
      </c>
      <c r="K1035" s="49" t="s">
        <v>690</v>
      </c>
      <c r="L1035" s="49" t="s">
        <v>699</v>
      </c>
      <c r="M1035" s="49">
        <v>0.4</v>
      </c>
      <c r="N1035" s="49" t="s">
        <v>62</v>
      </c>
      <c r="O1035" s="49" t="s">
        <v>665</v>
      </c>
      <c r="P1035" s="49" t="s">
        <v>746</v>
      </c>
      <c r="Q1035" s="49" t="s">
        <v>683</v>
      </c>
      <c r="R1035" s="49" t="s">
        <v>458</v>
      </c>
      <c r="S1035" s="49" t="s">
        <v>684</v>
      </c>
      <c r="T1035" s="49" t="s">
        <v>1821</v>
      </c>
      <c r="U1035" s="49" t="s">
        <v>1824</v>
      </c>
      <c r="V1035" s="50" t="s">
        <v>1823</v>
      </c>
    </row>
    <row r="1036" spans="1:22" x14ac:dyDescent="0.3">
      <c r="A1036" s="51" t="s">
        <v>1406</v>
      </c>
      <c r="B1036" s="52" t="s">
        <v>45</v>
      </c>
      <c r="C1036" s="52" t="s">
        <v>1407</v>
      </c>
      <c r="D1036" s="52" t="s">
        <v>755</v>
      </c>
      <c r="E1036" s="52" t="s">
        <v>674</v>
      </c>
      <c r="F1036" s="52" t="s">
        <v>716</v>
      </c>
      <c r="G1036" s="52" t="s">
        <v>744</v>
      </c>
      <c r="H1036" s="52" t="s">
        <v>828</v>
      </c>
      <c r="I1036" s="49" t="s">
        <v>678</v>
      </c>
      <c r="J1036" s="52" t="s">
        <v>950</v>
      </c>
      <c r="K1036" s="52" t="s">
        <v>680</v>
      </c>
      <c r="L1036" s="52" t="s">
        <v>801</v>
      </c>
      <c r="M1036" s="52">
        <v>0.1</v>
      </c>
      <c r="N1036" s="52" t="s">
        <v>62</v>
      </c>
      <c r="O1036" s="52" t="s">
        <v>665</v>
      </c>
      <c r="P1036" s="52" t="s">
        <v>746</v>
      </c>
      <c r="Q1036" s="52" t="s">
        <v>683</v>
      </c>
      <c r="R1036" s="52" t="s">
        <v>458</v>
      </c>
      <c r="S1036" s="49" t="s">
        <v>684</v>
      </c>
      <c r="T1036" s="52" t="s">
        <v>1821</v>
      </c>
      <c r="U1036" s="52" t="s">
        <v>1824</v>
      </c>
      <c r="V1036" s="50" t="s">
        <v>1823</v>
      </c>
    </row>
    <row r="1037" spans="1:22" x14ac:dyDescent="0.3">
      <c r="A1037" s="48" t="s">
        <v>962</v>
      </c>
      <c r="B1037" s="49" t="s">
        <v>760</v>
      </c>
      <c r="C1037" s="49" t="s">
        <v>963</v>
      </c>
      <c r="D1037" s="49" t="s">
        <v>673</v>
      </c>
      <c r="E1037" s="49" t="s">
        <v>674</v>
      </c>
      <c r="F1037" s="49" t="s">
        <v>675</v>
      </c>
      <c r="G1037" s="49" t="s">
        <v>676</v>
      </c>
      <c r="H1037" s="49" t="s">
        <v>677</v>
      </c>
      <c r="I1037" s="49" t="s">
        <v>678</v>
      </c>
      <c r="J1037" s="49" t="s">
        <v>713</v>
      </c>
      <c r="K1037" s="49" t="s">
        <v>690</v>
      </c>
      <c r="L1037" s="49" t="s">
        <v>699</v>
      </c>
      <c r="M1037" s="49">
        <v>0.1</v>
      </c>
      <c r="N1037" s="49" t="s">
        <v>62</v>
      </c>
      <c r="O1037" s="49" t="s">
        <v>665</v>
      </c>
      <c r="P1037" s="49" t="s">
        <v>746</v>
      </c>
      <c r="Q1037" s="49" t="s">
        <v>683</v>
      </c>
      <c r="R1037" s="49" t="s">
        <v>458</v>
      </c>
      <c r="S1037" s="49" t="s">
        <v>684</v>
      </c>
      <c r="T1037" s="49" t="s">
        <v>1821</v>
      </c>
      <c r="U1037" s="49" t="s">
        <v>1824</v>
      </c>
      <c r="V1037" s="50" t="s">
        <v>1823</v>
      </c>
    </row>
    <row r="1038" spans="1:22" x14ac:dyDescent="0.3">
      <c r="A1038" s="51" t="s">
        <v>2379</v>
      </c>
      <c r="B1038" s="52" t="s">
        <v>2380</v>
      </c>
      <c r="C1038" s="52" t="s">
        <v>2381</v>
      </c>
      <c r="D1038" s="52" t="s">
        <v>755</v>
      </c>
      <c r="E1038" s="52" t="s">
        <v>674</v>
      </c>
      <c r="F1038" s="52" t="s">
        <v>675</v>
      </c>
      <c r="G1038" s="52" t="s">
        <v>676</v>
      </c>
      <c r="H1038" s="52" t="s">
        <v>677</v>
      </c>
      <c r="I1038" s="49" t="s">
        <v>688</v>
      </c>
      <c r="J1038" s="52" t="s">
        <v>774</v>
      </c>
      <c r="K1038" s="52" t="s">
        <v>680</v>
      </c>
      <c r="L1038" s="52" t="s">
        <v>681</v>
      </c>
      <c r="M1038" s="52">
        <v>0.1</v>
      </c>
      <c r="N1038" s="52" t="s">
        <v>62</v>
      </c>
      <c r="O1038" s="52" t="s">
        <v>665</v>
      </c>
      <c r="P1038" s="52" t="s">
        <v>746</v>
      </c>
      <c r="Q1038" s="52" t="s">
        <v>683</v>
      </c>
      <c r="R1038" s="52" t="s">
        <v>458</v>
      </c>
      <c r="S1038" s="49" t="s">
        <v>684</v>
      </c>
      <c r="T1038" s="52" t="s">
        <v>1821</v>
      </c>
      <c r="U1038" s="52" t="s">
        <v>1824</v>
      </c>
      <c r="V1038" s="50" t="s">
        <v>1823</v>
      </c>
    </row>
    <row r="1039" spans="1:22" x14ac:dyDescent="0.3">
      <c r="A1039" s="48" t="s">
        <v>694</v>
      </c>
      <c r="B1039" s="49" t="s">
        <v>695</v>
      </c>
      <c r="C1039" s="49" t="s">
        <v>696</v>
      </c>
      <c r="D1039" s="49" t="s">
        <v>673</v>
      </c>
      <c r="E1039" s="49" t="s">
        <v>674</v>
      </c>
      <c r="F1039" s="49" t="s">
        <v>675</v>
      </c>
      <c r="G1039" s="49" t="s">
        <v>676</v>
      </c>
      <c r="H1039" s="49" t="s">
        <v>677</v>
      </c>
      <c r="I1039" s="49" t="s">
        <v>697</v>
      </c>
      <c r="J1039" s="49" t="s">
        <v>698</v>
      </c>
      <c r="K1039" s="49" t="s">
        <v>690</v>
      </c>
      <c r="L1039" s="49" t="s">
        <v>699</v>
      </c>
      <c r="M1039" s="49">
        <v>0.3</v>
      </c>
      <c r="N1039" s="49" t="s">
        <v>62</v>
      </c>
      <c r="O1039" s="49" t="s">
        <v>665</v>
      </c>
      <c r="P1039" s="49" t="s">
        <v>746</v>
      </c>
      <c r="Q1039" s="49" t="s">
        <v>683</v>
      </c>
      <c r="R1039" s="49" t="s">
        <v>458</v>
      </c>
      <c r="S1039" s="49" t="s">
        <v>684</v>
      </c>
      <c r="T1039" s="49" t="s">
        <v>1821</v>
      </c>
      <c r="U1039" s="49" t="s">
        <v>1824</v>
      </c>
      <c r="V1039" s="50" t="s">
        <v>1823</v>
      </c>
    </row>
    <row r="1040" spans="1:22" x14ac:dyDescent="0.3">
      <c r="A1040" s="51" t="s">
        <v>1408</v>
      </c>
      <c r="B1040" s="52" t="s">
        <v>1409</v>
      </c>
      <c r="C1040" s="52" t="s">
        <v>1410</v>
      </c>
      <c r="D1040" s="52" t="s">
        <v>755</v>
      </c>
      <c r="E1040" s="52" t="s">
        <v>674</v>
      </c>
      <c r="F1040" s="52" t="s">
        <v>675</v>
      </c>
      <c r="G1040" s="52" t="s">
        <v>676</v>
      </c>
      <c r="H1040" s="52" t="s">
        <v>677</v>
      </c>
      <c r="I1040" s="49" t="s">
        <v>678</v>
      </c>
      <c r="J1040" s="52" t="s">
        <v>950</v>
      </c>
      <c r="K1040" s="52" t="s">
        <v>680</v>
      </c>
      <c r="L1040" s="52" t="s">
        <v>699</v>
      </c>
      <c r="M1040" s="52">
        <v>0.2</v>
      </c>
      <c r="N1040" s="52" t="s">
        <v>37</v>
      </c>
      <c r="O1040" s="52" t="s">
        <v>665</v>
      </c>
      <c r="P1040" s="52" t="s">
        <v>746</v>
      </c>
      <c r="Q1040" s="52" t="s">
        <v>683</v>
      </c>
      <c r="R1040" s="52" t="s">
        <v>458</v>
      </c>
      <c r="S1040" s="49" t="s">
        <v>684</v>
      </c>
      <c r="T1040" s="52" t="s">
        <v>1821</v>
      </c>
      <c r="U1040" s="52" t="s">
        <v>1824</v>
      </c>
      <c r="V1040" s="50" t="s">
        <v>1823</v>
      </c>
    </row>
    <row r="1041" spans="1:22" x14ac:dyDescent="0.3">
      <c r="A1041" s="48" t="s">
        <v>1411</v>
      </c>
      <c r="B1041" s="49" t="s">
        <v>1409</v>
      </c>
      <c r="C1041" s="49" t="s">
        <v>1412</v>
      </c>
      <c r="D1041" s="49" t="s">
        <v>755</v>
      </c>
      <c r="E1041" s="49" t="s">
        <v>674</v>
      </c>
      <c r="F1041" s="49" t="s">
        <v>675</v>
      </c>
      <c r="G1041" s="49" t="s">
        <v>676</v>
      </c>
      <c r="H1041" s="49" t="s">
        <v>677</v>
      </c>
      <c r="I1041" s="49" t="s">
        <v>678</v>
      </c>
      <c r="J1041" s="49" t="s">
        <v>950</v>
      </c>
      <c r="K1041" s="49" t="s">
        <v>680</v>
      </c>
      <c r="L1041" s="49" t="s">
        <v>699</v>
      </c>
      <c r="M1041" s="49">
        <v>0.2</v>
      </c>
      <c r="N1041" s="49" t="s">
        <v>37</v>
      </c>
      <c r="O1041" s="49" t="s">
        <v>665</v>
      </c>
      <c r="P1041" s="49" t="s">
        <v>746</v>
      </c>
      <c r="Q1041" s="49" t="s">
        <v>683</v>
      </c>
      <c r="R1041" s="49" t="s">
        <v>458</v>
      </c>
      <c r="S1041" s="49" t="s">
        <v>684</v>
      </c>
      <c r="T1041" s="49" t="s">
        <v>1821</v>
      </c>
      <c r="U1041" s="49" t="s">
        <v>1824</v>
      </c>
      <c r="V1041" s="50" t="s">
        <v>1823</v>
      </c>
    </row>
    <row r="1042" spans="1:22" x14ac:dyDescent="0.3">
      <c r="A1042" s="51" t="s">
        <v>1416</v>
      </c>
      <c r="B1042" s="52" t="s">
        <v>1409</v>
      </c>
      <c r="C1042" s="52" t="s">
        <v>1417</v>
      </c>
      <c r="D1042" s="52" t="s">
        <v>755</v>
      </c>
      <c r="E1042" s="52" t="s">
        <v>674</v>
      </c>
      <c r="F1042" s="52" t="s">
        <v>675</v>
      </c>
      <c r="G1042" s="52" t="s">
        <v>744</v>
      </c>
      <c r="H1042" s="52" t="s">
        <v>677</v>
      </c>
      <c r="I1042" s="49" t="s">
        <v>678</v>
      </c>
      <c r="J1042" s="52" t="s">
        <v>950</v>
      </c>
      <c r="K1042" s="52" t="s">
        <v>680</v>
      </c>
      <c r="L1042" s="52" t="s">
        <v>699</v>
      </c>
      <c r="M1042" s="52">
        <v>0.2</v>
      </c>
      <c r="N1042" s="52" t="s">
        <v>37</v>
      </c>
      <c r="O1042" s="52" t="s">
        <v>665</v>
      </c>
      <c r="P1042" s="52" t="s">
        <v>746</v>
      </c>
      <c r="Q1042" s="52" t="s">
        <v>683</v>
      </c>
      <c r="R1042" s="52" t="s">
        <v>458</v>
      </c>
      <c r="S1042" s="49" t="s">
        <v>684</v>
      </c>
      <c r="T1042" s="52" t="s">
        <v>1821</v>
      </c>
      <c r="U1042" s="52" t="s">
        <v>1824</v>
      </c>
      <c r="V1042" s="50" t="s">
        <v>1823</v>
      </c>
    </row>
    <row r="1043" spans="1:22" x14ac:dyDescent="0.3">
      <c r="A1043" s="48" t="s">
        <v>1413</v>
      </c>
      <c r="B1043" s="49" t="s">
        <v>45</v>
      </c>
      <c r="C1043" s="49" t="s">
        <v>1414</v>
      </c>
      <c r="D1043" s="49" t="s">
        <v>755</v>
      </c>
      <c r="E1043" s="49" t="s">
        <v>674</v>
      </c>
      <c r="F1043" s="49" t="s">
        <v>1415</v>
      </c>
      <c r="G1043" s="49" t="s">
        <v>1060</v>
      </c>
      <c r="H1043" s="49" t="s">
        <v>702</v>
      </c>
      <c r="I1043" s="49" t="s">
        <v>678</v>
      </c>
      <c r="J1043" s="49" t="s">
        <v>950</v>
      </c>
      <c r="K1043" s="49" t="s">
        <v>680</v>
      </c>
      <c r="L1043" s="49" t="s">
        <v>699</v>
      </c>
      <c r="M1043" s="49">
        <v>0.2</v>
      </c>
      <c r="N1043" s="49" t="s">
        <v>37</v>
      </c>
      <c r="O1043" s="49" t="s">
        <v>665</v>
      </c>
      <c r="P1043" s="49" t="s">
        <v>746</v>
      </c>
      <c r="Q1043" s="49" t="s">
        <v>683</v>
      </c>
      <c r="R1043" s="49" t="s">
        <v>458</v>
      </c>
      <c r="S1043" s="49" t="s">
        <v>684</v>
      </c>
      <c r="T1043" s="49" t="s">
        <v>1821</v>
      </c>
      <c r="U1043" s="49" t="s">
        <v>1824</v>
      </c>
      <c r="V1043" s="50" t="s">
        <v>1823</v>
      </c>
    </row>
    <row r="1044" spans="1:22" x14ac:dyDescent="0.3">
      <c r="A1044" s="51" t="s">
        <v>1418</v>
      </c>
      <c r="B1044" s="52" t="s">
        <v>1409</v>
      </c>
      <c r="C1044" s="52" t="s">
        <v>1419</v>
      </c>
      <c r="D1044" s="52" t="s">
        <v>755</v>
      </c>
      <c r="E1044" s="52" t="s">
        <v>674</v>
      </c>
      <c r="F1044" s="52" t="s">
        <v>675</v>
      </c>
      <c r="G1044" s="52" t="s">
        <v>676</v>
      </c>
      <c r="H1044" s="52" t="s">
        <v>677</v>
      </c>
      <c r="I1044" s="49" t="s">
        <v>678</v>
      </c>
      <c r="J1044" s="52" t="s">
        <v>950</v>
      </c>
      <c r="K1044" s="52" t="s">
        <v>680</v>
      </c>
      <c r="L1044" s="52" t="s">
        <v>801</v>
      </c>
      <c r="M1044" s="52">
        <v>0.2</v>
      </c>
      <c r="N1044" s="52" t="s">
        <v>37</v>
      </c>
      <c r="O1044" s="52" t="s">
        <v>665</v>
      </c>
      <c r="P1044" s="52" t="s">
        <v>746</v>
      </c>
      <c r="Q1044" s="52" t="s">
        <v>683</v>
      </c>
      <c r="R1044" s="52" t="s">
        <v>458</v>
      </c>
      <c r="S1044" s="49" t="s">
        <v>684</v>
      </c>
      <c r="T1044" s="52" t="s">
        <v>1821</v>
      </c>
      <c r="U1044" s="52" t="s">
        <v>1824</v>
      </c>
      <c r="V1044" s="50" t="s">
        <v>1823</v>
      </c>
    </row>
    <row r="1045" spans="1:22" x14ac:dyDescent="0.3">
      <c r="A1045" s="48" t="s">
        <v>814</v>
      </c>
      <c r="B1045" s="49" t="s">
        <v>749</v>
      </c>
      <c r="C1045" s="49" t="s">
        <v>815</v>
      </c>
      <c r="D1045" s="49" t="s">
        <v>673</v>
      </c>
      <c r="E1045" s="49" t="s">
        <v>674</v>
      </c>
      <c r="F1045" s="49" t="s">
        <v>716</v>
      </c>
      <c r="G1045" s="49" t="s">
        <v>744</v>
      </c>
      <c r="H1045" s="49" t="s">
        <v>677</v>
      </c>
      <c r="I1045" s="49" t="s">
        <v>678</v>
      </c>
      <c r="J1045" s="49" t="s">
        <v>751</v>
      </c>
      <c r="K1045" s="49" t="s">
        <v>690</v>
      </c>
      <c r="L1045" s="49" t="s">
        <v>681</v>
      </c>
      <c r="M1045" s="49">
        <v>0.7</v>
      </c>
      <c r="N1045" s="49" t="s">
        <v>207</v>
      </c>
      <c r="O1045" s="49" t="s">
        <v>665</v>
      </c>
      <c r="P1045" s="49" t="s">
        <v>746</v>
      </c>
      <c r="Q1045" s="49" t="s">
        <v>683</v>
      </c>
      <c r="R1045" s="49" t="s">
        <v>458</v>
      </c>
      <c r="S1045" s="49" t="s">
        <v>684</v>
      </c>
      <c r="T1045" s="49" t="s">
        <v>1821</v>
      </c>
      <c r="U1045" s="49" t="s">
        <v>1824</v>
      </c>
      <c r="V1045" s="50" t="s">
        <v>1823</v>
      </c>
    </row>
    <row r="1046" spans="1:22" x14ac:dyDescent="0.3">
      <c r="A1046" s="51" t="s">
        <v>1061</v>
      </c>
      <c r="B1046" s="52" t="s">
        <v>864</v>
      </c>
      <c r="C1046" s="52" t="s">
        <v>1062</v>
      </c>
      <c r="D1046" s="52" t="s">
        <v>755</v>
      </c>
      <c r="E1046" s="52" t="s">
        <v>674</v>
      </c>
      <c r="F1046" s="52" t="s">
        <v>675</v>
      </c>
      <c r="G1046" s="52" t="s">
        <v>676</v>
      </c>
      <c r="H1046" s="52" t="s">
        <v>702</v>
      </c>
      <c r="I1046" s="49" t="s">
        <v>678</v>
      </c>
      <c r="J1046" s="52" t="s">
        <v>774</v>
      </c>
      <c r="K1046" s="52" t="s">
        <v>680</v>
      </c>
      <c r="L1046" s="52" t="s">
        <v>699</v>
      </c>
      <c r="M1046" s="52">
        <v>0.3</v>
      </c>
      <c r="N1046" s="52" t="s">
        <v>207</v>
      </c>
      <c r="O1046" s="52" t="s">
        <v>665</v>
      </c>
      <c r="P1046" s="52" t="s">
        <v>746</v>
      </c>
      <c r="Q1046" s="52" t="s">
        <v>683</v>
      </c>
      <c r="R1046" s="52" t="s">
        <v>458</v>
      </c>
      <c r="S1046" s="49" t="s">
        <v>684</v>
      </c>
      <c r="T1046" s="52" t="s">
        <v>1821</v>
      </c>
      <c r="U1046" s="52" t="s">
        <v>1824</v>
      </c>
      <c r="V1046" s="50" t="s">
        <v>1823</v>
      </c>
    </row>
    <row r="1047" spans="1:22" x14ac:dyDescent="0.3">
      <c r="A1047" s="48" t="s">
        <v>2382</v>
      </c>
      <c r="B1047" s="49" t="s">
        <v>470</v>
      </c>
      <c r="C1047" s="49" t="s">
        <v>2383</v>
      </c>
      <c r="D1047" s="49" t="s">
        <v>684</v>
      </c>
      <c r="E1047" s="49" t="s">
        <v>674</v>
      </c>
      <c r="F1047" s="49" t="s">
        <v>675</v>
      </c>
      <c r="G1047" s="49" t="s">
        <v>676</v>
      </c>
      <c r="H1047" s="49" t="s">
        <v>702</v>
      </c>
      <c r="I1047" s="49" t="s">
        <v>736</v>
      </c>
      <c r="J1047" s="49" t="s">
        <v>745</v>
      </c>
      <c r="K1047" s="49" t="s">
        <v>738</v>
      </c>
      <c r="L1047" s="49" t="s">
        <v>699</v>
      </c>
      <c r="M1047" s="49">
        <v>0.2</v>
      </c>
      <c r="N1047" s="49" t="s">
        <v>144</v>
      </c>
      <c r="O1047" s="49" t="s">
        <v>767</v>
      </c>
      <c r="P1047" s="52" t="s">
        <v>746</v>
      </c>
      <c r="Q1047" s="49" t="s">
        <v>683</v>
      </c>
      <c r="R1047" s="49" t="s">
        <v>458</v>
      </c>
      <c r="S1047" s="49" t="s">
        <v>684</v>
      </c>
      <c r="T1047" s="49" t="s">
        <v>1821</v>
      </c>
      <c r="U1047" s="49" t="s">
        <v>1824</v>
      </c>
      <c r="V1047" s="50" t="s">
        <v>1823</v>
      </c>
    </row>
    <row r="1048" spans="1:22" x14ac:dyDescent="0.3">
      <c r="A1048" s="51" t="s">
        <v>2384</v>
      </c>
      <c r="B1048" s="52" t="s">
        <v>470</v>
      </c>
      <c r="C1048" s="52" t="s">
        <v>2385</v>
      </c>
      <c r="D1048" s="52" t="s">
        <v>684</v>
      </c>
      <c r="E1048" s="52" t="s">
        <v>674</v>
      </c>
      <c r="F1048" s="52" t="s">
        <v>716</v>
      </c>
      <c r="G1048" s="52" t="s">
        <v>744</v>
      </c>
      <c r="H1048" s="52" t="s">
        <v>702</v>
      </c>
      <c r="I1048" s="52" t="s">
        <v>736</v>
      </c>
      <c r="J1048" s="52" t="s">
        <v>745</v>
      </c>
      <c r="K1048" s="52" t="s">
        <v>738</v>
      </c>
      <c r="L1048" s="52" t="s">
        <v>699</v>
      </c>
      <c r="M1048" s="52">
        <v>0.1</v>
      </c>
      <c r="N1048" s="52" t="s">
        <v>412</v>
      </c>
      <c r="O1048" s="52" t="s">
        <v>665</v>
      </c>
      <c r="P1048" s="52" t="s">
        <v>746</v>
      </c>
      <c r="Q1048" s="52" t="s">
        <v>683</v>
      </c>
      <c r="R1048" s="52" t="s">
        <v>458</v>
      </c>
      <c r="S1048" s="49" t="s">
        <v>684</v>
      </c>
      <c r="T1048" s="52" t="s">
        <v>1821</v>
      </c>
      <c r="U1048" s="52" t="s">
        <v>1824</v>
      </c>
      <c r="V1048" s="50" t="s">
        <v>1823</v>
      </c>
    </row>
    <row r="1049" spans="1:22" x14ac:dyDescent="0.3">
      <c r="A1049" s="48" t="s">
        <v>1420</v>
      </c>
      <c r="B1049" s="49" t="s">
        <v>981</v>
      </c>
      <c r="C1049" s="49" t="s">
        <v>1421</v>
      </c>
      <c r="D1049" s="49" t="s">
        <v>684</v>
      </c>
      <c r="E1049" s="49" t="s">
        <v>674</v>
      </c>
      <c r="F1049" s="49" t="s">
        <v>716</v>
      </c>
      <c r="G1049" s="49" t="s">
        <v>744</v>
      </c>
      <c r="H1049" s="49" t="s">
        <v>702</v>
      </c>
      <c r="I1049" s="49" t="s">
        <v>736</v>
      </c>
      <c r="J1049" s="49" t="s">
        <v>745</v>
      </c>
      <c r="K1049" s="49" t="s">
        <v>738</v>
      </c>
      <c r="L1049" s="49" t="s">
        <v>699</v>
      </c>
      <c r="M1049" s="49">
        <v>0.2</v>
      </c>
      <c r="N1049" s="49" t="s">
        <v>412</v>
      </c>
      <c r="O1049" s="49" t="s">
        <v>665</v>
      </c>
      <c r="P1049" s="49" t="s">
        <v>746</v>
      </c>
      <c r="Q1049" s="49" t="s">
        <v>683</v>
      </c>
      <c r="R1049" s="49" t="s">
        <v>458</v>
      </c>
      <c r="S1049" s="49" t="s">
        <v>684</v>
      </c>
      <c r="T1049" s="49" t="s">
        <v>1821</v>
      </c>
      <c r="U1049" s="49" t="s">
        <v>1824</v>
      </c>
      <c r="V1049" s="50" t="s">
        <v>1823</v>
      </c>
    </row>
    <row r="1050" spans="1:22" x14ac:dyDescent="0.3">
      <c r="A1050" s="51" t="s">
        <v>1512</v>
      </c>
      <c r="B1050" s="52" t="s">
        <v>470</v>
      </c>
      <c r="C1050" s="52" t="s">
        <v>1513</v>
      </c>
      <c r="D1050" s="52" t="s">
        <v>684</v>
      </c>
      <c r="E1050" s="52" t="s">
        <v>674</v>
      </c>
      <c r="F1050" s="52" t="s">
        <v>716</v>
      </c>
      <c r="G1050" s="52" t="s">
        <v>744</v>
      </c>
      <c r="H1050" s="52" t="s">
        <v>702</v>
      </c>
      <c r="I1050" s="52" t="s">
        <v>736</v>
      </c>
      <c r="J1050" s="52" t="s">
        <v>745</v>
      </c>
      <c r="K1050" s="52" t="s">
        <v>738</v>
      </c>
      <c r="L1050" s="52" t="s">
        <v>699</v>
      </c>
      <c r="M1050" s="52">
        <v>0.2</v>
      </c>
      <c r="N1050" s="52" t="s">
        <v>412</v>
      </c>
      <c r="O1050" s="52" t="s">
        <v>665</v>
      </c>
      <c r="P1050" s="52" t="s">
        <v>746</v>
      </c>
      <c r="Q1050" s="52" t="s">
        <v>683</v>
      </c>
      <c r="R1050" s="52" t="s">
        <v>458</v>
      </c>
      <c r="S1050" s="49" t="s">
        <v>684</v>
      </c>
      <c r="T1050" s="52" t="s">
        <v>1821</v>
      </c>
      <c r="U1050" s="52" t="s">
        <v>1824</v>
      </c>
      <c r="V1050" s="50" t="s">
        <v>1823</v>
      </c>
    </row>
    <row r="1051" spans="1:22" x14ac:dyDescent="0.3">
      <c r="A1051" s="48" t="s">
        <v>818</v>
      </c>
      <c r="B1051" s="49" t="s">
        <v>470</v>
      </c>
      <c r="C1051" s="49" t="s">
        <v>819</v>
      </c>
      <c r="D1051" s="49" t="s">
        <v>684</v>
      </c>
      <c r="E1051" s="49" t="s">
        <v>674</v>
      </c>
      <c r="F1051" s="49" t="s">
        <v>716</v>
      </c>
      <c r="G1051" s="49" t="s">
        <v>724</v>
      </c>
      <c r="H1051" s="49" t="s">
        <v>677</v>
      </c>
      <c r="I1051" s="49" t="s">
        <v>678</v>
      </c>
      <c r="J1051" s="49" t="s">
        <v>745</v>
      </c>
      <c r="K1051" s="49" t="s">
        <v>738</v>
      </c>
      <c r="L1051" s="49" t="s">
        <v>699</v>
      </c>
      <c r="M1051" s="49">
        <v>0.2</v>
      </c>
      <c r="N1051" s="49" t="s">
        <v>412</v>
      </c>
      <c r="O1051" s="49" t="s">
        <v>665</v>
      </c>
      <c r="P1051" s="49" t="s">
        <v>746</v>
      </c>
      <c r="Q1051" s="49" t="s">
        <v>683</v>
      </c>
      <c r="R1051" s="49" t="s">
        <v>458</v>
      </c>
      <c r="S1051" s="49" t="s">
        <v>684</v>
      </c>
      <c r="T1051" s="49" t="s">
        <v>1821</v>
      </c>
      <c r="U1051" s="49" t="s">
        <v>1824</v>
      </c>
      <c r="V1051" s="50" t="s">
        <v>1823</v>
      </c>
    </row>
    <row r="1052" spans="1:22" x14ac:dyDescent="0.3">
      <c r="A1052" s="51" t="s">
        <v>816</v>
      </c>
      <c r="B1052" s="52" t="s">
        <v>470</v>
      </c>
      <c r="C1052" s="52" t="s">
        <v>817</v>
      </c>
      <c r="D1052" s="52" t="s">
        <v>684</v>
      </c>
      <c r="E1052" s="52" t="s">
        <v>674</v>
      </c>
      <c r="F1052" s="52" t="s">
        <v>675</v>
      </c>
      <c r="G1052" s="52" t="s">
        <v>724</v>
      </c>
      <c r="H1052" s="52" t="s">
        <v>677</v>
      </c>
      <c r="I1052" s="49" t="s">
        <v>678</v>
      </c>
      <c r="J1052" s="52" t="s">
        <v>745</v>
      </c>
      <c r="K1052" s="52" t="s">
        <v>738</v>
      </c>
      <c r="L1052" s="52" t="s">
        <v>699</v>
      </c>
      <c r="M1052" s="52">
        <v>0.1</v>
      </c>
      <c r="N1052" s="52" t="s">
        <v>412</v>
      </c>
      <c r="O1052" s="52" t="s">
        <v>665</v>
      </c>
      <c r="P1052" s="52" t="s">
        <v>746</v>
      </c>
      <c r="Q1052" s="52" t="s">
        <v>683</v>
      </c>
      <c r="R1052" s="52" t="s">
        <v>458</v>
      </c>
      <c r="S1052" s="49" t="s">
        <v>684</v>
      </c>
      <c r="T1052" s="52" t="s">
        <v>1821</v>
      </c>
      <c r="U1052" s="52" t="s">
        <v>1824</v>
      </c>
      <c r="V1052" s="50" t="s">
        <v>1823</v>
      </c>
    </row>
    <row r="1053" spans="1:22" x14ac:dyDescent="0.3">
      <c r="A1053" s="48" t="s">
        <v>1245</v>
      </c>
      <c r="B1053" s="49" t="s">
        <v>470</v>
      </c>
      <c r="C1053" s="49" t="s">
        <v>1246</v>
      </c>
      <c r="D1053" s="49" t="s">
        <v>684</v>
      </c>
      <c r="E1053" s="49" t="s">
        <v>674</v>
      </c>
      <c r="F1053" s="49" t="s">
        <v>716</v>
      </c>
      <c r="G1053" s="49" t="s">
        <v>744</v>
      </c>
      <c r="H1053" s="49" t="s">
        <v>702</v>
      </c>
      <c r="I1053" s="49" t="s">
        <v>678</v>
      </c>
      <c r="J1053" s="49" t="s">
        <v>745</v>
      </c>
      <c r="K1053" s="49" t="s">
        <v>738</v>
      </c>
      <c r="L1053" s="49" t="s">
        <v>699</v>
      </c>
      <c r="M1053" s="49">
        <v>0.2</v>
      </c>
      <c r="N1053" s="49" t="s">
        <v>412</v>
      </c>
      <c r="O1053" s="49" t="s">
        <v>665</v>
      </c>
      <c r="P1053" s="49" t="s">
        <v>746</v>
      </c>
      <c r="Q1053" s="49" t="s">
        <v>683</v>
      </c>
      <c r="R1053" s="49" t="s">
        <v>458</v>
      </c>
      <c r="S1053" s="49" t="s">
        <v>684</v>
      </c>
      <c r="T1053" s="49" t="s">
        <v>1821</v>
      </c>
      <c r="U1053" s="49" t="s">
        <v>1824</v>
      </c>
      <c r="V1053" s="50" t="s">
        <v>1823</v>
      </c>
    </row>
    <row r="1054" spans="1:22" x14ac:dyDescent="0.3">
      <c r="A1054" s="51" t="s">
        <v>2359</v>
      </c>
      <c r="B1054" s="52" t="s">
        <v>470</v>
      </c>
      <c r="C1054" s="52" t="s">
        <v>2360</v>
      </c>
      <c r="D1054" s="52" t="s">
        <v>684</v>
      </c>
      <c r="E1054" s="52" t="s">
        <v>674</v>
      </c>
      <c r="F1054" s="52" t="s">
        <v>716</v>
      </c>
      <c r="G1054" s="52" t="s">
        <v>724</v>
      </c>
      <c r="H1054" s="52" t="s">
        <v>702</v>
      </c>
      <c r="I1054" s="52" t="s">
        <v>736</v>
      </c>
      <c r="J1054" s="52" t="s">
        <v>745</v>
      </c>
      <c r="K1054" s="52" t="s">
        <v>738</v>
      </c>
      <c r="L1054" s="52" t="s">
        <v>699</v>
      </c>
      <c r="M1054" s="52">
        <v>0.3</v>
      </c>
      <c r="N1054" s="52" t="s">
        <v>35</v>
      </c>
      <c r="O1054" s="52" t="s">
        <v>665</v>
      </c>
      <c r="P1054" s="52" t="s">
        <v>746</v>
      </c>
      <c r="Q1054" s="52" t="s">
        <v>683</v>
      </c>
      <c r="R1054" s="52" t="s">
        <v>458</v>
      </c>
      <c r="S1054" s="49" t="s">
        <v>684</v>
      </c>
      <c r="T1054" s="52" t="s">
        <v>1821</v>
      </c>
      <c r="U1054" s="52" t="s">
        <v>1824</v>
      </c>
      <c r="V1054" s="50" t="s">
        <v>1823</v>
      </c>
    </row>
    <row r="1055" spans="1:22" x14ac:dyDescent="0.3">
      <c r="A1055" s="48" t="s">
        <v>2367</v>
      </c>
      <c r="B1055" s="49" t="s">
        <v>470</v>
      </c>
      <c r="C1055" s="49" t="s">
        <v>2368</v>
      </c>
      <c r="D1055" s="49" t="s">
        <v>684</v>
      </c>
      <c r="E1055" s="49" t="s">
        <v>674</v>
      </c>
      <c r="F1055" s="49" t="s">
        <v>716</v>
      </c>
      <c r="G1055" s="49" t="s">
        <v>724</v>
      </c>
      <c r="H1055" s="49" t="s">
        <v>702</v>
      </c>
      <c r="I1055" s="49" t="s">
        <v>736</v>
      </c>
      <c r="J1055" s="49" t="s">
        <v>745</v>
      </c>
      <c r="K1055" s="49" t="s">
        <v>738</v>
      </c>
      <c r="L1055" s="49" t="s">
        <v>699</v>
      </c>
      <c r="M1055" s="49">
        <v>0.3</v>
      </c>
      <c r="N1055" s="49" t="s">
        <v>35</v>
      </c>
      <c r="O1055" s="49" t="s">
        <v>665</v>
      </c>
      <c r="P1055" s="49" t="s">
        <v>746</v>
      </c>
      <c r="Q1055" s="49" t="s">
        <v>683</v>
      </c>
      <c r="R1055" s="49" t="s">
        <v>458</v>
      </c>
      <c r="S1055" s="49" t="s">
        <v>684</v>
      </c>
      <c r="T1055" s="49" t="s">
        <v>1821</v>
      </c>
      <c r="U1055" s="49" t="s">
        <v>1824</v>
      </c>
      <c r="V1055" s="50" t="s">
        <v>1823</v>
      </c>
    </row>
    <row r="1056" spans="1:22" x14ac:dyDescent="0.3">
      <c r="A1056" s="51" t="s">
        <v>2365</v>
      </c>
      <c r="B1056" s="52" t="s">
        <v>470</v>
      </c>
      <c r="C1056" s="52" t="s">
        <v>2366</v>
      </c>
      <c r="D1056" s="52" t="s">
        <v>684</v>
      </c>
      <c r="E1056" s="52" t="s">
        <v>674</v>
      </c>
      <c r="F1056" s="52" t="s">
        <v>716</v>
      </c>
      <c r="G1056" s="52" t="s">
        <v>724</v>
      </c>
      <c r="H1056" s="52" t="s">
        <v>702</v>
      </c>
      <c r="I1056" s="52" t="s">
        <v>736</v>
      </c>
      <c r="J1056" s="52" t="s">
        <v>745</v>
      </c>
      <c r="K1056" s="52" t="s">
        <v>738</v>
      </c>
      <c r="L1056" s="52" t="s">
        <v>699</v>
      </c>
      <c r="M1056" s="52">
        <v>0.4</v>
      </c>
      <c r="N1056" s="52" t="s">
        <v>35</v>
      </c>
      <c r="O1056" s="52" t="s">
        <v>665</v>
      </c>
      <c r="P1056" s="52" t="s">
        <v>746</v>
      </c>
      <c r="Q1056" s="52" t="s">
        <v>683</v>
      </c>
      <c r="R1056" s="52" t="s">
        <v>458</v>
      </c>
      <c r="S1056" s="49" t="s">
        <v>684</v>
      </c>
      <c r="T1056" s="52" t="s">
        <v>1821</v>
      </c>
      <c r="U1056" s="52" t="s">
        <v>1824</v>
      </c>
      <c r="V1056" s="50" t="s">
        <v>1823</v>
      </c>
    </row>
    <row r="1057" spans="1:22" x14ac:dyDescent="0.3">
      <c r="A1057" s="48" t="s">
        <v>1024</v>
      </c>
      <c r="B1057" s="49" t="s">
        <v>154</v>
      </c>
      <c r="C1057" s="49" t="s">
        <v>1025</v>
      </c>
      <c r="D1057" s="49" t="s">
        <v>673</v>
      </c>
      <c r="E1057" s="49" t="s">
        <v>674</v>
      </c>
      <c r="F1057" s="49" t="s">
        <v>675</v>
      </c>
      <c r="G1057" s="49" t="s">
        <v>676</v>
      </c>
      <c r="H1057" s="49" t="s">
        <v>677</v>
      </c>
      <c r="I1057" s="49" t="s">
        <v>688</v>
      </c>
      <c r="J1057" s="49" t="s">
        <v>713</v>
      </c>
      <c r="K1057" s="49" t="s">
        <v>690</v>
      </c>
      <c r="L1057" s="49" t="s">
        <v>681</v>
      </c>
      <c r="M1057" s="49">
        <v>0.1</v>
      </c>
      <c r="N1057" s="49" t="s">
        <v>512</v>
      </c>
      <c r="O1057" s="49" t="s">
        <v>665</v>
      </c>
      <c r="P1057" s="49" t="s">
        <v>746</v>
      </c>
      <c r="Q1057" s="49" t="s">
        <v>683</v>
      </c>
      <c r="R1057" s="49" t="s">
        <v>458</v>
      </c>
      <c r="S1057" s="49" t="s">
        <v>684</v>
      </c>
      <c r="T1057" s="49" t="s">
        <v>1821</v>
      </c>
      <c r="U1057" s="49" t="s">
        <v>1824</v>
      </c>
      <c r="V1057" s="50" t="s">
        <v>1823</v>
      </c>
    </row>
    <row r="1058" spans="1:22" x14ac:dyDescent="0.3">
      <c r="A1058" s="51" t="s">
        <v>1016</v>
      </c>
      <c r="B1058" s="52" t="s">
        <v>955</v>
      </c>
      <c r="C1058" s="52" t="s">
        <v>1017</v>
      </c>
      <c r="D1058" s="52" t="s">
        <v>673</v>
      </c>
      <c r="E1058" s="52" t="s">
        <v>674</v>
      </c>
      <c r="F1058" s="52" t="s">
        <v>675</v>
      </c>
      <c r="G1058" s="52" t="s">
        <v>676</v>
      </c>
      <c r="H1058" s="52" t="s">
        <v>677</v>
      </c>
      <c r="I1058" s="49" t="s">
        <v>688</v>
      </c>
      <c r="J1058" s="52" t="s">
        <v>713</v>
      </c>
      <c r="K1058" s="52" t="s">
        <v>690</v>
      </c>
      <c r="L1058" s="52" t="s">
        <v>699</v>
      </c>
      <c r="M1058" s="52">
        <v>0.4</v>
      </c>
      <c r="N1058" s="52" t="s">
        <v>512</v>
      </c>
      <c r="O1058" s="52" t="s">
        <v>665</v>
      </c>
      <c r="P1058" s="52" t="s">
        <v>746</v>
      </c>
      <c r="Q1058" s="52" t="s">
        <v>683</v>
      </c>
      <c r="R1058" s="52" t="s">
        <v>458</v>
      </c>
      <c r="S1058" s="49" t="s">
        <v>684</v>
      </c>
      <c r="T1058" s="52" t="s">
        <v>1821</v>
      </c>
      <c r="U1058" s="52" t="s">
        <v>1824</v>
      </c>
      <c r="V1058" s="50" t="s">
        <v>1823</v>
      </c>
    </row>
    <row r="1059" spans="1:22" x14ac:dyDescent="0.3">
      <c r="A1059" s="48" t="s">
        <v>2379</v>
      </c>
      <c r="B1059" s="49" t="s">
        <v>2380</v>
      </c>
      <c r="C1059" s="49" t="s">
        <v>2381</v>
      </c>
      <c r="D1059" s="49" t="s">
        <v>755</v>
      </c>
      <c r="E1059" s="49" t="s">
        <v>674</v>
      </c>
      <c r="F1059" s="49" t="s">
        <v>675</v>
      </c>
      <c r="G1059" s="49" t="s">
        <v>676</v>
      </c>
      <c r="H1059" s="49" t="s">
        <v>677</v>
      </c>
      <c r="I1059" s="49" t="s">
        <v>688</v>
      </c>
      <c r="J1059" s="49" t="s">
        <v>774</v>
      </c>
      <c r="K1059" s="49" t="s">
        <v>680</v>
      </c>
      <c r="L1059" s="49" t="s">
        <v>681</v>
      </c>
      <c r="M1059" s="49">
        <v>0.1</v>
      </c>
      <c r="N1059" s="49" t="s">
        <v>512</v>
      </c>
      <c r="O1059" s="49" t="s">
        <v>665</v>
      </c>
      <c r="P1059" s="49" t="s">
        <v>746</v>
      </c>
      <c r="Q1059" s="49" t="s">
        <v>683</v>
      </c>
      <c r="R1059" s="49" t="s">
        <v>458</v>
      </c>
      <c r="S1059" s="49" t="s">
        <v>684</v>
      </c>
      <c r="T1059" s="49" t="s">
        <v>1821</v>
      </c>
      <c r="U1059" s="49" t="s">
        <v>1824</v>
      </c>
      <c r="V1059" s="50" t="s">
        <v>1823</v>
      </c>
    </row>
    <row r="1060" spans="1:22" x14ac:dyDescent="0.3">
      <c r="A1060" s="51" t="s">
        <v>954</v>
      </c>
      <c r="B1060" s="52" t="s">
        <v>955</v>
      </c>
      <c r="C1060" s="52" t="s">
        <v>956</v>
      </c>
      <c r="D1060" s="52" t="s">
        <v>673</v>
      </c>
      <c r="E1060" s="52" t="s">
        <v>674</v>
      </c>
      <c r="F1060" s="52" t="s">
        <v>675</v>
      </c>
      <c r="G1060" s="52" t="s">
        <v>676</v>
      </c>
      <c r="H1060" s="52" t="s">
        <v>677</v>
      </c>
      <c r="I1060" s="49" t="s">
        <v>688</v>
      </c>
      <c r="J1060" s="52" t="s">
        <v>713</v>
      </c>
      <c r="K1060" s="52" t="s">
        <v>690</v>
      </c>
      <c r="L1060" s="52" t="s">
        <v>699</v>
      </c>
      <c r="M1060" s="52">
        <v>0.4</v>
      </c>
      <c r="N1060" s="52" t="s">
        <v>512</v>
      </c>
      <c r="O1060" s="52" t="s">
        <v>665</v>
      </c>
      <c r="P1060" s="52" t="s">
        <v>746</v>
      </c>
      <c r="Q1060" s="52" t="s">
        <v>683</v>
      </c>
      <c r="R1060" s="52" t="s">
        <v>458</v>
      </c>
      <c r="S1060" s="49" t="s">
        <v>684</v>
      </c>
      <c r="T1060" s="52" t="s">
        <v>1821</v>
      </c>
      <c r="U1060" s="52" t="s">
        <v>1824</v>
      </c>
      <c r="V1060" s="50" t="s">
        <v>1823</v>
      </c>
    </row>
    <row r="1061" spans="1:22" x14ac:dyDescent="0.3">
      <c r="A1061" s="48" t="s">
        <v>1024</v>
      </c>
      <c r="B1061" s="49" t="s">
        <v>154</v>
      </c>
      <c r="C1061" s="49" t="s">
        <v>1025</v>
      </c>
      <c r="D1061" s="49" t="s">
        <v>673</v>
      </c>
      <c r="E1061" s="49" t="s">
        <v>674</v>
      </c>
      <c r="F1061" s="49" t="s">
        <v>675</v>
      </c>
      <c r="G1061" s="49" t="s">
        <v>676</v>
      </c>
      <c r="H1061" s="49" t="s">
        <v>677</v>
      </c>
      <c r="I1061" s="49" t="s">
        <v>688</v>
      </c>
      <c r="J1061" s="49" t="s">
        <v>713</v>
      </c>
      <c r="K1061" s="49" t="s">
        <v>690</v>
      </c>
      <c r="L1061" s="49" t="s">
        <v>681</v>
      </c>
      <c r="M1061" s="49">
        <v>0.2</v>
      </c>
      <c r="N1061" s="49" t="s">
        <v>637</v>
      </c>
      <c r="O1061" s="49" t="s">
        <v>665</v>
      </c>
      <c r="P1061" s="49" t="s">
        <v>746</v>
      </c>
      <c r="Q1061" s="49" t="s">
        <v>683</v>
      </c>
      <c r="R1061" s="49" t="s">
        <v>458</v>
      </c>
      <c r="S1061" s="49" t="s">
        <v>684</v>
      </c>
      <c r="T1061" s="49" t="s">
        <v>1821</v>
      </c>
      <c r="U1061" s="49" t="s">
        <v>1824</v>
      </c>
      <c r="V1061" s="50" t="s">
        <v>1823</v>
      </c>
    </row>
    <row r="1062" spans="1:22" x14ac:dyDescent="0.3">
      <c r="A1062" s="51" t="s">
        <v>964</v>
      </c>
      <c r="B1062" s="52" t="s">
        <v>960</v>
      </c>
      <c r="C1062" s="52" t="s">
        <v>965</v>
      </c>
      <c r="D1062" s="52" t="s">
        <v>673</v>
      </c>
      <c r="E1062" s="52" t="s">
        <v>674</v>
      </c>
      <c r="F1062" s="52" t="s">
        <v>675</v>
      </c>
      <c r="G1062" s="52" t="s">
        <v>676</v>
      </c>
      <c r="H1062" s="52" t="s">
        <v>677</v>
      </c>
      <c r="I1062" s="49" t="s">
        <v>678</v>
      </c>
      <c r="J1062" s="52" t="s">
        <v>713</v>
      </c>
      <c r="K1062" s="52" t="s">
        <v>690</v>
      </c>
      <c r="L1062" s="52" t="s">
        <v>699</v>
      </c>
      <c r="M1062" s="52">
        <v>0.8</v>
      </c>
      <c r="N1062" s="52" t="s">
        <v>637</v>
      </c>
      <c r="O1062" s="52" t="s">
        <v>665</v>
      </c>
      <c r="P1062" s="52" t="s">
        <v>746</v>
      </c>
      <c r="Q1062" s="52" t="s">
        <v>683</v>
      </c>
      <c r="R1062" s="52" t="s">
        <v>458</v>
      </c>
      <c r="S1062" s="49" t="s">
        <v>684</v>
      </c>
      <c r="T1062" s="52" t="s">
        <v>1821</v>
      </c>
      <c r="U1062" s="52" t="s">
        <v>1824</v>
      </c>
      <c r="V1062" s="50" t="s">
        <v>1823</v>
      </c>
    </row>
    <row r="1063" spans="1:22" x14ac:dyDescent="0.3">
      <c r="A1063" s="48" t="s">
        <v>756</v>
      </c>
      <c r="B1063" s="49" t="s">
        <v>753</v>
      </c>
      <c r="C1063" s="49" t="s">
        <v>756</v>
      </c>
      <c r="D1063" s="49" t="s">
        <v>755</v>
      </c>
      <c r="E1063" s="49" t="s">
        <v>674</v>
      </c>
      <c r="F1063" s="49" t="s">
        <v>716</v>
      </c>
      <c r="G1063" s="49" t="s">
        <v>744</v>
      </c>
      <c r="H1063" s="49" t="s">
        <v>702</v>
      </c>
      <c r="I1063" s="49" t="s">
        <v>678</v>
      </c>
      <c r="J1063" s="49" t="s">
        <v>679</v>
      </c>
      <c r="K1063" s="49" t="s">
        <v>680</v>
      </c>
      <c r="L1063" s="49" t="s">
        <v>681</v>
      </c>
      <c r="M1063" s="49">
        <v>1</v>
      </c>
      <c r="N1063" s="49" t="s">
        <v>813</v>
      </c>
      <c r="O1063" s="49" t="s">
        <v>665</v>
      </c>
      <c r="P1063" s="49" t="s">
        <v>746</v>
      </c>
      <c r="Q1063" s="49" t="s">
        <v>683</v>
      </c>
      <c r="R1063" s="49" t="s">
        <v>285</v>
      </c>
      <c r="S1063" s="49" t="s">
        <v>755</v>
      </c>
      <c r="T1063" s="49" t="s">
        <v>1821</v>
      </c>
      <c r="U1063" s="49" t="s">
        <v>1824</v>
      </c>
      <c r="V1063" s="50" t="s">
        <v>1823</v>
      </c>
    </row>
    <row r="1064" spans="1:22" x14ac:dyDescent="0.3">
      <c r="A1064" s="51" t="s">
        <v>1475</v>
      </c>
      <c r="B1064" s="52" t="s">
        <v>544</v>
      </c>
      <c r="C1064" s="52" t="s">
        <v>1476</v>
      </c>
      <c r="D1064" s="52" t="s">
        <v>684</v>
      </c>
      <c r="E1064" s="52" t="s">
        <v>674</v>
      </c>
      <c r="F1064" s="52" t="s">
        <v>716</v>
      </c>
      <c r="G1064" s="52" t="s">
        <v>731</v>
      </c>
      <c r="H1064" s="52" t="s">
        <v>702</v>
      </c>
      <c r="I1064" s="52" t="s">
        <v>736</v>
      </c>
      <c r="J1064" s="52" t="s">
        <v>737</v>
      </c>
      <c r="K1064" s="52" t="s">
        <v>738</v>
      </c>
      <c r="L1064" s="52" t="s">
        <v>699</v>
      </c>
      <c r="M1064" s="52">
        <v>1</v>
      </c>
      <c r="N1064" s="52" t="s">
        <v>417</v>
      </c>
      <c r="O1064" s="52" t="s">
        <v>767</v>
      </c>
      <c r="P1064" s="52" t="s">
        <v>746</v>
      </c>
      <c r="Q1064" s="52" t="s">
        <v>683</v>
      </c>
      <c r="R1064" s="52" t="s">
        <v>48</v>
      </c>
      <c r="S1064" s="49" t="s">
        <v>684</v>
      </c>
      <c r="T1064" s="52" t="s">
        <v>1821</v>
      </c>
      <c r="U1064" s="52" t="s">
        <v>1824</v>
      </c>
      <c r="V1064" s="50" t="s">
        <v>1823</v>
      </c>
    </row>
    <row r="1065" spans="1:22" x14ac:dyDescent="0.3">
      <c r="A1065" s="48" t="s">
        <v>1467</v>
      </c>
      <c r="B1065" s="49" t="s">
        <v>544</v>
      </c>
      <c r="C1065" s="49" t="s">
        <v>1468</v>
      </c>
      <c r="D1065" s="49" t="s">
        <v>684</v>
      </c>
      <c r="E1065" s="49" t="s">
        <v>674</v>
      </c>
      <c r="F1065" s="49" t="s">
        <v>716</v>
      </c>
      <c r="G1065" s="49" t="s">
        <v>731</v>
      </c>
      <c r="H1065" s="49" t="s">
        <v>702</v>
      </c>
      <c r="I1065" s="49" t="s">
        <v>736</v>
      </c>
      <c r="J1065" s="49" t="s">
        <v>737</v>
      </c>
      <c r="K1065" s="49" t="s">
        <v>738</v>
      </c>
      <c r="L1065" s="49" t="s">
        <v>808</v>
      </c>
      <c r="M1065" s="49">
        <v>1</v>
      </c>
      <c r="N1065" s="49" t="s">
        <v>1469</v>
      </c>
      <c r="O1065" s="49" t="s">
        <v>767</v>
      </c>
      <c r="P1065" s="52" t="s">
        <v>746</v>
      </c>
      <c r="Q1065" s="49" t="s">
        <v>683</v>
      </c>
      <c r="R1065" s="49" t="s">
        <v>48</v>
      </c>
      <c r="S1065" s="49" t="s">
        <v>684</v>
      </c>
      <c r="T1065" s="49" t="s">
        <v>1821</v>
      </c>
      <c r="U1065" s="49" t="s">
        <v>1824</v>
      </c>
      <c r="V1065" s="50" t="s">
        <v>1823</v>
      </c>
    </row>
    <row r="1066" spans="1:22" x14ac:dyDescent="0.3">
      <c r="A1066" s="51" t="s">
        <v>2386</v>
      </c>
      <c r="B1066" s="52" t="s">
        <v>707</v>
      </c>
      <c r="C1066" s="52" t="s">
        <v>773</v>
      </c>
      <c r="D1066" s="52" t="s">
        <v>673</v>
      </c>
      <c r="E1066" s="52" t="s">
        <v>674</v>
      </c>
      <c r="F1066" s="52" t="s">
        <v>773</v>
      </c>
      <c r="G1066" s="52" t="s">
        <v>773</v>
      </c>
      <c r="H1066" s="52" t="s">
        <v>773</v>
      </c>
      <c r="I1066" s="52" t="s">
        <v>773</v>
      </c>
      <c r="J1066" s="52" t="s">
        <v>713</v>
      </c>
      <c r="K1066" s="52" t="s">
        <v>690</v>
      </c>
      <c r="L1066" s="52" t="s">
        <v>699</v>
      </c>
      <c r="M1066" s="52">
        <v>1</v>
      </c>
      <c r="N1066" s="52" t="s">
        <v>1841</v>
      </c>
      <c r="O1066" s="52" t="s">
        <v>665</v>
      </c>
      <c r="P1066" s="52" t="s">
        <v>746</v>
      </c>
      <c r="Q1066" s="52" t="s">
        <v>683</v>
      </c>
      <c r="R1066" s="52" t="s">
        <v>154</v>
      </c>
      <c r="S1066" s="52" t="s">
        <v>673</v>
      </c>
      <c r="T1066" s="52" t="s">
        <v>1821</v>
      </c>
      <c r="U1066" s="52" t="s">
        <v>1824</v>
      </c>
      <c r="V1066" s="50" t="s">
        <v>1823</v>
      </c>
    </row>
    <row r="1067" spans="1:22" x14ac:dyDescent="0.3">
      <c r="A1067" s="48" t="s">
        <v>1322</v>
      </c>
      <c r="B1067" s="49" t="s">
        <v>1049</v>
      </c>
      <c r="C1067" s="49" t="s">
        <v>1323</v>
      </c>
      <c r="D1067" s="49" t="s">
        <v>673</v>
      </c>
      <c r="E1067" s="49" t="s">
        <v>674</v>
      </c>
      <c r="F1067" s="49" t="s">
        <v>935</v>
      </c>
      <c r="G1067" s="49" t="s">
        <v>744</v>
      </c>
      <c r="H1067" s="49" t="s">
        <v>677</v>
      </c>
      <c r="I1067" s="49" t="s">
        <v>688</v>
      </c>
      <c r="J1067" s="49" t="s">
        <v>710</v>
      </c>
      <c r="K1067" s="49" t="s">
        <v>690</v>
      </c>
      <c r="L1067" s="49" t="s">
        <v>681</v>
      </c>
      <c r="M1067" s="49">
        <v>0.3</v>
      </c>
      <c r="N1067" s="49" t="s">
        <v>107</v>
      </c>
      <c r="O1067" s="49" t="s">
        <v>665</v>
      </c>
      <c r="P1067" s="49" t="s">
        <v>746</v>
      </c>
      <c r="Q1067" s="49" t="s">
        <v>683</v>
      </c>
      <c r="R1067" s="49" t="s">
        <v>49</v>
      </c>
      <c r="S1067" s="52" t="s">
        <v>673</v>
      </c>
      <c r="T1067" s="49" t="s">
        <v>1821</v>
      </c>
      <c r="U1067" s="49" t="s">
        <v>1824</v>
      </c>
      <c r="V1067" s="50" t="s">
        <v>1823</v>
      </c>
    </row>
    <row r="1068" spans="1:22" x14ac:dyDescent="0.3">
      <c r="A1068" s="51" t="s">
        <v>1190</v>
      </c>
      <c r="B1068" s="52" t="s">
        <v>154</v>
      </c>
      <c r="C1068" s="52" t="s">
        <v>1023</v>
      </c>
      <c r="D1068" s="52" t="s">
        <v>673</v>
      </c>
      <c r="E1068" s="52" t="s">
        <v>674</v>
      </c>
      <c r="F1068" s="52" t="s">
        <v>716</v>
      </c>
      <c r="G1068" s="52" t="s">
        <v>744</v>
      </c>
      <c r="H1068" s="52" t="s">
        <v>935</v>
      </c>
      <c r="I1068" s="49" t="s">
        <v>688</v>
      </c>
      <c r="J1068" s="52" t="s">
        <v>710</v>
      </c>
      <c r="K1068" s="52" t="s">
        <v>690</v>
      </c>
      <c r="L1068" s="52" t="s">
        <v>681</v>
      </c>
      <c r="M1068" s="52">
        <v>0.2</v>
      </c>
      <c r="N1068" s="52" t="s">
        <v>107</v>
      </c>
      <c r="O1068" s="52" t="s">
        <v>665</v>
      </c>
      <c r="P1068" s="52" t="s">
        <v>746</v>
      </c>
      <c r="Q1068" s="52" t="s">
        <v>683</v>
      </c>
      <c r="R1068" s="52" t="s">
        <v>49</v>
      </c>
      <c r="S1068" s="52" t="s">
        <v>673</v>
      </c>
      <c r="T1068" s="52" t="s">
        <v>1821</v>
      </c>
      <c r="U1068" s="52" t="s">
        <v>1824</v>
      </c>
      <c r="V1068" s="50" t="s">
        <v>1823</v>
      </c>
    </row>
    <row r="1069" spans="1:22" x14ac:dyDescent="0.3">
      <c r="A1069" s="48" t="s">
        <v>2387</v>
      </c>
      <c r="B1069" s="49" t="s">
        <v>1253</v>
      </c>
      <c r="C1069" s="49" t="s">
        <v>2388</v>
      </c>
      <c r="D1069" s="49" t="s">
        <v>673</v>
      </c>
      <c r="E1069" s="49" t="s">
        <v>674</v>
      </c>
      <c r="F1069" s="49" t="s">
        <v>716</v>
      </c>
      <c r="G1069" s="49" t="s">
        <v>676</v>
      </c>
      <c r="H1069" s="49" t="s">
        <v>938</v>
      </c>
      <c r="I1069" s="49" t="s">
        <v>688</v>
      </c>
      <c r="J1069" s="49" t="s">
        <v>713</v>
      </c>
      <c r="K1069" s="49" t="s">
        <v>690</v>
      </c>
      <c r="L1069" s="49" t="s">
        <v>681</v>
      </c>
      <c r="M1069" s="49">
        <v>0.3</v>
      </c>
      <c r="N1069" s="49" t="s">
        <v>107</v>
      </c>
      <c r="O1069" s="49" t="s">
        <v>665</v>
      </c>
      <c r="P1069" s="49" t="s">
        <v>746</v>
      </c>
      <c r="Q1069" s="49" t="s">
        <v>683</v>
      </c>
      <c r="R1069" s="49" t="s">
        <v>49</v>
      </c>
      <c r="S1069" s="52" t="s">
        <v>673</v>
      </c>
      <c r="T1069" s="49" t="s">
        <v>1821</v>
      </c>
      <c r="U1069" s="49" t="s">
        <v>1824</v>
      </c>
      <c r="V1069" s="50" t="s">
        <v>1823</v>
      </c>
    </row>
    <row r="1070" spans="1:22" x14ac:dyDescent="0.3">
      <c r="A1070" s="51" t="s">
        <v>1377</v>
      </c>
      <c r="B1070" s="52" t="s">
        <v>1253</v>
      </c>
      <c r="C1070" s="52" t="s">
        <v>1378</v>
      </c>
      <c r="D1070" s="52" t="s">
        <v>673</v>
      </c>
      <c r="E1070" s="52" t="s">
        <v>674</v>
      </c>
      <c r="F1070" s="52" t="s">
        <v>716</v>
      </c>
      <c r="G1070" s="52" t="s">
        <v>676</v>
      </c>
      <c r="H1070" s="52" t="s">
        <v>938</v>
      </c>
      <c r="I1070" s="49" t="s">
        <v>688</v>
      </c>
      <c r="J1070" s="52" t="s">
        <v>906</v>
      </c>
      <c r="K1070" s="52" t="s">
        <v>690</v>
      </c>
      <c r="L1070" s="52" t="s">
        <v>681</v>
      </c>
      <c r="M1070" s="52">
        <v>0.2</v>
      </c>
      <c r="N1070" s="52" t="s">
        <v>107</v>
      </c>
      <c r="O1070" s="52" t="s">
        <v>665</v>
      </c>
      <c r="P1070" s="52" t="s">
        <v>746</v>
      </c>
      <c r="Q1070" s="52" t="s">
        <v>683</v>
      </c>
      <c r="R1070" s="52" t="s">
        <v>49</v>
      </c>
      <c r="S1070" s="52" t="s">
        <v>673</v>
      </c>
      <c r="T1070" s="52" t="s">
        <v>1821</v>
      </c>
      <c r="U1070" s="52" t="s">
        <v>1824</v>
      </c>
      <c r="V1070" s="50" t="s">
        <v>1823</v>
      </c>
    </row>
    <row r="1071" spans="1:22" x14ac:dyDescent="0.3">
      <c r="A1071" s="48" t="s">
        <v>1377</v>
      </c>
      <c r="B1071" s="49" t="s">
        <v>1253</v>
      </c>
      <c r="C1071" s="49" t="s">
        <v>1378</v>
      </c>
      <c r="D1071" s="49" t="s">
        <v>673</v>
      </c>
      <c r="E1071" s="49" t="s">
        <v>674</v>
      </c>
      <c r="F1071" s="49" t="s">
        <v>716</v>
      </c>
      <c r="G1071" s="49" t="s">
        <v>676</v>
      </c>
      <c r="H1071" s="49" t="s">
        <v>938</v>
      </c>
      <c r="I1071" s="49" t="s">
        <v>688</v>
      </c>
      <c r="J1071" s="49" t="s">
        <v>906</v>
      </c>
      <c r="K1071" s="49" t="s">
        <v>690</v>
      </c>
      <c r="L1071" s="49" t="s">
        <v>681</v>
      </c>
      <c r="M1071" s="49">
        <v>0.5</v>
      </c>
      <c r="N1071" s="49" t="s">
        <v>433</v>
      </c>
      <c r="O1071" s="49" t="s">
        <v>767</v>
      </c>
      <c r="P1071" s="52" t="s">
        <v>746</v>
      </c>
      <c r="Q1071" s="49" t="s">
        <v>683</v>
      </c>
      <c r="R1071" s="49" t="s">
        <v>49</v>
      </c>
      <c r="S1071" s="52" t="s">
        <v>673</v>
      </c>
      <c r="T1071" s="49" t="s">
        <v>1821</v>
      </c>
      <c r="U1071" s="49" t="s">
        <v>1824</v>
      </c>
      <c r="V1071" s="50" t="s">
        <v>1823</v>
      </c>
    </row>
    <row r="1072" spans="1:22" x14ac:dyDescent="0.3">
      <c r="A1072" s="51" t="s">
        <v>2387</v>
      </c>
      <c r="B1072" s="52" t="s">
        <v>1253</v>
      </c>
      <c r="C1072" s="52" t="s">
        <v>2388</v>
      </c>
      <c r="D1072" s="52" t="s">
        <v>673</v>
      </c>
      <c r="E1072" s="52" t="s">
        <v>674</v>
      </c>
      <c r="F1072" s="52" t="s">
        <v>716</v>
      </c>
      <c r="G1072" s="52" t="s">
        <v>676</v>
      </c>
      <c r="H1072" s="52" t="s">
        <v>938</v>
      </c>
      <c r="I1072" s="49" t="s">
        <v>688</v>
      </c>
      <c r="J1072" s="52" t="s">
        <v>713</v>
      </c>
      <c r="K1072" s="52" t="s">
        <v>690</v>
      </c>
      <c r="L1072" s="52" t="s">
        <v>681</v>
      </c>
      <c r="M1072" s="52">
        <v>0.5</v>
      </c>
      <c r="N1072" s="52" t="s">
        <v>433</v>
      </c>
      <c r="O1072" s="52" t="s">
        <v>767</v>
      </c>
      <c r="P1072" s="52" t="s">
        <v>746</v>
      </c>
      <c r="Q1072" s="52" t="s">
        <v>683</v>
      </c>
      <c r="R1072" s="52" t="s">
        <v>49</v>
      </c>
      <c r="S1072" s="52" t="s">
        <v>673</v>
      </c>
      <c r="T1072" s="52" t="s">
        <v>1821</v>
      </c>
      <c r="U1072" s="52" t="s">
        <v>1824</v>
      </c>
      <c r="V1072" s="50" t="s">
        <v>1823</v>
      </c>
    </row>
    <row r="1073" spans="1:22" x14ac:dyDescent="0.3">
      <c r="A1073" s="48" t="s">
        <v>1377</v>
      </c>
      <c r="B1073" s="49" t="s">
        <v>1253</v>
      </c>
      <c r="C1073" s="49" t="s">
        <v>1378</v>
      </c>
      <c r="D1073" s="49" t="s">
        <v>673</v>
      </c>
      <c r="E1073" s="49" t="s">
        <v>674</v>
      </c>
      <c r="F1073" s="49" t="s">
        <v>716</v>
      </c>
      <c r="G1073" s="49" t="s">
        <v>676</v>
      </c>
      <c r="H1073" s="49" t="s">
        <v>938</v>
      </c>
      <c r="I1073" s="49" t="s">
        <v>688</v>
      </c>
      <c r="J1073" s="49" t="s">
        <v>906</v>
      </c>
      <c r="K1073" s="49" t="s">
        <v>690</v>
      </c>
      <c r="L1073" s="49" t="s">
        <v>681</v>
      </c>
      <c r="M1073" s="49">
        <v>0.5</v>
      </c>
      <c r="N1073" s="49" t="s">
        <v>1652</v>
      </c>
      <c r="O1073" s="49" t="s">
        <v>665</v>
      </c>
      <c r="P1073" s="49" t="s">
        <v>746</v>
      </c>
      <c r="Q1073" s="49" t="s">
        <v>683</v>
      </c>
      <c r="R1073" s="49" t="s">
        <v>49</v>
      </c>
      <c r="S1073" s="52" t="s">
        <v>673</v>
      </c>
      <c r="T1073" s="49" t="s">
        <v>1821</v>
      </c>
      <c r="U1073" s="49" t="s">
        <v>1824</v>
      </c>
      <c r="V1073" s="50" t="s">
        <v>1823</v>
      </c>
    </row>
    <row r="1074" spans="1:22" x14ac:dyDescent="0.3">
      <c r="A1074" s="51" t="s">
        <v>2387</v>
      </c>
      <c r="B1074" s="52" t="s">
        <v>1253</v>
      </c>
      <c r="C1074" s="52" t="s">
        <v>2388</v>
      </c>
      <c r="D1074" s="52" t="s">
        <v>673</v>
      </c>
      <c r="E1074" s="52" t="s">
        <v>674</v>
      </c>
      <c r="F1074" s="52" t="s">
        <v>716</v>
      </c>
      <c r="G1074" s="52" t="s">
        <v>676</v>
      </c>
      <c r="H1074" s="52" t="s">
        <v>938</v>
      </c>
      <c r="I1074" s="49" t="s">
        <v>688</v>
      </c>
      <c r="J1074" s="52" t="s">
        <v>713</v>
      </c>
      <c r="K1074" s="52" t="s">
        <v>690</v>
      </c>
      <c r="L1074" s="52" t="s">
        <v>681</v>
      </c>
      <c r="M1074" s="52">
        <v>0.5</v>
      </c>
      <c r="N1074" s="52" t="s">
        <v>1652</v>
      </c>
      <c r="O1074" s="52" t="s">
        <v>665</v>
      </c>
      <c r="P1074" s="52" t="s">
        <v>746</v>
      </c>
      <c r="Q1074" s="52" t="s">
        <v>683</v>
      </c>
      <c r="R1074" s="52" t="s">
        <v>49</v>
      </c>
      <c r="S1074" s="52" t="s">
        <v>673</v>
      </c>
      <c r="T1074" s="52" t="s">
        <v>1821</v>
      </c>
      <c r="U1074" s="52" t="s">
        <v>1824</v>
      </c>
      <c r="V1074" s="50" t="s">
        <v>1823</v>
      </c>
    </row>
    <row r="1075" spans="1:22" x14ac:dyDescent="0.3">
      <c r="A1075" s="48" t="s">
        <v>1607</v>
      </c>
      <c r="B1075" s="49" t="s">
        <v>864</v>
      </c>
      <c r="C1075" s="49" t="s">
        <v>1608</v>
      </c>
      <c r="D1075" s="49" t="s">
        <v>755</v>
      </c>
      <c r="E1075" s="49" t="s">
        <v>674</v>
      </c>
      <c r="F1075" s="49" t="s">
        <v>675</v>
      </c>
      <c r="G1075" s="49" t="s">
        <v>676</v>
      </c>
      <c r="H1075" s="49" t="s">
        <v>677</v>
      </c>
      <c r="I1075" s="49" t="s">
        <v>678</v>
      </c>
      <c r="J1075" s="49" t="s">
        <v>774</v>
      </c>
      <c r="K1075" s="49" t="s">
        <v>680</v>
      </c>
      <c r="L1075" s="49" t="s">
        <v>681</v>
      </c>
      <c r="M1075" s="49">
        <v>0.1</v>
      </c>
      <c r="N1075" s="49" t="s">
        <v>391</v>
      </c>
      <c r="O1075" s="49" t="s">
        <v>665</v>
      </c>
      <c r="P1075" s="49" t="s">
        <v>746</v>
      </c>
      <c r="Q1075" s="49" t="s">
        <v>683</v>
      </c>
      <c r="R1075" s="49" t="s">
        <v>1602</v>
      </c>
      <c r="S1075" s="49" t="s">
        <v>755</v>
      </c>
      <c r="T1075" s="49" t="s">
        <v>1821</v>
      </c>
      <c r="U1075" s="49" t="s">
        <v>1824</v>
      </c>
      <c r="V1075" s="50" t="s">
        <v>1823</v>
      </c>
    </row>
    <row r="1076" spans="1:22" x14ac:dyDescent="0.3">
      <c r="A1076" s="51" t="s">
        <v>1061</v>
      </c>
      <c r="B1076" s="52" t="s">
        <v>864</v>
      </c>
      <c r="C1076" s="52" t="s">
        <v>1062</v>
      </c>
      <c r="D1076" s="52" t="s">
        <v>755</v>
      </c>
      <c r="E1076" s="52" t="s">
        <v>674</v>
      </c>
      <c r="F1076" s="52" t="s">
        <v>675</v>
      </c>
      <c r="G1076" s="52" t="s">
        <v>676</v>
      </c>
      <c r="H1076" s="52" t="s">
        <v>702</v>
      </c>
      <c r="I1076" s="49" t="s">
        <v>678</v>
      </c>
      <c r="J1076" s="52" t="s">
        <v>774</v>
      </c>
      <c r="K1076" s="52" t="s">
        <v>680</v>
      </c>
      <c r="L1076" s="52" t="s">
        <v>699</v>
      </c>
      <c r="M1076" s="52">
        <v>0.6</v>
      </c>
      <c r="N1076" s="52" t="s">
        <v>391</v>
      </c>
      <c r="O1076" s="52" t="s">
        <v>665</v>
      </c>
      <c r="P1076" s="52" t="s">
        <v>746</v>
      </c>
      <c r="Q1076" s="52" t="s">
        <v>683</v>
      </c>
      <c r="R1076" s="52" t="s">
        <v>1602</v>
      </c>
      <c r="S1076" s="49" t="s">
        <v>755</v>
      </c>
      <c r="T1076" s="52" t="s">
        <v>1821</v>
      </c>
      <c r="U1076" s="52" t="s">
        <v>1824</v>
      </c>
      <c r="V1076" s="50" t="s">
        <v>1823</v>
      </c>
    </row>
    <row r="1077" spans="1:22" x14ac:dyDescent="0.3">
      <c r="A1077" s="48" t="s">
        <v>863</v>
      </c>
      <c r="B1077" s="49" t="s">
        <v>864</v>
      </c>
      <c r="C1077" s="49" t="s">
        <v>865</v>
      </c>
      <c r="D1077" s="49" t="s">
        <v>755</v>
      </c>
      <c r="E1077" s="49" t="s">
        <v>674</v>
      </c>
      <c r="F1077" s="49" t="s">
        <v>675</v>
      </c>
      <c r="G1077" s="49" t="s">
        <v>676</v>
      </c>
      <c r="H1077" s="49" t="s">
        <v>677</v>
      </c>
      <c r="I1077" s="49" t="s">
        <v>678</v>
      </c>
      <c r="J1077" s="49" t="s">
        <v>774</v>
      </c>
      <c r="K1077" s="49" t="s">
        <v>680</v>
      </c>
      <c r="L1077" s="49" t="s">
        <v>801</v>
      </c>
      <c r="M1077" s="49">
        <v>0.3</v>
      </c>
      <c r="N1077" s="49" t="s">
        <v>105</v>
      </c>
      <c r="O1077" s="49" t="s">
        <v>665</v>
      </c>
      <c r="P1077" s="49" t="s">
        <v>746</v>
      </c>
      <c r="Q1077" s="49" t="s">
        <v>683</v>
      </c>
      <c r="R1077" s="49" t="s">
        <v>1602</v>
      </c>
      <c r="S1077" s="49" t="s">
        <v>755</v>
      </c>
      <c r="T1077" s="49" t="s">
        <v>1821</v>
      </c>
      <c r="U1077" s="49" t="s">
        <v>1824</v>
      </c>
      <c r="V1077" s="50" t="s">
        <v>1823</v>
      </c>
    </row>
    <row r="1078" spans="1:22" x14ac:dyDescent="0.3">
      <c r="A1078" s="51" t="s">
        <v>1063</v>
      </c>
      <c r="B1078" s="52" t="s">
        <v>864</v>
      </c>
      <c r="C1078" s="52" t="s">
        <v>1064</v>
      </c>
      <c r="D1078" s="52" t="s">
        <v>755</v>
      </c>
      <c r="E1078" s="52" t="s">
        <v>674</v>
      </c>
      <c r="F1078" s="52" t="s">
        <v>675</v>
      </c>
      <c r="G1078" s="52" t="s">
        <v>676</v>
      </c>
      <c r="H1078" s="52" t="s">
        <v>677</v>
      </c>
      <c r="I1078" s="49" t="s">
        <v>678</v>
      </c>
      <c r="J1078" s="52" t="s">
        <v>774</v>
      </c>
      <c r="K1078" s="52" t="s">
        <v>680</v>
      </c>
      <c r="L1078" s="52" t="s">
        <v>699</v>
      </c>
      <c r="M1078" s="52">
        <v>0.25</v>
      </c>
      <c r="N1078" s="52" t="s">
        <v>105</v>
      </c>
      <c r="O1078" s="52" t="s">
        <v>665</v>
      </c>
      <c r="P1078" s="52" t="s">
        <v>746</v>
      </c>
      <c r="Q1078" s="52" t="s">
        <v>683</v>
      </c>
      <c r="R1078" s="52" t="s">
        <v>1602</v>
      </c>
      <c r="S1078" s="49" t="s">
        <v>755</v>
      </c>
      <c r="T1078" s="52" t="s">
        <v>1821</v>
      </c>
      <c r="U1078" s="52" t="s">
        <v>1824</v>
      </c>
      <c r="V1078" s="50" t="s">
        <v>1823</v>
      </c>
    </row>
    <row r="1079" spans="1:22" x14ac:dyDescent="0.3">
      <c r="A1079" s="48" t="s">
        <v>1605</v>
      </c>
      <c r="B1079" s="49" t="s">
        <v>975</v>
      </c>
      <c r="C1079" s="49" t="s">
        <v>1606</v>
      </c>
      <c r="D1079" s="49" t="s">
        <v>755</v>
      </c>
      <c r="E1079" s="49" t="s">
        <v>674</v>
      </c>
      <c r="F1079" s="49" t="s">
        <v>716</v>
      </c>
      <c r="G1079" s="49" t="s">
        <v>744</v>
      </c>
      <c r="H1079" s="49" t="s">
        <v>677</v>
      </c>
      <c r="I1079" s="49" t="s">
        <v>678</v>
      </c>
      <c r="J1079" s="49" t="s">
        <v>774</v>
      </c>
      <c r="K1079" s="49" t="s">
        <v>680</v>
      </c>
      <c r="L1079" s="49" t="s">
        <v>739</v>
      </c>
      <c r="M1079" s="49">
        <v>0.2</v>
      </c>
      <c r="N1079" s="49" t="s">
        <v>105</v>
      </c>
      <c r="O1079" s="49" t="s">
        <v>665</v>
      </c>
      <c r="P1079" s="49" t="s">
        <v>746</v>
      </c>
      <c r="Q1079" s="49" t="s">
        <v>683</v>
      </c>
      <c r="R1079" s="49" t="s">
        <v>1602</v>
      </c>
      <c r="S1079" s="49" t="s">
        <v>755</v>
      </c>
      <c r="T1079" s="49" t="s">
        <v>1821</v>
      </c>
      <c r="U1079" s="49" t="s">
        <v>1824</v>
      </c>
      <c r="V1079" s="50" t="s">
        <v>1823</v>
      </c>
    </row>
    <row r="1080" spans="1:22" x14ac:dyDescent="0.3">
      <c r="A1080" s="51" t="s">
        <v>1603</v>
      </c>
      <c r="B1080" s="52" t="s">
        <v>975</v>
      </c>
      <c r="C1080" s="52" t="s">
        <v>1604</v>
      </c>
      <c r="D1080" s="52" t="s">
        <v>755</v>
      </c>
      <c r="E1080" s="52" t="s">
        <v>674</v>
      </c>
      <c r="F1080" s="52" t="s">
        <v>716</v>
      </c>
      <c r="G1080" s="52" t="s">
        <v>744</v>
      </c>
      <c r="H1080" s="52" t="s">
        <v>677</v>
      </c>
      <c r="I1080" s="49" t="s">
        <v>678</v>
      </c>
      <c r="J1080" s="52" t="s">
        <v>774</v>
      </c>
      <c r="K1080" s="52" t="s">
        <v>680</v>
      </c>
      <c r="L1080" s="52" t="s">
        <v>739</v>
      </c>
      <c r="M1080" s="52">
        <v>0.25</v>
      </c>
      <c r="N1080" s="52" t="s">
        <v>105</v>
      </c>
      <c r="O1080" s="52" t="s">
        <v>665</v>
      </c>
      <c r="P1080" s="52" t="s">
        <v>746</v>
      </c>
      <c r="Q1080" s="52" t="s">
        <v>683</v>
      </c>
      <c r="R1080" s="52" t="s">
        <v>1602</v>
      </c>
      <c r="S1080" s="49" t="s">
        <v>755</v>
      </c>
      <c r="T1080" s="52" t="s">
        <v>1821</v>
      </c>
      <c r="U1080" s="52" t="s">
        <v>1824</v>
      </c>
      <c r="V1080" s="50" t="s">
        <v>1823</v>
      </c>
    </row>
    <row r="1081" spans="1:22" x14ac:dyDescent="0.3">
      <c r="A1081" s="48" t="s">
        <v>1598</v>
      </c>
      <c r="B1081" s="49" t="s">
        <v>470</v>
      </c>
      <c r="C1081" s="49" t="s">
        <v>1598</v>
      </c>
      <c r="D1081" s="49" t="s">
        <v>684</v>
      </c>
      <c r="E1081" s="49" t="s">
        <v>674</v>
      </c>
      <c r="F1081" s="49" t="s">
        <v>716</v>
      </c>
      <c r="G1081" s="49" t="s">
        <v>717</v>
      </c>
      <c r="H1081" s="49" t="s">
        <v>717</v>
      </c>
      <c r="I1081" s="49" t="s">
        <v>736</v>
      </c>
      <c r="J1081" s="49" t="s">
        <v>745</v>
      </c>
      <c r="K1081" s="49" t="s">
        <v>738</v>
      </c>
      <c r="L1081" s="49" t="s">
        <v>699</v>
      </c>
      <c r="M1081" s="49">
        <v>1</v>
      </c>
      <c r="N1081" s="49" t="s">
        <v>315</v>
      </c>
      <c r="O1081" s="49" t="s">
        <v>767</v>
      </c>
      <c r="P1081" s="52" t="s">
        <v>746</v>
      </c>
      <c r="Q1081" s="49" t="s">
        <v>683</v>
      </c>
      <c r="R1081" s="49" t="s">
        <v>375</v>
      </c>
      <c r="S1081" s="49" t="s">
        <v>684</v>
      </c>
      <c r="T1081" s="49" t="s">
        <v>1821</v>
      </c>
      <c r="U1081" s="49" t="s">
        <v>1824</v>
      </c>
      <c r="V1081" s="50" t="s">
        <v>1823</v>
      </c>
    </row>
    <row r="1082" spans="1:22" x14ac:dyDescent="0.3">
      <c r="A1082" s="51" t="s">
        <v>2389</v>
      </c>
      <c r="B1082" s="52" t="s">
        <v>2364</v>
      </c>
      <c r="C1082" s="52" t="s">
        <v>2390</v>
      </c>
      <c r="D1082" s="52" t="s">
        <v>684</v>
      </c>
      <c r="E1082" s="52" t="s">
        <v>674</v>
      </c>
      <c r="F1082" s="52" t="s">
        <v>734</v>
      </c>
      <c r="G1082" s="52" t="s">
        <v>735</v>
      </c>
      <c r="H1082" s="52" t="s">
        <v>735</v>
      </c>
      <c r="I1082" s="52" t="s">
        <v>736</v>
      </c>
      <c r="J1082" s="52" t="s">
        <v>745</v>
      </c>
      <c r="K1082" s="52" t="s">
        <v>738</v>
      </c>
      <c r="L1082" s="52" t="s">
        <v>699</v>
      </c>
      <c r="M1082" s="52">
        <v>1</v>
      </c>
      <c r="N1082" s="52" t="s">
        <v>122</v>
      </c>
      <c r="O1082" s="52" t="s">
        <v>665</v>
      </c>
      <c r="P1082" s="52" t="s">
        <v>746</v>
      </c>
      <c r="Q1082" s="52" t="s">
        <v>683</v>
      </c>
      <c r="R1082" s="52" t="s">
        <v>375</v>
      </c>
      <c r="S1082" s="49" t="s">
        <v>684</v>
      </c>
      <c r="T1082" s="52" t="s">
        <v>1821</v>
      </c>
      <c r="U1082" s="52" t="s">
        <v>1824</v>
      </c>
      <c r="V1082" s="50" t="s">
        <v>1823</v>
      </c>
    </row>
    <row r="1083" spans="1:22" x14ac:dyDescent="0.3">
      <c r="A1083" s="48" t="s">
        <v>2345</v>
      </c>
      <c r="B1083" s="49" t="s">
        <v>1510</v>
      </c>
      <c r="C1083" s="49" t="s">
        <v>2346</v>
      </c>
      <c r="D1083" s="49" t="s">
        <v>684</v>
      </c>
      <c r="E1083" s="49" t="s">
        <v>674</v>
      </c>
      <c r="F1083" s="49" t="s">
        <v>716</v>
      </c>
      <c r="G1083" s="49" t="s">
        <v>744</v>
      </c>
      <c r="H1083" s="49" t="s">
        <v>702</v>
      </c>
      <c r="I1083" s="49" t="s">
        <v>736</v>
      </c>
      <c r="J1083" s="49" t="s">
        <v>745</v>
      </c>
      <c r="K1083" s="49" t="s">
        <v>738</v>
      </c>
      <c r="L1083" s="49" t="s">
        <v>699</v>
      </c>
      <c r="M1083" s="49">
        <v>1</v>
      </c>
      <c r="N1083" s="49" t="s">
        <v>368</v>
      </c>
      <c r="O1083" s="49" t="s">
        <v>665</v>
      </c>
      <c r="P1083" s="49" t="s">
        <v>746</v>
      </c>
      <c r="Q1083" s="49" t="s">
        <v>683</v>
      </c>
      <c r="R1083" s="49" t="s">
        <v>375</v>
      </c>
      <c r="S1083" s="49" t="s">
        <v>684</v>
      </c>
      <c r="T1083" s="49" t="s">
        <v>1821</v>
      </c>
      <c r="U1083" s="49" t="s">
        <v>1824</v>
      </c>
      <c r="V1083" s="50" t="s">
        <v>1823</v>
      </c>
    </row>
    <row r="1084" spans="1:22" x14ac:dyDescent="0.3">
      <c r="A1084" s="51" t="s">
        <v>2391</v>
      </c>
      <c r="B1084" s="52" t="s">
        <v>1510</v>
      </c>
      <c r="C1084" s="52" t="s">
        <v>2392</v>
      </c>
      <c r="D1084" s="52" t="s">
        <v>684</v>
      </c>
      <c r="E1084" s="52" t="s">
        <v>674</v>
      </c>
      <c r="F1084" s="52" t="s">
        <v>716</v>
      </c>
      <c r="G1084" s="52" t="s">
        <v>731</v>
      </c>
      <c r="H1084" s="52" t="s">
        <v>702</v>
      </c>
      <c r="I1084" s="52" t="s">
        <v>736</v>
      </c>
      <c r="J1084" s="52" t="s">
        <v>745</v>
      </c>
      <c r="K1084" s="52" t="s">
        <v>738</v>
      </c>
      <c r="L1084" s="52" t="s">
        <v>699</v>
      </c>
      <c r="M1084" s="52">
        <v>1</v>
      </c>
      <c r="N1084" s="52" t="s">
        <v>375</v>
      </c>
      <c r="O1084" s="52" t="s">
        <v>665</v>
      </c>
      <c r="P1084" s="52" t="s">
        <v>746</v>
      </c>
      <c r="Q1084" s="52" t="s">
        <v>683</v>
      </c>
      <c r="R1084" s="52" t="s">
        <v>470</v>
      </c>
      <c r="S1084" s="49" t="s">
        <v>684</v>
      </c>
      <c r="T1084" s="52" t="s">
        <v>1821</v>
      </c>
      <c r="U1084" s="52" t="s">
        <v>1824</v>
      </c>
      <c r="V1084" s="50" t="s">
        <v>1823</v>
      </c>
    </row>
    <row r="1085" spans="1:22" x14ac:dyDescent="0.3">
      <c r="A1085" s="48" t="s">
        <v>2393</v>
      </c>
      <c r="B1085" s="49" t="s">
        <v>463</v>
      </c>
      <c r="C1085" s="49" t="s">
        <v>2394</v>
      </c>
      <c r="D1085" s="49" t="s">
        <v>755</v>
      </c>
      <c r="E1085" s="49" t="s">
        <v>674</v>
      </c>
      <c r="F1085" s="49" t="s">
        <v>675</v>
      </c>
      <c r="G1085" s="49" t="s">
        <v>724</v>
      </c>
      <c r="H1085" s="49" t="s">
        <v>702</v>
      </c>
      <c r="I1085" s="49" t="s">
        <v>678</v>
      </c>
      <c r="J1085" s="49" t="s">
        <v>774</v>
      </c>
      <c r="K1085" s="49" t="s">
        <v>680</v>
      </c>
      <c r="L1085" s="49" t="s">
        <v>699</v>
      </c>
      <c r="M1085" s="49">
        <v>0.1</v>
      </c>
      <c r="N1085" s="49" t="s">
        <v>95</v>
      </c>
      <c r="O1085" s="49" t="s">
        <v>665</v>
      </c>
      <c r="P1085" s="49" t="s">
        <v>746</v>
      </c>
      <c r="Q1085" s="49" t="s">
        <v>683</v>
      </c>
      <c r="R1085" s="49" t="s">
        <v>47</v>
      </c>
      <c r="S1085" s="49" t="s">
        <v>755</v>
      </c>
      <c r="T1085" s="49" t="s">
        <v>1821</v>
      </c>
      <c r="U1085" s="49" t="s">
        <v>1824</v>
      </c>
      <c r="V1085" s="50" t="s">
        <v>1823</v>
      </c>
    </row>
    <row r="1086" spans="1:22" x14ac:dyDescent="0.3">
      <c r="A1086" s="51" t="s">
        <v>2395</v>
      </c>
      <c r="B1086" s="52" t="s">
        <v>463</v>
      </c>
      <c r="C1086" s="52" t="s">
        <v>2396</v>
      </c>
      <c r="D1086" s="52" t="s">
        <v>755</v>
      </c>
      <c r="E1086" s="52" t="s">
        <v>674</v>
      </c>
      <c r="F1086" s="52" t="s">
        <v>675</v>
      </c>
      <c r="G1086" s="52" t="s">
        <v>724</v>
      </c>
      <c r="H1086" s="52" t="s">
        <v>702</v>
      </c>
      <c r="I1086" s="49" t="s">
        <v>678</v>
      </c>
      <c r="J1086" s="52" t="s">
        <v>774</v>
      </c>
      <c r="K1086" s="52" t="s">
        <v>680</v>
      </c>
      <c r="L1086" s="52" t="s">
        <v>699</v>
      </c>
      <c r="M1086" s="52">
        <v>0.1</v>
      </c>
      <c r="N1086" s="52" t="s">
        <v>95</v>
      </c>
      <c r="O1086" s="52" t="s">
        <v>665</v>
      </c>
      <c r="P1086" s="52" t="s">
        <v>746</v>
      </c>
      <c r="Q1086" s="52" t="s">
        <v>683</v>
      </c>
      <c r="R1086" s="52" t="s">
        <v>47</v>
      </c>
      <c r="S1086" s="49" t="s">
        <v>755</v>
      </c>
      <c r="T1086" s="52" t="s">
        <v>1821</v>
      </c>
      <c r="U1086" s="52" t="s">
        <v>1824</v>
      </c>
      <c r="V1086" s="50" t="s">
        <v>1823</v>
      </c>
    </row>
    <row r="1087" spans="1:22" x14ac:dyDescent="0.3">
      <c r="A1087" s="48" t="s">
        <v>2397</v>
      </c>
      <c r="B1087" s="49" t="s">
        <v>463</v>
      </c>
      <c r="C1087" s="49" t="s">
        <v>2398</v>
      </c>
      <c r="D1087" s="49" t="s">
        <v>755</v>
      </c>
      <c r="E1087" s="49" t="s">
        <v>674</v>
      </c>
      <c r="F1087" s="49" t="s">
        <v>675</v>
      </c>
      <c r="G1087" s="49" t="s">
        <v>676</v>
      </c>
      <c r="H1087" s="49" t="s">
        <v>702</v>
      </c>
      <c r="I1087" s="49" t="s">
        <v>678</v>
      </c>
      <c r="J1087" s="49" t="s">
        <v>774</v>
      </c>
      <c r="K1087" s="49" t="s">
        <v>680</v>
      </c>
      <c r="L1087" s="49" t="s">
        <v>699</v>
      </c>
      <c r="M1087" s="49">
        <v>0.3</v>
      </c>
      <c r="N1087" s="49" t="s">
        <v>95</v>
      </c>
      <c r="O1087" s="49" t="s">
        <v>665</v>
      </c>
      <c r="P1087" s="49" t="s">
        <v>746</v>
      </c>
      <c r="Q1087" s="49" t="s">
        <v>683</v>
      </c>
      <c r="R1087" s="49" t="s">
        <v>47</v>
      </c>
      <c r="S1087" s="49" t="s">
        <v>755</v>
      </c>
      <c r="T1087" s="49" t="s">
        <v>1821</v>
      </c>
      <c r="U1087" s="49" t="s">
        <v>1824</v>
      </c>
      <c r="V1087" s="50" t="s">
        <v>1823</v>
      </c>
    </row>
    <row r="1088" spans="1:22" x14ac:dyDescent="0.3">
      <c r="A1088" s="51" t="s">
        <v>2399</v>
      </c>
      <c r="B1088" s="52" t="s">
        <v>463</v>
      </c>
      <c r="C1088" s="52" t="s">
        <v>2400</v>
      </c>
      <c r="D1088" s="52" t="s">
        <v>755</v>
      </c>
      <c r="E1088" s="52" t="s">
        <v>674</v>
      </c>
      <c r="F1088" s="52" t="s">
        <v>675</v>
      </c>
      <c r="G1088" s="52" t="s">
        <v>724</v>
      </c>
      <c r="H1088" s="52" t="s">
        <v>702</v>
      </c>
      <c r="I1088" s="49" t="s">
        <v>678</v>
      </c>
      <c r="J1088" s="52" t="s">
        <v>774</v>
      </c>
      <c r="K1088" s="52" t="s">
        <v>680</v>
      </c>
      <c r="L1088" s="52" t="s">
        <v>699</v>
      </c>
      <c r="M1088" s="52">
        <v>0.1</v>
      </c>
      <c r="N1088" s="52" t="s">
        <v>95</v>
      </c>
      <c r="O1088" s="52" t="s">
        <v>665</v>
      </c>
      <c r="P1088" s="52" t="s">
        <v>746</v>
      </c>
      <c r="Q1088" s="52" t="s">
        <v>683</v>
      </c>
      <c r="R1088" s="52" t="s">
        <v>47</v>
      </c>
      <c r="S1088" s="49" t="s">
        <v>755</v>
      </c>
      <c r="T1088" s="52" t="s">
        <v>1821</v>
      </c>
      <c r="U1088" s="52" t="s">
        <v>1824</v>
      </c>
      <c r="V1088" s="50" t="s">
        <v>1823</v>
      </c>
    </row>
    <row r="1089" spans="1:22" x14ac:dyDescent="0.3">
      <c r="A1089" s="48" t="s">
        <v>2401</v>
      </c>
      <c r="B1089" s="49" t="s">
        <v>463</v>
      </c>
      <c r="C1089" s="49" t="s">
        <v>2402</v>
      </c>
      <c r="D1089" s="49" t="s">
        <v>755</v>
      </c>
      <c r="E1089" s="49" t="s">
        <v>674</v>
      </c>
      <c r="F1089" s="49" t="s">
        <v>675</v>
      </c>
      <c r="G1089" s="49" t="s">
        <v>724</v>
      </c>
      <c r="H1089" s="49" t="s">
        <v>702</v>
      </c>
      <c r="I1089" s="49" t="s">
        <v>678</v>
      </c>
      <c r="J1089" s="49" t="s">
        <v>774</v>
      </c>
      <c r="K1089" s="49" t="s">
        <v>680</v>
      </c>
      <c r="L1089" s="49" t="s">
        <v>699</v>
      </c>
      <c r="M1089" s="49">
        <v>0.1</v>
      </c>
      <c r="N1089" s="49" t="s">
        <v>95</v>
      </c>
      <c r="O1089" s="49" t="s">
        <v>665</v>
      </c>
      <c r="P1089" s="49" t="s">
        <v>746</v>
      </c>
      <c r="Q1089" s="49" t="s">
        <v>683</v>
      </c>
      <c r="R1089" s="49" t="s">
        <v>47</v>
      </c>
      <c r="S1089" s="49" t="s">
        <v>755</v>
      </c>
      <c r="T1089" s="49" t="s">
        <v>1821</v>
      </c>
      <c r="U1089" s="49" t="s">
        <v>1824</v>
      </c>
      <c r="V1089" s="50" t="s">
        <v>1823</v>
      </c>
    </row>
    <row r="1090" spans="1:22" x14ac:dyDescent="0.3">
      <c r="A1090" s="51" t="s">
        <v>824</v>
      </c>
      <c r="B1090" s="52" t="s">
        <v>760</v>
      </c>
      <c r="C1090" s="52" t="s">
        <v>825</v>
      </c>
      <c r="D1090" s="52" t="s">
        <v>673</v>
      </c>
      <c r="E1090" s="52" t="s">
        <v>674</v>
      </c>
      <c r="F1090" s="52" t="s">
        <v>675</v>
      </c>
      <c r="G1090" s="52" t="s">
        <v>676</v>
      </c>
      <c r="H1090" s="52" t="s">
        <v>677</v>
      </c>
      <c r="I1090" s="49" t="s">
        <v>678</v>
      </c>
      <c r="J1090" s="52" t="s">
        <v>713</v>
      </c>
      <c r="K1090" s="52" t="s">
        <v>690</v>
      </c>
      <c r="L1090" s="52" t="s">
        <v>699</v>
      </c>
      <c r="M1090" s="52">
        <v>0.2</v>
      </c>
      <c r="N1090" s="52" t="s">
        <v>143</v>
      </c>
      <c r="O1090" s="52" t="s">
        <v>665</v>
      </c>
      <c r="P1090" s="52" t="s">
        <v>746</v>
      </c>
      <c r="Q1090" s="52" t="s">
        <v>683</v>
      </c>
      <c r="R1090" s="52" t="s">
        <v>47</v>
      </c>
      <c r="S1090" s="49" t="s">
        <v>755</v>
      </c>
      <c r="T1090" s="52" t="s">
        <v>1821</v>
      </c>
      <c r="U1090" s="52" t="s">
        <v>1824</v>
      </c>
      <c r="V1090" s="50" t="s">
        <v>1823</v>
      </c>
    </row>
    <row r="1091" spans="1:22" x14ac:dyDescent="0.3">
      <c r="A1091" s="48" t="s">
        <v>1065</v>
      </c>
      <c r="B1091" s="49" t="s">
        <v>707</v>
      </c>
      <c r="C1091" s="49" t="s">
        <v>708</v>
      </c>
      <c r="D1091" s="49" t="s">
        <v>755</v>
      </c>
      <c r="E1091" s="49" t="s">
        <v>674</v>
      </c>
      <c r="F1091" s="49" t="s">
        <v>709</v>
      </c>
      <c r="G1091" s="49" t="s">
        <v>709</v>
      </c>
      <c r="H1091" s="49" t="s">
        <v>709</v>
      </c>
      <c r="I1091" s="49" t="s">
        <v>709</v>
      </c>
      <c r="J1091" s="49" t="s">
        <v>774</v>
      </c>
      <c r="K1091" s="49" t="s">
        <v>680</v>
      </c>
      <c r="L1091" s="49" t="s">
        <v>699</v>
      </c>
      <c r="M1091" s="49">
        <v>0.2</v>
      </c>
      <c r="N1091" s="49" t="s">
        <v>143</v>
      </c>
      <c r="O1091" s="49" t="s">
        <v>665</v>
      </c>
      <c r="P1091" s="49" t="s">
        <v>746</v>
      </c>
      <c r="Q1091" s="49" t="s">
        <v>683</v>
      </c>
      <c r="R1091" s="49" t="s">
        <v>47</v>
      </c>
      <c r="S1091" s="49" t="s">
        <v>755</v>
      </c>
      <c r="T1091" s="49" t="s">
        <v>1821</v>
      </c>
      <c r="U1091" s="49" t="s">
        <v>1824</v>
      </c>
      <c r="V1091" s="50" t="s">
        <v>1823</v>
      </c>
    </row>
    <row r="1092" spans="1:22" x14ac:dyDescent="0.3">
      <c r="A1092" s="51" t="s">
        <v>1018</v>
      </c>
      <c r="B1092" s="52" t="s">
        <v>154</v>
      </c>
      <c r="C1092" s="52" t="s">
        <v>1019</v>
      </c>
      <c r="D1092" s="52" t="s">
        <v>673</v>
      </c>
      <c r="E1092" s="52" t="s">
        <v>674</v>
      </c>
      <c r="F1092" s="52" t="s">
        <v>716</v>
      </c>
      <c r="G1092" s="52" t="s">
        <v>744</v>
      </c>
      <c r="H1092" s="52" t="s">
        <v>935</v>
      </c>
      <c r="I1092" s="49" t="s">
        <v>678</v>
      </c>
      <c r="J1092" s="52" t="s">
        <v>713</v>
      </c>
      <c r="K1092" s="52" t="s">
        <v>690</v>
      </c>
      <c r="L1092" s="52" t="s">
        <v>681</v>
      </c>
      <c r="M1092" s="52">
        <v>0.2</v>
      </c>
      <c r="N1092" s="52" t="s">
        <v>143</v>
      </c>
      <c r="O1092" s="52" t="s">
        <v>665</v>
      </c>
      <c r="P1092" s="52" t="s">
        <v>746</v>
      </c>
      <c r="Q1092" s="52" t="s">
        <v>683</v>
      </c>
      <c r="R1092" s="52" t="s">
        <v>47</v>
      </c>
      <c r="S1092" s="49" t="s">
        <v>755</v>
      </c>
      <c r="T1092" s="52" t="s">
        <v>1821</v>
      </c>
      <c r="U1092" s="52" t="s">
        <v>1824</v>
      </c>
      <c r="V1092" s="50" t="s">
        <v>1823</v>
      </c>
    </row>
    <row r="1093" spans="1:22" x14ac:dyDescent="0.3">
      <c r="A1093" s="48" t="s">
        <v>879</v>
      </c>
      <c r="B1093" s="49" t="s">
        <v>142</v>
      </c>
      <c r="C1093" s="49" t="s">
        <v>880</v>
      </c>
      <c r="D1093" s="49" t="s">
        <v>673</v>
      </c>
      <c r="E1093" s="49" t="s">
        <v>674</v>
      </c>
      <c r="F1093" s="49" t="s">
        <v>716</v>
      </c>
      <c r="G1093" s="49" t="s">
        <v>744</v>
      </c>
      <c r="H1093" s="49" t="s">
        <v>677</v>
      </c>
      <c r="I1093" s="49" t="s">
        <v>678</v>
      </c>
      <c r="J1093" s="49" t="s">
        <v>698</v>
      </c>
      <c r="K1093" s="49" t="s">
        <v>690</v>
      </c>
      <c r="L1093" s="49" t="s">
        <v>699</v>
      </c>
      <c r="M1093" s="49">
        <v>0.2</v>
      </c>
      <c r="N1093" s="49" t="s">
        <v>143</v>
      </c>
      <c r="O1093" s="49" t="s">
        <v>665</v>
      </c>
      <c r="P1093" s="49" t="s">
        <v>746</v>
      </c>
      <c r="Q1093" s="49" t="s">
        <v>683</v>
      </c>
      <c r="R1093" s="49" t="s">
        <v>47</v>
      </c>
      <c r="S1093" s="49" t="s">
        <v>755</v>
      </c>
      <c r="T1093" s="49" t="s">
        <v>1821</v>
      </c>
      <c r="U1093" s="49" t="s">
        <v>1824</v>
      </c>
      <c r="V1093" s="50" t="s">
        <v>1823</v>
      </c>
    </row>
    <row r="1094" spans="1:22" x14ac:dyDescent="0.3">
      <c r="A1094" s="48" t="s">
        <v>1074</v>
      </c>
      <c r="B1094" s="49" t="s">
        <v>1075</v>
      </c>
      <c r="C1094" s="49" t="s">
        <v>1076</v>
      </c>
      <c r="D1094" s="49" t="s">
        <v>755</v>
      </c>
      <c r="E1094" s="49" t="s">
        <v>674</v>
      </c>
      <c r="F1094" s="49" t="s">
        <v>716</v>
      </c>
      <c r="G1094" s="49" t="s">
        <v>744</v>
      </c>
      <c r="H1094" s="49" t="s">
        <v>677</v>
      </c>
      <c r="I1094" s="49" t="s">
        <v>678</v>
      </c>
      <c r="J1094" s="49" t="s">
        <v>774</v>
      </c>
      <c r="K1094" s="49" t="s">
        <v>680</v>
      </c>
      <c r="L1094" s="49" t="s">
        <v>699</v>
      </c>
      <c r="M1094" s="49">
        <v>0.3</v>
      </c>
      <c r="N1094" s="49" t="s">
        <v>336</v>
      </c>
      <c r="O1094" s="49" t="s">
        <v>665</v>
      </c>
      <c r="P1094" s="49" t="s">
        <v>746</v>
      </c>
      <c r="Q1094" s="49" t="s">
        <v>683</v>
      </c>
      <c r="R1094" s="49" t="s">
        <v>47</v>
      </c>
      <c r="S1094" s="49" t="s">
        <v>755</v>
      </c>
      <c r="T1094" s="49" t="s">
        <v>1821</v>
      </c>
      <c r="U1094" s="49" t="s">
        <v>1824</v>
      </c>
      <c r="V1094" s="50" t="s">
        <v>1823</v>
      </c>
    </row>
    <row r="1095" spans="1:22" x14ac:dyDescent="0.3">
      <c r="A1095" s="51" t="s">
        <v>974</v>
      </c>
      <c r="B1095" s="52" t="s">
        <v>975</v>
      </c>
      <c r="C1095" s="52" t="s">
        <v>976</v>
      </c>
      <c r="D1095" s="52" t="s">
        <v>755</v>
      </c>
      <c r="E1095" s="52" t="s">
        <v>674</v>
      </c>
      <c r="F1095" s="52" t="s">
        <v>716</v>
      </c>
      <c r="G1095" s="52" t="s">
        <v>744</v>
      </c>
      <c r="H1095" s="52" t="s">
        <v>677</v>
      </c>
      <c r="I1095" s="49" t="s">
        <v>678</v>
      </c>
      <c r="J1095" s="52" t="s">
        <v>774</v>
      </c>
      <c r="K1095" s="52" t="s">
        <v>680</v>
      </c>
      <c r="L1095" s="52" t="s">
        <v>801</v>
      </c>
      <c r="M1095" s="52">
        <v>0.35</v>
      </c>
      <c r="N1095" s="52" t="s">
        <v>336</v>
      </c>
      <c r="O1095" s="52" t="s">
        <v>665</v>
      </c>
      <c r="P1095" s="52" t="s">
        <v>746</v>
      </c>
      <c r="Q1095" s="52" t="s">
        <v>683</v>
      </c>
      <c r="R1095" s="52" t="s">
        <v>47</v>
      </c>
      <c r="S1095" s="49" t="s">
        <v>755</v>
      </c>
      <c r="T1095" s="52" t="s">
        <v>1821</v>
      </c>
      <c r="U1095" s="52" t="s">
        <v>1824</v>
      </c>
      <c r="V1095" s="50" t="s">
        <v>1823</v>
      </c>
    </row>
    <row r="1096" spans="1:22" x14ac:dyDescent="0.3">
      <c r="A1096" s="48" t="s">
        <v>863</v>
      </c>
      <c r="B1096" s="49" t="s">
        <v>864</v>
      </c>
      <c r="C1096" s="49" t="s">
        <v>865</v>
      </c>
      <c r="D1096" s="49" t="s">
        <v>755</v>
      </c>
      <c r="E1096" s="49" t="s">
        <v>674</v>
      </c>
      <c r="F1096" s="49" t="s">
        <v>675</v>
      </c>
      <c r="G1096" s="49" t="s">
        <v>676</v>
      </c>
      <c r="H1096" s="49" t="s">
        <v>677</v>
      </c>
      <c r="I1096" s="49" t="s">
        <v>678</v>
      </c>
      <c r="J1096" s="49" t="s">
        <v>774</v>
      </c>
      <c r="K1096" s="49" t="s">
        <v>680</v>
      </c>
      <c r="L1096" s="49" t="s">
        <v>801</v>
      </c>
      <c r="M1096" s="49">
        <v>0.6</v>
      </c>
      <c r="N1096" s="49" t="s">
        <v>573</v>
      </c>
      <c r="O1096" s="49" t="s">
        <v>665</v>
      </c>
      <c r="P1096" s="49" t="s">
        <v>746</v>
      </c>
      <c r="Q1096" s="49" t="s">
        <v>683</v>
      </c>
      <c r="R1096" s="49" t="s">
        <v>47</v>
      </c>
      <c r="S1096" s="49" t="s">
        <v>755</v>
      </c>
      <c r="T1096" s="49" t="s">
        <v>1821</v>
      </c>
      <c r="U1096" s="49" t="s">
        <v>1824</v>
      </c>
      <c r="V1096" s="50" t="s">
        <v>1823</v>
      </c>
    </row>
    <row r="1097" spans="1:22" x14ac:dyDescent="0.3">
      <c r="A1097" s="51" t="s">
        <v>1065</v>
      </c>
      <c r="B1097" s="52" t="s">
        <v>707</v>
      </c>
      <c r="C1097" s="52" t="s">
        <v>708</v>
      </c>
      <c r="D1097" s="52" t="s">
        <v>755</v>
      </c>
      <c r="E1097" s="52" t="s">
        <v>674</v>
      </c>
      <c r="F1097" s="52" t="s">
        <v>709</v>
      </c>
      <c r="G1097" s="52" t="s">
        <v>709</v>
      </c>
      <c r="H1097" s="52" t="s">
        <v>709</v>
      </c>
      <c r="I1097" s="52" t="s">
        <v>709</v>
      </c>
      <c r="J1097" s="52" t="s">
        <v>774</v>
      </c>
      <c r="K1097" s="52" t="s">
        <v>680</v>
      </c>
      <c r="L1097" s="52" t="s">
        <v>699</v>
      </c>
      <c r="M1097" s="52">
        <v>0.6</v>
      </c>
      <c r="N1097" s="52" t="s">
        <v>47</v>
      </c>
      <c r="O1097" s="52" t="s">
        <v>665</v>
      </c>
      <c r="P1097" s="52" t="s">
        <v>746</v>
      </c>
      <c r="Q1097" s="52" t="s">
        <v>683</v>
      </c>
      <c r="R1097" s="52" t="s">
        <v>1211</v>
      </c>
      <c r="S1097" s="49" t="s">
        <v>755</v>
      </c>
      <c r="T1097" s="52" t="s">
        <v>1821</v>
      </c>
      <c r="U1097" s="52" t="s">
        <v>1824</v>
      </c>
      <c r="V1097" s="50" t="s">
        <v>1823</v>
      </c>
    </row>
    <row r="1098" spans="1:22" x14ac:dyDescent="0.3">
      <c r="A1098" s="48" t="s">
        <v>1061</v>
      </c>
      <c r="B1098" s="49" t="s">
        <v>864</v>
      </c>
      <c r="C1098" s="49" t="s">
        <v>1062</v>
      </c>
      <c r="D1098" s="49" t="s">
        <v>755</v>
      </c>
      <c r="E1098" s="49" t="s">
        <v>674</v>
      </c>
      <c r="F1098" s="49" t="s">
        <v>675</v>
      </c>
      <c r="G1098" s="49" t="s">
        <v>676</v>
      </c>
      <c r="H1098" s="49" t="s">
        <v>702</v>
      </c>
      <c r="I1098" s="49" t="s">
        <v>678</v>
      </c>
      <c r="J1098" s="49" t="s">
        <v>774</v>
      </c>
      <c r="K1098" s="49" t="s">
        <v>680</v>
      </c>
      <c r="L1098" s="49" t="s">
        <v>699</v>
      </c>
      <c r="M1098" s="49">
        <v>0.2</v>
      </c>
      <c r="N1098" s="49" t="s">
        <v>47</v>
      </c>
      <c r="O1098" s="49" t="s">
        <v>665</v>
      </c>
      <c r="P1098" s="49" t="s">
        <v>746</v>
      </c>
      <c r="Q1098" s="49" t="s">
        <v>683</v>
      </c>
      <c r="R1098" s="49" t="s">
        <v>1211</v>
      </c>
      <c r="S1098" s="49" t="s">
        <v>755</v>
      </c>
      <c r="T1098" s="49" t="s">
        <v>1821</v>
      </c>
      <c r="U1098" s="49" t="s">
        <v>1824</v>
      </c>
      <c r="V1098" s="50" t="s">
        <v>1823</v>
      </c>
    </row>
    <row r="1099" spans="1:22" x14ac:dyDescent="0.3">
      <c r="A1099" s="51" t="s">
        <v>1018</v>
      </c>
      <c r="B1099" s="52" t="s">
        <v>154</v>
      </c>
      <c r="C1099" s="52" t="s">
        <v>1019</v>
      </c>
      <c r="D1099" s="52" t="s">
        <v>673</v>
      </c>
      <c r="E1099" s="52" t="s">
        <v>674</v>
      </c>
      <c r="F1099" s="52" t="s">
        <v>716</v>
      </c>
      <c r="G1099" s="52" t="s">
        <v>744</v>
      </c>
      <c r="H1099" s="52" t="s">
        <v>935</v>
      </c>
      <c r="I1099" s="49" t="s">
        <v>678</v>
      </c>
      <c r="J1099" s="52" t="s">
        <v>713</v>
      </c>
      <c r="K1099" s="52" t="s">
        <v>690</v>
      </c>
      <c r="L1099" s="52" t="s">
        <v>681</v>
      </c>
      <c r="M1099" s="52">
        <v>0.2</v>
      </c>
      <c r="N1099" s="52" t="s">
        <v>47</v>
      </c>
      <c r="O1099" s="52" t="s">
        <v>665</v>
      </c>
      <c r="P1099" s="52" t="s">
        <v>746</v>
      </c>
      <c r="Q1099" s="52" t="s">
        <v>683</v>
      </c>
      <c r="R1099" s="52" t="s">
        <v>1211</v>
      </c>
      <c r="S1099" s="49" t="s">
        <v>755</v>
      </c>
      <c r="T1099" s="52" t="s">
        <v>1821</v>
      </c>
      <c r="U1099" s="52" t="s">
        <v>1824</v>
      </c>
      <c r="V1099" s="50" t="s">
        <v>1823</v>
      </c>
    </row>
    <row r="1100" spans="1:22" x14ac:dyDescent="0.3">
      <c r="A1100" s="48" t="s">
        <v>1054</v>
      </c>
      <c r="B1100" s="49" t="s">
        <v>760</v>
      </c>
      <c r="C1100" s="49" t="s">
        <v>1055</v>
      </c>
      <c r="D1100" s="49" t="s">
        <v>673</v>
      </c>
      <c r="E1100" s="49" t="s">
        <v>674</v>
      </c>
      <c r="F1100" s="49" t="s">
        <v>675</v>
      </c>
      <c r="G1100" s="49" t="s">
        <v>676</v>
      </c>
      <c r="H1100" s="49" t="s">
        <v>702</v>
      </c>
      <c r="I1100" s="49" t="s">
        <v>688</v>
      </c>
      <c r="J1100" s="49" t="s">
        <v>751</v>
      </c>
      <c r="K1100" s="49" t="s">
        <v>690</v>
      </c>
      <c r="L1100" s="49" t="s">
        <v>681</v>
      </c>
      <c r="M1100" s="49">
        <v>0.5</v>
      </c>
      <c r="N1100" s="49" t="s">
        <v>82</v>
      </c>
      <c r="O1100" s="49" t="s">
        <v>767</v>
      </c>
      <c r="P1100" s="52" t="s">
        <v>746</v>
      </c>
      <c r="Q1100" s="49" t="s">
        <v>683</v>
      </c>
      <c r="R1100" s="49" t="s">
        <v>132</v>
      </c>
      <c r="S1100" s="52" t="s">
        <v>673</v>
      </c>
      <c r="T1100" s="49" t="s">
        <v>1821</v>
      </c>
      <c r="U1100" s="49" t="s">
        <v>1824</v>
      </c>
      <c r="V1100" s="50" t="s">
        <v>1823</v>
      </c>
    </row>
    <row r="1101" spans="1:22" x14ac:dyDescent="0.3">
      <c r="A1101" s="51" t="s">
        <v>1596</v>
      </c>
      <c r="B1101" s="52" t="s">
        <v>760</v>
      </c>
      <c r="C1101" s="52" t="s">
        <v>1597</v>
      </c>
      <c r="D1101" s="52" t="s">
        <v>673</v>
      </c>
      <c r="E1101" s="52" t="s">
        <v>674</v>
      </c>
      <c r="F1101" s="52" t="s">
        <v>716</v>
      </c>
      <c r="G1101" s="52" t="s">
        <v>744</v>
      </c>
      <c r="H1101" s="52" t="s">
        <v>702</v>
      </c>
      <c r="I1101" s="49" t="s">
        <v>688</v>
      </c>
      <c r="J1101" s="52" t="s">
        <v>751</v>
      </c>
      <c r="K1101" s="52" t="s">
        <v>690</v>
      </c>
      <c r="L1101" s="52" t="s">
        <v>699</v>
      </c>
      <c r="M1101" s="52">
        <v>0.2</v>
      </c>
      <c r="N1101" s="52" t="s">
        <v>115</v>
      </c>
      <c r="O1101" s="52" t="s">
        <v>665</v>
      </c>
      <c r="P1101" s="52" t="s">
        <v>746</v>
      </c>
      <c r="Q1101" s="52" t="s">
        <v>683</v>
      </c>
      <c r="R1101" s="52" t="s">
        <v>132</v>
      </c>
      <c r="S1101" s="52" t="s">
        <v>673</v>
      </c>
      <c r="T1101" s="52" t="s">
        <v>1821</v>
      </c>
      <c r="U1101" s="52" t="s">
        <v>1824</v>
      </c>
      <c r="V1101" s="50" t="s">
        <v>1823</v>
      </c>
    </row>
    <row r="1102" spans="1:22" x14ac:dyDescent="0.3">
      <c r="A1102" s="48" t="s">
        <v>2291</v>
      </c>
      <c r="B1102" s="49" t="s">
        <v>760</v>
      </c>
      <c r="C1102" s="49" t="s">
        <v>2292</v>
      </c>
      <c r="D1102" s="49" t="s">
        <v>673</v>
      </c>
      <c r="E1102" s="49" t="s">
        <v>674</v>
      </c>
      <c r="F1102" s="49" t="s">
        <v>716</v>
      </c>
      <c r="G1102" s="49" t="s">
        <v>744</v>
      </c>
      <c r="H1102" s="49" t="s">
        <v>702</v>
      </c>
      <c r="I1102" s="49" t="s">
        <v>688</v>
      </c>
      <c r="J1102" s="49" t="s">
        <v>751</v>
      </c>
      <c r="K1102" s="49" t="s">
        <v>690</v>
      </c>
      <c r="L1102" s="49" t="s">
        <v>699</v>
      </c>
      <c r="M1102" s="49">
        <v>0.2</v>
      </c>
      <c r="N1102" s="49" t="s">
        <v>115</v>
      </c>
      <c r="O1102" s="49" t="s">
        <v>665</v>
      </c>
      <c r="P1102" s="49" t="s">
        <v>746</v>
      </c>
      <c r="Q1102" s="49" t="s">
        <v>683</v>
      </c>
      <c r="R1102" s="49" t="s">
        <v>132</v>
      </c>
      <c r="S1102" s="52" t="s">
        <v>673</v>
      </c>
      <c r="T1102" s="49" t="s">
        <v>1821</v>
      </c>
      <c r="U1102" s="49" t="s">
        <v>1824</v>
      </c>
      <c r="V1102" s="50" t="s">
        <v>1823</v>
      </c>
    </row>
    <row r="1103" spans="1:22" x14ac:dyDescent="0.3">
      <c r="A1103" s="51" t="s">
        <v>954</v>
      </c>
      <c r="B1103" s="52" t="s">
        <v>955</v>
      </c>
      <c r="C1103" s="52" t="s">
        <v>956</v>
      </c>
      <c r="D1103" s="52" t="s">
        <v>673</v>
      </c>
      <c r="E1103" s="52" t="s">
        <v>674</v>
      </c>
      <c r="F1103" s="52" t="s">
        <v>675</v>
      </c>
      <c r="G1103" s="52" t="s">
        <v>676</v>
      </c>
      <c r="H1103" s="52" t="s">
        <v>677</v>
      </c>
      <c r="I1103" s="49" t="s">
        <v>688</v>
      </c>
      <c r="J1103" s="52" t="s">
        <v>713</v>
      </c>
      <c r="K1103" s="52" t="s">
        <v>690</v>
      </c>
      <c r="L1103" s="52" t="s">
        <v>699</v>
      </c>
      <c r="M1103" s="52">
        <v>0.5</v>
      </c>
      <c r="N1103" s="52" t="s">
        <v>212</v>
      </c>
      <c r="O1103" s="52" t="s">
        <v>767</v>
      </c>
      <c r="P1103" s="52" t="s">
        <v>746</v>
      </c>
      <c r="Q1103" s="52" t="s">
        <v>683</v>
      </c>
      <c r="R1103" s="52" t="s">
        <v>132</v>
      </c>
      <c r="S1103" s="52" t="s">
        <v>673</v>
      </c>
      <c r="T1103" s="52" t="s">
        <v>1821</v>
      </c>
      <c r="U1103" s="52" t="s">
        <v>1824</v>
      </c>
      <c r="V1103" s="50" t="s">
        <v>1823</v>
      </c>
    </row>
    <row r="1104" spans="1:22" x14ac:dyDescent="0.3">
      <c r="A1104" s="48" t="s">
        <v>993</v>
      </c>
      <c r="B1104" s="49" t="s">
        <v>760</v>
      </c>
      <c r="C1104" s="49" t="s">
        <v>994</v>
      </c>
      <c r="D1104" s="49" t="s">
        <v>673</v>
      </c>
      <c r="E1104" s="49" t="s">
        <v>674</v>
      </c>
      <c r="F1104" s="49" t="s">
        <v>675</v>
      </c>
      <c r="G1104" s="49" t="s">
        <v>676</v>
      </c>
      <c r="H1104" s="49" t="s">
        <v>702</v>
      </c>
      <c r="I1104" s="49" t="s">
        <v>688</v>
      </c>
      <c r="J1104" s="49" t="s">
        <v>751</v>
      </c>
      <c r="K1104" s="49" t="s">
        <v>690</v>
      </c>
      <c r="L1104" s="49" t="s">
        <v>681</v>
      </c>
      <c r="M1104" s="49">
        <v>0.4</v>
      </c>
      <c r="N1104" s="49" t="s">
        <v>247</v>
      </c>
      <c r="O1104" s="49" t="s">
        <v>767</v>
      </c>
      <c r="P1104" s="52" t="s">
        <v>746</v>
      </c>
      <c r="Q1104" s="49" t="s">
        <v>683</v>
      </c>
      <c r="R1104" s="49" t="s">
        <v>132</v>
      </c>
      <c r="S1104" s="52" t="s">
        <v>673</v>
      </c>
      <c r="T1104" s="49" t="s">
        <v>1821</v>
      </c>
      <c r="U1104" s="49" t="s">
        <v>1824</v>
      </c>
      <c r="V1104" s="50" t="s">
        <v>1823</v>
      </c>
    </row>
    <row r="1105" spans="1:22" x14ac:dyDescent="0.3">
      <c r="A1105" s="51" t="s">
        <v>2291</v>
      </c>
      <c r="B1105" s="52" t="s">
        <v>760</v>
      </c>
      <c r="C1105" s="52" t="s">
        <v>2292</v>
      </c>
      <c r="D1105" s="52" t="s">
        <v>673</v>
      </c>
      <c r="E1105" s="52" t="s">
        <v>674</v>
      </c>
      <c r="F1105" s="52" t="s">
        <v>716</v>
      </c>
      <c r="G1105" s="52" t="s">
        <v>744</v>
      </c>
      <c r="H1105" s="52" t="s">
        <v>702</v>
      </c>
      <c r="I1105" s="49" t="s">
        <v>688</v>
      </c>
      <c r="J1105" s="52" t="s">
        <v>751</v>
      </c>
      <c r="K1105" s="52" t="s">
        <v>690</v>
      </c>
      <c r="L1105" s="52" t="s">
        <v>699</v>
      </c>
      <c r="M1105" s="52">
        <v>0.3</v>
      </c>
      <c r="N1105" s="52" t="s">
        <v>1657</v>
      </c>
      <c r="O1105" s="52" t="s">
        <v>767</v>
      </c>
      <c r="P1105" s="52" t="s">
        <v>746</v>
      </c>
      <c r="Q1105" s="52" t="s">
        <v>683</v>
      </c>
      <c r="R1105" s="52" t="s">
        <v>132</v>
      </c>
      <c r="S1105" s="52" t="s">
        <v>673</v>
      </c>
      <c r="T1105" s="52" t="s">
        <v>1821</v>
      </c>
      <c r="U1105" s="52" t="s">
        <v>1824</v>
      </c>
      <c r="V1105" s="50" t="s">
        <v>1823</v>
      </c>
    </row>
    <row r="1106" spans="1:22" x14ac:dyDescent="0.3">
      <c r="A1106" s="48" t="s">
        <v>1656</v>
      </c>
      <c r="B1106" s="49" t="s">
        <v>707</v>
      </c>
      <c r="C1106" s="49" t="s">
        <v>773</v>
      </c>
      <c r="D1106" s="49" t="s">
        <v>673</v>
      </c>
      <c r="E1106" s="49" t="s">
        <v>674</v>
      </c>
      <c r="F1106" s="49" t="s">
        <v>773</v>
      </c>
      <c r="G1106" s="49" t="s">
        <v>773</v>
      </c>
      <c r="H1106" s="49" t="s">
        <v>773</v>
      </c>
      <c r="I1106" s="49" t="s">
        <v>773</v>
      </c>
      <c r="J1106" s="49" t="s">
        <v>751</v>
      </c>
      <c r="K1106" s="49" t="s">
        <v>690</v>
      </c>
      <c r="L1106" s="49" t="s">
        <v>699</v>
      </c>
      <c r="M1106" s="49">
        <v>0.7</v>
      </c>
      <c r="N1106" s="49" t="s">
        <v>1657</v>
      </c>
      <c r="O1106" s="49" t="s">
        <v>767</v>
      </c>
      <c r="P1106" s="52" t="s">
        <v>746</v>
      </c>
      <c r="Q1106" s="49" t="s">
        <v>683</v>
      </c>
      <c r="R1106" s="49" t="s">
        <v>132</v>
      </c>
      <c r="S1106" s="52" t="s">
        <v>673</v>
      </c>
      <c r="T1106" s="49" t="s">
        <v>1821</v>
      </c>
      <c r="U1106" s="49" t="s">
        <v>1824</v>
      </c>
      <c r="V1106" s="50" t="s">
        <v>1823</v>
      </c>
    </row>
    <row r="1107" spans="1:22" x14ac:dyDescent="0.3">
      <c r="A1107" s="51" t="s">
        <v>995</v>
      </c>
      <c r="B1107" s="52" t="s">
        <v>753</v>
      </c>
      <c r="C1107" s="52" t="s">
        <v>996</v>
      </c>
      <c r="D1107" s="52" t="s">
        <v>755</v>
      </c>
      <c r="E1107" s="52" t="s">
        <v>674</v>
      </c>
      <c r="F1107" s="52" t="s">
        <v>716</v>
      </c>
      <c r="G1107" s="52" t="s">
        <v>744</v>
      </c>
      <c r="H1107" s="52" t="s">
        <v>702</v>
      </c>
      <c r="I1107" s="49" t="s">
        <v>688</v>
      </c>
      <c r="J1107" s="52" t="s">
        <v>679</v>
      </c>
      <c r="K1107" s="52" t="s">
        <v>680</v>
      </c>
      <c r="L1107" s="52" t="s">
        <v>699</v>
      </c>
      <c r="M1107" s="52">
        <v>0.1</v>
      </c>
      <c r="N1107" s="52" t="s">
        <v>505</v>
      </c>
      <c r="O1107" s="52" t="s">
        <v>665</v>
      </c>
      <c r="P1107" s="52" t="s">
        <v>746</v>
      </c>
      <c r="Q1107" s="52" t="s">
        <v>683</v>
      </c>
      <c r="R1107" s="52" t="s">
        <v>132</v>
      </c>
      <c r="S1107" s="52" t="s">
        <v>673</v>
      </c>
      <c r="T1107" s="52" t="s">
        <v>1821</v>
      </c>
      <c r="U1107" s="52" t="s">
        <v>1824</v>
      </c>
      <c r="V1107" s="50" t="s">
        <v>1823</v>
      </c>
    </row>
    <row r="1108" spans="1:22" x14ac:dyDescent="0.3">
      <c r="A1108" s="48" t="s">
        <v>1167</v>
      </c>
      <c r="B1108" s="49" t="s">
        <v>753</v>
      </c>
      <c r="C1108" s="49" t="s">
        <v>1168</v>
      </c>
      <c r="D1108" s="49" t="s">
        <v>755</v>
      </c>
      <c r="E1108" s="49" t="s">
        <v>674</v>
      </c>
      <c r="F1108" s="49" t="s">
        <v>716</v>
      </c>
      <c r="G1108" s="49" t="s">
        <v>744</v>
      </c>
      <c r="H1108" s="49" t="s">
        <v>702</v>
      </c>
      <c r="I1108" s="49" t="s">
        <v>688</v>
      </c>
      <c r="J1108" s="49" t="s">
        <v>679</v>
      </c>
      <c r="K1108" s="49" t="s">
        <v>680</v>
      </c>
      <c r="L1108" s="49" t="s">
        <v>699</v>
      </c>
      <c r="M1108" s="49">
        <v>0.1</v>
      </c>
      <c r="N1108" s="49" t="s">
        <v>505</v>
      </c>
      <c r="O1108" s="49" t="s">
        <v>665</v>
      </c>
      <c r="P1108" s="49" t="s">
        <v>746</v>
      </c>
      <c r="Q1108" s="49" t="s">
        <v>683</v>
      </c>
      <c r="R1108" s="49" t="s">
        <v>132</v>
      </c>
      <c r="S1108" s="52" t="s">
        <v>673</v>
      </c>
      <c r="T1108" s="49" t="s">
        <v>1821</v>
      </c>
      <c r="U1108" s="49" t="s">
        <v>1824</v>
      </c>
      <c r="V1108" s="50" t="s">
        <v>1823</v>
      </c>
    </row>
    <row r="1109" spans="1:22" x14ac:dyDescent="0.3">
      <c r="A1109" s="51" t="s">
        <v>1056</v>
      </c>
      <c r="B1109" s="52" t="s">
        <v>760</v>
      </c>
      <c r="C1109" s="52" t="s">
        <v>1057</v>
      </c>
      <c r="D1109" s="52" t="s">
        <v>673</v>
      </c>
      <c r="E1109" s="52" t="s">
        <v>674</v>
      </c>
      <c r="F1109" s="52" t="s">
        <v>716</v>
      </c>
      <c r="G1109" s="52" t="s">
        <v>744</v>
      </c>
      <c r="H1109" s="52" t="s">
        <v>702</v>
      </c>
      <c r="I1109" s="49" t="s">
        <v>688</v>
      </c>
      <c r="J1109" s="52" t="s">
        <v>751</v>
      </c>
      <c r="K1109" s="52" t="s">
        <v>690</v>
      </c>
      <c r="L1109" s="52" t="s">
        <v>699</v>
      </c>
      <c r="M1109" s="52">
        <v>0.8</v>
      </c>
      <c r="N1109" s="52" t="s">
        <v>508</v>
      </c>
      <c r="O1109" s="52" t="s">
        <v>665</v>
      </c>
      <c r="P1109" s="52" t="s">
        <v>746</v>
      </c>
      <c r="Q1109" s="52" t="s">
        <v>683</v>
      </c>
      <c r="R1109" s="52" t="s">
        <v>132</v>
      </c>
      <c r="S1109" s="52" t="s">
        <v>673</v>
      </c>
      <c r="T1109" s="52" t="s">
        <v>1821</v>
      </c>
      <c r="U1109" s="52" t="s">
        <v>1824</v>
      </c>
      <c r="V1109" s="50" t="s">
        <v>1823</v>
      </c>
    </row>
    <row r="1110" spans="1:22" x14ac:dyDescent="0.3">
      <c r="A1110" s="48" t="s">
        <v>748</v>
      </c>
      <c r="B1110" s="49" t="s">
        <v>749</v>
      </c>
      <c r="C1110" s="49" t="s">
        <v>750</v>
      </c>
      <c r="D1110" s="49" t="s">
        <v>673</v>
      </c>
      <c r="E1110" s="49" t="s">
        <v>674</v>
      </c>
      <c r="F1110" s="49" t="s">
        <v>716</v>
      </c>
      <c r="G1110" s="49" t="s">
        <v>744</v>
      </c>
      <c r="H1110" s="49" t="s">
        <v>677</v>
      </c>
      <c r="I1110" s="49" t="s">
        <v>688</v>
      </c>
      <c r="J1110" s="49" t="s">
        <v>751</v>
      </c>
      <c r="K1110" s="49" t="s">
        <v>690</v>
      </c>
      <c r="L1110" s="49" t="s">
        <v>681</v>
      </c>
      <c r="M1110" s="49">
        <v>0.2</v>
      </c>
      <c r="N1110" s="49" t="s">
        <v>508</v>
      </c>
      <c r="O1110" s="49" t="s">
        <v>665</v>
      </c>
      <c r="P1110" s="49" t="s">
        <v>746</v>
      </c>
      <c r="Q1110" s="49" t="s">
        <v>683</v>
      </c>
      <c r="R1110" s="49" t="s">
        <v>132</v>
      </c>
      <c r="S1110" s="52" t="s">
        <v>673</v>
      </c>
      <c r="T1110" s="49" t="s">
        <v>1821</v>
      </c>
      <c r="U1110" s="49" t="s">
        <v>1824</v>
      </c>
      <c r="V1110" s="50" t="s">
        <v>1823</v>
      </c>
    </row>
    <row r="1111" spans="1:22" x14ac:dyDescent="0.3">
      <c r="A1111" s="51" t="s">
        <v>1169</v>
      </c>
      <c r="B1111" s="52" t="s">
        <v>998</v>
      </c>
      <c r="C1111" s="52" t="s">
        <v>1170</v>
      </c>
      <c r="D1111" s="52" t="s">
        <v>673</v>
      </c>
      <c r="E1111" s="52" t="s">
        <v>674</v>
      </c>
      <c r="F1111" s="52" t="s">
        <v>716</v>
      </c>
      <c r="G1111" s="52" t="s">
        <v>744</v>
      </c>
      <c r="H1111" s="52" t="s">
        <v>677</v>
      </c>
      <c r="I1111" s="49" t="s">
        <v>688</v>
      </c>
      <c r="J1111" s="52" t="s">
        <v>679</v>
      </c>
      <c r="K1111" s="52" t="s">
        <v>680</v>
      </c>
      <c r="L1111" s="52" t="s">
        <v>681</v>
      </c>
      <c r="M1111" s="52">
        <v>0.1</v>
      </c>
      <c r="N1111" s="52" t="s">
        <v>50</v>
      </c>
      <c r="O1111" s="52" t="s">
        <v>767</v>
      </c>
      <c r="P1111" s="52" t="s">
        <v>746</v>
      </c>
      <c r="Q1111" s="52" t="s">
        <v>683</v>
      </c>
      <c r="R1111" s="52" t="s">
        <v>132</v>
      </c>
      <c r="S1111" s="52" t="s">
        <v>673</v>
      </c>
      <c r="T1111" s="52" t="s">
        <v>1821</v>
      </c>
      <c r="U1111" s="52" t="s">
        <v>1824</v>
      </c>
      <c r="V1111" s="50" t="s">
        <v>1823</v>
      </c>
    </row>
    <row r="1112" spans="1:22" x14ac:dyDescent="0.3">
      <c r="A1112" s="48" t="s">
        <v>1000</v>
      </c>
      <c r="B1112" s="49" t="s">
        <v>998</v>
      </c>
      <c r="C1112" s="49" t="s">
        <v>1001</v>
      </c>
      <c r="D1112" s="49" t="s">
        <v>673</v>
      </c>
      <c r="E1112" s="49" t="s">
        <v>674</v>
      </c>
      <c r="F1112" s="49" t="s">
        <v>716</v>
      </c>
      <c r="G1112" s="49" t="s">
        <v>744</v>
      </c>
      <c r="H1112" s="49" t="s">
        <v>677</v>
      </c>
      <c r="I1112" s="49" t="s">
        <v>688</v>
      </c>
      <c r="J1112" s="49" t="s">
        <v>751</v>
      </c>
      <c r="K1112" s="49" t="s">
        <v>690</v>
      </c>
      <c r="L1112" s="49" t="s">
        <v>681</v>
      </c>
      <c r="M1112" s="49">
        <v>0.2</v>
      </c>
      <c r="N1112" s="49" t="s">
        <v>50</v>
      </c>
      <c r="O1112" s="49" t="s">
        <v>767</v>
      </c>
      <c r="P1112" s="52" t="s">
        <v>746</v>
      </c>
      <c r="Q1112" s="49" t="s">
        <v>683</v>
      </c>
      <c r="R1112" s="49" t="s">
        <v>132</v>
      </c>
      <c r="S1112" s="52" t="s">
        <v>673</v>
      </c>
      <c r="T1112" s="49" t="s">
        <v>1821</v>
      </c>
      <c r="U1112" s="49" t="s">
        <v>1824</v>
      </c>
      <c r="V1112" s="50" t="s">
        <v>1823</v>
      </c>
    </row>
    <row r="1113" spans="1:22" x14ac:dyDescent="0.3">
      <c r="A1113" s="51" t="s">
        <v>1000</v>
      </c>
      <c r="B1113" s="52" t="s">
        <v>998</v>
      </c>
      <c r="C1113" s="52" t="s">
        <v>1001</v>
      </c>
      <c r="D1113" s="52" t="s">
        <v>673</v>
      </c>
      <c r="E1113" s="52" t="s">
        <v>674</v>
      </c>
      <c r="F1113" s="52" t="s">
        <v>716</v>
      </c>
      <c r="G1113" s="52" t="s">
        <v>744</v>
      </c>
      <c r="H1113" s="52" t="s">
        <v>677</v>
      </c>
      <c r="I1113" s="49" t="s">
        <v>688</v>
      </c>
      <c r="J1113" s="52" t="s">
        <v>751</v>
      </c>
      <c r="K1113" s="52" t="s">
        <v>690</v>
      </c>
      <c r="L1113" s="52" t="s">
        <v>681</v>
      </c>
      <c r="M1113" s="52">
        <v>0.1</v>
      </c>
      <c r="N1113" s="52" t="s">
        <v>1594</v>
      </c>
      <c r="O1113" s="52" t="s">
        <v>767</v>
      </c>
      <c r="P1113" s="52" t="s">
        <v>746</v>
      </c>
      <c r="Q1113" s="52" t="s">
        <v>683</v>
      </c>
      <c r="R1113" s="52" t="s">
        <v>132</v>
      </c>
      <c r="S1113" s="52" t="s">
        <v>673</v>
      </c>
      <c r="T1113" s="52" t="s">
        <v>1821</v>
      </c>
      <c r="U1113" s="52" t="s">
        <v>1824</v>
      </c>
      <c r="V1113" s="50" t="s">
        <v>1823</v>
      </c>
    </row>
    <row r="1114" spans="1:22" x14ac:dyDescent="0.3">
      <c r="A1114" s="48" t="s">
        <v>902</v>
      </c>
      <c r="B1114" s="49" t="s">
        <v>707</v>
      </c>
      <c r="C1114" s="49" t="s">
        <v>715</v>
      </c>
      <c r="D1114" s="49" t="s">
        <v>673</v>
      </c>
      <c r="E1114" s="49" t="s">
        <v>674</v>
      </c>
      <c r="F1114" s="49" t="s">
        <v>716</v>
      </c>
      <c r="G1114" s="49" t="s">
        <v>717</v>
      </c>
      <c r="H1114" s="49" t="s">
        <v>717</v>
      </c>
      <c r="I1114" s="49" t="s">
        <v>717</v>
      </c>
      <c r="J1114" s="49" t="s">
        <v>751</v>
      </c>
      <c r="K1114" s="49" t="s">
        <v>690</v>
      </c>
      <c r="L1114" s="49" t="s">
        <v>699</v>
      </c>
      <c r="M1114" s="49">
        <v>0.7</v>
      </c>
      <c r="N1114" s="49" t="s">
        <v>132</v>
      </c>
      <c r="O1114" s="49" t="s">
        <v>665</v>
      </c>
      <c r="P1114" s="49" t="s">
        <v>746</v>
      </c>
      <c r="Q1114" s="49" t="s">
        <v>683</v>
      </c>
      <c r="R1114" s="49" t="s">
        <v>269</v>
      </c>
      <c r="S1114" s="52" t="s">
        <v>673</v>
      </c>
      <c r="T1114" s="49" t="s">
        <v>1821</v>
      </c>
      <c r="U1114" s="49" t="s">
        <v>1824</v>
      </c>
      <c r="V1114" s="50" t="s">
        <v>1823</v>
      </c>
    </row>
    <row r="1115" spans="1:22" x14ac:dyDescent="0.3">
      <c r="A1115" s="51" t="s">
        <v>841</v>
      </c>
      <c r="B1115" s="52" t="s">
        <v>707</v>
      </c>
      <c r="C1115" s="52" t="s">
        <v>715</v>
      </c>
      <c r="D1115" s="52" t="s">
        <v>673</v>
      </c>
      <c r="E1115" s="52" t="s">
        <v>674</v>
      </c>
      <c r="F1115" s="52" t="s">
        <v>716</v>
      </c>
      <c r="G1115" s="52" t="s">
        <v>717</v>
      </c>
      <c r="H1115" s="52" t="s">
        <v>717</v>
      </c>
      <c r="I1115" s="52" t="s">
        <v>717</v>
      </c>
      <c r="J1115" s="52" t="s">
        <v>713</v>
      </c>
      <c r="K1115" s="52" t="s">
        <v>690</v>
      </c>
      <c r="L1115" s="52" t="s">
        <v>699</v>
      </c>
      <c r="M1115" s="52">
        <v>0.3</v>
      </c>
      <c r="N1115" s="52" t="s">
        <v>132</v>
      </c>
      <c r="O1115" s="52" t="s">
        <v>665</v>
      </c>
      <c r="P1115" s="52" t="s">
        <v>746</v>
      </c>
      <c r="Q1115" s="52" t="s">
        <v>683</v>
      </c>
      <c r="R1115" s="52" t="s">
        <v>269</v>
      </c>
      <c r="S1115" s="52" t="s">
        <v>673</v>
      </c>
      <c r="T1115" s="52" t="s">
        <v>1821</v>
      </c>
      <c r="U1115" s="52" t="s">
        <v>1824</v>
      </c>
      <c r="V1115" s="50" t="s">
        <v>1823</v>
      </c>
    </row>
    <row r="1116" spans="1:22" x14ac:dyDescent="0.3">
      <c r="A1116" s="48" t="s">
        <v>2357</v>
      </c>
      <c r="B1116" s="49" t="s">
        <v>1510</v>
      </c>
      <c r="C1116" s="49" t="s">
        <v>2358</v>
      </c>
      <c r="D1116" s="49" t="s">
        <v>684</v>
      </c>
      <c r="E1116" s="49" t="s">
        <v>674</v>
      </c>
      <c r="F1116" s="49" t="s">
        <v>716</v>
      </c>
      <c r="G1116" s="49" t="s">
        <v>676</v>
      </c>
      <c r="H1116" s="49" t="s">
        <v>702</v>
      </c>
      <c r="I1116" s="49" t="s">
        <v>736</v>
      </c>
      <c r="J1116" s="49" t="s">
        <v>745</v>
      </c>
      <c r="K1116" s="49" t="s">
        <v>738</v>
      </c>
      <c r="L1116" s="49" t="s">
        <v>699</v>
      </c>
      <c r="M1116" s="49">
        <v>1</v>
      </c>
      <c r="N1116" s="49" t="s">
        <v>500</v>
      </c>
      <c r="O1116" s="49" t="s">
        <v>665</v>
      </c>
      <c r="P1116" s="49" t="s">
        <v>746</v>
      </c>
      <c r="Q1116" s="49" t="s">
        <v>683</v>
      </c>
      <c r="R1116" s="49" t="s">
        <v>375</v>
      </c>
      <c r="S1116" s="49" t="s">
        <v>684</v>
      </c>
      <c r="T1116" s="49" t="s">
        <v>1821</v>
      </c>
      <c r="U1116" s="49" t="s">
        <v>1824</v>
      </c>
      <c r="V1116" s="50" t="s">
        <v>1823</v>
      </c>
    </row>
    <row r="1117" spans="1:22" x14ac:dyDescent="0.3">
      <c r="A1117" s="51" t="s">
        <v>1599</v>
      </c>
      <c r="B1117" s="52" t="s">
        <v>470</v>
      </c>
      <c r="C1117" s="52" t="s">
        <v>1600</v>
      </c>
      <c r="D1117" s="52" t="s">
        <v>684</v>
      </c>
      <c r="E1117" s="52" t="s">
        <v>674</v>
      </c>
      <c r="F1117" s="52" t="s">
        <v>716</v>
      </c>
      <c r="G1117" s="52" t="s">
        <v>744</v>
      </c>
      <c r="H1117" s="52" t="s">
        <v>702</v>
      </c>
      <c r="I1117" s="52" t="s">
        <v>736</v>
      </c>
      <c r="J1117" s="52" t="s">
        <v>745</v>
      </c>
      <c r="K1117" s="52" t="s">
        <v>738</v>
      </c>
      <c r="L1117" s="52" t="s">
        <v>739</v>
      </c>
      <c r="M1117" s="52">
        <v>0.5</v>
      </c>
      <c r="N1117" s="52" t="s">
        <v>139</v>
      </c>
      <c r="O1117" s="52"/>
      <c r="P1117" s="52" t="s">
        <v>746</v>
      </c>
      <c r="Q1117" s="52" t="s">
        <v>683</v>
      </c>
      <c r="R1117" s="52"/>
      <c r="S1117" s="52" t="s">
        <v>673</v>
      </c>
      <c r="T1117" s="52" t="s">
        <v>1821</v>
      </c>
      <c r="U1117" s="52" t="s">
        <v>1824</v>
      </c>
      <c r="V1117" s="50" t="s">
        <v>1823</v>
      </c>
    </row>
    <row r="1118" spans="1:22" x14ac:dyDescent="0.3">
      <c r="A1118" s="48" t="s">
        <v>756</v>
      </c>
      <c r="B1118" s="49" t="s">
        <v>753</v>
      </c>
      <c r="C1118" s="49" t="s">
        <v>756</v>
      </c>
      <c r="D1118" s="49" t="s">
        <v>755</v>
      </c>
      <c r="E1118" s="49" t="s">
        <v>674</v>
      </c>
      <c r="F1118" s="49" t="s">
        <v>716</v>
      </c>
      <c r="G1118" s="49" t="s">
        <v>744</v>
      </c>
      <c r="H1118" s="49" t="s">
        <v>702</v>
      </c>
      <c r="I1118" s="49" t="s">
        <v>678</v>
      </c>
      <c r="J1118" s="49" t="s">
        <v>679</v>
      </c>
      <c r="K1118" s="49" t="s">
        <v>680</v>
      </c>
      <c r="L1118" s="49" t="s">
        <v>681</v>
      </c>
      <c r="M1118" s="49">
        <v>0.5</v>
      </c>
      <c r="N1118" s="49" t="s">
        <v>298</v>
      </c>
      <c r="O1118" s="49" t="s">
        <v>665</v>
      </c>
      <c r="P1118" s="49" t="s">
        <v>746</v>
      </c>
      <c r="Q1118" s="49" t="s">
        <v>683</v>
      </c>
      <c r="R1118" s="49" t="s">
        <v>34</v>
      </c>
      <c r="S1118" s="49" t="s">
        <v>755</v>
      </c>
      <c r="T1118" s="49" t="s">
        <v>1821</v>
      </c>
      <c r="U1118" s="49" t="s">
        <v>1824</v>
      </c>
      <c r="V1118" s="50" t="s">
        <v>1823</v>
      </c>
    </row>
    <row r="1119" spans="1:22" x14ac:dyDescent="0.3">
      <c r="A1119" s="51" t="s">
        <v>1190</v>
      </c>
      <c r="B1119" s="52" t="s">
        <v>154</v>
      </c>
      <c r="C1119" s="52" t="s">
        <v>1023</v>
      </c>
      <c r="D1119" s="52" t="s">
        <v>673</v>
      </c>
      <c r="E1119" s="52" t="s">
        <v>674</v>
      </c>
      <c r="F1119" s="52" t="s">
        <v>716</v>
      </c>
      <c r="G1119" s="52" t="s">
        <v>744</v>
      </c>
      <c r="H1119" s="52" t="s">
        <v>935</v>
      </c>
      <c r="I1119" s="49" t="s">
        <v>688</v>
      </c>
      <c r="J1119" s="52" t="s">
        <v>710</v>
      </c>
      <c r="K1119" s="52" t="s">
        <v>690</v>
      </c>
      <c r="L1119" s="52" t="s">
        <v>681</v>
      </c>
      <c r="M1119" s="52">
        <v>0.1</v>
      </c>
      <c r="N1119" s="52" t="s">
        <v>549</v>
      </c>
      <c r="O1119" s="52" t="s">
        <v>665</v>
      </c>
      <c r="P1119" s="52" t="s">
        <v>746</v>
      </c>
      <c r="Q1119" s="52" t="s">
        <v>683</v>
      </c>
      <c r="R1119" s="52" t="s">
        <v>269</v>
      </c>
      <c r="S1119" s="52" t="s">
        <v>673</v>
      </c>
      <c r="T1119" s="52" t="s">
        <v>1821</v>
      </c>
      <c r="U1119" s="52" t="s">
        <v>1824</v>
      </c>
      <c r="V1119" s="50" t="s">
        <v>1823</v>
      </c>
    </row>
    <row r="1120" spans="1:22" x14ac:dyDescent="0.3">
      <c r="A1120" s="48" t="s">
        <v>1209</v>
      </c>
      <c r="B1120" s="49" t="s">
        <v>707</v>
      </c>
      <c r="C1120" s="49" t="s">
        <v>715</v>
      </c>
      <c r="D1120" s="49" t="s">
        <v>755</v>
      </c>
      <c r="E1120" s="49" t="s">
        <v>674</v>
      </c>
      <c r="F1120" s="49" t="s">
        <v>716</v>
      </c>
      <c r="G1120" s="49" t="s">
        <v>717</v>
      </c>
      <c r="H1120" s="49" t="s">
        <v>717</v>
      </c>
      <c r="I1120" s="49" t="s">
        <v>717</v>
      </c>
      <c r="J1120" s="49" t="s">
        <v>679</v>
      </c>
      <c r="K1120" s="49" t="s">
        <v>680</v>
      </c>
      <c r="L1120" s="49" t="s">
        <v>699</v>
      </c>
      <c r="M1120" s="49">
        <v>1</v>
      </c>
      <c r="N1120" s="49" t="s">
        <v>285</v>
      </c>
      <c r="O1120" s="49" t="s">
        <v>665</v>
      </c>
      <c r="P1120" s="49" t="s">
        <v>746</v>
      </c>
      <c r="Q1120" s="49" t="s">
        <v>683</v>
      </c>
      <c r="R1120" s="49" t="s">
        <v>1211</v>
      </c>
      <c r="S1120" s="49" t="s">
        <v>755</v>
      </c>
      <c r="T1120" s="49" t="s">
        <v>1821</v>
      </c>
      <c r="U1120" s="49" t="s">
        <v>1824</v>
      </c>
      <c r="V1120" s="50" t="s">
        <v>1823</v>
      </c>
    </row>
    <row r="1121" spans="1:22" x14ac:dyDescent="0.3">
      <c r="A1121" s="51" t="s">
        <v>1209</v>
      </c>
      <c r="B1121" s="52" t="s">
        <v>707</v>
      </c>
      <c r="C1121" s="52" t="s">
        <v>715</v>
      </c>
      <c r="D1121" s="52" t="s">
        <v>755</v>
      </c>
      <c r="E1121" s="52" t="s">
        <v>674</v>
      </c>
      <c r="F1121" s="52" t="s">
        <v>716</v>
      </c>
      <c r="G1121" s="52" t="s">
        <v>717</v>
      </c>
      <c r="H1121" s="52" t="s">
        <v>717</v>
      </c>
      <c r="I1121" s="52" t="s">
        <v>717</v>
      </c>
      <c r="J1121" s="52" t="s">
        <v>679</v>
      </c>
      <c r="K1121" s="52" t="s">
        <v>680</v>
      </c>
      <c r="L1121" s="52" t="s">
        <v>699</v>
      </c>
      <c r="M1121" s="52">
        <v>1</v>
      </c>
      <c r="N1121" s="52" t="s">
        <v>463</v>
      </c>
      <c r="O1121" s="52" t="s">
        <v>665</v>
      </c>
      <c r="P1121" s="52" t="s">
        <v>1584</v>
      </c>
      <c r="Q1121" s="52" t="s">
        <v>683</v>
      </c>
      <c r="R1121" s="52" t="s">
        <v>1211</v>
      </c>
      <c r="S1121" s="49" t="s">
        <v>755</v>
      </c>
      <c r="T1121" s="52" t="s">
        <v>1821</v>
      </c>
      <c r="U1121" s="52" t="s">
        <v>1824</v>
      </c>
      <c r="V1121" s="50" t="s">
        <v>1823</v>
      </c>
    </row>
    <row r="1122" spans="1:22" x14ac:dyDescent="0.3">
      <c r="A1122" s="48" t="s">
        <v>949</v>
      </c>
      <c r="B1122" s="49" t="s">
        <v>707</v>
      </c>
      <c r="C1122" s="49" t="s">
        <v>715</v>
      </c>
      <c r="D1122" s="49" t="s">
        <v>755</v>
      </c>
      <c r="E1122" s="49" t="s">
        <v>674</v>
      </c>
      <c r="F1122" s="49" t="s">
        <v>716</v>
      </c>
      <c r="G1122" s="49" t="s">
        <v>717</v>
      </c>
      <c r="H1122" s="49" t="s">
        <v>717</v>
      </c>
      <c r="I1122" s="49" t="s">
        <v>717</v>
      </c>
      <c r="J1122" s="49" t="s">
        <v>950</v>
      </c>
      <c r="K1122" s="49" t="s">
        <v>680</v>
      </c>
      <c r="L1122" s="49" t="s">
        <v>699</v>
      </c>
      <c r="M1122" s="49">
        <v>1</v>
      </c>
      <c r="N1122" s="49" t="s">
        <v>309</v>
      </c>
      <c r="O1122" s="49" t="s">
        <v>665</v>
      </c>
      <c r="P1122" s="49" t="s">
        <v>746</v>
      </c>
      <c r="Q1122" s="49" t="s">
        <v>683</v>
      </c>
      <c r="R1122" s="49" t="s">
        <v>1211</v>
      </c>
      <c r="S1122" s="49" t="s">
        <v>755</v>
      </c>
      <c r="T1122" s="49" t="s">
        <v>1821</v>
      </c>
      <c r="U1122" s="49" t="s">
        <v>1824</v>
      </c>
      <c r="V1122" s="50" t="s">
        <v>1823</v>
      </c>
    </row>
    <row r="1123" spans="1:22" x14ac:dyDescent="0.3">
      <c r="A1123" s="51" t="s">
        <v>1209</v>
      </c>
      <c r="B1123" s="52" t="s">
        <v>707</v>
      </c>
      <c r="C1123" s="52" t="s">
        <v>715</v>
      </c>
      <c r="D1123" s="52" t="s">
        <v>755</v>
      </c>
      <c r="E1123" s="52" t="s">
        <v>674</v>
      </c>
      <c r="F1123" s="52" t="s">
        <v>716</v>
      </c>
      <c r="G1123" s="52" t="s">
        <v>717</v>
      </c>
      <c r="H1123" s="52" t="s">
        <v>717</v>
      </c>
      <c r="I1123" s="52" t="s">
        <v>717</v>
      </c>
      <c r="J1123" s="52" t="s">
        <v>679</v>
      </c>
      <c r="K1123" s="52" t="s">
        <v>680</v>
      </c>
      <c r="L1123" s="52" t="s">
        <v>699</v>
      </c>
      <c r="M1123" s="52">
        <v>0.75</v>
      </c>
      <c r="N1123" s="52" t="s">
        <v>34</v>
      </c>
      <c r="O1123" s="52" t="s">
        <v>665</v>
      </c>
      <c r="P1123" s="52" t="s">
        <v>746</v>
      </c>
      <c r="Q1123" s="52" t="s">
        <v>683</v>
      </c>
      <c r="R1123" s="52" t="s">
        <v>1211</v>
      </c>
      <c r="S1123" s="49" t="s">
        <v>755</v>
      </c>
      <c r="T1123" s="52" t="s">
        <v>1821</v>
      </c>
      <c r="U1123" s="52" t="s">
        <v>1824</v>
      </c>
      <c r="V1123" s="50" t="s">
        <v>1823</v>
      </c>
    </row>
    <row r="1124" spans="1:22" x14ac:dyDescent="0.3">
      <c r="A1124" s="48" t="s">
        <v>1614</v>
      </c>
      <c r="B1124" s="49" t="s">
        <v>45</v>
      </c>
      <c r="C1124" s="49" t="s">
        <v>1615</v>
      </c>
      <c r="D1124" s="49" t="s">
        <v>755</v>
      </c>
      <c r="E1124" s="49" t="s">
        <v>674</v>
      </c>
      <c r="F1124" s="49" t="s">
        <v>675</v>
      </c>
      <c r="G1124" s="49" t="s">
        <v>676</v>
      </c>
      <c r="H1124" s="49" t="s">
        <v>677</v>
      </c>
      <c r="I1124" s="49" t="s">
        <v>678</v>
      </c>
      <c r="J1124" s="49" t="s">
        <v>950</v>
      </c>
      <c r="K1124" s="49" t="s">
        <v>680</v>
      </c>
      <c r="L1124" s="49" t="s">
        <v>699</v>
      </c>
      <c r="M1124" s="49">
        <v>0.2</v>
      </c>
      <c r="N1124" s="49" t="s">
        <v>45</v>
      </c>
      <c r="O1124" s="49" t="s">
        <v>665</v>
      </c>
      <c r="P1124" s="49" t="s">
        <v>746</v>
      </c>
      <c r="Q1124" s="49" t="s">
        <v>683</v>
      </c>
      <c r="R1124" s="49" t="s">
        <v>1211</v>
      </c>
      <c r="S1124" s="49" t="s">
        <v>755</v>
      </c>
      <c r="T1124" s="49" t="s">
        <v>1821</v>
      </c>
      <c r="U1124" s="49" t="s">
        <v>1824</v>
      </c>
      <c r="V1124" s="50" t="s">
        <v>1823</v>
      </c>
    </row>
    <row r="1125" spans="1:22" x14ac:dyDescent="0.3">
      <c r="A1125" s="51" t="s">
        <v>1616</v>
      </c>
      <c r="B1125" s="52" t="s">
        <v>1617</v>
      </c>
      <c r="C1125" s="52" t="s">
        <v>1618</v>
      </c>
      <c r="D1125" s="52" t="s">
        <v>755</v>
      </c>
      <c r="E1125" s="52" t="s">
        <v>674</v>
      </c>
      <c r="F1125" s="52" t="s">
        <v>675</v>
      </c>
      <c r="G1125" s="52" t="s">
        <v>676</v>
      </c>
      <c r="H1125" s="52" t="s">
        <v>677</v>
      </c>
      <c r="I1125" s="49" t="s">
        <v>678</v>
      </c>
      <c r="J1125" s="52" t="s">
        <v>950</v>
      </c>
      <c r="K1125" s="52" t="s">
        <v>680</v>
      </c>
      <c r="L1125" s="52" t="s">
        <v>808</v>
      </c>
      <c r="M1125" s="52">
        <v>0.2</v>
      </c>
      <c r="N1125" s="52" t="s">
        <v>45</v>
      </c>
      <c r="O1125" s="52" t="s">
        <v>665</v>
      </c>
      <c r="P1125" s="52" t="s">
        <v>746</v>
      </c>
      <c r="Q1125" s="52" t="s">
        <v>683</v>
      </c>
      <c r="R1125" s="52" t="s">
        <v>1211</v>
      </c>
      <c r="S1125" s="49" t="s">
        <v>755</v>
      </c>
      <c r="T1125" s="52" t="s">
        <v>1821</v>
      </c>
      <c r="U1125" s="52" t="s">
        <v>1824</v>
      </c>
      <c r="V1125" s="50" t="s">
        <v>1823</v>
      </c>
    </row>
    <row r="1126" spans="1:22" x14ac:dyDescent="0.3">
      <c r="A1126" s="48" t="s">
        <v>1385</v>
      </c>
      <c r="B1126" s="49" t="s">
        <v>1258</v>
      </c>
      <c r="C1126" s="49" t="s">
        <v>1386</v>
      </c>
      <c r="D1126" s="49" t="s">
        <v>755</v>
      </c>
      <c r="E1126" s="49" t="s">
        <v>674</v>
      </c>
      <c r="F1126" s="49" t="s">
        <v>716</v>
      </c>
      <c r="G1126" s="49" t="s">
        <v>744</v>
      </c>
      <c r="H1126" s="49" t="s">
        <v>677</v>
      </c>
      <c r="I1126" s="49" t="s">
        <v>688</v>
      </c>
      <c r="J1126" s="49" t="s">
        <v>950</v>
      </c>
      <c r="K1126" s="49" t="s">
        <v>680</v>
      </c>
      <c r="L1126" s="49" t="s">
        <v>699</v>
      </c>
      <c r="M1126" s="49">
        <v>0.6</v>
      </c>
      <c r="N1126" s="49" t="s">
        <v>45</v>
      </c>
      <c r="O1126" s="49" t="s">
        <v>665</v>
      </c>
      <c r="P1126" s="49" t="s">
        <v>746</v>
      </c>
      <c r="Q1126" s="49" t="s">
        <v>683</v>
      </c>
      <c r="R1126" s="49" t="s">
        <v>1211</v>
      </c>
      <c r="S1126" s="49" t="s">
        <v>755</v>
      </c>
      <c r="T1126" s="49" t="s">
        <v>1821</v>
      </c>
      <c r="U1126" s="49" t="s">
        <v>1824</v>
      </c>
      <c r="V1126" s="50" t="s">
        <v>1823</v>
      </c>
    </row>
    <row r="1127" spans="1:22" x14ac:dyDescent="0.3">
      <c r="A1127" s="51" t="s">
        <v>997</v>
      </c>
      <c r="B1127" s="52" t="s">
        <v>998</v>
      </c>
      <c r="C1127" s="52" t="s">
        <v>999</v>
      </c>
      <c r="D1127" s="52" t="s">
        <v>673</v>
      </c>
      <c r="E1127" s="52" t="s">
        <v>674</v>
      </c>
      <c r="F1127" s="52" t="s">
        <v>716</v>
      </c>
      <c r="G1127" s="52" t="s">
        <v>744</v>
      </c>
      <c r="H1127" s="52" t="s">
        <v>677</v>
      </c>
      <c r="I1127" s="49" t="s">
        <v>678</v>
      </c>
      <c r="J1127" s="52" t="s">
        <v>751</v>
      </c>
      <c r="K1127" s="52" t="s">
        <v>690</v>
      </c>
      <c r="L1127" s="52" t="s">
        <v>681</v>
      </c>
      <c r="M1127" s="52">
        <v>0.3</v>
      </c>
      <c r="N1127" s="52" t="s">
        <v>278</v>
      </c>
      <c r="O1127" s="52" t="s">
        <v>665</v>
      </c>
      <c r="P1127" s="52" t="s">
        <v>746</v>
      </c>
      <c r="Q1127" s="52" t="s">
        <v>683</v>
      </c>
      <c r="R1127" s="52" t="s">
        <v>269</v>
      </c>
      <c r="S1127" s="52" t="s">
        <v>673</v>
      </c>
      <c r="T1127" s="52" t="s">
        <v>1821</v>
      </c>
      <c r="U1127" s="52" t="s">
        <v>1824</v>
      </c>
      <c r="V1127" s="50" t="s">
        <v>1823</v>
      </c>
    </row>
    <row r="1128" spans="1:22" x14ac:dyDescent="0.3">
      <c r="A1128" s="48" t="s">
        <v>1000</v>
      </c>
      <c r="B1128" s="49" t="s">
        <v>998</v>
      </c>
      <c r="C1128" s="49" t="s">
        <v>1001</v>
      </c>
      <c r="D1128" s="49" t="s">
        <v>673</v>
      </c>
      <c r="E1128" s="49" t="s">
        <v>674</v>
      </c>
      <c r="F1128" s="49" t="s">
        <v>716</v>
      </c>
      <c r="G1128" s="49" t="s">
        <v>744</v>
      </c>
      <c r="H1128" s="49" t="s">
        <v>677</v>
      </c>
      <c r="I1128" s="49" t="s">
        <v>688</v>
      </c>
      <c r="J1128" s="49" t="s">
        <v>751</v>
      </c>
      <c r="K1128" s="49" t="s">
        <v>690</v>
      </c>
      <c r="L1128" s="49" t="s">
        <v>681</v>
      </c>
      <c r="M1128" s="49">
        <v>0.3</v>
      </c>
      <c r="N1128" s="49" t="s">
        <v>278</v>
      </c>
      <c r="O1128" s="49" t="s">
        <v>665</v>
      </c>
      <c r="P1128" s="49" t="s">
        <v>746</v>
      </c>
      <c r="Q1128" s="49" t="s">
        <v>683</v>
      </c>
      <c r="R1128" s="49" t="s">
        <v>269</v>
      </c>
      <c r="S1128" s="52" t="s">
        <v>673</v>
      </c>
      <c r="T1128" s="49" t="s">
        <v>1821</v>
      </c>
      <c r="U1128" s="49" t="s">
        <v>1824</v>
      </c>
      <c r="V1128" s="50" t="s">
        <v>1823</v>
      </c>
    </row>
    <row r="1129" spans="1:22" x14ac:dyDescent="0.3">
      <c r="A1129" s="51" t="s">
        <v>902</v>
      </c>
      <c r="B1129" s="52" t="s">
        <v>707</v>
      </c>
      <c r="C1129" s="52" t="s">
        <v>715</v>
      </c>
      <c r="D1129" s="52" t="s">
        <v>673</v>
      </c>
      <c r="E1129" s="52" t="s">
        <v>674</v>
      </c>
      <c r="F1129" s="52" t="s">
        <v>716</v>
      </c>
      <c r="G1129" s="52" t="s">
        <v>717</v>
      </c>
      <c r="H1129" s="52" t="s">
        <v>717</v>
      </c>
      <c r="I1129" s="52" t="s">
        <v>717</v>
      </c>
      <c r="J1129" s="52" t="s">
        <v>751</v>
      </c>
      <c r="K1129" s="52" t="s">
        <v>690</v>
      </c>
      <c r="L1129" s="52" t="s">
        <v>699</v>
      </c>
      <c r="M1129" s="52">
        <v>0.4</v>
      </c>
      <c r="N1129" s="52" t="s">
        <v>278</v>
      </c>
      <c r="O1129" s="52" t="s">
        <v>665</v>
      </c>
      <c r="P1129" s="52" t="s">
        <v>746</v>
      </c>
      <c r="Q1129" s="52" t="s">
        <v>683</v>
      </c>
      <c r="R1129" s="52" t="s">
        <v>269</v>
      </c>
      <c r="S1129" s="52" t="s">
        <v>673</v>
      </c>
      <c r="T1129" s="52" t="s">
        <v>1821</v>
      </c>
      <c r="U1129" s="52" t="s">
        <v>1824</v>
      </c>
      <c r="V1129" s="50" t="s">
        <v>1823</v>
      </c>
    </row>
    <row r="1130" spans="1:22" x14ac:dyDescent="0.3">
      <c r="A1130" s="48" t="s">
        <v>1036</v>
      </c>
      <c r="B1130" s="49" t="s">
        <v>707</v>
      </c>
      <c r="C1130" s="49" t="s">
        <v>910</v>
      </c>
      <c r="D1130" s="49" t="s">
        <v>755</v>
      </c>
      <c r="E1130" s="49" t="s">
        <v>674</v>
      </c>
      <c r="F1130" s="49" t="s">
        <v>12</v>
      </c>
      <c r="G1130" s="49" t="s">
        <v>12</v>
      </c>
      <c r="H1130" s="49" t="s">
        <v>12</v>
      </c>
      <c r="I1130" s="49" t="s">
        <v>12</v>
      </c>
      <c r="J1130" s="49" t="s">
        <v>679</v>
      </c>
      <c r="K1130" s="49" t="s">
        <v>680</v>
      </c>
      <c r="L1130" s="49" t="s">
        <v>699</v>
      </c>
      <c r="M1130" s="49">
        <v>1</v>
      </c>
      <c r="N1130" s="49" t="s">
        <v>1390</v>
      </c>
      <c r="O1130" s="49" t="s">
        <v>665</v>
      </c>
      <c r="P1130" s="49" t="s">
        <v>746</v>
      </c>
      <c r="Q1130" s="49" t="s">
        <v>683</v>
      </c>
      <c r="R1130" s="49" t="s">
        <v>309</v>
      </c>
      <c r="S1130" s="49" t="s">
        <v>755</v>
      </c>
      <c r="T1130" s="49" t="s">
        <v>1821</v>
      </c>
      <c r="U1130" s="49" t="s">
        <v>1824</v>
      </c>
      <c r="V1130" s="50" t="s">
        <v>1823</v>
      </c>
    </row>
    <row r="1131" spans="1:22" x14ac:dyDescent="0.3">
      <c r="A1131" s="48" t="s">
        <v>1009</v>
      </c>
      <c r="B1131" s="49" t="s">
        <v>707</v>
      </c>
      <c r="C1131" s="49" t="s">
        <v>715</v>
      </c>
      <c r="D1131" s="49" t="s">
        <v>684</v>
      </c>
      <c r="E1131" s="49" t="s">
        <v>674</v>
      </c>
      <c r="F1131" s="49" t="s">
        <v>716</v>
      </c>
      <c r="G1131" s="49" t="s">
        <v>717</v>
      </c>
      <c r="H1131" s="49" t="s">
        <v>717</v>
      </c>
      <c r="I1131" s="49" t="s">
        <v>717</v>
      </c>
      <c r="J1131" s="49" t="s">
        <v>737</v>
      </c>
      <c r="K1131" s="49" t="s">
        <v>738</v>
      </c>
      <c r="L1131" s="49" t="s">
        <v>699</v>
      </c>
      <c r="M1131" s="49">
        <v>0.35</v>
      </c>
      <c r="N1131" s="49" t="s">
        <v>567</v>
      </c>
      <c r="O1131" s="49" t="s">
        <v>665</v>
      </c>
      <c r="P1131" s="49" t="s">
        <v>711</v>
      </c>
      <c r="Q1131" s="49" t="s">
        <v>683</v>
      </c>
      <c r="R1131" s="49" t="s">
        <v>718</v>
      </c>
      <c r="S1131" s="49" t="s">
        <v>719</v>
      </c>
      <c r="T1131" s="49" t="s">
        <v>1821</v>
      </c>
      <c r="U1131" s="49" t="s">
        <v>1824</v>
      </c>
      <c r="V1131" s="50" t="s">
        <v>1823</v>
      </c>
    </row>
    <row r="1132" spans="1:22" x14ac:dyDescent="0.3">
      <c r="A1132" s="51" t="s">
        <v>1009</v>
      </c>
      <c r="B1132" s="52" t="s">
        <v>707</v>
      </c>
      <c r="C1132" s="52" t="s">
        <v>715</v>
      </c>
      <c r="D1132" s="52" t="s">
        <v>684</v>
      </c>
      <c r="E1132" s="52" t="s">
        <v>674</v>
      </c>
      <c r="F1132" s="52" t="s">
        <v>716</v>
      </c>
      <c r="G1132" s="52" t="s">
        <v>717</v>
      </c>
      <c r="H1132" s="52" t="s">
        <v>717</v>
      </c>
      <c r="I1132" s="52" t="s">
        <v>717</v>
      </c>
      <c r="J1132" s="52" t="s">
        <v>737</v>
      </c>
      <c r="K1132" s="52" t="s">
        <v>738</v>
      </c>
      <c r="L1132" s="52" t="s">
        <v>699</v>
      </c>
      <c r="M1132" s="52">
        <v>0.25</v>
      </c>
      <c r="N1132" s="52" t="s">
        <v>567</v>
      </c>
      <c r="O1132" s="52" t="s">
        <v>665</v>
      </c>
      <c r="P1132" s="52" t="s">
        <v>711</v>
      </c>
      <c r="Q1132" s="52" t="s">
        <v>683</v>
      </c>
      <c r="R1132" s="52" t="s">
        <v>718</v>
      </c>
      <c r="S1132" s="49" t="s">
        <v>719</v>
      </c>
      <c r="T1132" s="52" t="s">
        <v>1821</v>
      </c>
      <c r="U1132" s="52" t="s">
        <v>1824</v>
      </c>
      <c r="V1132" s="50" t="s">
        <v>1823</v>
      </c>
    </row>
    <row r="1133" spans="1:22" x14ac:dyDescent="0.3">
      <c r="A1133" s="48" t="s">
        <v>1586</v>
      </c>
      <c r="B1133" s="49" t="s">
        <v>707</v>
      </c>
      <c r="C1133" s="49" t="s">
        <v>715</v>
      </c>
      <c r="D1133" s="49" t="s">
        <v>684</v>
      </c>
      <c r="E1133" s="49" t="s">
        <v>674</v>
      </c>
      <c r="F1133" s="49" t="s">
        <v>716</v>
      </c>
      <c r="G1133" s="49" t="s">
        <v>717</v>
      </c>
      <c r="H1133" s="49" t="s">
        <v>717</v>
      </c>
      <c r="I1133" s="49" t="s">
        <v>717</v>
      </c>
      <c r="J1133" s="49" t="s">
        <v>1551</v>
      </c>
      <c r="K1133" s="49" t="s">
        <v>738</v>
      </c>
      <c r="L1133" s="49" t="s">
        <v>699</v>
      </c>
      <c r="M1133" s="49">
        <v>0.15</v>
      </c>
      <c r="N1133" s="49" t="s">
        <v>567</v>
      </c>
      <c r="O1133" s="49" t="s">
        <v>665</v>
      </c>
      <c r="P1133" s="49" t="s">
        <v>711</v>
      </c>
      <c r="Q1133" s="49" t="s">
        <v>683</v>
      </c>
      <c r="R1133" s="49" t="s">
        <v>718</v>
      </c>
      <c r="S1133" s="49" t="s">
        <v>719</v>
      </c>
      <c r="T1133" s="49" t="s">
        <v>1821</v>
      </c>
      <c r="U1133" s="49" t="s">
        <v>1824</v>
      </c>
      <c r="V1133" s="50" t="s">
        <v>1823</v>
      </c>
    </row>
    <row r="1134" spans="1:22" x14ac:dyDescent="0.3">
      <c r="A1134" s="51" t="s">
        <v>1035</v>
      </c>
      <c r="B1134" s="52" t="s">
        <v>707</v>
      </c>
      <c r="C1134" s="52" t="s">
        <v>715</v>
      </c>
      <c r="D1134" s="52" t="s">
        <v>684</v>
      </c>
      <c r="E1134" s="52" t="s">
        <v>674</v>
      </c>
      <c r="F1134" s="52" t="s">
        <v>716</v>
      </c>
      <c r="G1134" s="52" t="s">
        <v>717</v>
      </c>
      <c r="H1134" s="52" t="s">
        <v>717</v>
      </c>
      <c r="I1134" s="52" t="s">
        <v>717</v>
      </c>
      <c r="J1134" s="52" t="s">
        <v>745</v>
      </c>
      <c r="K1134" s="52" t="s">
        <v>738</v>
      </c>
      <c r="L1134" s="52" t="s">
        <v>699</v>
      </c>
      <c r="M1134" s="52">
        <v>0.25</v>
      </c>
      <c r="N1134" s="52" t="s">
        <v>567</v>
      </c>
      <c r="O1134" s="52" t="s">
        <v>665</v>
      </c>
      <c r="P1134" s="52" t="s">
        <v>711</v>
      </c>
      <c r="Q1134" s="52" t="s">
        <v>683</v>
      </c>
      <c r="R1134" s="52" t="s">
        <v>718</v>
      </c>
      <c r="S1134" s="49" t="s">
        <v>719</v>
      </c>
      <c r="T1134" s="52" t="s">
        <v>1821</v>
      </c>
      <c r="U1134" s="52" t="s">
        <v>1824</v>
      </c>
      <c r="V1134" s="50" t="s">
        <v>1823</v>
      </c>
    </row>
    <row r="1135" spans="1:22" x14ac:dyDescent="0.3">
      <c r="A1135" s="48" t="s">
        <v>949</v>
      </c>
      <c r="B1135" s="49" t="s">
        <v>707</v>
      </c>
      <c r="C1135" s="49" t="s">
        <v>715</v>
      </c>
      <c r="D1135" s="49" t="s">
        <v>755</v>
      </c>
      <c r="E1135" s="49" t="s">
        <v>674</v>
      </c>
      <c r="F1135" s="49" t="s">
        <v>716</v>
      </c>
      <c r="G1135" s="49" t="s">
        <v>717</v>
      </c>
      <c r="H1135" s="49" t="s">
        <v>717</v>
      </c>
      <c r="I1135" s="49" t="s">
        <v>717</v>
      </c>
      <c r="J1135" s="49" t="s">
        <v>950</v>
      </c>
      <c r="K1135" s="49" t="s">
        <v>680</v>
      </c>
      <c r="L1135" s="49" t="s">
        <v>699</v>
      </c>
      <c r="M1135" s="49">
        <v>0.2</v>
      </c>
      <c r="N1135" s="49" t="s">
        <v>367</v>
      </c>
      <c r="O1135" s="49" t="s">
        <v>665</v>
      </c>
      <c r="P1135" s="49" t="s">
        <v>746</v>
      </c>
      <c r="Q1135" s="49" t="s">
        <v>683</v>
      </c>
      <c r="R1135" s="49" t="s">
        <v>718</v>
      </c>
      <c r="S1135" s="49" t="s">
        <v>719</v>
      </c>
      <c r="T1135" s="49" t="s">
        <v>1821</v>
      </c>
      <c r="U1135" s="49" t="s">
        <v>1824</v>
      </c>
      <c r="V1135" s="50" t="s">
        <v>1823</v>
      </c>
    </row>
    <row r="1136" spans="1:22" x14ac:dyDescent="0.3">
      <c r="A1136" s="51" t="s">
        <v>1209</v>
      </c>
      <c r="B1136" s="52" t="s">
        <v>707</v>
      </c>
      <c r="C1136" s="52" t="s">
        <v>715</v>
      </c>
      <c r="D1136" s="52" t="s">
        <v>755</v>
      </c>
      <c r="E1136" s="52" t="s">
        <v>674</v>
      </c>
      <c r="F1136" s="52" t="s">
        <v>716</v>
      </c>
      <c r="G1136" s="52" t="s">
        <v>717</v>
      </c>
      <c r="H1136" s="52" t="s">
        <v>717</v>
      </c>
      <c r="I1136" s="52" t="s">
        <v>717</v>
      </c>
      <c r="J1136" s="52" t="s">
        <v>679</v>
      </c>
      <c r="K1136" s="52" t="s">
        <v>680</v>
      </c>
      <c r="L1136" s="52" t="s">
        <v>699</v>
      </c>
      <c r="M1136" s="52">
        <v>0.6</v>
      </c>
      <c r="N1136" s="52" t="s">
        <v>367</v>
      </c>
      <c r="O1136" s="52" t="s">
        <v>665</v>
      </c>
      <c r="P1136" s="52" t="s">
        <v>746</v>
      </c>
      <c r="Q1136" s="52" t="s">
        <v>683</v>
      </c>
      <c r="R1136" s="52" t="s">
        <v>718</v>
      </c>
      <c r="S1136" s="49" t="s">
        <v>719</v>
      </c>
      <c r="T1136" s="52" t="s">
        <v>1821</v>
      </c>
      <c r="U1136" s="52" t="s">
        <v>1824</v>
      </c>
      <c r="V1136" s="50" t="s">
        <v>1823</v>
      </c>
    </row>
    <row r="1137" spans="1:22" x14ac:dyDescent="0.3">
      <c r="A1137" s="48" t="s">
        <v>1010</v>
      </c>
      <c r="B1137" s="49" t="s">
        <v>707</v>
      </c>
      <c r="C1137" s="49" t="s">
        <v>715</v>
      </c>
      <c r="D1137" s="49" t="s">
        <v>755</v>
      </c>
      <c r="E1137" s="49" t="s">
        <v>674</v>
      </c>
      <c r="F1137" s="49" t="s">
        <v>716</v>
      </c>
      <c r="G1137" s="49" t="s">
        <v>717</v>
      </c>
      <c r="H1137" s="49" t="s">
        <v>717</v>
      </c>
      <c r="I1137" s="49" t="s">
        <v>717</v>
      </c>
      <c r="J1137" s="49" t="s">
        <v>774</v>
      </c>
      <c r="K1137" s="49" t="s">
        <v>680</v>
      </c>
      <c r="L1137" s="49" t="s">
        <v>699</v>
      </c>
      <c r="M1137" s="49">
        <v>0.2</v>
      </c>
      <c r="N1137" s="49" t="s">
        <v>367</v>
      </c>
      <c r="O1137" s="49" t="s">
        <v>665</v>
      </c>
      <c r="P1137" s="49" t="s">
        <v>746</v>
      </c>
      <c r="Q1137" s="49" t="s">
        <v>683</v>
      </c>
      <c r="R1137" s="49" t="s">
        <v>718</v>
      </c>
      <c r="S1137" s="49" t="s">
        <v>719</v>
      </c>
      <c r="T1137" s="49" t="s">
        <v>1821</v>
      </c>
      <c r="U1137" s="49" t="s">
        <v>1824</v>
      </c>
      <c r="V1137" s="50" t="s">
        <v>1823</v>
      </c>
    </row>
    <row r="1138" spans="1:22" x14ac:dyDescent="0.3">
      <c r="A1138" s="51" t="s">
        <v>997</v>
      </c>
      <c r="B1138" s="52" t="s">
        <v>998</v>
      </c>
      <c r="C1138" s="52" t="s">
        <v>999</v>
      </c>
      <c r="D1138" s="52" t="s">
        <v>673</v>
      </c>
      <c r="E1138" s="52" t="s">
        <v>674</v>
      </c>
      <c r="F1138" s="52" t="s">
        <v>716</v>
      </c>
      <c r="G1138" s="52" t="s">
        <v>744</v>
      </c>
      <c r="H1138" s="52" t="s">
        <v>677</v>
      </c>
      <c r="I1138" s="49" t="s">
        <v>678</v>
      </c>
      <c r="J1138" s="52" t="s">
        <v>751</v>
      </c>
      <c r="K1138" s="52" t="s">
        <v>690</v>
      </c>
      <c r="L1138" s="52" t="s">
        <v>681</v>
      </c>
      <c r="M1138" s="52">
        <v>1</v>
      </c>
      <c r="N1138" s="52" t="s">
        <v>373</v>
      </c>
      <c r="O1138" s="52" t="s">
        <v>767</v>
      </c>
      <c r="P1138" s="52" t="s">
        <v>746</v>
      </c>
      <c r="Q1138" s="52" t="s">
        <v>683</v>
      </c>
      <c r="R1138" s="52" t="s">
        <v>278</v>
      </c>
      <c r="S1138" s="52" t="s">
        <v>673</v>
      </c>
      <c r="T1138" s="52" t="s">
        <v>1821</v>
      </c>
      <c r="U1138" s="52" t="s">
        <v>1824</v>
      </c>
      <c r="V1138" s="50" t="s">
        <v>1823</v>
      </c>
    </row>
    <row r="1139" spans="1:22" x14ac:dyDescent="0.3">
      <c r="A1139" s="48" t="s">
        <v>1002</v>
      </c>
      <c r="B1139" s="49" t="s">
        <v>998</v>
      </c>
      <c r="C1139" s="49" t="s">
        <v>1003</v>
      </c>
      <c r="D1139" s="49" t="s">
        <v>673</v>
      </c>
      <c r="E1139" s="49" t="s">
        <v>674</v>
      </c>
      <c r="F1139" s="49" t="s">
        <v>716</v>
      </c>
      <c r="G1139" s="49" t="s">
        <v>744</v>
      </c>
      <c r="H1139" s="49" t="s">
        <v>677</v>
      </c>
      <c r="I1139" s="49" t="s">
        <v>678</v>
      </c>
      <c r="J1139" s="49" t="s">
        <v>751</v>
      </c>
      <c r="K1139" s="49" t="s">
        <v>690</v>
      </c>
      <c r="L1139" s="49" t="s">
        <v>681</v>
      </c>
      <c r="M1139" s="49">
        <v>1</v>
      </c>
      <c r="N1139" s="49" t="s">
        <v>439</v>
      </c>
      <c r="O1139" s="49" t="s">
        <v>665</v>
      </c>
      <c r="P1139" s="49" t="s">
        <v>746</v>
      </c>
      <c r="Q1139" s="49" t="s">
        <v>683</v>
      </c>
      <c r="R1139" s="49" t="s">
        <v>278</v>
      </c>
      <c r="S1139" s="52" t="s">
        <v>673</v>
      </c>
      <c r="T1139" s="49" t="s">
        <v>1821</v>
      </c>
      <c r="U1139" s="49" t="s">
        <v>1824</v>
      </c>
      <c r="V1139" s="50" t="s">
        <v>1823</v>
      </c>
    </row>
    <row r="1140" spans="1:22" x14ac:dyDescent="0.3">
      <c r="A1140" s="51" t="s">
        <v>841</v>
      </c>
      <c r="B1140" s="52" t="s">
        <v>707</v>
      </c>
      <c r="C1140" s="52" t="s">
        <v>715</v>
      </c>
      <c r="D1140" s="52" t="s">
        <v>673</v>
      </c>
      <c r="E1140" s="52" t="s">
        <v>674</v>
      </c>
      <c r="F1140" s="52" t="s">
        <v>716</v>
      </c>
      <c r="G1140" s="52" t="s">
        <v>717</v>
      </c>
      <c r="H1140" s="52" t="s">
        <v>717</v>
      </c>
      <c r="I1140" s="52" t="s">
        <v>717</v>
      </c>
      <c r="J1140" s="52" t="s">
        <v>713</v>
      </c>
      <c r="K1140" s="52" t="s">
        <v>690</v>
      </c>
      <c r="L1140" s="52" t="s">
        <v>699</v>
      </c>
      <c r="M1140" s="52">
        <v>0.3</v>
      </c>
      <c r="N1140" s="52" t="s">
        <v>269</v>
      </c>
      <c r="O1140" s="52" t="s">
        <v>665</v>
      </c>
      <c r="P1140" s="52" t="s">
        <v>746</v>
      </c>
      <c r="Q1140" s="52" t="s">
        <v>683</v>
      </c>
      <c r="R1140" s="52" t="s">
        <v>366</v>
      </c>
      <c r="S1140" s="52" t="s">
        <v>673</v>
      </c>
      <c r="T1140" s="52" t="s">
        <v>1821</v>
      </c>
      <c r="U1140" s="52" t="s">
        <v>1824</v>
      </c>
      <c r="V1140" s="50" t="s">
        <v>1823</v>
      </c>
    </row>
    <row r="1141" spans="1:22" x14ac:dyDescent="0.3">
      <c r="A1141" s="48" t="s">
        <v>714</v>
      </c>
      <c r="B1141" s="49" t="s">
        <v>707</v>
      </c>
      <c r="C1141" s="49" t="s">
        <v>715</v>
      </c>
      <c r="D1141" s="49" t="s">
        <v>673</v>
      </c>
      <c r="E1141" s="49" t="s">
        <v>674</v>
      </c>
      <c r="F1141" s="49" t="s">
        <v>716</v>
      </c>
      <c r="G1141" s="49" t="s">
        <v>717</v>
      </c>
      <c r="H1141" s="49" t="s">
        <v>717</v>
      </c>
      <c r="I1141" s="49" t="s">
        <v>717</v>
      </c>
      <c r="J1141" s="49" t="s">
        <v>710</v>
      </c>
      <c r="K1141" s="49" t="s">
        <v>690</v>
      </c>
      <c r="L1141" s="49" t="s">
        <v>699</v>
      </c>
      <c r="M1141" s="49">
        <v>0.2</v>
      </c>
      <c r="N1141" s="49" t="s">
        <v>269</v>
      </c>
      <c r="O1141" s="49" t="s">
        <v>665</v>
      </c>
      <c r="P1141" s="49" t="s">
        <v>746</v>
      </c>
      <c r="Q1141" s="49" t="s">
        <v>683</v>
      </c>
      <c r="R1141" s="49" t="s">
        <v>366</v>
      </c>
      <c r="S1141" s="52" t="s">
        <v>673</v>
      </c>
      <c r="T1141" s="49" t="s">
        <v>1821</v>
      </c>
      <c r="U1141" s="49" t="s">
        <v>1824</v>
      </c>
      <c r="V1141" s="50" t="s">
        <v>1823</v>
      </c>
    </row>
    <row r="1142" spans="1:22" x14ac:dyDescent="0.3">
      <c r="A1142" s="51" t="s">
        <v>902</v>
      </c>
      <c r="B1142" s="52" t="s">
        <v>707</v>
      </c>
      <c r="C1142" s="52" t="s">
        <v>715</v>
      </c>
      <c r="D1142" s="52" t="s">
        <v>673</v>
      </c>
      <c r="E1142" s="52" t="s">
        <v>674</v>
      </c>
      <c r="F1142" s="52" t="s">
        <v>716</v>
      </c>
      <c r="G1142" s="52" t="s">
        <v>717</v>
      </c>
      <c r="H1142" s="52" t="s">
        <v>717</v>
      </c>
      <c r="I1142" s="52" t="s">
        <v>717</v>
      </c>
      <c r="J1142" s="52" t="s">
        <v>751</v>
      </c>
      <c r="K1142" s="52" t="s">
        <v>690</v>
      </c>
      <c r="L1142" s="52" t="s">
        <v>699</v>
      </c>
      <c r="M1142" s="52">
        <v>0.2</v>
      </c>
      <c r="N1142" s="52" t="s">
        <v>269</v>
      </c>
      <c r="O1142" s="52" t="s">
        <v>665</v>
      </c>
      <c r="P1142" s="52" t="s">
        <v>746</v>
      </c>
      <c r="Q1142" s="52" t="s">
        <v>683</v>
      </c>
      <c r="R1142" s="52" t="s">
        <v>366</v>
      </c>
      <c r="S1142" s="52" t="s">
        <v>673</v>
      </c>
      <c r="T1142" s="52" t="s">
        <v>1821</v>
      </c>
      <c r="U1142" s="52" t="s">
        <v>1824</v>
      </c>
      <c r="V1142" s="50" t="s">
        <v>1823</v>
      </c>
    </row>
    <row r="1143" spans="1:22" x14ac:dyDescent="0.3">
      <c r="A1143" s="48" t="s">
        <v>903</v>
      </c>
      <c r="B1143" s="49" t="s">
        <v>904</v>
      </c>
      <c r="C1143" s="49" t="s">
        <v>905</v>
      </c>
      <c r="D1143" s="49" t="s">
        <v>673</v>
      </c>
      <c r="E1143" s="49" t="s">
        <v>674</v>
      </c>
      <c r="F1143" s="49" t="s">
        <v>716</v>
      </c>
      <c r="G1143" s="49" t="s">
        <v>717</v>
      </c>
      <c r="H1143" s="49" t="s">
        <v>717</v>
      </c>
      <c r="I1143" s="49" t="s">
        <v>716</v>
      </c>
      <c r="J1143" s="49" t="s">
        <v>906</v>
      </c>
      <c r="K1143" s="49" t="s">
        <v>690</v>
      </c>
      <c r="L1143" s="49" t="s">
        <v>699</v>
      </c>
      <c r="M1143" s="49">
        <v>0.3</v>
      </c>
      <c r="N1143" s="49" t="s">
        <v>269</v>
      </c>
      <c r="O1143" s="49" t="s">
        <v>665</v>
      </c>
      <c r="P1143" s="49" t="s">
        <v>746</v>
      </c>
      <c r="Q1143" s="49" t="s">
        <v>683</v>
      </c>
      <c r="R1143" s="49" t="s">
        <v>366</v>
      </c>
      <c r="S1143" s="52" t="s">
        <v>673</v>
      </c>
      <c r="T1143" s="49" t="s">
        <v>1821</v>
      </c>
      <c r="U1143" s="49" t="s">
        <v>1824</v>
      </c>
      <c r="V1143" s="50" t="s">
        <v>1823</v>
      </c>
    </row>
    <row r="1144" spans="1:22" x14ac:dyDescent="0.3">
      <c r="A1144" s="51" t="s">
        <v>941</v>
      </c>
      <c r="B1144" s="52" t="s">
        <v>154</v>
      </c>
      <c r="C1144" s="52" t="s">
        <v>942</v>
      </c>
      <c r="D1144" s="52" t="s">
        <v>673</v>
      </c>
      <c r="E1144" s="52" t="s">
        <v>674</v>
      </c>
      <c r="F1144" s="52" t="s">
        <v>716</v>
      </c>
      <c r="G1144" s="52" t="s">
        <v>744</v>
      </c>
      <c r="H1144" s="52" t="s">
        <v>935</v>
      </c>
      <c r="I1144" s="49" t="s">
        <v>678</v>
      </c>
      <c r="J1144" s="52" t="s">
        <v>713</v>
      </c>
      <c r="K1144" s="52" t="s">
        <v>690</v>
      </c>
      <c r="L1144" s="52" t="s">
        <v>681</v>
      </c>
      <c r="M1144" s="52">
        <v>0.5</v>
      </c>
      <c r="N1144" s="52" t="s">
        <v>2404</v>
      </c>
      <c r="O1144" s="52" t="s">
        <v>767</v>
      </c>
      <c r="P1144" s="52" t="s">
        <v>746</v>
      </c>
      <c r="Q1144" s="52" t="s">
        <v>683</v>
      </c>
      <c r="R1144" s="52" t="s">
        <v>258</v>
      </c>
      <c r="S1144" s="52" t="s">
        <v>673</v>
      </c>
      <c r="T1144" s="52" t="s">
        <v>1821</v>
      </c>
      <c r="U1144" s="52" t="s">
        <v>1824</v>
      </c>
      <c r="V1144" s="50" t="s">
        <v>1823</v>
      </c>
    </row>
    <row r="1145" spans="1:22" x14ac:dyDescent="0.3">
      <c r="A1145" s="48" t="s">
        <v>1653</v>
      </c>
      <c r="B1145" s="49" t="s">
        <v>528</v>
      </c>
      <c r="C1145" s="49" t="s">
        <v>1654</v>
      </c>
      <c r="D1145" s="49" t="s">
        <v>673</v>
      </c>
      <c r="E1145" s="49" t="s">
        <v>674</v>
      </c>
      <c r="F1145" s="49" t="s">
        <v>675</v>
      </c>
      <c r="G1145" s="49" t="s">
        <v>676</v>
      </c>
      <c r="H1145" s="49" t="s">
        <v>677</v>
      </c>
      <c r="I1145" s="49" t="s">
        <v>688</v>
      </c>
      <c r="J1145" s="49" t="s">
        <v>1422</v>
      </c>
      <c r="K1145" s="49" t="s">
        <v>861</v>
      </c>
      <c r="L1145" s="49" t="s">
        <v>681</v>
      </c>
      <c r="M1145" s="49">
        <v>0.5</v>
      </c>
      <c r="N1145" s="49" t="s">
        <v>528</v>
      </c>
      <c r="O1145" s="49" t="s">
        <v>665</v>
      </c>
      <c r="P1145" s="49" t="s">
        <v>711</v>
      </c>
      <c r="Q1145" s="49" t="s">
        <v>683</v>
      </c>
      <c r="R1145" s="49" t="s">
        <v>366</v>
      </c>
      <c r="S1145" s="52" t="s">
        <v>673</v>
      </c>
      <c r="T1145" s="49" t="s">
        <v>1821</v>
      </c>
      <c r="U1145" s="49" t="s">
        <v>1824</v>
      </c>
      <c r="V1145" s="50" t="s">
        <v>1823</v>
      </c>
    </row>
    <row r="1146" spans="1:22" x14ac:dyDescent="0.3">
      <c r="A1146" s="51" t="s">
        <v>1655</v>
      </c>
      <c r="B1146" s="52" t="s">
        <v>528</v>
      </c>
      <c r="C1146" s="52" t="s">
        <v>1655</v>
      </c>
      <c r="D1146" s="52" t="s">
        <v>673</v>
      </c>
      <c r="E1146" s="52" t="s">
        <v>674</v>
      </c>
      <c r="F1146" s="52" t="s">
        <v>675</v>
      </c>
      <c r="G1146" s="52" t="s">
        <v>676</v>
      </c>
      <c r="H1146" s="52" t="s">
        <v>677</v>
      </c>
      <c r="I1146" s="49" t="s">
        <v>688</v>
      </c>
      <c r="J1146" s="52" t="s">
        <v>689</v>
      </c>
      <c r="K1146" s="52" t="s">
        <v>690</v>
      </c>
      <c r="L1146" s="52" t="s">
        <v>681</v>
      </c>
      <c r="M1146" s="52">
        <v>0.5</v>
      </c>
      <c r="N1146" s="52" t="s">
        <v>528</v>
      </c>
      <c r="O1146" s="52" t="s">
        <v>665</v>
      </c>
      <c r="P1146" s="52" t="s">
        <v>711</v>
      </c>
      <c r="Q1146" s="52" t="s">
        <v>683</v>
      </c>
      <c r="R1146" s="52" t="s">
        <v>366</v>
      </c>
      <c r="S1146" s="52" t="s">
        <v>673</v>
      </c>
      <c r="T1146" s="52" t="s">
        <v>1821</v>
      </c>
      <c r="U1146" s="52" t="s">
        <v>1824</v>
      </c>
      <c r="V1146" s="50" t="s">
        <v>1823</v>
      </c>
    </row>
    <row r="1147" spans="1:22" x14ac:dyDescent="0.3">
      <c r="A1147" s="48" t="s">
        <v>2386</v>
      </c>
      <c r="B1147" s="49" t="s">
        <v>707</v>
      </c>
      <c r="C1147" s="49" t="s">
        <v>773</v>
      </c>
      <c r="D1147" s="49" t="s">
        <v>673</v>
      </c>
      <c r="E1147" s="49" t="s">
        <v>674</v>
      </c>
      <c r="F1147" s="49" t="s">
        <v>773</v>
      </c>
      <c r="G1147" s="49" t="s">
        <v>773</v>
      </c>
      <c r="H1147" s="49" t="s">
        <v>773</v>
      </c>
      <c r="I1147" s="49" t="s">
        <v>773</v>
      </c>
      <c r="J1147" s="49" t="s">
        <v>713</v>
      </c>
      <c r="K1147" s="49" t="s">
        <v>690</v>
      </c>
      <c r="L1147" s="49" t="s">
        <v>699</v>
      </c>
      <c r="M1147" s="49">
        <v>0.3</v>
      </c>
      <c r="N1147" s="49" t="s">
        <v>2404</v>
      </c>
      <c r="O1147" s="49" t="s">
        <v>767</v>
      </c>
      <c r="P1147" s="52" t="s">
        <v>746</v>
      </c>
      <c r="Q1147" s="49" t="s">
        <v>683</v>
      </c>
      <c r="R1147" s="49" t="s">
        <v>258</v>
      </c>
      <c r="S1147" s="52" t="s">
        <v>673</v>
      </c>
      <c r="T1147" s="49" t="s">
        <v>1821</v>
      </c>
      <c r="U1147" s="49" t="s">
        <v>1824</v>
      </c>
      <c r="V1147" s="50" t="s">
        <v>1823</v>
      </c>
    </row>
    <row r="1148" spans="1:22" x14ac:dyDescent="0.3">
      <c r="A1148" s="51" t="s">
        <v>941</v>
      </c>
      <c r="B1148" s="52" t="s">
        <v>154</v>
      </c>
      <c r="C1148" s="52" t="s">
        <v>942</v>
      </c>
      <c r="D1148" s="52" t="s">
        <v>673</v>
      </c>
      <c r="E1148" s="52" t="s">
        <v>674</v>
      </c>
      <c r="F1148" s="52" t="s">
        <v>716</v>
      </c>
      <c r="G1148" s="52" t="s">
        <v>744</v>
      </c>
      <c r="H1148" s="52" t="s">
        <v>935</v>
      </c>
      <c r="I1148" s="49" t="s">
        <v>678</v>
      </c>
      <c r="J1148" s="52" t="s">
        <v>713</v>
      </c>
      <c r="K1148" s="52" t="s">
        <v>690</v>
      </c>
      <c r="L1148" s="52" t="s">
        <v>681</v>
      </c>
      <c r="M1148" s="52">
        <v>0.2</v>
      </c>
      <c r="N1148" s="52" t="s">
        <v>650</v>
      </c>
      <c r="O1148" s="52" t="s">
        <v>665</v>
      </c>
      <c r="P1148" s="52" t="s">
        <v>746</v>
      </c>
      <c r="Q1148" s="52" t="s">
        <v>683</v>
      </c>
      <c r="R1148" s="52" t="s">
        <v>258</v>
      </c>
      <c r="S1148" s="52" t="s">
        <v>673</v>
      </c>
      <c r="T1148" s="52" t="s">
        <v>1821</v>
      </c>
      <c r="U1148" s="52" t="s">
        <v>1824</v>
      </c>
      <c r="V1148" s="50" t="s">
        <v>1823</v>
      </c>
    </row>
    <row r="1149" spans="1:22" x14ac:dyDescent="0.3">
      <c r="A1149" s="48" t="s">
        <v>1074</v>
      </c>
      <c r="B1149" s="49" t="s">
        <v>1075</v>
      </c>
      <c r="C1149" s="49" t="s">
        <v>1076</v>
      </c>
      <c r="D1149" s="49" t="s">
        <v>755</v>
      </c>
      <c r="E1149" s="49" t="s">
        <v>674</v>
      </c>
      <c r="F1149" s="49" t="s">
        <v>716</v>
      </c>
      <c r="G1149" s="49" t="s">
        <v>744</v>
      </c>
      <c r="H1149" s="49" t="s">
        <v>677</v>
      </c>
      <c r="I1149" s="49" t="s">
        <v>678</v>
      </c>
      <c r="J1149" s="49" t="s">
        <v>774</v>
      </c>
      <c r="K1149" s="49" t="s">
        <v>680</v>
      </c>
      <c r="L1149" s="49" t="s">
        <v>699</v>
      </c>
      <c r="M1149" s="49">
        <v>0.4</v>
      </c>
      <c r="N1149" s="49" t="s">
        <v>573</v>
      </c>
      <c r="O1149" s="49" t="s">
        <v>665</v>
      </c>
      <c r="P1149" s="49" t="s">
        <v>746</v>
      </c>
      <c r="Q1149" s="49" t="s">
        <v>683</v>
      </c>
      <c r="R1149" s="49" t="s">
        <v>47</v>
      </c>
      <c r="S1149" s="49" t="s">
        <v>755</v>
      </c>
      <c r="T1149" s="49" t="s">
        <v>1821</v>
      </c>
      <c r="U1149" s="49" t="s">
        <v>1824</v>
      </c>
      <c r="V1149" s="50" t="s">
        <v>1823</v>
      </c>
    </row>
    <row r="1150" spans="1:22" x14ac:dyDescent="0.3">
      <c r="A1150" s="51" t="s">
        <v>1634</v>
      </c>
      <c r="B1150" s="52" t="s">
        <v>228</v>
      </c>
      <c r="C1150" s="52" t="s">
        <v>1635</v>
      </c>
      <c r="D1150" s="52" t="s">
        <v>684</v>
      </c>
      <c r="E1150" s="52" t="s">
        <v>674</v>
      </c>
      <c r="F1150" s="52" t="s">
        <v>716</v>
      </c>
      <c r="G1150" s="52" t="s">
        <v>744</v>
      </c>
      <c r="H1150" s="52" t="s">
        <v>677</v>
      </c>
      <c r="I1150" s="49" t="s">
        <v>678</v>
      </c>
      <c r="J1150" s="52" t="s">
        <v>860</v>
      </c>
      <c r="K1150" s="52" t="s">
        <v>861</v>
      </c>
      <c r="L1150" s="52" t="s">
        <v>808</v>
      </c>
      <c r="M1150" s="52">
        <v>0.8</v>
      </c>
      <c r="N1150" s="52" t="s">
        <v>300</v>
      </c>
      <c r="O1150" s="52" t="s">
        <v>665</v>
      </c>
      <c r="P1150" s="52" t="s">
        <v>746</v>
      </c>
      <c r="Q1150" s="52" t="s">
        <v>683</v>
      </c>
      <c r="R1150" s="52" t="s">
        <v>567</v>
      </c>
      <c r="S1150" s="49" t="s">
        <v>684</v>
      </c>
      <c r="T1150" s="52" t="s">
        <v>1821</v>
      </c>
      <c r="U1150" s="52" t="s">
        <v>1824</v>
      </c>
      <c r="V1150" s="50" t="s">
        <v>1823</v>
      </c>
    </row>
    <row r="1151" spans="1:22" x14ac:dyDescent="0.3">
      <c r="A1151" s="48" t="s">
        <v>1636</v>
      </c>
      <c r="B1151" s="49" t="s">
        <v>228</v>
      </c>
      <c r="C1151" s="49" t="s">
        <v>1637</v>
      </c>
      <c r="D1151" s="49" t="s">
        <v>673</v>
      </c>
      <c r="E1151" s="49" t="s">
        <v>674</v>
      </c>
      <c r="F1151" s="49" t="s">
        <v>716</v>
      </c>
      <c r="G1151" s="49" t="s">
        <v>744</v>
      </c>
      <c r="H1151" s="49" t="s">
        <v>677</v>
      </c>
      <c r="I1151" s="49" t="s">
        <v>678</v>
      </c>
      <c r="J1151" s="49" t="s">
        <v>1422</v>
      </c>
      <c r="K1151" s="49" t="s">
        <v>861</v>
      </c>
      <c r="L1151" s="49" t="s">
        <v>681</v>
      </c>
      <c r="M1151" s="49">
        <v>0.1</v>
      </c>
      <c r="N1151" s="49" t="s">
        <v>300</v>
      </c>
      <c r="O1151" s="49" t="s">
        <v>665</v>
      </c>
      <c r="P1151" s="49" t="s">
        <v>746</v>
      </c>
      <c r="Q1151" s="49" t="s">
        <v>683</v>
      </c>
      <c r="R1151" s="49" t="s">
        <v>567</v>
      </c>
      <c r="S1151" s="49" t="s">
        <v>684</v>
      </c>
      <c r="T1151" s="49" t="s">
        <v>1821</v>
      </c>
      <c r="U1151" s="49" t="s">
        <v>1824</v>
      </c>
      <c r="V1151" s="50" t="s">
        <v>1823</v>
      </c>
    </row>
    <row r="1152" spans="1:22" x14ac:dyDescent="0.3">
      <c r="A1152" s="51" t="s">
        <v>1638</v>
      </c>
      <c r="B1152" s="52" t="s">
        <v>228</v>
      </c>
      <c r="C1152" s="52" t="s">
        <v>1639</v>
      </c>
      <c r="D1152" s="52" t="s">
        <v>673</v>
      </c>
      <c r="E1152" s="52" t="s">
        <v>674</v>
      </c>
      <c r="F1152" s="52" t="s">
        <v>716</v>
      </c>
      <c r="G1152" s="52" t="s">
        <v>744</v>
      </c>
      <c r="H1152" s="52" t="s">
        <v>677</v>
      </c>
      <c r="I1152" s="49" t="s">
        <v>678</v>
      </c>
      <c r="J1152" s="52" t="s">
        <v>698</v>
      </c>
      <c r="K1152" s="52" t="s">
        <v>690</v>
      </c>
      <c r="L1152" s="52" t="s">
        <v>681</v>
      </c>
      <c r="M1152" s="52">
        <v>0.1</v>
      </c>
      <c r="N1152" s="52" t="s">
        <v>300</v>
      </c>
      <c r="O1152" s="52" t="s">
        <v>665</v>
      </c>
      <c r="P1152" s="52" t="s">
        <v>746</v>
      </c>
      <c r="Q1152" s="52" t="s">
        <v>683</v>
      </c>
      <c r="R1152" s="52" t="s">
        <v>567</v>
      </c>
      <c r="S1152" s="49" t="s">
        <v>684</v>
      </c>
      <c r="T1152" s="52" t="s">
        <v>1821</v>
      </c>
      <c r="U1152" s="52" t="s">
        <v>1824</v>
      </c>
      <c r="V1152" s="50" t="s">
        <v>1823</v>
      </c>
    </row>
    <row r="1153" spans="1:22" x14ac:dyDescent="0.3">
      <c r="A1153" s="48" t="s">
        <v>841</v>
      </c>
      <c r="B1153" s="49" t="s">
        <v>707</v>
      </c>
      <c r="C1153" s="49" t="s">
        <v>715</v>
      </c>
      <c r="D1153" s="49" t="s">
        <v>673</v>
      </c>
      <c r="E1153" s="49" t="s">
        <v>674</v>
      </c>
      <c r="F1153" s="49" t="s">
        <v>716</v>
      </c>
      <c r="G1153" s="49" t="s">
        <v>717</v>
      </c>
      <c r="H1153" s="49" t="s">
        <v>717</v>
      </c>
      <c r="I1153" s="49" t="s">
        <v>717</v>
      </c>
      <c r="J1153" s="49" t="s">
        <v>713</v>
      </c>
      <c r="K1153" s="49" t="s">
        <v>690</v>
      </c>
      <c r="L1153" s="49" t="s">
        <v>699</v>
      </c>
      <c r="M1153" s="49">
        <v>0.1</v>
      </c>
      <c r="N1153" s="49" t="s">
        <v>89</v>
      </c>
      <c r="O1153" s="49" t="s">
        <v>665</v>
      </c>
      <c r="P1153" s="49" t="s">
        <v>746</v>
      </c>
      <c r="Q1153" s="49" t="s">
        <v>683</v>
      </c>
      <c r="R1153" s="49" t="s">
        <v>567</v>
      </c>
      <c r="S1153" s="49" t="s">
        <v>684</v>
      </c>
      <c r="T1153" s="49" t="s">
        <v>1821</v>
      </c>
      <c r="U1153" s="49" t="s">
        <v>1824</v>
      </c>
      <c r="V1153" s="50" t="s">
        <v>1823</v>
      </c>
    </row>
    <row r="1154" spans="1:22" x14ac:dyDescent="0.3">
      <c r="A1154" s="51" t="s">
        <v>1209</v>
      </c>
      <c r="B1154" s="52" t="s">
        <v>707</v>
      </c>
      <c r="C1154" s="52" t="s">
        <v>715</v>
      </c>
      <c r="D1154" s="52" t="s">
        <v>755</v>
      </c>
      <c r="E1154" s="52" t="s">
        <v>674</v>
      </c>
      <c r="F1154" s="52" t="s">
        <v>716</v>
      </c>
      <c r="G1154" s="52" t="s">
        <v>717</v>
      </c>
      <c r="H1154" s="52" t="s">
        <v>717</v>
      </c>
      <c r="I1154" s="52" t="s">
        <v>717</v>
      </c>
      <c r="J1154" s="52" t="s">
        <v>679</v>
      </c>
      <c r="K1154" s="52" t="s">
        <v>680</v>
      </c>
      <c r="L1154" s="52" t="s">
        <v>699</v>
      </c>
      <c r="M1154" s="52">
        <v>0.1</v>
      </c>
      <c r="N1154" s="52" t="s">
        <v>89</v>
      </c>
      <c r="O1154" s="52" t="s">
        <v>665</v>
      </c>
      <c r="P1154" s="52" t="s">
        <v>746</v>
      </c>
      <c r="Q1154" s="52" t="s">
        <v>683</v>
      </c>
      <c r="R1154" s="52" t="s">
        <v>567</v>
      </c>
      <c r="S1154" s="49" t="s">
        <v>684</v>
      </c>
      <c r="T1154" s="52" t="s">
        <v>1821</v>
      </c>
      <c r="U1154" s="52" t="s">
        <v>1824</v>
      </c>
      <c r="V1154" s="50" t="s">
        <v>1823</v>
      </c>
    </row>
    <row r="1155" spans="1:22" x14ac:dyDescent="0.3">
      <c r="A1155" s="48" t="s">
        <v>1009</v>
      </c>
      <c r="B1155" s="49" t="s">
        <v>707</v>
      </c>
      <c r="C1155" s="49" t="s">
        <v>715</v>
      </c>
      <c r="D1155" s="49" t="s">
        <v>684</v>
      </c>
      <c r="E1155" s="49" t="s">
        <v>674</v>
      </c>
      <c r="F1155" s="49" t="s">
        <v>716</v>
      </c>
      <c r="G1155" s="49" t="s">
        <v>717</v>
      </c>
      <c r="H1155" s="49" t="s">
        <v>717</v>
      </c>
      <c r="I1155" s="49" t="s">
        <v>717</v>
      </c>
      <c r="J1155" s="49" t="s">
        <v>737</v>
      </c>
      <c r="K1155" s="49" t="s">
        <v>738</v>
      </c>
      <c r="L1155" s="49" t="s">
        <v>699</v>
      </c>
      <c r="M1155" s="49">
        <v>0.2</v>
      </c>
      <c r="N1155" s="49" t="s">
        <v>89</v>
      </c>
      <c r="O1155" s="49" t="s">
        <v>665</v>
      </c>
      <c r="P1155" s="49" t="s">
        <v>746</v>
      </c>
      <c r="Q1155" s="49" t="s">
        <v>683</v>
      </c>
      <c r="R1155" s="49" t="s">
        <v>567</v>
      </c>
      <c r="S1155" s="49" t="s">
        <v>684</v>
      </c>
      <c r="T1155" s="49" t="s">
        <v>1821</v>
      </c>
      <c r="U1155" s="49" t="s">
        <v>1824</v>
      </c>
      <c r="V1155" s="50" t="s">
        <v>1823</v>
      </c>
    </row>
    <row r="1156" spans="1:22" x14ac:dyDescent="0.3">
      <c r="A1156" s="51" t="s">
        <v>902</v>
      </c>
      <c r="B1156" s="52" t="s">
        <v>707</v>
      </c>
      <c r="C1156" s="52" t="s">
        <v>715</v>
      </c>
      <c r="D1156" s="52" t="s">
        <v>673</v>
      </c>
      <c r="E1156" s="52" t="s">
        <v>674</v>
      </c>
      <c r="F1156" s="52" t="s">
        <v>716</v>
      </c>
      <c r="G1156" s="52" t="s">
        <v>717</v>
      </c>
      <c r="H1156" s="52" t="s">
        <v>717</v>
      </c>
      <c r="I1156" s="52" t="s">
        <v>717</v>
      </c>
      <c r="J1156" s="52" t="s">
        <v>751</v>
      </c>
      <c r="K1156" s="52" t="s">
        <v>690</v>
      </c>
      <c r="L1156" s="52" t="s">
        <v>699</v>
      </c>
      <c r="M1156" s="52">
        <v>0.1</v>
      </c>
      <c r="N1156" s="52" t="s">
        <v>89</v>
      </c>
      <c r="O1156" s="52" t="s">
        <v>665</v>
      </c>
      <c r="P1156" s="52" t="s">
        <v>746</v>
      </c>
      <c r="Q1156" s="52" t="s">
        <v>683</v>
      </c>
      <c r="R1156" s="52" t="s">
        <v>567</v>
      </c>
      <c r="S1156" s="49" t="s">
        <v>684</v>
      </c>
      <c r="T1156" s="52" t="s">
        <v>1821</v>
      </c>
      <c r="U1156" s="52" t="s">
        <v>1824</v>
      </c>
      <c r="V1156" s="50" t="s">
        <v>1823</v>
      </c>
    </row>
    <row r="1157" spans="1:22" x14ac:dyDescent="0.3">
      <c r="A1157" s="48" t="s">
        <v>714</v>
      </c>
      <c r="B1157" s="49" t="s">
        <v>707</v>
      </c>
      <c r="C1157" s="49" t="s">
        <v>715</v>
      </c>
      <c r="D1157" s="49" t="s">
        <v>673</v>
      </c>
      <c r="E1157" s="49" t="s">
        <v>674</v>
      </c>
      <c r="F1157" s="49" t="s">
        <v>716</v>
      </c>
      <c r="G1157" s="49" t="s">
        <v>717</v>
      </c>
      <c r="H1157" s="49" t="s">
        <v>717</v>
      </c>
      <c r="I1157" s="49" t="s">
        <v>717</v>
      </c>
      <c r="J1157" s="49" t="s">
        <v>710</v>
      </c>
      <c r="K1157" s="49" t="s">
        <v>690</v>
      </c>
      <c r="L1157" s="49" t="s">
        <v>699</v>
      </c>
      <c r="M1157" s="49">
        <v>0.1</v>
      </c>
      <c r="N1157" s="49" t="s">
        <v>89</v>
      </c>
      <c r="O1157" s="49" t="s">
        <v>665</v>
      </c>
      <c r="P1157" s="49" t="s">
        <v>746</v>
      </c>
      <c r="Q1157" s="49" t="s">
        <v>683</v>
      </c>
      <c r="R1157" s="49" t="s">
        <v>567</v>
      </c>
      <c r="S1157" s="49" t="s">
        <v>684</v>
      </c>
      <c r="T1157" s="49" t="s">
        <v>1821</v>
      </c>
      <c r="U1157" s="49" t="s">
        <v>1824</v>
      </c>
      <c r="V1157" s="50" t="s">
        <v>1823</v>
      </c>
    </row>
    <row r="1158" spans="1:22" x14ac:dyDescent="0.3">
      <c r="A1158" s="51" t="s">
        <v>1009</v>
      </c>
      <c r="B1158" s="52" t="s">
        <v>707</v>
      </c>
      <c r="C1158" s="52" t="s">
        <v>715</v>
      </c>
      <c r="D1158" s="52" t="s">
        <v>684</v>
      </c>
      <c r="E1158" s="52" t="s">
        <v>674</v>
      </c>
      <c r="F1158" s="52" t="s">
        <v>716</v>
      </c>
      <c r="G1158" s="52" t="s">
        <v>717</v>
      </c>
      <c r="H1158" s="52" t="s">
        <v>717</v>
      </c>
      <c r="I1158" s="52" t="s">
        <v>717</v>
      </c>
      <c r="J1158" s="52" t="s">
        <v>737</v>
      </c>
      <c r="K1158" s="52" t="s">
        <v>738</v>
      </c>
      <c r="L1158" s="52" t="s">
        <v>699</v>
      </c>
      <c r="M1158" s="52">
        <v>1</v>
      </c>
      <c r="N1158" s="52" t="s">
        <v>48</v>
      </c>
      <c r="O1158" s="52" t="s">
        <v>665</v>
      </c>
      <c r="P1158" s="52" t="s">
        <v>1584</v>
      </c>
      <c r="Q1158" s="52" t="s">
        <v>683</v>
      </c>
      <c r="R1158" s="52" t="s">
        <v>567</v>
      </c>
      <c r="S1158" s="49" t="s">
        <v>684</v>
      </c>
      <c r="T1158" s="52" t="s">
        <v>1821</v>
      </c>
      <c r="U1158" s="52" t="s">
        <v>1824</v>
      </c>
      <c r="V1158" s="50" t="s">
        <v>1823</v>
      </c>
    </row>
    <row r="1159" spans="1:22" x14ac:dyDescent="0.3">
      <c r="A1159" s="48" t="s">
        <v>1549</v>
      </c>
      <c r="B1159" s="49" t="s">
        <v>542</v>
      </c>
      <c r="C1159" s="49" t="s">
        <v>1550</v>
      </c>
      <c r="D1159" s="49" t="s">
        <v>684</v>
      </c>
      <c r="E1159" s="49" t="s">
        <v>674</v>
      </c>
      <c r="F1159" s="49" t="s">
        <v>716</v>
      </c>
      <c r="G1159" s="49" t="s">
        <v>744</v>
      </c>
      <c r="H1159" s="49" t="s">
        <v>702</v>
      </c>
      <c r="I1159" s="49" t="s">
        <v>736</v>
      </c>
      <c r="J1159" s="49" t="s">
        <v>1551</v>
      </c>
      <c r="K1159" s="49" t="s">
        <v>738</v>
      </c>
      <c r="L1159" s="49" t="s">
        <v>739</v>
      </c>
      <c r="M1159" s="49">
        <v>0.1</v>
      </c>
      <c r="N1159" s="49" t="s">
        <v>96</v>
      </c>
      <c r="O1159" s="49" t="s">
        <v>665</v>
      </c>
      <c r="P1159" s="49" t="s">
        <v>746</v>
      </c>
      <c r="Q1159" s="49" t="s">
        <v>683</v>
      </c>
      <c r="R1159" s="49" t="s">
        <v>567</v>
      </c>
      <c r="S1159" s="49" t="s">
        <v>684</v>
      </c>
      <c r="T1159" s="49" t="s">
        <v>1821</v>
      </c>
      <c r="U1159" s="49" t="s">
        <v>1824</v>
      </c>
      <c r="V1159" s="50" t="s">
        <v>1823</v>
      </c>
    </row>
    <row r="1160" spans="1:22" x14ac:dyDescent="0.3">
      <c r="A1160" s="51" t="s">
        <v>1552</v>
      </c>
      <c r="B1160" s="52" t="s">
        <v>542</v>
      </c>
      <c r="C1160" s="52" t="s">
        <v>1553</v>
      </c>
      <c r="D1160" s="52" t="s">
        <v>684</v>
      </c>
      <c r="E1160" s="52" t="s">
        <v>674</v>
      </c>
      <c r="F1160" s="52" t="s">
        <v>734</v>
      </c>
      <c r="G1160" s="52" t="s">
        <v>735</v>
      </c>
      <c r="H1160" s="52" t="s">
        <v>735</v>
      </c>
      <c r="I1160" s="52" t="s">
        <v>736</v>
      </c>
      <c r="J1160" s="52" t="s">
        <v>1551</v>
      </c>
      <c r="K1160" s="52" t="s">
        <v>738</v>
      </c>
      <c r="L1160" s="52" t="s">
        <v>699</v>
      </c>
      <c r="M1160" s="52">
        <v>0.2</v>
      </c>
      <c r="N1160" s="52" t="s">
        <v>96</v>
      </c>
      <c r="O1160" s="52" t="s">
        <v>665</v>
      </c>
      <c r="P1160" s="52" t="s">
        <v>746</v>
      </c>
      <c r="Q1160" s="52" t="s">
        <v>683</v>
      </c>
      <c r="R1160" s="52" t="s">
        <v>567</v>
      </c>
      <c r="S1160" s="49" t="s">
        <v>684</v>
      </c>
      <c r="T1160" s="52" t="s">
        <v>1821</v>
      </c>
      <c r="U1160" s="52" t="s">
        <v>1824</v>
      </c>
      <c r="V1160" s="50" t="s">
        <v>1823</v>
      </c>
    </row>
    <row r="1161" spans="1:22" x14ac:dyDescent="0.3">
      <c r="A1161" s="48" t="s">
        <v>1554</v>
      </c>
      <c r="B1161" s="49" t="s">
        <v>542</v>
      </c>
      <c r="C1161" s="49" t="s">
        <v>1555</v>
      </c>
      <c r="D1161" s="49" t="s">
        <v>684</v>
      </c>
      <c r="E1161" s="49" t="s">
        <v>674</v>
      </c>
      <c r="F1161" s="49" t="s">
        <v>734</v>
      </c>
      <c r="G1161" s="49" t="s">
        <v>735</v>
      </c>
      <c r="H1161" s="49" t="s">
        <v>735</v>
      </c>
      <c r="I1161" s="49" t="s">
        <v>736</v>
      </c>
      <c r="J1161" s="49" t="s">
        <v>1551</v>
      </c>
      <c r="K1161" s="49" t="s">
        <v>738</v>
      </c>
      <c r="L1161" s="49" t="s">
        <v>739</v>
      </c>
      <c r="M1161" s="49">
        <v>0.1</v>
      </c>
      <c r="N1161" s="49" t="s">
        <v>96</v>
      </c>
      <c r="O1161" s="49" t="s">
        <v>665</v>
      </c>
      <c r="P1161" s="49" t="s">
        <v>746</v>
      </c>
      <c r="Q1161" s="49" t="s">
        <v>683</v>
      </c>
      <c r="R1161" s="49" t="s">
        <v>567</v>
      </c>
      <c r="S1161" s="49" t="s">
        <v>684</v>
      </c>
      <c r="T1161" s="49" t="s">
        <v>1821</v>
      </c>
      <c r="U1161" s="49" t="s">
        <v>1824</v>
      </c>
      <c r="V1161" s="50" t="s">
        <v>1823</v>
      </c>
    </row>
    <row r="1162" spans="1:22" x14ac:dyDescent="0.3">
      <c r="A1162" s="51" t="s">
        <v>1556</v>
      </c>
      <c r="B1162" s="52" t="s">
        <v>542</v>
      </c>
      <c r="C1162" s="52" t="s">
        <v>1557</v>
      </c>
      <c r="D1162" s="52" t="s">
        <v>684</v>
      </c>
      <c r="E1162" s="52" t="s">
        <v>674</v>
      </c>
      <c r="F1162" s="52" t="s">
        <v>716</v>
      </c>
      <c r="G1162" s="52" t="s">
        <v>744</v>
      </c>
      <c r="H1162" s="52" t="s">
        <v>702</v>
      </c>
      <c r="I1162" s="52" t="s">
        <v>736</v>
      </c>
      <c r="J1162" s="52" t="s">
        <v>1551</v>
      </c>
      <c r="K1162" s="52" t="s">
        <v>738</v>
      </c>
      <c r="L1162" s="52" t="s">
        <v>681</v>
      </c>
      <c r="M1162" s="52">
        <v>0.1</v>
      </c>
      <c r="N1162" s="52" t="s">
        <v>96</v>
      </c>
      <c r="O1162" s="52" t="s">
        <v>665</v>
      </c>
      <c r="P1162" s="52" t="s">
        <v>746</v>
      </c>
      <c r="Q1162" s="52" t="s">
        <v>683</v>
      </c>
      <c r="R1162" s="52" t="s">
        <v>567</v>
      </c>
      <c r="S1162" s="49" t="s">
        <v>684</v>
      </c>
      <c r="T1162" s="52" t="s">
        <v>1821</v>
      </c>
      <c r="U1162" s="52" t="s">
        <v>1824</v>
      </c>
      <c r="V1162" s="50" t="s">
        <v>1823</v>
      </c>
    </row>
    <row r="1163" spans="1:22" x14ac:dyDescent="0.3">
      <c r="A1163" s="48" t="s">
        <v>1558</v>
      </c>
      <c r="B1163" s="49" t="s">
        <v>542</v>
      </c>
      <c r="C1163" s="49" t="s">
        <v>1559</v>
      </c>
      <c r="D1163" s="49" t="s">
        <v>684</v>
      </c>
      <c r="E1163" s="49" t="s">
        <v>674</v>
      </c>
      <c r="F1163" s="49" t="s">
        <v>716</v>
      </c>
      <c r="G1163" s="49" t="s">
        <v>744</v>
      </c>
      <c r="H1163" s="49" t="s">
        <v>702</v>
      </c>
      <c r="I1163" s="49" t="s">
        <v>736</v>
      </c>
      <c r="J1163" s="49" t="s">
        <v>1551</v>
      </c>
      <c r="K1163" s="49" t="s">
        <v>738</v>
      </c>
      <c r="L1163" s="49" t="s">
        <v>808</v>
      </c>
      <c r="M1163" s="49">
        <v>0.15</v>
      </c>
      <c r="N1163" s="49" t="s">
        <v>96</v>
      </c>
      <c r="O1163" s="49" t="s">
        <v>665</v>
      </c>
      <c r="P1163" s="49" t="s">
        <v>746</v>
      </c>
      <c r="Q1163" s="49" t="s">
        <v>683</v>
      </c>
      <c r="R1163" s="49" t="s">
        <v>567</v>
      </c>
      <c r="S1163" s="49" t="s">
        <v>684</v>
      </c>
      <c r="T1163" s="49" t="s">
        <v>1821</v>
      </c>
      <c r="U1163" s="49" t="s">
        <v>1824</v>
      </c>
      <c r="V1163" s="50" t="s">
        <v>1823</v>
      </c>
    </row>
    <row r="1164" spans="1:22" x14ac:dyDescent="0.3">
      <c r="A1164" s="51" t="s">
        <v>1560</v>
      </c>
      <c r="B1164" s="52" t="s">
        <v>542</v>
      </c>
      <c r="C1164" s="52" t="s">
        <v>1559</v>
      </c>
      <c r="D1164" s="52" t="s">
        <v>684</v>
      </c>
      <c r="E1164" s="52" t="s">
        <v>674</v>
      </c>
      <c r="F1164" s="52" t="s">
        <v>716</v>
      </c>
      <c r="G1164" s="52" t="s">
        <v>744</v>
      </c>
      <c r="H1164" s="52" t="s">
        <v>702</v>
      </c>
      <c r="I1164" s="52" t="s">
        <v>736</v>
      </c>
      <c r="J1164" s="52" t="s">
        <v>1551</v>
      </c>
      <c r="K1164" s="52" t="s">
        <v>738</v>
      </c>
      <c r="L1164" s="52" t="s">
        <v>739</v>
      </c>
      <c r="M1164" s="52">
        <v>0.15</v>
      </c>
      <c r="N1164" s="52" t="s">
        <v>96</v>
      </c>
      <c r="O1164" s="52" t="s">
        <v>665</v>
      </c>
      <c r="P1164" s="52" t="s">
        <v>746</v>
      </c>
      <c r="Q1164" s="52" t="s">
        <v>683</v>
      </c>
      <c r="R1164" s="52" t="s">
        <v>567</v>
      </c>
      <c r="S1164" s="49" t="s">
        <v>684</v>
      </c>
      <c r="T1164" s="52" t="s">
        <v>1821</v>
      </c>
      <c r="U1164" s="52" t="s">
        <v>1824</v>
      </c>
      <c r="V1164" s="50" t="s">
        <v>1823</v>
      </c>
    </row>
    <row r="1165" spans="1:22" x14ac:dyDescent="0.3">
      <c r="A1165" s="48" t="s">
        <v>1552</v>
      </c>
      <c r="B1165" s="49" t="s">
        <v>542</v>
      </c>
      <c r="C1165" s="49" t="s">
        <v>1553</v>
      </c>
      <c r="D1165" s="49" t="s">
        <v>684</v>
      </c>
      <c r="E1165" s="49" t="s">
        <v>674</v>
      </c>
      <c r="F1165" s="49" t="s">
        <v>734</v>
      </c>
      <c r="G1165" s="49" t="s">
        <v>735</v>
      </c>
      <c r="H1165" s="49" t="s">
        <v>735</v>
      </c>
      <c r="I1165" s="49" t="s">
        <v>736</v>
      </c>
      <c r="J1165" s="49" t="s">
        <v>1551</v>
      </c>
      <c r="K1165" s="49" t="s">
        <v>738</v>
      </c>
      <c r="L1165" s="49" t="s">
        <v>699</v>
      </c>
      <c r="M1165" s="49">
        <v>0.2</v>
      </c>
      <c r="N1165" s="49" t="s">
        <v>96</v>
      </c>
      <c r="O1165" s="49" t="s">
        <v>665</v>
      </c>
      <c r="P1165" s="49" t="s">
        <v>746</v>
      </c>
      <c r="Q1165" s="49" t="s">
        <v>683</v>
      </c>
      <c r="R1165" s="49" t="s">
        <v>567</v>
      </c>
      <c r="S1165" s="49" t="s">
        <v>684</v>
      </c>
      <c r="T1165" s="49" t="s">
        <v>1821</v>
      </c>
      <c r="U1165" s="49" t="s">
        <v>1824</v>
      </c>
      <c r="V1165" s="50" t="s">
        <v>1823</v>
      </c>
    </row>
    <row r="1166" spans="1:22" x14ac:dyDescent="0.3">
      <c r="A1166" s="51" t="s">
        <v>1561</v>
      </c>
      <c r="B1166" s="52" t="s">
        <v>542</v>
      </c>
      <c r="C1166" s="52" t="s">
        <v>1562</v>
      </c>
      <c r="D1166" s="52" t="s">
        <v>684</v>
      </c>
      <c r="E1166" s="52" t="s">
        <v>674</v>
      </c>
      <c r="F1166" s="52" t="s">
        <v>734</v>
      </c>
      <c r="G1166" s="52" t="s">
        <v>735</v>
      </c>
      <c r="H1166" s="52" t="s">
        <v>735</v>
      </c>
      <c r="I1166" s="52" t="s">
        <v>736</v>
      </c>
      <c r="J1166" s="52" t="s">
        <v>1551</v>
      </c>
      <c r="K1166" s="52" t="s">
        <v>738</v>
      </c>
      <c r="L1166" s="52" t="s">
        <v>699</v>
      </c>
      <c r="M1166" s="52">
        <v>0.5</v>
      </c>
      <c r="N1166" s="52" t="s">
        <v>1563</v>
      </c>
      <c r="O1166" s="52" t="s">
        <v>665</v>
      </c>
      <c r="P1166" s="52" t="s">
        <v>746</v>
      </c>
      <c r="Q1166" s="52" t="s">
        <v>683</v>
      </c>
      <c r="R1166" s="52" t="s">
        <v>567</v>
      </c>
      <c r="S1166" s="49" t="s">
        <v>684</v>
      </c>
      <c r="T1166" s="52" t="s">
        <v>1821</v>
      </c>
      <c r="U1166" s="52" t="s">
        <v>1824</v>
      </c>
      <c r="V1166" s="50" t="s">
        <v>1823</v>
      </c>
    </row>
    <row r="1167" spans="1:22" x14ac:dyDescent="0.3">
      <c r="A1167" s="48" t="s">
        <v>1564</v>
      </c>
      <c r="B1167" s="49" t="s">
        <v>542</v>
      </c>
      <c r="C1167" s="49" t="s">
        <v>1565</v>
      </c>
      <c r="D1167" s="49" t="s">
        <v>684</v>
      </c>
      <c r="E1167" s="49" t="s">
        <v>674</v>
      </c>
      <c r="F1167" s="49" t="s">
        <v>716</v>
      </c>
      <c r="G1167" s="49" t="s">
        <v>744</v>
      </c>
      <c r="H1167" s="49" t="s">
        <v>702</v>
      </c>
      <c r="I1167" s="49" t="s">
        <v>736</v>
      </c>
      <c r="J1167" s="49" t="s">
        <v>1551</v>
      </c>
      <c r="K1167" s="49" t="s">
        <v>738</v>
      </c>
      <c r="L1167" s="49" t="s">
        <v>699</v>
      </c>
      <c r="M1167" s="49">
        <v>0.5</v>
      </c>
      <c r="N1167" s="49" t="s">
        <v>1563</v>
      </c>
      <c r="O1167" s="49" t="s">
        <v>665</v>
      </c>
      <c r="P1167" s="49" t="s">
        <v>746</v>
      </c>
      <c r="Q1167" s="49" t="s">
        <v>683</v>
      </c>
      <c r="R1167" s="49" t="s">
        <v>567</v>
      </c>
      <c r="S1167" s="49" t="s">
        <v>684</v>
      </c>
      <c r="T1167" s="49" t="s">
        <v>1821</v>
      </c>
      <c r="U1167" s="49" t="s">
        <v>1824</v>
      </c>
      <c r="V1167" s="50" t="s">
        <v>1823</v>
      </c>
    </row>
    <row r="1168" spans="1:22" x14ac:dyDescent="0.3">
      <c r="A1168" s="51" t="s">
        <v>1566</v>
      </c>
      <c r="B1168" s="52" t="s">
        <v>542</v>
      </c>
      <c r="C1168" s="52" t="s">
        <v>1567</v>
      </c>
      <c r="D1168" s="52" t="s">
        <v>684</v>
      </c>
      <c r="E1168" s="52" t="s">
        <v>674</v>
      </c>
      <c r="F1168" s="52" t="s">
        <v>675</v>
      </c>
      <c r="G1168" s="52" t="s">
        <v>676</v>
      </c>
      <c r="H1168" s="52" t="s">
        <v>702</v>
      </c>
      <c r="I1168" s="49" t="s">
        <v>678</v>
      </c>
      <c r="J1168" s="52" t="s">
        <v>1551</v>
      </c>
      <c r="K1168" s="52" t="s">
        <v>738</v>
      </c>
      <c r="L1168" s="52" t="s">
        <v>801</v>
      </c>
      <c r="M1168" s="52">
        <v>0.15</v>
      </c>
      <c r="N1168" s="52" t="s">
        <v>159</v>
      </c>
      <c r="O1168" s="52" t="s">
        <v>665</v>
      </c>
      <c r="P1168" s="52" t="s">
        <v>746</v>
      </c>
      <c r="Q1168" s="52" t="s">
        <v>683</v>
      </c>
      <c r="R1168" s="52" t="s">
        <v>567</v>
      </c>
      <c r="S1168" s="49" t="s">
        <v>684</v>
      </c>
      <c r="T1168" s="52" t="s">
        <v>1821</v>
      </c>
      <c r="U1168" s="52" t="s">
        <v>1824</v>
      </c>
      <c r="V1168" s="50" t="s">
        <v>1823</v>
      </c>
    </row>
    <row r="1169" spans="1:22" x14ac:dyDescent="0.3">
      <c r="A1169" s="48" t="s">
        <v>1568</v>
      </c>
      <c r="B1169" s="49" t="s">
        <v>542</v>
      </c>
      <c r="C1169" s="49" t="s">
        <v>1569</v>
      </c>
      <c r="D1169" s="49" t="s">
        <v>684</v>
      </c>
      <c r="E1169" s="49" t="s">
        <v>674</v>
      </c>
      <c r="F1169" s="49" t="s">
        <v>716</v>
      </c>
      <c r="G1169" s="49" t="s">
        <v>744</v>
      </c>
      <c r="H1169" s="49" t="s">
        <v>702</v>
      </c>
      <c r="I1169" s="49" t="s">
        <v>736</v>
      </c>
      <c r="J1169" s="49" t="s">
        <v>1551</v>
      </c>
      <c r="K1169" s="49" t="s">
        <v>738</v>
      </c>
      <c r="L1169" s="49" t="s">
        <v>739</v>
      </c>
      <c r="M1169" s="49">
        <v>0.1</v>
      </c>
      <c r="N1169" s="49" t="s">
        <v>159</v>
      </c>
      <c r="O1169" s="49" t="s">
        <v>665</v>
      </c>
      <c r="P1169" s="49" t="s">
        <v>746</v>
      </c>
      <c r="Q1169" s="49" t="s">
        <v>683</v>
      </c>
      <c r="R1169" s="49" t="s">
        <v>567</v>
      </c>
      <c r="S1169" s="49" t="s">
        <v>684</v>
      </c>
      <c r="T1169" s="49" t="s">
        <v>1821</v>
      </c>
      <c r="U1169" s="49" t="s">
        <v>1824</v>
      </c>
      <c r="V1169" s="50" t="s">
        <v>1823</v>
      </c>
    </row>
    <row r="1170" spans="1:22" x14ac:dyDescent="0.3">
      <c r="A1170" s="51" t="s">
        <v>1570</v>
      </c>
      <c r="B1170" s="52" t="s">
        <v>542</v>
      </c>
      <c r="C1170" s="52" t="s">
        <v>1571</v>
      </c>
      <c r="D1170" s="52" t="s">
        <v>684</v>
      </c>
      <c r="E1170" s="52" t="s">
        <v>674</v>
      </c>
      <c r="F1170" s="52" t="s">
        <v>734</v>
      </c>
      <c r="G1170" s="52" t="s">
        <v>735</v>
      </c>
      <c r="H1170" s="52" t="s">
        <v>735</v>
      </c>
      <c r="I1170" s="52" t="s">
        <v>736</v>
      </c>
      <c r="J1170" s="52" t="s">
        <v>1551</v>
      </c>
      <c r="K1170" s="52" t="s">
        <v>738</v>
      </c>
      <c r="L1170" s="52" t="s">
        <v>808</v>
      </c>
      <c r="M1170" s="52">
        <v>0.2</v>
      </c>
      <c r="N1170" s="52" t="s">
        <v>159</v>
      </c>
      <c r="O1170" s="52" t="s">
        <v>665</v>
      </c>
      <c r="P1170" s="52" t="s">
        <v>746</v>
      </c>
      <c r="Q1170" s="52" t="s">
        <v>683</v>
      </c>
      <c r="R1170" s="52" t="s">
        <v>567</v>
      </c>
      <c r="S1170" s="49" t="s">
        <v>684</v>
      </c>
      <c r="T1170" s="52" t="s">
        <v>1821</v>
      </c>
      <c r="U1170" s="52" t="s">
        <v>1824</v>
      </c>
      <c r="V1170" s="50" t="s">
        <v>1823</v>
      </c>
    </row>
    <row r="1171" spans="1:22" x14ac:dyDescent="0.3">
      <c r="A1171" s="48" t="s">
        <v>1566</v>
      </c>
      <c r="B1171" s="49" t="s">
        <v>542</v>
      </c>
      <c r="C1171" s="49" t="s">
        <v>1567</v>
      </c>
      <c r="D1171" s="49" t="s">
        <v>684</v>
      </c>
      <c r="E1171" s="49" t="s">
        <v>674</v>
      </c>
      <c r="F1171" s="49" t="s">
        <v>675</v>
      </c>
      <c r="G1171" s="49" t="s">
        <v>676</v>
      </c>
      <c r="H1171" s="49" t="s">
        <v>702</v>
      </c>
      <c r="I1171" s="49" t="s">
        <v>678</v>
      </c>
      <c r="J1171" s="49" t="s">
        <v>1551</v>
      </c>
      <c r="K1171" s="49" t="s">
        <v>738</v>
      </c>
      <c r="L1171" s="49" t="s">
        <v>801</v>
      </c>
      <c r="M1171" s="49">
        <v>0.15</v>
      </c>
      <c r="N1171" s="49" t="s">
        <v>159</v>
      </c>
      <c r="O1171" s="49" t="s">
        <v>665</v>
      </c>
      <c r="P1171" s="49" t="s">
        <v>746</v>
      </c>
      <c r="Q1171" s="49" t="s">
        <v>683</v>
      </c>
      <c r="R1171" s="49" t="s">
        <v>567</v>
      </c>
      <c r="S1171" s="49" t="s">
        <v>684</v>
      </c>
      <c r="T1171" s="49" t="s">
        <v>1821</v>
      </c>
      <c r="U1171" s="49" t="s">
        <v>1824</v>
      </c>
      <c r="V1171" s="50" t="s">
        <v>1823</v>
      </c>
    </row>
    <row r="1172" spans="1:22" x14ac:dyDescent="0.3">
      <c r="A1172" s="51" t="s">
        <v>1568</v>
      </c>
      <c r="B1172" s="52" t="s">
        <v>542</v>
      </c>
      <c r="C1172" s="52" t="s">
        <v>1569</v>
      </c>
      <c r="D1172" s="52" t="s">
        <v>684</v>
      </c>
      <c r="E1172" s="52" t="s">
        <v>674</v>
      </c>
      <c r="F1172" s="52" t="s">
        <v>716</v>
      </c>
      <c r="G1172" s="52" t="s">
        <v>744</v>
      </c>
      <c r="H1172" s="52" t="s">
        <v>702</v>
      </c>
      <c r="I1172" s="52" t="s">
        <v>736</v>
      </c>
      <c r="J1172" s="52" t="s">
        <v>1551</v>
      </c>
      <c r="K1172" s="52" t="s">
        <v>738</v>
      </c>
      <c r="L1172" s="52" t="s">
        <v>739</v>
      </c>
      <c r="M1172" s="52">
        <v>0.1</v>
      </c>
      <c r="N1172" s="52" t="s">
        <v>159</v>
      </c>
      <c r="O1172" s="52" t="s">
        <v>665</v>
      </c>
      <c r="P1172" s="52" t="s">
        <v>746</v>
      </c>
      <c r="Q1172" s="52" t="s">
        <v>683</v>
      </c>
      <c r="R1172" s="52" t="s">
        <v>567</v>
      </c>
      <c r="S1172" s="49" t="s">
        <v>684</v>
      </c>
      <c r="T1172" s="52" t="s">
        <v>1821</v>
      </c>
      <c r="U1172" s="52" t="s">
        <v>1824</v>
      </c>
      <c r="V1172" s="50" t="s">
        <v>1823</v>
      </c>
    </row>
    <row r="1173" spans="1:22" x14ac:dyDescent="0.3">
      <c r="A1173" s="48" t="s">
        <v>1570</v>
      </c>
      <c r="B1173" s="49" t="s">
        <v>542</v>
      </c>
      <c r="C1173" s="49" t="s">
        <v>1571</v>
      </c>
      <c r="D1173" s="49" t="s">
        <v>684</v>
      </c>
      <c r="E1173" s="49" t="s">
        <v>674</v>
      </c>
      <c r="F1173" s="49" t="s">
        <v>734</v>
      </c>
      <c r="G1173" s="49" t="s">
        <v>735</v>
      </c>
      <c r="H1173" s="49" t="s">
        <v>735</v>
      </c>
      <c r="I1173" s="49" t="s">
        <v>736</v>
      </c>
      <c r="J1173" s="49" t="s">
        <v>1551</v>
      </c>
      <c r="K1173" s="49" t="s">
        <v>738</v>
      </c>
      <c r="L1173" s="49" t="s">
        <v>808</v>
      </c>
      <c r="M1173" s="49">
        <v>0.2</v>
      </c>
      <c r="N1173" s="49" t="s">
        <v>159</v>
      </c>
      <c r="O1173" s="49" t="s">
        <v>665</v>
      </c>
      <c r="P1173" s="49" t="s">
        <v>746</v>
      </c>
      <c r="Q1173" s="49" t="s">
        <v>683</v>
      </c>
      <c r="R1173" s="49" t="s">
        <v>567</v>
      </c>
      <c r="S1173" s="49" t="s">
        <v>684</v>
      </c>
      <c r="T1173" s="49" t="s">
        <v>1821</v>
      </c>
      <c r="U1173" s="49" t="s">
        <v>1824</v>
      </c>
      <c r="V1173" s="50" t="s">
        <v>1823</v>
      </c>
    </row>
    <row r="1174" spans="1:22" x14ac:dyDescent="0.3">
      <c r="A1174" s="51" t="s">
        <v>1572</v>
      </c>
      <c r="B1174" s="52" t="s">
        <v>542</v>
      </c>
      <c r="C1174" s="52" t="s">
        <v>1573</v>
      </c>
      <c r="D1174" s="52" t="s">
        <v>684</v>
      </c>
      <c r="E1174" s="52" t="s">
        <v>674</v>
      </c>
      <c r="F1174" s="52" t="s">
        <v>716</v>
      </c>
      <c r="G1174" s="52" t="s">
        <v>744</v>
      </c>
      <c r="H1174" s="52" t="s">
        <v>702</v>
      </c>
      <c r="I1174" s="52" t="s">
        <v>736</v>
      </c>
      <c r="J1174" s="52" t="s">
        <v>1551</v>
      </c>
      <c r="K1174" s="52" t="s">
        <v>738</v>
      </c>
      <c r="L1174" s="52" t="s">
        <v>739</v>
      </c>
      <c r="M1174" s="52">
        <v>0.05</v>
      </c>
      <c r="N1174" s="52" t="s">
        <v>159</v>
      </c>
      <c r="O1174" s="52" t="s">
        <v>665</v>
      </c>
      <c r="P1174" s="52" t="s">
        <v>746</v>
      </c>
      <c r="Q1174" s="52" t="s">
        <v>683</v>
      </c>
      <c r="R1174" s="52" t="s">
        <v>567</v>
      </c>
      <c r="S1174" s="49" t="s">
        <v>684</v>
      </c>
      <c r="T1174" s="52" t="s">
        <v>1821</v>
      </c>
      <c r="U1174" s="52" t="s">
        <v>1824</v>
      </c>
      <c r="V1174" s="50" t="s">
        <v>1823</v>
      </c>
    </row>
    <row r="1175" spans="1:22" x14ac:dyDescent="0.3">
      <c r="A1175" s="48" t="s">
        <v>1574</v>
      </c>
      <c r="B1175" s="49" t="s">
        <v>542</v>
      </c>
      <c r="C1175" s="49" t="s">
        <v>1575</v>
      </c>
      <c r="D1175" s="49" t="s">
        <v>684</v>
      </c>
      <c r="E1175" s="49" t="s">
        <v>674</v>
      </c>
      <c r="F1175" s="49" t="s">
        <v>716</v>
      </c>
      <c r="G1175" s="49" t="s">
        <v>724</v>
      </c>
      <c r="H1175" s="49" t="s">
        <v>677</v>
      </c>
      <c r="I1175" s="49" t="s">
        <v>736</v>
      </c>
      <c r="J1175" s="49" t="s">
        <v>1551</v>
      </c>
      <c r="K1175" s="49" t="s">
        <v>738</v>
      </c>
      <c r="L1175" s="49" t="s">
        <v>808</v>
      </c>
      <c r="M1175" s="49">
        <v>0.05</v>
      </c>
      <c r="N1175" s="49" t="s">
        <v>159</v>
      </c>
      <c r="O1175" s="49" t="s">
        <v>665</v>
      </c>
      <c r="P1175" s="49" t="s">
        <v>746</v>
      </c>
      <c r="Q1175" s="49" t="s">
        <v>683</v>
      </c>
      <c r="R1175" s="49" t="s">
        <v>567</v>
      </c>
      <c r="S1175" s="49" t="s">
        <v>684</v>
      </c>
      <c r="T1175" s="49" t="s">
        <v>1821</v>
      </c>
      <c r="U1175" s="49" t="s">
        <v>1824</v>
      </c>
      <c r="V1175" s="50" t="s">
        <v>1823</v>
      </c>
    </row>
    <row r="1176" spans="1:22" x14ac:dyDescent="0.3">
      <c r="A1176" s="51" t="s">
        <v>1576</v>
      </c>
      <c r="B1176" s="52" t="s">
        <v>542</v>
      </c>
      <c r="C1176" s="52" t="s">
        <v>1577</v>
      </c>
      <c r="D1176" s="52" t="s">
        <v>684</v>
      </c>
      <c r="E1176" s="52" t="s">
        <v>674</v>
      </c>
      <c r="F1176" s="52" t="s">
        <v>716</v>
      </c>
      <c r="G1176" s="52" t="s">
        <v>744</v>
      </c>
      <c r="H1176" s="52" t="s">
        <v>702</v>
      </c>
      <c r="I1176" s="52" t="s">
        <v>736</v>
      </c>
      <c r="J1176" s="52" t="s">
        <v>1551</v>
      </c>
      <c r="K1176" s="52" t="s">
        <v>738</v>
      </c>
      <c r="L1176" s="52" t="s">
        <v>739</v>
      </c>
      <c r="M1176" s="52">
        <v>0.2</v>
      </c>
      <c r="N1176" s="52" t="s">
        <v>219</v>
      </c>
      <c r="O1176" s="52" t="s">
        <v>665</v>
      </c>
      <c r="P1176" s="52" t="s">
        <v>746</v>
      </c>
      <c r="Q1176" s="52" t="s">
        <v>683</v>
      </c>
      <c r="R1176" s="52" t="s">
        <v>567</v>
      </c>
      <c r="S1176" s="49" t="s">
        <v>684</v>
      </c>
      <c r="T1176" s="52" t="s">
        <v>1821</v>
      </c>
      <c r="U1176" s="52" t="s">
        <v>1824</v>
      </c>
      <c r="V1176" s="50" t="s">
        <v>1823</v>
      </c>
    </row>
    <row r="1177" spans="1:22" x14ac:dyDescent="0.3">
      <c r="A1177" s="48" t="s">
        <v>1578</v>
      </c>
      <c r="B1177" s="49" t="s">
        <v>542</v>
      </c>
      <c r="C1177" s="49" t="s">
        <v>1579</v>
      </c>
      <c r="D1177" s="49" t="s">
        <v>684</v>
      </c>
      <c r="E1177" s="49" t="s">
        <v>674</v>
      </c>
      <c r="F1177" s="49" t="s">
        <v>716</v>
      </c>
      <c r="G1177" s="49" t="s">
        <v>744</v>
      </c>
      <c r="H1177" s="49" t="s">
        <v>702</v>
      </c>
      <c r="I1177" s="49" t="s">
        <v>736</v>
      </c>
      <c r="J1177" s="49" t="s">
        <v>1551</v>
      </c>
      <c r="K1177" s="49" t="s">
        <v>738</v>
      </c>
      <c r="L1177" s="49" t="s">
        <v>739</v>
      </c>
      <c r="M1177" s="49">
        <v>0.2</v>
      </c>
      <c r="N1177" s="49" t="s">
        <v>219</v>
      </c>
      <c r="O1177" s="49" t="s">
        <v>665</v>
      </c>
      <c r="P1177" s="49" t="s">
        <v>746</v>
      </c>
      <c r="Q1177" s="49" t="s">
        <v>683</v>
      </c>
      <c r="R1177" s="49" t="s">
        <v>567</v>
      </c>
      <c r="S1177" s="49" t="s">
        <v>684</v>
      </c>
      <c r="T1177" s="49" t="s">
        <v>1821</v>
      </c>
      <c r="U1177" s="49" t="s">
        <v>1824</v>
      </c>
      <c r="V1177" s="50" t="s">
        <v>1823</v>
      </c>
    </row>
    <row r="1178" spans="1:22" x14ac:dyDescent="0.3">
      <c r="A1178" s="51" t="s">
        <v>1580</v>
      </c>
      <c r="B1178" s="52" t="s">
        <v>542</v>
      </c>
      <c r="C1178" s="52" t="s">
        <v>1581</v>
      </c>
      <c r="D1178" s="52" t="s">
        <v>684</v>
      </c>
      <c r="E1178" s="52" t="s">
        <v>674</v>
      </c>
      <c r="F1178" s="52" t="s">
        <v>716</v>
      </c>
      <c r="G1178" s="52" t="s">
        <v>744</v>
      </c>
      <c r="H1178" s="52" t="s">
        <v>702</v>
      </c>
      <c r="I1178" s="52" t="s">
        <v>736</v>
      </c>
      <c r="J1178" s="52" t="s">
        <v>1551</v>
      </c>
      <c r="K1178" s="52" t="s">
        <v>738</v>
      </c>
      <c r="L1178" s="52" t="s">
        <v>699</v>
      </c>
      <c r="M1178" s="52">
        <v>0.2</v>
      </c>
      <c r="N1178" s="52" t="s">
        <v>219</v>
      </c>
      <c r="O1178" s="52" t="s">
        <v>665</v>
      </c>
      <c r="P1178" s="52" t="s">
        <v>746</v>
      </c>
      <c r="Q1178" s="52" t="s">
        <v>683</v>
      </c>
      <c r="R1178" s="52" t="s">
        <v>567</v>
      </c>
      <c r="S1178" s="49" t="s">
        <v>684</v>
      </c>
      <c r="T1178" s="52" t="s">
        <v>1821</v>
      </c>
      <c r="U1178" s="52" t="s">
        <v>1824</v>
      </c>
      <c r="V1178" s="50" t="s">
        <v>1823</v>
      </c>
    </row>
    <row r="1179" spans="1:22" x14ac:dyDescent="0.3">
      <c r="A1179" s="48" t="s">
        <v>1582</v>
      </c>
      <c r="B1179" s="49" t="s">
        <v>542</v>
      </c>
      <c r="C1179" s="49" t="s">
        <v>1583</v>
      </c>
      <c r="D1179" s="49" t="s">
        <v>684</v>
      </c>
      <c r="E1179" s="49" t="s">
        <v>674</v>
      </c>
      <c r="F1179" s="49" t="s">
        <v>716</v>
      </c>
      <c r="G1179" s="49" t="s">
        <v>744</v>
      </c>
      <c r="H1179" s="49" t="s">
        <v>677</v>
      </c>
      <c r="I1179" s="49" t="s">
        <v>736</v>
      </c>
      <c r="J1179" s="49" t="s">
        <v>1551</v>
      </c>
      <c r="K1179" s="49" t="s">
        <v>738</v>
      </c>
      <c r="L1179" s="49" t="s">
        <v>739</v>
      </c>
      <c r="M1179" s="49">
        <v>0.2</v>
      </c>
      <c r="N1179" s="49" t="s">
        <v>219</v>
      </c>
      <c r="O1179" s="49" t="s">
        <v>665</v>
      </c>
      <c r="P1179" s="49" t="s">
        <v>746</v>
      </c>
      <c r="Q1179" s="49" t="s">
        <v>683</v>
      </c>
      <c r="R1179" s="49" t="s">
        <v>567</v>
      </c>
      <c r="S1179" s="49" t="s">
        <v>684</v>
      </c>
      <c r="T1179" s="49" t="s">
        <v>1821</v>
      </c>
      <c r="U1179" s="49" t="s">
        <v>1824</v>
      </c>
      <c r="V1179" s="50" t="s">
        <v>1823</v>
      </c>
    </row>
    <row r="1180" spans="1:22" x14ac:dyDescent="0.3">
      <c r="A1180" s="51" t="s">
        <v>1576</v>
      </c>
      <c r="B1180" s="52" t="s">
        <v>542</v>
      </c>
      <c r="C1180" s="52" t="s">
        <v>1577</v>
      </c>
      <c r="D1180" s="52" t="s">
        <v>684</v>
      </c>
      <c r="E1180" s="52" t="s">
        <v>674</v>
      </c>
      <c r="F1180" s="52" t="s">
        <v>716</v>
      </c>
      <c r="G1180" s="52" t="s">
        <v>744</v>
      </c>
      <c r="H1180" s="52" t="s">
        <v>702</v>
      </c>
      <c r="I1180" s="52" t="s">
        <v>736</v>
      </c>
      <c r="J1180" s="52" t="s">
        <v>1551</v>
      </c>
      <c r="K1180" s="52" t="s">
        <v>738</v>
      </c>
      <c r="L1180" s="52" t="s">
        <v>739</v>
      </c>
      <c r="M1180" s="52">
        <v>0.2</v>
      </c>
      <c r="N1180" s="52" t="s">
        <v>219</v>
      </c>
      <c r="O1180" s="52" t="s">
        <v>665</v>
      </c>
      <c r="P1180" s="52" t="s">
        <v>746</v>
      </c>
      <c r="Q1180" s="52" t="s">
        <v>683</v>
      </c>
      <c r="R1180" s="52" t="s">
        <v>567</v>
      </c>
      <c r="S1180" s="49" t="s">
        <v>684</v>
      </c>
      <c r="T1180" s="52" t="s">
        <v>1821</v>
      </c>
      <c r="U1180" s="52" t="s">
        <v>1824</v>
      </c>
      <c r="V1180" s="50" t="s">
        <v>1823</v>
      </c>
    </row>
    <row r="1181" spans="1:22" x14ac:dyDescent="0.3">
      <c r="A1181" s="48" t="s">
        <v>1627</v>
      </c>
      <c r="B1181" s="49" t="s">
        <v>542</v>
      </c>
      <c r="C1181" s="49" t="s">
        <v>1628</v>
      </c>
      <c r="D1181" s="49" t="s">
        <v>684</v>
      </c>
      <c r="E1181" s="49" t="s">
        <v>674</v>
      </c>
      <c r="F1181" s="49" t="s">
        <v>716</v>
      </c>
      <c r="G1181" s="49" t="s">
        <v>744</v>
      </c>
      <c r="H1181" s="49" t="s">
        <v>702</v>
      </c>
      <c r="I1181" s="49" t="s">
        <v>736</v>
      </c>
      <c r="J1181" s="49" t="s">
        <v>1551</v>
      </c>
      <c r="K1181" s="49" t="s">
        <v>738</v>
      </c>
      <c r="L1181" s="49" t="s">
        <v>681</v>
      </c>
      <c r="M1181" s="49">
        <v>0.5</v>
      </c>
      <c r="N1181" s="49" t="s">
        <v>43</v>
      </c>
      <c r="O1181" s="49" t="s">
        <v>665</v>
      </c>
      <c r="P1181" s="49" t="s">
        <v>746</v>
      </c>
      <c r="Q1181" s="49" t="s">
        <v>683</v>
      </c>
      <c r="R1181" s="49" t="s">
        <v>567</v>
      </c>
      <c r="S1181" s="49" t="s">
        <v>684</v>
      </c>
      <c r="T1181" s="49" t="s">
        <v>1821</v>
      </c>
      <c r="U1181" s="49" t="s">
        <v>1824</v>
      </c>
      <c r="V1181" s="50" t="s">
        <v>1823</v>
      </c>
    </row>
    <row r="1182" spans="1:22" x14ac:dyDescent="0.3">
      <c r="A1182" s="51" t="s">
        <v>1629</v>
      </c>
      <c r="B1182" s="52" t="s">
        <v>542</v>
      </c>
      <c r="C1182" s="52" t="s">
        <v>1630</v>
      </c>
      <c r="D1182" s="52" t="s">
        <v>684</v>
      </c>
      <c r="E1182" s="52" t="s">
        <v>674</v>
      </c>
      <c r="F1182" s="52" t="s">
        <v>716</v>
      </c>
      <c r="G1182" s="52" t="s">
        <v>744</v>
      </c>
      <c r="H1182" s="52" t="s">
        <v>702</v>
      </c>
      <c r="I1182" s="52" t="s">
        <v>736</v>
      </c>
      <c r="J1182" s="52" t="s">
        <v>1551</v>
      </c>
      <c r="K1182" s="52" t="s">
        <v>738</v>
      </c>
      <c r="L1182" s="52" t="s">
        <v>681</v>
      </c>
      <c r="M1182" s="52">
        <v>0.5</v>
      </c>
      <c r="N1182" s="52" t="s">
        <v>43</v>
      </c>
      <c r="O1182" s="52" t="s">
        <v>665</v>
      </c>
      <c r="P1182" s="52" t="s">
        <v>746</v>
      </c>
      <c r="Q1182" s="52" t="s">
        <v>683</v>
      </c>
      <c r="R1182" s="52" t="s">
        <v>567</v>
      </c>
      <c r="S1182" s="49" t="s">
        <v>684</v>
      </c>
      <c r="T1182" s="52" t="s">
        <v>1821</v>
      </c>
      <c r="U1182" s="52" t="s">
        <v>1824</v>
      </c>
      <c r="V1182" s="50" t="s">
        <v>1823</v>
      </c>
    </row>
    <row r="1183" spans="1:22" x14ac:dyDescent="0.3">
      <c r="A1183" s="48" t="s">
        <v>694</v>
      </c>
      <c r="B1183" s="49" t="s">
        <v>695</v>
      </c>
      <c r="C1183" s="49" t="s">
        <v>696</v>
      </c>
      <c r="D1183" s="49" t="s">
        <v>673</v>
      </c>
      <c r="E1183" s="49" t="s">
        <v>674</v>
      </c>
      <c r="F1183" s="49" t="s">
        <v>675</v>
      </c>
      <c r="G1183" s="49" t="s">
        <v>676</v>
      </c>
      <c r="H1183" s="49" t="s">
        <v>677</v>
      </c>
      <c r="I1183" s="49" t="s">
        <v>697</v>
      </c>
      <c r="J1183" s="49" t="s">
        <v>698</v>
      </c>
      <c r="K1183" s="49" t="s">
        <v>690</v>
      </c>
      <c r="L1183" s="49" t="s">
        <v>699</v>
      </c>
      <c r="M1183" s="49">
        <v>1</v>
      </c>
      <c r="N1183" s="49" t="s">
        <v>563</v>
      </c>
      <c r="O1183" s="49" t="s">
        <v>767</v>
      </c>
      <c r="P1183" s="52" t="s">
        <v>746</v>
      </c>
      <c r="Q1183" s="49" t="s">
        <v>683</v>
      </c>
      <c r="R1183" s="49" t="s">
        <v>169</v>
      </c>
      <c r="S1183" s="52" t="s">
        <v>673</v>
      </c>
      <c r="T1183" s="49" t="s">
        <v>1821</v>
      </c>
      <c r="U1183" s="49" t="s">
        <v>1824</v>
      </c>
      <c r="V1183" s="50" t="s">
        <v>1823</v>
      </c>
    </row>
    <row r="1184" spans="1:22" x14ac:dyDescent="0.3">
      <c r="A1184" s="51" t="s">
        <v>1377</v>
      </c>
      <c r="B1184" s="52" t="s">
        <v>1253</v>
      </c>
      <c r="C1184" s="52" t="s">
        <v>1378</v>
      </c>
      <c r="D1184" s="52" t="s">
        <v>673</v>
      </c>
      <c r="E1184" s="52" t="s">
        <v>674</v>
      </c>
      <c r="F1184" s="52" t="s">
        <v>716</v>
      </c>
      <c r="G1184" s="52" t="s">
        <v>676</v>
      </c>
      <c r="H1184" s="52" t="s">
        <v>938</v>
      </c>
      <c r="I1184" s="49" t="s">
        <v>688</v>
      </c>
      <c r="J1184" s="52" t="s">
        <v>906</v>
      </c>
      <c r="K1184" s="52" t="s">
        <v>690</v>
      </c>
      <c r="L1184" s="52" t="s">
        <v>681</v>
      </c>
      <c r="M1184" s="52">
        <v>1</v>
      </c>
      <c r="N1184" s="52" t="s">
        <v>1623</v>
      </c>
      <c r="O1184" s="52" t="s">
        <v>767</v>
      </c>
      <c r="P1184" s="52" t="s">
        <v>746</v>
      </c>
      <c r="Q1184" s="52" t="s">
        <v>683</v>
      </c>
      <c r="R1184" s="52" t="s">
        <v>169</v>
      </c>
      <c r="S1184" s="52" t="s">
        <v>673</v>
      </c>
      <c r="T1184" s="52" t="s">
        <v>1821</v>
      </c>
      <c r="U1184" s="52" t="s">
        <v>1824</v>
      </c>
      <c r="V1184" s="50" t="s">
        <v>1823</v>
      </c>
    </row>
    <row r="1185" spans="1:22" x14ac:dyDescent="0.3">
      <c r="A1185" s="48" t="s">
        <v>1000</v>
      </c>
      <c r="B1185" s="49" t="s">
        <v>998</v>
      </c>
      <c r="C1185" s="49" t="s">
        <v>1001</v>
      </c>
      <c r="D1185" s="49" t="s">
        <v>673</v>
      </c>
      <c r="E1185" s="49" t="s">
        <v>674</v>
      </c>
      <c r="F1185" s="49" t="s">
        <v>716</v>
      </c>
      <c r="G1185" s="49" t="s">
        <v>744</v>
      </c>
      <c r="H1185" s="49" t="s">
        <v>677</v>
      </c>
      <c r="I1185" s="49" t="s">
        <v>688</v>
      </c>
      <c r="J1185" s="49" t="s">
        <v>751</v>
      </c>
      <c r="K1185" s="49" t="s">
        <v>690</v>
      </c>
      <c r="L1185" s="49" t="s">
        <v>681</v>
      </c>
      <c r="M1185" s="49">
        <v>1</v>
      </c>
      <c r="N1185" s="49" t="s">
        <v>1624</v>
      </c>
      <c r="O1185" s="49" t="s">
        <v>767</v>
      </c>
      <c r="P1185" s="52" t="s">
        <v>746</v>
      </c>
      <c r="Q1185" s="49" t="s">
        <v>683</v>
      </c>
      <c r="R1185" s="49" t="s">
        <v>169</v>
      </c>
      <c r="S1185" s="52" t="s">
        <v>673</v>
      </c>
      <c r="T1185" s="49" t="s">
        <v>1821</v>
      </c>
      <c r="U1185" s="49" t="s">
        <v>1824</v>
      </c>
      <c r="V1185" s="50" t="s">
        <v>1823</v>
      </c>
    </row>
    <row r="1186" spans="1:22" x14ac:dyDescent="0.3">
      <c r="A1186" s="51" t="s">
        <v>694</v>
      </c>
      <c r="B1186" s="52" t="s">
        <v>695</v>
      </c>
      <c r="C1186" s="52" t="s">
        <v>696</v>
      </c>
      <c r="D1186" s="52" t="s">
        <v>673</v>
      </c>
      <c r="E1186" s="52" t="s">
        <v>674</v>
      </c>
      <c r="F1186" s="52" t="s">
        <v>675</v>
      </c>
      <c r="G1186" s="52" t="s">
        <v>676</v>
      </c>
      <c r="H1186" s="52" t="s">
        <v>677</v>
      </c>
      <c r="I1186" s="52" t="s">
        <v>697</v>
      </c>
      <c r="J1186" s="52" t="s">
        <v>698</v>
      </c>
      <c r="K1186" s="52" t="s">
        <v>690</v>
      </c>
      <c r="L1186" s="52" t="s">
        <v>699</v>
      </c>
      <c r="M1186" s="52">
        <v>1</v>
      </c>
      <c r="N1186" s="52" t="s">
        <v>502</v>
      </c>
      <c r="O1186" s="52" t="s">
        <v>767</v>
      </c>
      <c r="P1186" s="52" t="s">
        <v>746</v>
      </c>
      <c r="Q1186" s="52" t="s">
        <v>683</v>
      </c>
      <c r="R1186" s="52" t="s">
        <v>169</v>
      </c>
      <c r="S1186" s="52" t="s">
        <v>673</v>
      </c>
      <c r="T1186" s="52" t="s">
        <v>1821</v>
      </c>
      <c r="U1186" s="52" t="s">
        <v>1824</v>
      </c>
      <c r="V1186" s="50" t="s">
        <v>1823</v>
      </c>
    </row>
    <row r="1187" spans="1:22" x14ac:dyDescent="0.3">
      <c r="A1187" s="48" t="s">
        <v>812</v>
      </c>
      <c r="B1187" s="49" t="s">
        <v>707</v>
      </c>
      <c r="C1187" s="49" t="s">
        <v>708</v>
      </c>
      <c r="D1187" s="49" t="s">
        <v>673</v>
      </c>
      <c r="E1187" s="49" t="s">
        <v>674</v>
      </c>
      <c r="F1187" s="49" t="s">
        <v>709</v>
      </c>
      <c r="G1187" s="49" t="s">
        <v>709</v>
      </c>
      <c r="H1187" s="49" t="s">
        <v>709</v>
      </c>
      <c r="I1187" s="49" t="s">
        <v>709</v>
      </c>
      <c r="J1187" s="49" t="s">
        <v>751</v>
      </c>
      <c r="K1187" s="49" t="s">
        <v>690</v>
      </c>
      <c r="L1187" s="49" t="s">
        <v>699</v>
      </c>
      <c r="M1187" s="49">
        <v>0.5</v>
      </c>
      <c r="N1187" s="49" t="s">
        <v>1840</v>
      </c>
      <c r="O1187" s="49" t="s">
        <v>665</v>
      </c>
      <c r="P1187" s="49" t="s">
        <v>746</v>
      </c>
      <c r="Q1187" s="49" t="s">
        <v>683</v>
      </c>
      <c r="R1187" s="49" t="s">
        <v>242</v>
      </c>
      <c r="S1187" s="52" t="s">
        <v>673</v>
      </c>
      <c r="T1187" s="49" t="s">
        <v>1821</v>
      </c>
      <c r="U1187" s="49" t="s">
        <v>1824</v>
      </c>
      <c r="V1187" s="50" t="s">
        <v>1823</v>
      </c>
    </row>
    <row r="1188" spans="1:22" x14ac:dyDescent="0.3">
      <c r="A1188" s="51" t="s">
        <v>1656</v>
      </c>
      <c r="B1188" s="52" t="s">
        <v>707</v>
      </c>
      <c r="C1188" s="52" t="s">
        <v>773</v>
      </c>
      <c r="D1188" s="52" t="s">
        <v>673</v>
      </c>
      <c r="E1188" s="52" t="s">
        <v>674</v>
      </c>
      <c r="F1188" s="52" t="s">
        <v>773</v>
      </c>
      <c r="G1188" s="52" t="s">
        <v>773</v>
      </c>
      <c r="H1188" s="52" t="s">
        <v>773</v>
      </c>
      <c r="I1188" s="52" t="s">
        <v>773</v>
      </c>
      <c r="J1188" s="52" t="s">
        <v>751</v>
      </c>
      <c r="K1188" s="52" t="s">
        <v>690</v>
      </c>
      <c r="L1188" s="52" t="s">
        <v>699</v>
      </c>
      <c r="M1188" s="52">
        <v>0.5</v>
      </c>
      <c r="N1188" s="52" t="s">
        <v>1840</v>
      </c>
      <c r="O1188" s="52" t="s">
        <v>665</v>
      </c>
      <c r="P1188" s="52" t="s">
        <v>746</v>
      </c>
      <c r="Q1188" s="52" t="s">
        <v>683</v>
      </c>
      <c r="R1188" s="52" t="s">
        <v>242</v>
      </c>
      <c r="S1188" s="52" t="s">
        <v>673</v>
      </c>
      <c r="T1188" s="52" t="s">
        <v>1821</v>
      </c>
      <c r="U1188" s="52" t="s">
        <v>1824</v>
      </c>
      <c r="V1188" s="50" t="s">
        <v>1823</v>
      </c>
    </row>
    <row r="1189" spans="1:22" x14ac:dyDescent="0.3">
      <c r="A1189" s="48" t="s">
        <v>1656</v>
      </c>
      <c r="B1189" s="49" t="s">
        <v>707</v>
      </c>
      <c r="C1189" s="49" t="s">
        <v>773</v>
      </c>
      <c r="D1189" s="49" t="s">
        <v>673</v>
      </c>
      <c r="E1189" s="49" t="s">
        <v>674</v>
      </c>
      <c r="F1189" s="49" t="s">
        <v>773</v>
      </c>
      <c r="G1189" s="49" t="s">
        <v>773</v>
      </c>
      <c r="H1189" s="49" t="s">
        <v>773</v>
      </c>
      <c r="I1189" s="49" t="s">
        <v>773</v>
      </c>
      <c r="J1189" s="49" t="s">
        <v>751</v>
      </c>
      <c r="K1189" s="49" t="s">
        <v>690</v>
      </c>
      <c r="L1189" s="49" t="s">
        <v>699</v>
      </c>
      <c r="M1189" s="49">
        <v>0.5</v>
      </c>
      <c r="N1189" s="49" t="s">
        <v>1835</v>
      </c>
      <c r="O1189" s="49" t="s">
        <v>665</v>
      </c>
      <c r="P1189" s="49" t="s">
        <v>746</v>
      </c>
      <c r="Q1189" s="49" t="s">
        <v>683</v>
      </c>
      <c r="R1189" s="49" t="s">
        <v>242</v>
      </c>
      <c r="S1189" s="52" t="s">
        <v>673</v>
      </c>
      <c r="T1189" s="49" t="s">
        <v>1821</v>
      </c>
      <c r="U1189" s="49" t="s">
        <v>1824</v>
      </c>
      <c r="V1189" s="50" t="s">
        <v>1823</v>
      </c>
    </row>
    <row r="1190" spans="1:22" x14ac:dyDescent="0.3">
      <c r="A1190" s="51" t="s">
        <v>812</v>
      </c>
      <c r="B1190" s="52" t="s">
        <v>707</v>
      </c>
      <c r="C1190" s="52" t="s">
        <v>708</v>
      </c>
      <c r="D1190" s="52" t="s">
        <v>673</v>
      </c>
      <c r="E1190" s="52" t="s">
        <v>674</v>
      </c>
      <c r="F1190" s="52" t="s">
        <v>709</v>
      </c>
      <c r="G1190" s="52" t="s">
        <v>709</v>
      </c>
      <c r="H1190" s="52" t="s">
        <v>709</v>
      </c>
      <c r="I1190" s="52" t="s">
        <v>709</v>
      </c>
      <c r="J1190" s="52" t="s">
        <v>751</v>
      </c>
      <c r="K1190" s="52" t="s">
        <v>690</v>
      </c>
      <c r="L1190" s="52" t="s">
        <v>699</v>
      </c>
      <c r="M1190" s="52">
        <v>0.5</v>
      </c>
      <c r="N1190" s="52" t="s">
        <v>1835</v>
      </c>
      <c r="O1190" s="52" t="s">
        <v>665</v>
      </c>
      <c r="P1190" s="52" t="s">
        <v>746</v>
      </c>
      <c r="Q1190" s="52" t="s">
        <v>683</v>
      </c>
      <c r="R1190" s="52" t="s">
        <v>242</v>
      </c>
      <c r="S1190" s="52" t="s">
        <v>673</v>
      </c>
      <c r="T1190" s="52" t="s">
        <v>1821</v>
      </c>
      <c r="U1190" s="52" t="s">
        <v>1824</v>
      </c>
      <c r="V1190" s="50" t="s">
        <v>1823</v>
      </c>
    </row>
    <row r="1191" spans="1:22" x14ac:dyDescent="0.3">
      <c r="A1191" s="48" t="s">
        <v>2386</v>
      </c>
      <c r="B1191" s="49" t="s">
        <v>707</v>
      </c>
      <c r="C1191" s="49" t="s">
        <v>773</v>
      </c>
      <c r="D1191" s="49" t="s">
        <v>673</v>
      </c>
      <c r="E1191" s="49" t="s">
        <v>674</v>
      </c>
      <c r="F1191" s="49" t="s">
        <v>773</v>
      </c>
      <c r="G1191" s="49" t="s">
        <v>773</v>
      </c>
      <c r="H1191" s="49" t="s">
        <v>773</v>
      </c>
      <c r="I1191" s="49" t="s">
        <v>773</v>
      </c>
      <c r="J1191" s="49" t="s">
        <v>713</v>
      </c>
      <c r="K1191" s="49" t="s">
        <v>690</v>
      </c>
      <c r="L1191" s="49" t="s">
        <v>699</v>
      </c>
      <c r="M1191" s="49">
        <v>1</v>
      </c>
      <c r="N1191" s="49" t="s">
        <v>1834</v>
      </c>
      <c r="O1191" s="49" t="s">
        <v>665</v>
      </c>
      <c r="P1191" s="49" t="s">
        <v>746</v>
      </c>
      <c r="Q1191" s="49" t="s">
        <v>683</v>
      </c>
      <c r="R1191" s="49" t="s">
        <v>123</v>
      </c>
      <c r="S1191" s="52" t="s">
        <v>673</v>
      </c>
      <c r="T1191" s="49" t="s">
        <v>1821</v>
      </c>
      <c r="U1191" s="49" t="s">
        <v>1824</v>
      </c>
      <c r="V1191" s="50" t="s">
        <v>1823</v>
      </c>
    </row>
    <row r="1192" spans="1:22" x14ac:dyDescent="0.3">
      <c r="A1192" s="51" t="s">
        <v>1035</v>
      </c>
      <c r="B1192" s="52" t="s">
        <v>707</v>
      </c>
      <c r="C1192" s="52" t="s">
        <v>715</v>
      </c>
      <c r="D1192" s="52" t="s">
        <v>684</v>
      </c>
      <c r="E1192" s="52" t="s">
        <v>674</v>
      </c>
      <c r="F1192" s="52" t="s">
        <v>716</v>
      </c>
      <c r="G1192" s="52" t="s">
        <v>717</v>
      </c>
      <c r="H1192" s="52" t="s">
        <v>717</v>
      </c>
      <c r="I1192" s="52" t="s">
        <v>717</v>
      </c>
      <c r="J1192" s="52" t="s">
        <v>745</v>
      </c>
      <c r="K1192" s="52" t="s">
        <v>738</v>
      </c>
      <c r="L1192" s="52" t="s">
        <v>699</v>
      </c>
      <c r="M1192" s="52">
        <v>1</v>
      </c>
      <c r="N1192" s="52" t="s">
        <v>470</v>
      </c>
      <c r="O1192" s="52" t="s">
        <v>665</v>
      </c>
      <c r="P1192" s="52" t="s">
        <v>746</v>
      </c>
      <c r="Q1192" s="52" t="s">
        <v>683</v>
      </c>
      <c r="R1192" s="52" t="s">
        <v>567</v>
      </c>
      <c r="S1192" s="49" t="s">
        <v>684</v>
      </c>
      <c r="T1192" s="52" t="s">
        <v>1821</v>
      </c>
      <c r="U1192" s="52" t="s">
        <v>1824</v>
      </c>
      <c r="V1192" s="50" t="s">
        <v>1823</v>
      </c>
    </row>
    <row r="1193" spans="1:22" x14ac:dyDescent="0.3">
      <c r="A1193" s="48" t="s">
        <v>1009</v>
      </c>
      <c r="B1193" s="49" t="s">
        <v>707</v>
      </c>
      <c r="C1193" s="49" t="s">
        <v>715</v>
      </c>
      <c r="D1193" s="49" t="s">
        <v>684</v>
      </c>
      <c r="E1193" s="49" t="s">
        <v>674</v>
      </c>
      <c r="F1193" s="49" t="s">
        <v>716</v>
      </c>
      <c r="G1193" s="49" t="s">
        <v>717</v>
      </c>
      <c r="H1193" s="49" t="s">
        <v>717</v>
      </c>
      <c r="I1193" s="49" t="s">
        <v>717</v>
      </c>
      <c r="J1193" s="49" t="s">
        <v>737</v>
      </c>
      <c r="K1193" s="49" t="s">
        <v>738</v>
      </c>
      <c r="L1193" s="49" t="s">
        <v>699</v>
      </c>
      <c r="M1193" s="49">
        <v>1</v>
      </c>
      <c r="N1193" s="49" t="s">
        <v>544</v>
      </c>
      <c r="O1193" s="49" t="s">
        <v>665</v>
      </c>
      <c r="P1193" s="49" t="s">
        <v>746</v>
      </c>
      <c r="Q1193" s="49" t="s">
        <v>683</v>
      </c>
      <c r="R1193" s="49" t="s">
        <v>567</v>
      </c>
      <c r="S1193" s="49" t="s">
        <v>684</v>
      </c>
      <c r="T1193" s="49" t="s">
        <v>1821</v>
      </c>
      <c r="U1193" s="49" t="s">
        <v>1824</v>
      </c>
      <c r="V1193" s="50" t="s">
        <v>1823</v>
      </c>
    </row>
    <row r="1194" spans="1:22" x14ac:dyDescent="0.3">
      <c r="A1194" s="51" t="s">
        <v>1631</v>
      </c>
      <c r="B1194" s="52" t="s">
        <v>707</v>
      </c>
      <c r="C1194" s="52" t="s">
        <v>910</v>
      </c>
      <c r="D1194" s="52" t="s">
        <v>684</v>
      </c>
      <c r="E1194" s="52" t="s">
        <v>674</v>
      </c>
      <c r="F1194" s="52" t="s">
        <v>12</v>
      </c>
      <c r="G1194" s="52" t="s">
        <v>12</v>
      </c>
      <c r="H1194" s="52" t="s">
        <v>12</v>
      </c>
      <c r="I1194" s="52" t="s">
        <v>12</v>
      </c>
      <c r="J1194" s="52" t="s">
        <v>1551</v>
      </c>
      <c r="K1194" s="52" t="s">
        <v>738</v>
      </c>
      <c r="L1194" s="52" t="s">
        <v>699</v>
      </c>
      <c r="M1194" s="52">
        <v>1</v>
      </c>
      <c r="N1194" s="52" t="s">
        <v>459</v>
      </c>
      <c r="O1194" s="52" t="s">
        <v>665</v>
      </c>
      <c r="P1194" s="52" t="s">
        <v>746</v>
      </c>
      <c r="Q1194" s="52" t="s">
        <v>683</v>
      </c>
      <c r="R1194" s="52" t="s">
        <v>567</v>
      </c>
      <c r="S1194" s="49" t="s">
        <v>684</v>
      </c>
      <c r="T1194" s="52" t="s">
        <v>1821</v>
      </c>
      <c r="U1194" s="52" t="s">
        <v>1824</v>
      </c>
      <c r="V1194" s="50" t="s">
        <v>1823</v>
      </c>
    </row>
    <row r="1195" spans="1:22" x14ac:dyDescent="0.3">
      <c r="A1195" s="48" t="s">
        <v>1035</v>
      </c>
      <c r="B1195" s="49" t="s">
        <v>707</v>
      </c>
      <c r="C1195" s="49" t="s">
        <v>715</v>
      </c>
      <c r="D1195" s="49" t="s">
        <v>684</v>
      </c>
      <c r="E1195" s="49" t="s">
        <v>674</v>
      </c>
      <c r="F1195" s="49" t="s">
        <v>716</v>
      </c>
      <c r="G1195" s="49" t="s">
        <v>717</v>
      </c>
      <c r="H1195" s="49" t="s">
        <v>717</v>
      </c>
      <c r="I1195" s="49" t="s">
        <v>717</v>
      </c>
      <c r="J1195" s="49" t="s">
        <v>745</v>
      </c>
      <c r="K1195" s="49" t="s">
        <v>738</v>
      </c>
      <c r="L1195" s="49" t="s">
        <v>699</v>
      </c>
      <c r="M1195" s="49">
        <v>0.1</v>
      </c>
      <c r="N1195" s="49" t="s">
        <v>89</v>
      </c>
      <c r="O1195" s="49" t="s">
        <v>665</v>
      </c>
      <c r="P1195" s="49" t="s">
        <v>746</v>
      </c>
      <c r="Q1195" s="49" t="s">
        <v>683</v>
      </c>
      <c r="R1195" s="49" t="s">
        <v>567</v>
      </c>
      <c r="S1195" s="49" t="s">
        <v>684</v>
      </c>
      <c r="T1195" s="49" t="s">
        <v>1821</v>
      </c>
      <c r="U1195" s="49" t="s">
        <v>1824</v>
      </c>
      <c r="V1195" s="50" t="s">
        <v>1823</v>
      </c>
    </row>
    <row r="1196" spans="1:22" x14ac:dyDescent="0.3">
      <c r="A1196" s="51" t="s">
        <v>1010</v>
      </c>
      <c r="B1196" s="52" t="s">
        <v>707</v>
      </c>
      <c r="C1196" s="52" t="s">
        <v>715</v>
      </c>
      <c r="D1196" s="52" t="s">
        <v>755</v>
      </c>
      <c r="E1196" s="52" t="s">
        <v>674</v>
      </c>
      <c r="F1196" s="52" t="s">
        <v>716</v>
      </c>
      <c r="G1196" s="52" t="s">
        <v>717</v>
      </c>
      <c r="H1196" s="52" t="s">
        <v>717</v>
      </c>
      <c r="I1196" s="52" t="s">
        <v>717</v>
      </c>
      <c r="J1196" s="52" t="s">
        <v>774</v>
      </c>
      <c r="K1196" s="52" t="s">
        <v>680</v>
      </c>
      <c r="L1196" s="52" t="s">
        <v>699</v>
      </c>
      <c r="M1196" s="52">
        <v>0.1</v>
      </c>
      <c r="N1196" s="52" t="s">
        <v>89</v>
      </c>
      <c r="O1196" s="52" t="s">
        <v>665</v>
      </c>
      <c r="P1196" s="52" t="s">
        <v>746</v>
      </c>
      <c r="Q1196" s="52" t="s">
        <v>683</v>
      </c>
      <c r="R1196" s="52" t="s">
        <v>567</v>
      </c>
      <c r="S1196" s="49" t="s">
        <v>684</v>
      </c>
      <c r="T1196" s="52" t="s">
        <v>1821</v>
      </c>
      <c r="U1196" s="52" t="s">
        <v>1824</v>
      </c>
      <c r="V1196" s="50" t="s">
        <v>1823</v>
      </c>
    </row>
    <row r="1197" spans="1:22" x14ac:dyDescent="0.3">
      <c r="A1197" s="48" t="s">
        <v>1585</v>
      </c>
      <c r="B1197" s="49" t="s">
        <v>707</v>
      </c>
      <c r="C1197" s="49" t="s">
        <v>715</v>
      </c>
      <c r="D1197" s="49" t="s">
        <v>684</v>
      </c>
      <c r="E1197" s="49" t="s">
        <v>674</v>
      </c>
      <c r="F1197" s="49" t="s">
        <v>716</v>
      </c>
      <c r="G1197" s="49" t="s">
        <v>717</v>
      </c>
      <c r="H1197" s="49" t="s">
        <v>717</v>
      </c>
      <c r="I1197" s="49" t="s">
        <v>717</v>
      </c>
      <c r="J1197" s="49" t="s">
        <v>860</v>
      </c>
      <c r="K1197" s="49" t="s">
        <v>861</v>
      </c>
      <c r="L1197" s="49" t="s">
        <v>699</v>
      </c>
      <c r="M1197" s="49">
        <v>0.1</v>
      </c>
      <c r="N1197" s="49" t="s">
        <v>89</v>
      </c>
      <c r="O1197" s="49" t="s">
        <v>665</v>
      </c>
      <c r="P1197" s="49" t="s">
        <v>746</v>
      </c>
      <c r="Q1197" s="49" t="s">
        <v>683</v>
      </c>
      <c r="R1197" s="49" t="s">
        <v>567</v>
      </c>
      <c r="S1197" s="49" t="s">
        <v>684</v>
      </c>
      <c r="T1197" s="49" t="s">
        <v>1821</v>
      </c>
      <c r="U1197" s="49" t="s">
        <v>1824</v>
      </c>
      <c r="V1197" s="50" t="s">
        <v>1823</v>
      </c>
    </row>
    <row r="1198" spans="1:22" x14ac:dyDescent="0.3">
      <c r="A1198" s="51" t="s">
        <v>1209</v>
      </c>
      <c r="B1198" s="52" t="s">
        <v>707</v>
      </c>
      <c r="C1198" s="52" t="s">
        <v>715</v>
      </c>
      <c r="D1198" s="52" t="s">
        <v>755</v>
      </c>
      <c r="E1198" s="52" t="s">
        <v>674</v>
      </c>
      <c r="F1198" s="52" t="s">
        <v>716</v>
      </c>
      <c r="G1198" s="52" t="s">
        <v>717</v>
      </c>
      <c r="H1198" s="52" t="s">
        <v>717</v>
      </c>
      <c r="I1198" s="52" t="s">
        <v>717</v>
      </c>
      <c r="J1198" s="52" t="s">
        <v>679</v>
      </c>
      <c r="K1198" s="52" t="s">
        <v>680</v>
      </c>
      <c r="L1198" s="52" t="s">
        <v>699</v>
      </c>
      <c r="M1198" s="52">
        <v>0.1</v>
      </c>
      <c r="N1198" s="52" t="s">
        <v>89</v>
      </c>
      <c r="O1198" s="52" t="s">
        <v>665</v>
      </c>
      <c r="P1198" s="52" t="s">
        <v>746</v>
      </c>
      <c r="Q1198" s="52" t="s">
        <v>683</v>
      </c>
      <c r="R1198" s="52" t="s">
        <v>567</v>
      </c>
      <c r="S1198" s="49" t="s">
        <v>684</v>
      </c>
      <c r="T1198" s="52" t="s">
        <v>1821</v>
      </c>
      <c r="U1198" s="52" t="s">
        <v>1824</v>
      </c>
      <c r="V1198" s="50" t="s">
        <v>1823</v>
      </c>
    </row>
    <row r="1199" spans="1:22" x14ac:dyDescent="0.3">
      <c r="A1199" s="48" t="s">
        <v>1662</v>
      </c>
      <c r="B1199" s="49" t="s">
        <v>707</v>
      </c>
      <c r="C1199" s="49" t="s">
        <v>773</v>
      </c>
      <c r="D1199" s="49" t="s">
        <v>755</v>
      </c>
      <c r="E1199" s="49" t="s">
        <v>674</v>
      </c>
      <c r="F1199" s="49" t="s">
        <v>773</v>
      </c>
      <c r="G1199" s="49" t="s">
        <v>773</v>
      </c>
      <c r="H1199" s="49" t="s">
        <v>773</v>
      </c>
      <c r="I1199" s="49" t="s">
        <v>773</v>
      </c>
      <c r="J1199" s="49" t="s">
        <v>679</v>
      </c>
      <c r="K1199" s="49" t="s">
        <v>680</v>
      </c>
      <c r="L1199" s="49" t="s">
        <v>699</v>
      </c>
      <c r="M1199" s="49">
        <v>1</v>
      </c>
      <c r="N1199" s="49" t="s">
        <v>1664</v>
      </c>
      <c r="O1199" s="49" t="s">
        <v>665</v>
      </c>
      <c r="P1199" s="49" t="s">
        <v>746</v>
      </c>
      <c r="Q1199" s="49" t="s">
        <v>683</v>
      </c>
      <c r="R1199" s="49" t="s">
        <v>34</v>
      </c>
      <c r="S1199" s="49" t="s">
        <v>755</v>
      </c>
      <c r="T1199" s="49" t="s">
        <v>1821</v>
      </c>
      <c r="U1199" s="49" t="s">
        <v>1824</v>
      </c>
      <c r="V1199" s="50" t="s">
        <v>1823</v>
      </c>
    </row>
    <row r="1200" spans="1:22" x14ac:dyDescent="0.3">
      <c r="A1200" s="51" t="s">
        <v>1077</v>
      </c>
      <c r="B1200" s="52" t="s">
        <v>975</v>
      </c>
      <c r="C1200" s="52" t="s">
        <v>1078</v>
      </c>
      <c r="D1200" s="52" t="s">
        <v>755</v>
      </c>
      <c r="E1200" s="52" t="s">
        <v>674</v>
      </c>
      <c r="F1200" s="52" t="s">
        <v>716</v>
      </c>
      <c r="G1200" s="52" t="s">
        <v>744</v>
      </c>
      <c r="H1200" s="52" t="s">
        <v>677</v>
      </c>
      <c r="I1200" s="49" t="s">
        <v>678</v>
      </c>
      <c r="J1200" s="52" t="s">
        <v>774</v>
      </c>
      <c r="K1200" s="52" t="s">
        <v>680</v>
      </c>
      <c r="L1200" s="52" t="s">
        <v>801</v>
      </c>
      <c r="M1200" s="52">
        <v>0.3</v>
      </c>
      <c r="N1200" s="52" t="s">
        <v>481</v>
      </c>
      <c r="O1200" s="52" t="s">
        <v>665</v>
      </c>
      <c r="P1200" s="52" t="s">
        <v>746</v>
      </c>
      <c r="Q1200" s="52" t="s">
        <v>683</v>
      </c>
      <c r="R1200" s="52" t="s">
        <v>47</v>
      </c>
      <c r="S1200" s="49" t="s">
        <v>755</v>
      </c>
      <c r="T1200" s="52" t="s">
        <v>1821</v>
      </c>
      <c r="U1200" s="52" t="s">
        <v>1824</v>
      </c>
      <c r="V1200" s="50" t="s">
        <v>1823</v>
      </c>
    </row>
    <row r="1201" spans="1:22" x14ac:dyDescent="0.3">
      <c r="A1201" s="48" t="s">
        <v>1632</v>
      </c>
      <c r="B1201" s="49" t="s">
        <v>975</v>
      </c>
      <c r="C1201" s="49" t="s">
        <v>1633</v>
      </c>
      <c r="D1201" s="49" t="s">
        <v>755</v>
      </c>
      <c r="E1201" s="49" t="s">
        <v>674</v>
      </c>
      <c r="F1201" s="49" t="s">
        <v>716</v>
      </c>
      <c r="G1201" s="49" t="s">
        <v>744</v>
      </c>
      <c r="H1201" s="49" t="s">
        <v>677</v>
      </c>
      <c r="I1201" s="49" t="s">
        <v>678</v>
      </c>
      <c r="J1201" s="49" t="s">
        <v>774</v>
      </c>
      <c r="K1201" s="49" t="s">
        <v>680</v>
      </c>
      <c r="L1201" s="49" t="s">
        <v>699</v>
      </c>
      <c r="M1201" s="49">
        <v>0.2</v>
      </c>
      <c r="N1201" s="49" t="s">
        <v>481</v>
      </c>
      <c r="O1201" s="49" t="s">
        <v>665</v>
      </c>
      <c r="P1201" s="49" t="s">
        <v>746</v>
      </c>
      <c r="Q1201" s="49" t="s">
        <v>683</v>
      </c>
      <c r="R1201" s="49" t="s">
        <v>47</v>
      </c>
      <c r="S1201" s="49" t="s">
        <v>755</v>
      </c>
      <c r="T1201" s="49" t="s">
        <v>1821</v>
      </c>
      <c r="U1201" s="49" t="s">
        <v>1824</v>
      </c>
      <c r="V1201" s="50" t="s">
        <v>1823</v>
      </c>
    </row>
    <row r="1202" spans="1:22" x14ac:dyDescent="0.3">
      <c r="A1202" s="51" t="s">
        <v>1063</v>
      </c>
      <c r="B1202" s="52" t="s">
        <v>864</v>
      </c>
      <c r="C1202" s="52" t="s">
        <v>1064</v>
      </c>
      <c r="D1202" s="52" t="s">
        <v>755</v>
      </c>
      <c r="E1202" s="52" t="s">
        <v>674</v>
      </c>
      <c r="F1202" s="52" t="s">
        <v>675</v>
      </c>
      <c r="G1202" s="52" t="s">
        <v>676</v>
      </c>
      <c r="H1202" s="52" t="s">
        <v>677</v>
      </c>
      <c r="I1202" s="49" t="s">
        <v>678</v>
      </c>
      <c r="J1202" s="52" t="s">
        <v>774</v>
      </c>
      <c r="K1202" s="52" t="s">
        <v>680</v>
      </c>
      <c r="L1202" s="52" t="s">
        <v>699</v>
      </c>
      <c r="M1202" s="52">
        <v>0.5</v>
      </c>
      <c r="N1202" s="52" t="s">
        <v>572</v>
      </c>
      <c r="O1202" s="52" t="s">
        <v>665</v>
      </c>
      <c r="P1202" s="52" t="s">
        <v>746</v>
      </c>
      <c r="Q1202" s="52" t="s">
        <v>683</v>
      </c>
      <c r="R1202" s="52" t="s">
        <v>1211</v>
      </c>
      <c r="S1202" s="49" t="s">
        <v>755</v>
      </c>
      <c r="T1202" s="52" t="s">
        <v>1821</v>
      </c>
      <c r="U1202" s="52" t="s">
        <v>1824</v>
      </c>
      <c r="V1202" s="50" t="s">
        <v>1823</v>
      </c>
    </row>
    <row r="1203" spans="1:22" x14ac:dyDescent="0.3">
      <c r="A1203" s="29" t="s">
        <v>706</v>
      </c>
      <c r="B1203" s="30" t="s">
        <v>707</v>
      </c>
      <c r="C1203" s="32" t="s">
        <v>708</v>
      </c>
      <c r="D1203" s="30" t="s">
        <v>673</v>
      </c>
      <c r="E1203" s="30" t="s">
        <v>674</v>
      </c>
      <c r="F1203" s="32" t="s">
        <v>709</v>
      </c>
      <c r="G1203" s="32" t="s">
        <v>709</v>
      </c>
      <c r="H1203" s="32" t="s">
        <v>709</v>
      </c>
      <c r="I1203" s="32" t="s">
        <v>709</v>
      </c>
      <c r="J1203" s="30" t="s">
        <v>710</v>
      </c>
      <c r="K1203" s="30" t="s">
        <v>690</v>
      </c>
      <c r="L1203" s="30" t="s">
        <v>699</v>
      </c>
      <c r="M1203" s="30">
        <v>0.1</v>
      </c>
      <c r="N1203" s="49" t="s">
        <v>56</v>
      </c>
      <c r="O1203" s="49" t="s">
        <v>665</v>
      </c>
      <c r="P1203" s="49" t="s">
        <v>711</v>
      </c>
      <c r="Q1203" s="49"/>
      <c r="R1203" s="49" t="s">
        <v>366</v>
      </c>
      <c r="S1203" s="52" t="s">
        <v>673</v>
      </c>
      <c r="T1203" s="49" t="s">
        <v>1821</v>
      </c>
      <c r="U1203" s="52" t="s">
        <v>1824</v>
      </c>
      <c r="V1203" s="50" t="s">
        <v>1826</v>
      </c>
    </row>
    <row r="1204" spans="1:22" x14ac:dyDescent="0.3">
      <c r="A1204" s="29" t="s">
        <v>1506</v>
      </c>
      <c r="B1204" s="30" t="s">
        <v>544</v>
      </c>
      <c r="C1204" s="30" t="s">
        <v>1500</v>
      </c>
      <c r="D1204" s="30" t="s">
        <v>684</v>
      </c>
      <c r="E1204" s="30" t="s">
        <v>674</v>
      </c>
      <c r="F1204" s="30" t="s">
        <v>716</v>
      </c>
      <c r="G1204" s="30" t="s">
        <v>717</v>
      </c>
      <c r="H1204" s="30" t="s">
        <v>717</v>
      </c>
      <c r="I1204" s="30" t="s">
        <v>736</v>
      </c>
      <c r="J1204" s="30" t="s">
        <v>737</v>
      </c>
      <c r="K1204" s="30" t="s">
        <v>738</v>
      </c>
      <c r="L1204" s="30" t="s">
        <v>699</v>
      </c>
      <c r="M1204" s="30">
        <v>1</v>
      </c>
      <c r="N1204" s="52" t="s">
        <v>203</v>
      </c>
      <c r="O1204" s="52" t="s">
        <v>665</v>
      </c>
      <c r="P1204" s="52" t="s">
        <v>746</v>
      </c>
      <c r="Q1204" s="52"/>
      <c r="R1204" s="52" t="s">
        <v>544</v>
      </c>
      <c r="S1204" s="49" t="s">
        <v>684</v>
      </c>
      <c r="T1204" s="52" t="s">
        <v>1821</v>
      </c>
      <c r="U1204" s="52" t="s">
        <v>1824</v>
      </c>
      <c r="V1204" s="53" t="s">
        <v>1826</v>
      </c>
    </row>
    <row r="1205" spans="1:22" x14ac:dyDescent="0.3">
      <c r="A1205" s="29" t="s">
        <v>1245</v>
      </c>
      <c r="B1205" s="30" t="s">
        <v>470</v>
      </c>
      <c r="C1205" s="30" t="s">
        <v>1246</v>
      </c>
      <c r="D1205" s="30" t="s">
        <v>684</v>
      </c>
      <c r="E1205" s="30" t="s">
        <v>674</v>
      </c>
      <c r="F1205" s="30" t="s">
        <v>716</v>
      </c>
      <c r="G1205" s="30" t="s">
        <v>744</v>
      </c>
      <c r="H1205" s="30" t="s">
        <v>702</v>
      </c>
      <c r="I1205" s="49" t="s">
        <v>678</v>
      </c>
      <c r="J1205" s="30" t="s">
        <v>745</v>
      </c>
      <c r="K1205" s="30" t="s">
        <v>738</v>
      </c>
      <c r="L1205" s="30" t="s">
        <v>699</v>
      </c>
      <c r="M1205" s="30">
        <v>0.3</v>
      </c>
      <c r="N1205" s="30" t="s">
        <v>1546</v>
      </c>
      <c r="O1205" s="49" t="s">
        <v>665</v>
      </c>
      <c r="P1205" s="49" t="s">
        <v>746</v>
      </c>
      <c r="Q1205" s="52" t="s">
        <v>683</v>
      </c>
      <c r="R1205" s="49" t="s">
        <v>333</v>
      </c>
      <c r="S1205" s="49" t="s">
        <v>684</v>
      </c>
      <c r="T1205" s="49" t="s">
        <v>1821</v>
      </c>
      <c r="U1205" s="52" t="s">
        <v>1824</v>
      </c>
      <c r="V1205" s="50" t="s">
        <v>1826</v>
      </c>
    </row>
    <row r="1206" spans="1:22" x14ac:dyDescent="0.3">
      <c r="A1206" s="31" t="s">
        <v>1343</v>
      </c>
      <c r="B1206" s="32" t="s">
        <v>1344</v>
      </c>
      <c r="C1206" s="32" t="s">
        <v>1345</v>
      </c>
      <c r="D1206" s="32" t="s">
        <v>673</v>
      </c>
      <c r="E1206" s="32" t="s">
        <v>674</v>
      </c>
      <c r="F1206" s="32" t="s">
        <v>675</v>
      </c>
      <c r="G1206" s="32" t="s">
        <v>676</v>
      </c>
      <c r="H1206" s="32" t="s">
        <v>677</v>
      </c>
      <c r="I1206" s="49" t="s">
        <v>678</v>
      </c>
      <c r="J1206" s="32" t="s">
        <v>698</v>
      </c>
      <c r="K1206" s="32" t="s">
        <v>690</v>
      </c>
      <c r="L1206" s="32" t="s">
        <v>681</v>
      </c>
      <c r="M1206" s="32">
        <v>0.5</v>
      </c>
      <c r="N1206" s="32" t="s">
        <v>592</v>
      </c>
      <c r="O1206" s="52" t="s">
        <v>665</v>
      </c>
      <c r="P1206" s="52" t="s">
        <v>746</v>
      </c>
      <c r="Q1206" s="52"/>
      <c r="R1206" s="52" t="s">
        <v>396</v>
      </c>
      <c r="S1206" s="52" t="s">
        <v>673</v>
      </c>
      <c r="T1206" s="52" t="s">
        <v>1821</v>
      </c>
      <c r="U1206" s="52" t="s">
        <v>1824</v>
      </c>
      <c r="V1206" s="53" t="s">
        <v>1826</v>
      </c>
    </row>
    <row r="1207" spans="1:22" x14ac:dyDescent="0.3">
      <c r="A1207" s="48" t="s">
        <v>1818</v>
      </c>
      <c r="B1207" s="49" t="s">
        <v>1818</v>
      </c>
      <c r="C1207" s="49" t="s">
        <v>1818</v>
      </c>
      <c r="D1207" s="49"/>
      <c r="E1207" s="49" t="s">
        <v>1819</v>
      </c>
      <c r="F1207" s="49" t="s">
        <v>1818</v>
      </c>
      <c r="G1207" s="49" t="s">
        <v>1818</v>
      </c>
      <c r="H1207" s="49" t="s">
        <v>1818</v>
      </c>
      <c r="I1207" s="49" t="s">
        <v>1818</v>
      </c>
      <c r="J1207" s="49" t="s">
        <v>1818</v>
      </c>
      <c r="K1207" s="49" t="s">
        <v>1818</v>
      </c>
      <c r="L1207" s="49" t="s">
        <v>1818</v>
      </c>
      <c r="M1207" s="49">
        <v>0</v>
      </c>
      <c r="N1207" s="49" t="s">
        <v>79</v>
      </c>
      <c r="O1207" s="49" t="s">
        <v>665</v>
      </c>
      <c r="P1207" s="49" t="s">
        <v>746</v>
      </c>
      <c r="Q1207" s="49"/>
      <c r="R1207" s="49" t="s">
        <v>760</v>
      </c>
      <c r="S1207" s="49" t="s">
        <v>755</v>
      </c>
      <c r="T1207" s="49" t="s">
        <v>1821</v>
      </c>
      <c r="U1207" s="49" t="s">
        <v>1822</v>
      </c>
      <c r="V1207" s="50" t="s">
        <v>1827</v>
      </c>
    </row>
    <row r="1208" spans="1:22" x14ac:dyDescent="0.3">
      <c r="A1208" s="51" t="s">
        <v>1818</v>
      </c>
      <c r="B1208" s="52" t="s">
        <v>1818</v>
      </c>
      <c r="C1208" s="52" t="s">
        <v>1818</v>
      </c>
      <c r="D1208" s="52"/>
      <c r="E1208" s="52" t="s">
        <v>1819</v>
      </c>
      <c r="F1208" s="52" t="s">
        <v>1818</v>
      </c>
      <c r="G1208" s="52" t="s">
        <v>1818</v>
      </c>
      <c r="H1208" s="52" t="s">
        <v>1818</v>
      </c>
      <c r="I1208" s="52" t="s">
        <v>1818</v>
      </c>
      <c r="J1208" s="52" t="s">
        <v>1818</v>
      </c>
      <c r="K1208" s="52" t="s">
        <v>1818</v>
      </c>
      <c r="L1208" s="52" t="s">
        <v>1818</v>
      </c>
      <c r="M1208" s="52">
        <v>0</v>
      </c>
      <c r="N1208" s="52" t="s">
        <v>306</v>
      </c>
      <c r="O1208" s="52" t="s">
        <v>665</v>
      </c>
      <c r="P1208" s="52" t="s">
        <v>746</v>
      </c>
      <c r="Q1208" s="52"/>
      <c r="R1208" s="52" t="s">
        <v>753</v>
      </c>
      <c r="S1208" s="49" t="s">
        <v>755</v>
      </c>
      <c r="T1208" s="52" t="s">
        <v>1821</v>
      </c>
      <c r="U1208" s="52" t="s">
        <v>1822</v>
      </c>
      <c r="V1208" s="53" t="s">
        <v>1827</v>
      </c>
    </row>
    <row r="1209" spans="1:22" x14ac:dyDescent="0.3">
      <c r="A1209" s="20" t="s">
        <v>1308</v>
      </c>
      <c r="B1209" s="7" t="s">
        <v>154</v>
      </c>
      <c r="C1209" s="7" t="s">
        <v>1309</v>
      </c>
      <c r="D1209" s="32" t="s">
        <v>673</v>
      </c>
      <c r="E1209" s="7"/>
      <c r="F1209" s="32" t="s">
        <v>675</v>
      </c>
      <c r="G1209" s="32" t="s">
        <v>676</v>
      </c>
      <c r="H1209" s="7" t="s">
        <v>702</v>
      </c>
      <c r="I1209" s="7" t="s">
        <v>697</v>
      </c>
      <c r="J1209" s="30" t="s">
        <v>713</v>
      </c>
      <c r="K1209" s="30" t="s">
        <v>690</v>
      </c>
      <c r="L1209" s="32" t="s">
        <v>739</v>
      </c>
      <c r="M1209" s="32">
        <v>0.5</v>
      </c>
      <c r="N1209" s="7" t="s">
        <v>1310</v>
      </c>
      <c r="O1209" s="49" t="s">
        <v>665</v>
      </c>
      <c r="P1209" s="49" t="s">
        <v>746</v>
      </c>
      <c r="Q1209" s="49"/>
      <c r="R1209" s="49" t="s">
        <v>633</v>
      </c>
      <c r="S1209" s="49" t="s">
        <v>755</v>
      </c>
      <c r="T1209" s="49" t="s">
        <v>1821</v>
      </c>
      <c r="U1209" s="52" t="s">
        <v>1824</v>
      </c>
      <c r="V1209" s="50" t="s">
        <v>1826</v>
      </c>
    </row>
    <row r="1210" spans="1:22" x14ac:dyDescent="0.3">
      <c r="A1210" s="51" t="s">
        <v>1818</v>
      </c>
      <c r="B1210" s="52" t="s">
        <v>1818</v>
      </c>
      <c r="C1210" s="52" t="s">
        <v>1818</v>
      </c>
      <c r="D1210" s="52"/>
      <c r="E1210" s="52" t="s">
        <v>1819</v>
      </c>
      <c r="F1210" s="52" t="s">
        <v>1818</v>
      </c>
      <c r="G1210" s="52" t="s">
        <v>1818</v>
      </c>
      <c r="H1210" s="52" t="s">
        <v>1818</v>
      </c>
      <c r="I1210" s="52" t="s">
        <v>1818</v>
      </c>
      <c r="J1210" s="52" t="s">
        <v>1818</v>
      </c>
      <c r="K1210" s="52" t="s">
        <v>1818</v>
      </c>
      <c r="L1210" s="52" t="s">
        <v>1818</v>
      </c>
      <c r="M1210" s="52">
        <v>0</v>
      </c>
      <c r="N1210" s="52" t="s">
        <v>1832</v>
      </c>
      <c r="O1210" s="52" t="s">
        <v>665</v>
      </c>
      <c r="P1210" s="52" t="s">
        <v>746</v>
      </c>
      <c r="Q1210" s="52"/>
      <c r="R1210" s="52" t="s">
        <v>324</v>
      </c>
      <c r="S1210" s="49" t="s">
        <v>684</v>
      </c>
      <c r="T1210" s="52" t="s">
        <v>1821</v>
      </c>
      <c r="U1210" s="52" t="s">
        <v>1822</v>
      </c>
      <c r="V1210" s="53" t="s">
        <v>1825</v>
      </c>
    </row>
    <row r="1211" spans="1:22" x14ac:dyDescent="0.3">
      <c r="A1211" s="29" t="s">
        <v>714</v>
      </c>
      <c r="B1211" s="30" t="s">
        <v>707</v>
      </c>
      <c r="C1211" s="30" t="s">
        <v>715</v>
      </c>
      <c r="D1211" s="30" t="s">
        <v>673</v>
      </c>
      <c r="E1211" s="30" t="s">
        <v>674</v>
      </c>
      <c r="F1211" s="30" t="s">
        <v>716</v>
      </c>
      <c r="G1211" s="30" t="s">
        <v>717</v>
      </c>
      <c r="H1211" s="30" t="s">
        <v>717</v>
      </c>
      <c r="I1211" s="30" t="s">
        <v>717</v>
      </c>
      <c r="J1211" s="30" t="s">
        <v>710</v>
      </c>
      <c r="K1211" s="30" t="s">
        <v>690</v>
      </c>
      <c r="L1211" s="30" t="s">
        <v>699</v>
      </c>
      <c r="M1211" s="30">
        <v>0.3</v>
      </c>
      <c r="N1211" s="30" t="s">
        <v>366</v>
      </c>
      <c r="O1211" s="49" t="s">
        <v>665</v>
      </c>
      <c r="P1211" s="49" t="s">
        <v>711</v>
      </c>
      <c r="Q1211" s="49"/>
      <c r="R1211" s="49" t="s">
        <v>718</v>
      </c>
      <c r="S1211" s="49" t="s">
        <v>719</v>
      </c>
      <c r="T1211" s="49" t="s">
        <v>1821</v>
      </c>
      <c r="U1211" s="52" t="s">
        <v>1824</v>
      </c>
      <c r="V1211" s="50" t="s">
        <v>1826</v>
      </c>
    </row>
    <row r="1212" spans="1:22" x14ac:dyDescent="0.3">
      <c r="A1212" s="31" t="s">
        <v>1065</v>
      </c>
      <c r="B1212" s="32" t="s">
        <v>707</v>
      </c>
      <c r="C1212" s="32" t="s">
        <v>708</v>
      </c>
      <c r="D1212" s="32" t="s">
        <v>755</v>
      </c>
      <c r="E1212" s="32" t="s">
        <v>674</v>
      </c>
      <c r="F1212" s="32" t="s">
        <v>709</v>
      </c>
      <c r="G1212" s="32" t="s">
        <v>709</v>
      </c>
      <c r="H1212" s="32" t="s">
        <v>709</v>
      </c>
      <c r="I1212" s="32" t="s">
        <v>709</v>
      </c>
      <c r="J1212" s="32" t="s">
        <v>774</v>
      </c>
      <c r="K1212" s="32" t="s">
        <v>680</v>
      </c>
      <c r="L1212" s="32" t="s">
        <v>699</v>
      </c>
      <c r="M1212" s="32">
        <v>0.2</v>
      </c>
      <c r="N1212" s="32" t="s">
        <v>274</v>
      </c>
      <c r="O1212" s="52" t="s">
        <v>665</v>
      </c>
      <c r="P1212" s="52" t="s">
        <v>746</v>
      </c>
      <c r="Q1212" s="52"/>
      <c r="R1212" s="52" t="s">
        <v>47</v>
      </c>
      <c r="S1212" s="49" t="s">
        <v>755</v>
      </c>
      <c r="T1212" s="52" t="s">
        <v>1821</v>
      </c>
      <c r="U1212" s="52" t="s">
        <v>1824</v>
      </c>
      <c r="V1212" s="53" t="s">
        <v>1826</v>
      </c>
    </row>
    <row r="1213" spans="1:22" x14ac:dyDescent="0.3">
      <c r="A1213" s="51" t="s">
        <v>1818</v>
      </c>
      <c r="B1213" s="52" t="s">
        <v>1818</v>
      </c>
      <c r="C1213" s="52" t="s">
        <v>1818</v>
      </c>
      <c r="D1213" s="52"/>
      <c r="E1213" s="52" t="s">
        <v>1819</v>
      </c>
      <c r="F1213" s="52" t="s">
        <v>1818</v>
      </c>
      <c r="G1213" s="52" t="s">
        <v>1818</v>
      </c>
      <c r="H1213" s="52" t="s">
        <v>1818</v>
      </c>
      <c r="I1213" s="52" t="s">
        <v>1818</v>
      </c>
      <c r="J1213" s="52" t="s">
        <v>1818</v>
      </c>
      <c r="K1213" s="52" t="s">
        <v>1818</v>
      </c>
      <c r="L1213" s="52" t="s">
        <v>1818</v>
      </c>
      <c r="M1213" s="52">
        <v>0</v>
      </c>
      <c r="N1213" s="52" t="s">
        <v>2405</v>
      </c>
      <c r="O1213" s="52" t="s">
        <v>665</v>
      </c>
      <c r="P1213" s="52" t="s">
        <v>746</v>
      </c>
      <c r="Q1213" s="52"/>
      <c r="R1213" s="52" t="s">
        <v>285</v>
      </c>
      <c r="S1213" s="49" t="s">
        <v>755</v>
      </c>
      <c r="T1213" s="52" t="s">
        <v>1821</v>
      </c>
      <c r="U1213" s="52" t="s">
        <v>1822</v>
      </c>
      <c r="V1213" s="53" t="s">
        <v>1825</v>
      </c>
    </row>
    <row r="1214" spans="1:22" x14ac:dyDescent="0.3">
      <c r="A1214" s="48" t="s">
        <v>1818</v>
      </c>
      <c r="B1214" s="49" t="s">
        <v>1818</v>
      </c>
      <c r="C1214" s="49" t="s">
        <v>1818</v>
      </c>
      <c r="D1214" s="49"/>
      <c r="E1214" s="49" t="s">
        <v>1819</v>
      </c>
      <c r="F1214" s="49" t="s">
        <v>1818</v>
      </c>
      <c r="G1214" s="49" t="s">
        <v>1818</v>
      </c>
      <c r="H1214" s="49" t="s">
        <v>1818</v>
      </c>
      <c r="I1214" s="49" t="s">
        <v>1818</v>
      </c>
      <c r="J1214" s="49" t="s">
        <v>1818</v>
      </c>
      <c r="K1214" s="49" t="s">
        <v>1818</v>
      </c>
      <c r="L1214" s="49" t="s">
        <v>1818</v>
      </c>
      <c r="M1214" s="49">
        <v>0</v>
      </c>
      <c r="N1214" s="49" t="s">
        <v>1830</v>
      </c>
      <c r="O1214" s="49" t="s">
        <v>665</v>
      </c>
      <c r="P1214" s="49" t="s">
        <v>746</v>
      </c>
      <c r="Q1214" s="49"/>
      <c r="R1214" s="49" t="s">
        <v>333</v>
      </c>
      <c r="S1214" s="49" t="s">
        <v>684</v>
      </c>
      <c r="T1214" s="49" t="s">
        <v>1821</v>
      </c>
      <c r="U1214" s="49" t="s">
        <v>1822</v>
      </c>
      <c r="V1214" s="50" t="s">
        <v>1825</v>
      </c>
    </row>
    <row r="1215" spans="1:22" x14ac:dyDescent="0.3">
      <c r="A1215" s="48" t="s">
        <v>1818</v>
      </c>
      <c r="B1215" s="49" t="s">
        <v>1818</v>
      </c>
      <c r="C1215" s="49" t="s">
        <v>1818</v>
      </c>
      <c r="D1215" s="49"/>
      <c r="E1215" s="49" t="s">
        <v>1819</v>
      </c>
      <c r="F1215" s="49" t="s">
        <v>1818</v>
      </c>
      <c r="G1215" s="49" t="s">
        <v>1818</v>
      </c>
      <c r="H1215" s="49" t="s">
        <v>1818</v>
      </c>
      <c r="I1215" s="49" t="s">
        <v>1818</v>
      </c>
      <c r="J1215" s="49" t="s">
        <v>1818</v>
      </c>
      <c r="K1215" s="49" t="s">
        <v>1818</v>
      </c>
      <c r="L1215" s="49" t="s">
        <v>1818</v>
      </c>
      <c r="M1215" s="49">
        <v>0</v>
      </c>
      <c r="N1215" s="49" t="s">
        <v>2406</v>
      </c>
      <c r="O1215" s="49" t="s">
        <v>665</v>
      </c>
      <c r="P1215" s="49" t="s">
        <v>746</v>
      </c>
      <c r="Q1215" s="49"/>
      <c r="R1215" s="49" t="s">
        <v>132</v>
      </c>
      <c r="S1215" s="52" t="s">
        <v>673</v>
      </c>
      <c r="T1215" s="49" t="s">
        <v>1821</v>
      </c>
      <c r="U1215" s="49" t="s">
        <v>1822</v>
      </c>
      <c r="V1215" s="50" t="s">
        <v>1825</v>
      </c>
    </row>
    <row r="1216" spans="1:22" x14ac:dyDescent="0.3">
      <c r="A1216" s="48" t="s">
        <v>1818</v>
      </c>
      <c r="B1216" s="49" t="s">
        <v>1818</v>
      </c>
      <c r="C1216" s="49" t="s">
        <v>1818</v>
      </c>
      <c r="D1216" s="49"/>
      <c r="E1216" s="49" t="s">
        <v>1819</v>
      </c>
      <c r="F1216" s="49" t="s">
        <v>1818</v>
      </c>
      <c r="G1216" s="49" t="s">
        <v>1818</v>
      </c>
      <c r="H1216" s="49" t="s">
        <v>1818</v>
      </c>
      <c r="I1216" s="49" t="s">
        <v>1818</v>
      </c>
      <c r="J1216" s="49" t="s">
        <v>1818</v>
      </c>
      <c r="K1216" s="49" t="s">
        <v>1818</v>
      </c>
      <c r="L1216" s="49" t="s">
        <v>1818</v>
      </c>
      <c r="M1216" s="49">
        <v>0</v>
      </c>
      <c r="N1216" s="49" t="s">
        <v>1837</v>
      </c>
      <c r="O1216" s="49" t="s">
        <v>665</v>
      </c>
      <c r="P1216" s="49" t="s">
        <v>746</v>
      </c>
      <c r="Q1216" s="49"/>
      <c r="R1216" s="49" t="s">
        <v>470</v>
      </c>
      <c r="S1216" s="49" t="s">
        <v>684</v>
      </c>
      <c r="T1216" s="49" t="s">
        <v>1821</v>
      </c>
      <c r="U1216" s="49" t="s">
        <v>1822</v>
      </c>
      <c r="V1216" s="50" t="s">
        <v>1825</v>
      </c>
    </row>
    <row r="1217" spans="1:22" x14ac:dyDescent="0.3">
      <c r="A1217" s="29" t="s">
        <v>1505</v>
      </c>
      <c r="B1217" s="30" t="s">
        <v>544</v>
      </c>
      <c r="C1217" s="30" t="s">
        <v>1499</v>
      </c>
      <c r="D1217" s="30" t="s">
        <v>684</v>
      </c>
      <c r="E1217" s="30" t="s">
        <v>674</v>
      </c>
      <c r="F1217" s="30" t="s">
        <v>716</v>
      </c>
      <c r="G1217" s="30" t="s">
        <v>717</v>
      </c>
      <c r="H1217" s="30" t="s">
        <v>717</v>
      </c>
      <c r="I1217" s="30" t="s">
        <v>736</v>
      </c>
      <c r="J1217" s="30" t="s">
        <v>737</v>
      </c>
      <c r="K1217" s="30" t="s">
        <v>738</v>
      </c>
      <c r="L1217" s="30" t="s">
        <v>699</v>
      </c>
      <c r="M1217" s="30">
        <v>0.5</v>
      </c>
      <c r="N1217" s="52" t="s">
        <v>2139</v>
      </c>
      <c r="O1217" s="52" t="s">
        <v>665</v>
      </c>
      <c r="P1217" s="52" t="s">
        <v>746</v>
      </c>
      <c r="Q1217" s="52" t="s">
        <v>683</v>
      </c>
      <c r="R1217" s="52" t="s">
        <v>89</v>
      </c>
      <c r="S1217" s="49" t="s">
        <v>684</v>
      </c>
      <c r="T1217" s="52" t="s">
        <v>1821</v>
      </c>
      <c r="U1217" s="52" t="s">
        <v>1824</v>
      </c>
      <c r="V1217" s="53" t="s">
        <v>1826</v>
      </c>
    </row>
    <row r="1218" spans="1:22" x14ac:dyDescent="0.3">
      <c r="A1218" s="20" t="s">
        <v>2452</v>
      </c>
      <c r="B1218" s="7" t="s">
        <v>43</v>
      </c>
      <c r="C1218" s="30" t="s">
        <v>773</v>
      </c>
      <c r="D1218" s="30" t="s">
        <v>684</v>
      </c>
      <c r="E1218" s="7"/>
      <c r="F1218" s="30" t="s">
        <v>773</v>
      </c>
      <c r="G1218" s="30" t="s">
        <v>773</v>
      </c>
      <c r="H1218" s="30" t="s">
        <v>773</v>
      </c>
      <c r="I1218" s="30" t="s">
        <v>773</v>
      </c>
      <c r="J1218" s="7" t="s">
        <v>1551</v>
      </c>
      <c r="K1218" s="7" t="s">
        <v>738</v>
      </c>
      <c r="L1218" s="30" t="s">
        <v>699</v>
      </c>
      <c r="M1218" s="32">
        <v>0.5</v>
      </c>
      <c r="N1218" s="52" t="s">
        <v>1831</v>
      </c>
      <c r="O1218" s="52" t="s">
        <v>665</v>
      </c>
      <c r="P1218" s="52" t="s">
        <v>746</v>
      </c>
      <c r="Q1218" s="52"/>
      <c r="R1218" s="52" t="s">
        <v>89</v>
      </c>
      <c r="S1218" s="49" t="s">
        <v>684</v>
      </c>
      <c r="T1218" s="52" t="s">
        <v>1821</v>
      </c>
      <c r="U1218" s="52" t="s">
        <v>1824</v>
      </c>
      <c r="V1218" s="53" t="s">
        <v>1826</v>
      </c>
    </row>
    <row r="1219" spans="1:22" x14ac:dyDescent="0.3">
      <c r="A1219" s="48" t="s">
        <v>1818</v>
      </c>
      <c r="B1219" s="49" t="s">
        <v>1818</v>
      </c>
      <c r="C1219" s="49" t="s">
        <v>1818</v>
      </c>
      <c r="D1219" s="49"/>
      <c r="E1219" s="49" t="s">
        <v>1819</v>
      </c>
      <c r="F1219" s="49" t="s">
        <v>1818</v>
      </c>
      <c r="G1219" s="49" t="s">
        <v>1818</v>
      </c>
      <c r="H1219" s="49" t="s">
        <v>1818</v>
      </c>
      <c r="I1219" s="49" t="s">
        <v>1818</v>
      </c>
      <c r="J1219" s="49" t="s">
        <v>1818</v>
      </c>
      <c r="K1219" s="49" t="s">
        <v>1818</v>
      </c>
      <c r="L1219" s="49" t="s">
        <v>1818</v>
      </c>
      <c r="M1219" s="49">
        <v>0</v>
      </c>
      <c r="N1219" s="49" t="s">
        <v>1833</v>
      </c>
      <c r="O1219" s="49" t="s">
        <v>665</v>
      </c>
      <c r="P1219" s="49" t="s">
        <v>746</v>
      </c>
      <c r="Q1219" s="49"/>
      <c r="R1219" s="49" t="s">
        <v>48</v>
      </c>
      <c r="S1219" s="49" t="s">
        <v>684</v>
      </c>
      <c r="T1219" s="49" t="s">
        <v>1821</v>
      </c>
      <c r="U1219" s="49" t="s">
        <v>1822</v>
      </c>
      <c r="V1219" s="53" t="s">
        <v>1827</v>
      </c>
    </row>
    <row r="1220" spans="1:22" x14ac:dyDescent="0.3">
      <c r="A1220" s="51" t="s">
        <v>1818</v>
      </c>
      <c r="B1220" s="52" t="s">
        <v>1818</v>
      </c>
      <c r="C1220" s="52" t="s">
        <v>1818</v>
      </c>
      <c r="D1220" s="52"/>
      <c r="E1220" s="52" t="s">
        <v>1819</v>
      </c>
      <c r="F1220" s="52" t="s">
        <v>1818</v>
      </c>
      <c r="G1220" s="52" t="s">
        <v>1818</v>
      </c>
      <c r="H1220" s="52" t="s">
        <v>1818</v>
      </c>
      <c r="I1220" s="52" t="s">
        <v>1818</v>
      </c>
      <c r="J1220" s="52" t="s">
        <v>1818</v>
      </c>
      <c r="K1220" s="52" t="s">
        <v>1818</v>
      </c>
      <c r="L1220" s="52" t="s">
        <v>1818</v>
      </c>
      <c r="M1220" s="52">
        <v>0</v>
      </c>
      <c r="N1220" s="52" t="s">
        <v>2407</v>
      </c>
      <c r="O1220" s="52" t="s">
        <v>665</v>
      </c>
      <c r="P1220" s="52" t="s">
        <v>746</v>
      </c>
      <c r="Q1220" s="52"/>
      <c r="R1220" s="52" t="s">
        <v>516</v>
      </c>
      <c r="S1220" s="49" t="s">
        <v>684</v>
      </c>
      <c r="T1220" s="52" t="s">
        <v>1821</v>
      </c>
      <c r="U1220" s="52" t="s">
        <v>1822</v>
      </c>
      <c r="V1220" s="53" t="s">
        <v>1825</v>
      </c>
    </row>
    <row r="1221" spans="1:22" x14ac:dyDescent="0.3">
      <c r="A1221" s="29" t="s">
        <v>1402</v>
      </c>
      <c r="B1221" s="30" t="s">
        <v>1403</v>
      </c>
      <c r="C1221" s="30" t="s">
        <v>773</v>
      </c>
      <c r="D1221" s="30" t="s">
        <v>684</v>
      </c>
      <c r="E1221" s="30" t="s">
        <v>674</v>
      </c>
      <c r="F1221" s="30" t="s">
        <v>773</v>
      </c>
      <c r="G1221" s="30" t="s">
        <v>773</v>
      </c>
      <c r="H1221" s="30" t="s">
        <v>773</v>
      </c>
      <c r="I1221" s="30" t="s">
        <v>773</v>
      </c>
      <c r="J1221" s="30" t="s">
        <v>745</v>
      </c>
      <c r="K1221" s="30" t="s">
        <v>738</v>
      </c>
      <c r="L1221" s="30" t="s">
        <v>699</v>
      </c>
      <c r="M1221" s="30">
        <v>1</v>
      </c>
      <c r="N1221" s="52" t="s">
        <v>1845</v>
      </c>
      <c r="O1221" s="52" t="s">
        <v>665</v>
      </c>
      <c r="P1221" s="52" t="s">
        <v>746</v>
      </c>
      <c r="Q1221" s="52"/>
      <c r="R1221" s="52" t="s">
        <v>324</v>
      </c>
      <c r="S1221" s="49" t="s">
        <v>684</v>
      </c>
      <c r="T1221" s="52" t="s">
        <v>1821</v>
      </c>
      <c r="U1221" s="52" t="s">
        <v>1824</v>
      </c>
      <c r="V1221" s="53" t="s">
        <v>1826</v>
      </c>
    </row>
    <row r="1222" spans="1:22" x14ac:dyDescent="0.3">
      <c r="A1222" s="51" t="s">
        <v>1818</v>
      </c>
      <c r="B1222" s="52" t="s">
        <v>1818</v>
      </c>
      <c r="C1222" s="52" t="s">
        <v>1818</v>
      </c>
      <c r="D1222" s="52"/>
      <c r="E1222" s="52" t="s">
        <v>1819</v>
      </c>
      <c r="F1222" s="52" t="s">
        <v>1818</v>
      </c>
      <c r="G1222" s="52" t="s">
        <v>1818</v>
      </c>
      <c r="H1222" s="52" t="s">
        <v>1818</v>
      </c>
      <c r="I1222" s="52" t="s">
        <v>1818</v>
      </c>
      <c r="J1222" s="52" t="s">
        <v>1818</v>
      </c>
      <c r="K1222" s="52" t="s">
        <v>1818</v>
      </c>
      <c r="L1222" s="52" t="s">
        <v>1818</v>
      </c>
      <c r="M1222" s="52">
        <v>0</v>
      </c>
      <c r="N1222" s="52" t="s">
        <v>1839</v>
      </c>
      <c r="O1222" s="52" t="s">
        <v>665</v>
      </c>
      <c r="P1222" s="52" t="s">
        <v>746</v>
      </c>
      <c r="Q1222" s="52"/>
      <c r="R1222" s="52" t="s">
        <v>375</v>
      </c>
      <c r="S1222" s="49" t="s">
        <v>684</v>
      </c>
      <c r="T1222" s="52" t="s">
        <v>1821</v>
      </c>
      <c r="U1222" s="52" t="s">
        <v>1822</v>
      </c>
      <c r="V1222" s="53" t="s">
        <v>1825</v>
      </c>
    </row>
    <row r="1223" spans="1:22" x14ac:dyDescent="0.3">
      <c r="A1223" s="48" t="s">
        <v>1818</v>
      </c>
      <c r="B1223" s="49" t="s">
        <v>1818</v>
      </c>
      <c r="C1223" s="49" t="s">
        <v>1818</v>
      </c>
      <c r="D1223" s="49"/>
      <c r="E1223" s="49" t="s">
        <v>1819</v>
      </c>
      <c r="F1223" s="49" t="s">
        <v>1818</v>
      </c>
      <c r="G1223" s="49" t="s">
        <v>1818</v>
      </c>
      <c r="H1223" s="49" t="s">
        <v>1818</v>
      </c>
      <c r="I1223" s="49" t="s">
        <v>1818</v>
      </c>
      <c r="J1223" s="49" t="s">
        <v>1818</v>
      </c>
      <c r="K1223" s="49" t="s">
        <v>1818</v>
      </c>
      <c r="L1223" s="49" t="s">
        <v>1818</v>
      </c>
      <c r="M1223" s="49">
        <v>0</v>
      </c>
      <c r="N1223" s="49" t="s">
        <v>1847</v>
      </c>
      <c r="O1223" s="49" t="s">
        <v>665</v>
      </c>
      <c r="P1223" s="49" t="s">
        <v>746</v>
      </c>
      <c r="Q1223" s="49"/>
      <c r="R1223" s="49" t="s">
        <v>470</v>
      </c>
      <c r="S1223" s="49" t="s">
        <v>684</v>
      </c>
      <c r="T1223" s="49" t="s">
        <v>1821</v>
      </c>
      <c r="U1223" s="49" t="s">
        <v>1822</v>
      </c>
      <c r="V1223" s="50" t="s">
        <v>1825</v>
      </c>
    </row>
    <row r="1224" spans="1:22" x14ac:dyDescent="0.3">
      <c r="A1224" s="51" t="s">
        <v>1818</v>
      </c>
      <c r="B1224" s="52" t="s">
        <v>1818</v>
      </c>
      <c r="C1224" s="52" t="s">
        <v>1818</v>
      </c>
      <c r="D1224" s="52"/>
      <c r="E1224" s="52" t="s">
        <v>1819</v>
      </c>
      <c r="F1224" s="52" t="s">
        <v>1818</v>
      </c>
      <c r="G1224" s="52" t="s">
        <v>1818</v>
      </c>
      <c r="H1224" s="52" t="s">
        <v>1818</v>
      </c>
      <c r="I1224" s="52" t="s">
        <v>1818</v>
      </c>
      <c r="J1224" s="52" t="s">
        <v>1818</v>
      </c>
      <c r="K1224" s="52" t="s">
        <v>1818</v>
      </c>
      <c r="L1224" s="52" t="s">
        <v>1818</v>
      </c>
      <c r="M1224" s="52">
        <v>0</v>
      </c>
      <c r="N1224" s="52" t="s">
        <v>1829</v>
      </c>
      <c r="O1224" s="52" t="s">
        <v>665</v>
      </c>
      <c r="P1224" s="52" t="s">
        <v>746</v>
      </c>
      <c r="Q1224" s="52"/>
      <c r="R1224" s="52" t="s">
        <v>470</v>
      </c>
      <c r="S1224" s="49" t="s">
        <v>684</v>
      </c>
      <c r="T1224" s="52" t="s">
        <v>1821</v>
      </c>
      <c r="U1224" s="52" t="s">
        <v>1822</v>
      </c>
      <c r="V1224" s="53" t="s">
        <v>1825</v>
      </c>
    </row>
    <row r="1225" spans="1:22" x14ac:dyDescent="0.3">
      <c r="A1225" s="48" t="s">
        <v>1818</v>
      </c>
      <c r="B1225" s="49" t="s">
        <v>1818</v>
      </c>
      <c r="C1225" s="49" t="s">
        <v>1818</v>
      </c>
      <c r="D1225" s="49"/>
      <c r="E1225" s="49" t="s">
        <v>1819</v>
      </c>
      <c r="F1225" s="49" t="s">
        <v>1818</v>
      </c>
      <c r="G1225" s="49" t="s">
        <v>1818</v>
      </c>
      <c r="H1225" s="49" t="s">
        <v>1818</v>
      </c>
      <c r="I1225" s="49" t="s">
        <v>1818</v>
      </c>
      <c r="J1225" s="49" t="s">
        <v>1818</v>
      </c>
      <c r="K1225" s="49" t="s">
        <v>1818</v>
      </c>
      <c r="L1225" s="49" t="s">
        <v>1818</v>
      </c>
      <c r="M1225" s="49">
        <v>0</v>
      </c>
      <c r="N1225" s="49" t="s">
        <v>1838</v>
      </c>
      <c r="O1225" s="49" t="s">
        <v>665</v>
      </c>
      <c r="P1225" s="49" t="s">
        <v>746</v>
      </c>
      <c r="Q1225" s="49"/>
      <c r="R1225" s="49" t="s">
        <v>470</v>
      </c>
      <c r="S1225" s="49" t="s">
        <v>684</v>
      </c>
      <c r="T1225" s="49" t="s">
        <v>1821</v>
      </c>
      <c r="U1225" s="49" t="s">
        <v>1822</v>
      </c>
      <c r="V1225" s="50" t="s">
        <v>1825</v>
      </c>
    </row>
    <row r="1226" spans="1:22" x14ac:dyDescent="0.3">
      <c r="A1226" s="51" t="s">
        <v>1818</v>
      </c>
      <c r="B1226" s="52" t="s">
        <v>1818</v>
      </c>
      <c r="C1226" s="52" t="s">
        <v>1818</v>
      </c>
      <c r="D1226" s="52"/>
      <c r="E1226" s="52" t="s">
        <v>1819</v>
      </c>
      <c r="F1226" s="52" t="s">
        <v>1818</v>
      </c>
      <c r="G1226" s="52" t="s">
        <v>1818</v>
      </c>
      <c r="H1226" s="52" t="s">
        <v>1818</v>
      </c>
      <c r="I1226" s="52" t="s">
        <v>1818</v>
      </c>
      <c r="J1226" s="52" t="s">
        <v>1818</v>
      </c>
      <c r="K1226" s="52" t="s">
        <v>1818</v>
      </c>
      <c r="L1226" s="52" t="s">
        <v>1818</v>
      </c>
      <c r="M1226" s="52">
        <v>0</v>
      </c>
      <c r="N1226" s="52" t="s">
        <v>1842</v>
      </c>
      <c r="O1226" s="52" t="s">
        <v>665</v>
      </c>
      <c r="P1226" s="52" t="s">
        <v>746</v>
      </c>
      <c r="Q1226" s="52"/>
      <c r="R1226" s="52" t="s">
        <v>449</v>
      </c>
      <c r="S1226" s="49" t="s">
        <v>684</v>
      </c>
      <c r="T1226" s="52" t="s">
        <v>1821</v>
      </c>
      <c r="U1226" s="52" t="s">
        <v>1822</v>
      </c>
      <c r="V1226" s="53" t="s">
        <v>1825</v>
      </c>
    </row>
    <row r="1227" spans="1:22" x14ac:dyDescent="0.3">
      <c r="A1227" s="29" t="s">
        <v>1402</v>
      </c>
      <c r="B1227" s="30" t="s">
        <v>1403</v>
      </c>
      <c r="C1227" s="30" t="s">
        <v>773</v>
      </c>
      <c r="D1227" s="30" t="s">
        <v>684</v>
      </c>
      <c r="E1227" s="30" t="s">
        <v>674</v>
      </c>
      <c r="F1227" s="30" t="s">
        <v>773</v>
      </c>
      <c r="G1227" s="30" t="s">
        <v>773</v>
      </c>
      <c r="H1227" s="30" t="s">
        <v>773</v>
      </c>
      <c r="I1227" s="30" t="s">
        <v>773</v>
      </c>
      <c r="J1227" s="30" t="s">
        <v>745</v>
      </c>
      <c r="K1227" s="30" t="s">
        <v>738</v>
      </c>
      <c r="L1227" s="30" t="s">
        <v>699</v>
      </c>
      <c r="M1227" s="30">
        <v>1</v>
      </c>
      <c r="N1227" s="52" t="s">
        <v>1836</v>
      </c>
      <c r="O1227" s="52" t="s">
        <v>665</v>
      </c>
      <c r="P1227" s="52" t="s">
        <v>746</v>
      </c>
      <c r="Q1227" s="52"/>
      <c r="R1227" s="52" t="s">
        <v>324</v>
      </c>
      <c r="S1227" s="49" t="s">
        <v>684</v>
      </c>
      <c r="T1227" s="52" t="s">
        <v>1821</v>
      </c>
      <c r="U1227" s="52" t="s">
        <v>1824</v>
      </c>
      <c r="V1227" s="53" t="s">
        <v>1826</v>
      </c>
    </row>
    <row r="1228" spans="1:22" x14ac:dyDescent="0.3">
      <c r="A1228" s="31" t="s">
        <v>1238</v>
      </c>
      <c r="B1228" s="32" t="s">
        <v>1239</v>
      </c>
      <c r="C1228" s="32" t="s">
        <v>1240</v>
      </c>
      <c r="D1228" s="32" t="s">
        <v>684</v>
      </c>
      <c r="E1228" s="32" t="s">
        <v>674</v>
      </c>
      <c r="F1228" s="32" t="s">
        <v>675</v>
      </c>
      <c r="G1228" s="32" t="s">
        <v>676</v>
      </c>
      <c r="H1228" s="32" t="s">
        <v>677</v>
      </c>
      <c r="I1228" s="49" t="s">
        <v>688</v>
      </c>
      <c r="J1228" s="32" t="s">
        <v>860</v>
      </c>
      <c r="K1228" s="32" t="s">
        <v>861</v>
      </c>
      <c r="L1228" s="32" t="s">
        <v>691</v>
      </c>
      <c r="M1228" s="32">
        <v>0.5</v>
      </c>
      <c r="N1228" s="52" t="s">
        <v>2188</v>
      </c>
      <c r="O1228" s="49" t="s">
        <v>767</v>
      </c>
      <c r="P1228" s="52" t="s">
        <v>746</v>
      </c>
      <c r="Q1228" s="49" t="s">
        <v>683</v>
      </c>
      <c r="R1228" s="49" t="s">
        <v>1242</v>
      </c>
      <c r="S1228" s="52" t="s">
        <v>673</v>
      </c>
      <c r="T1228" s="49" t="s">
        <v>1821</v>
      </c>
      <c r="U1228" s="52" t="s">
        <v>1824</v>
      </c>
      <c r="V1228" s="50" t="s">
        <v>1823</v>
      </c>
    </row>
    <row r="1229" spans="1:22" x14ac:dyDescent="0.3">
      <c r="A1229" s="29" t="s">
        <v>949</v>
      </c>
      <c r="B1229" s="30" t="s">
        <v>707</v>
      </c>
      <c r="C1229" s="30" t="s">
        <v>715</v>
      </c>
      <c r="D1229" s="30" t="s">
        <v>755</v>
      </c>
      <c r="E1229" s="30" t="s">
        <v>674</v>
      </c>
      <c r="F1229" s="30" t="s">
        <v>716</v>
      </c>
      <c r="G1229" s="30" t="s">
        <v>717</v>
      </c>
      <c r="H1229" s="30" t="s">
        <v>717</v>
      </c>
      <c r="I1229" s="30" t="s">
        <v>717</v>
      </c>
      <c r="J1229" s="30" t="s">
        <v>950</v>
      </c>
      <c r="K1229" s="30" t="s">
        <v>680</v>
      </c>
      <c r="L1229" s="30" t="s">
        <v>699</v>
      </c>
      <c r="M1229" s="30">
        <v>0.35</v>
      </c>
      <c r="N1229" s="52" t="s">
        <v>290</v>
      </c>
      <c r="O1229" s="52" t="s">
        <v>665</v>
      </c>
      <c r="P1229" s="52" t="s">
        <v>746</v>
      </c>
      <c r="Q1229" s="52" t="s">
        <v>683</v>
      </c>
      <c r="R1229" s="52" t="s">
        <v>1211</v>
      </c>
      <c r="S1229" s="49" t="s">
        <v>755</v>
      </c>
      <c r="T1229" s="52" t="s">
        <v>1821</v>
      </c>
      <c r="U1229" s="52" t="s">
        <v>1824</v>
      </c>
      <c r="V1229" s="53" t="s">
        <v>1823</v>
      </c>
    </row>
    <row r="1230" spans="1:22" x14ac:dyDescent="0.3">
      <c r="A1230" s="20" t="s">
        <v>1308</v>
      </c>
      <c r="B1230" s="7" t="s">
        <v>154</v>
      </c>
      <c r="C1230" s="7" t="s">
        <v>1309</v>
      </c>
      <c r="D1230" s="32" t="s">
        <v>673</v>
      </c>
      <c r="E1230" s="7"/>
      <c r="F1230" s="32" t="s">
        <v>675</v>
      </c>
      <c r="G1230" s="32" t="s">
        <v>676</v>
      </c>
      <c r="H1230" s="7" t="s">
        <v>702</v>
      </c>
      <c r="I1230" s="7" t="s">
        <v>697</v>
      </c>
      <c r="J1230" s="30" t="s">
        <v>713</v>
      </c>
      <c r="K1230" s="30" t="s">
        <v>690</v>
      </c>
      <c r="L1230" s="32" t="s">
        <v>739</v>
      </c>
      <c r="M1230" s="32">
        <v>0.5</v>
      </c>
      <c r="N1230" s="52" t="s">
        <v>1316</v>
      </c>
      <c r="O1230" s="52" t="s">
        <v>767</v>
      </c>
      <c r="P1230" s="52" t="s">
        <v>746</v>
      </c>
      <c r="Q1230" s="52"/>
      <c r="R1230" s="52" t="s">
        <v>633</v>
      </c>
      <c r="S1230" s="49" t="s">
        <v>755</v>
      </c>
      <c r="T1230" s="52" t="s">
        <v>1821</v>
      </c>
      <c r="U1230" s="52" t="s">
        <v>1824</v>
      </c>
      <c r="V1230" s="53" t="s">
        <v>1823</v>
      </c>
    </row>
    <row r="1231" spans="1:22" x14ac:dyDescent="0.3">
      <c r="A1231" s="48" t="s">
        <v>1818</v>
      </c>
      <c r="B1231" s="49" t="s">
        <v>1818</v>
      </c>
      <c r="C1231" s="49" t="s">
        <v>1818</v>
      </c>
      <c r="D1231" s="49"/>
      <c r="E1231" s="49" t="s">
        <v>1819</v>
      </c>
      <c r="F1231" s="49" t="s">
        <v>1818</v>
      </c>
      <c r="G1231" s="49" t="s">
        <v>1818</v>
      </c>
      <c r="H1231" s="49" t="s">
        <v>1818</v>
      </c>
      <c r="I1231" s="49" t="s">
        <v>1818</v>
      </c>
      <c r="J1231" s="49" t="s">
        <v>1818</v>
      </c>
      <c r="K1231" s="49" t="s">
        <v>1818</v>
      </c>
      <c r="L1231" s="49" t="s">
        <v>1818</v>
      </c>
      <c r="M1231" s="49">
        <v>0</v>
      </c>
      <c r="N1231" s="49" t="s">
        <v>1843</v>
      </c>
      <c r="O1231" s="49" t="s">
        <v>767</v>
      </c>
      <c r="P1231" s="52" t="s">
        <v>746</v>
      </c>
      <c r="Q1231" s="49"/>
      <c r="R1231" s="49" t="s">
        <v>258</v>
      </c>
      <c r="S1231" s="52" t="s">
        <v>673</v>
      </c>
      <c r="T1231" s="49" t="s">
        <v>1821</v>
      </c>
      <c r="U1231" s="49" t="s">
        <v>1822</v>
      </c>
      <c r="V1231" s="50" t="s">
        <v>1844</v>
      </c>
    </row>
    <row r="1232" spans="1:22" x14ac:dyDescent="0.3">
      <c r="A1232" s="31" t="s">
        <v>1172</v>
      </c>
      <c r="B1232" s="32" t="s">
        <v>753</v>
      </c>
      <c r="C1232" s="32" t="s">
        <v>1173</v>
      </c>
      <c r="D1232" s="32" t="s">
        <v>755</v>
      </c>
      <c r="E1232" s="32" t="s">
        <v>674</v>
      </c>
      <c r="F1232" s="32" t="s">
        <v>716</v>
      </c>
      <c r="G1232" s="32" t="s">
        <v>744</v>
      </c>
      <c r="H1232" s="32" t="s">
        <v>677</v>
      </c>
      <c r="I1232" s="49" t="s">
        <v>678</v>
      </c>
      <c r="J1232" s="32" t="s">
        <v>679</v>
      </c>
      <c r="K1232" s="32" t="s">
        <v>680</v>
      </c>
      <c r="L1232" s="32" t="s">
        <v>766</v>
      </c>
      <c r="M1232" s="32">
        <v>1</v>
      </c>
      <c r="N1232" s="52" t="s">
        <v>2261</v>
      </c>
      <c r="O1232" s="52" t="s">
        <v>767</v>
      </c>
      <c r="P1232" s="52" t="s">
        <v>746</v>
      </c>
      <c r="Q1232" s="49" t="s">
        <v>683</v>
      </c>
      <c r="R1232" s="52" t="s">
        <v>34</v>
      </c>
      <c r="S1232" s="49" t="s">
        <v>755</v>
      </c>
      <c r="T1232" s="52" t="s">
        <v>1821</v>
      </c>
      <c r="U1232" s="52" t="s">
        <v>1824</v>
      </c>
      <c r="V1232" s="53" t="s">
        <v>1823</v>
      </c>
    </row>
    <row r="1233" spans="1:22" x14ac:dyDescent="0.3">
      <c r="A1233" s="29" t="s">
        <v>1402</v>
      </c>
      <c r="B1233" s="30" t="s">
        <v>1403</v>
      </c>
      <c r="C1233" s="30" t="s">
        <v>773</v>
      </c>
      <c r="D1233" s="30" t="s">
        <v>684</v>
      </c>
      <c r="E1233" s="30" t="s">
        <v>674</v>
      </c>
      <c r="F1233" s="30" t="s">
        <v>773</v>
      </c>
      <c r="G1233" s="30" t="s">
        <v>773</v>
      </c>
      <c r="H1233" s="30" t="s">
        <v>773</v>
      </c>
      <c r="I1233" s="30" t="s">
        <v>773</v>
      </c>
      <c r="J1233" s="30" t="s">
        <v>745</v>
      </c>
      <c r="K1233" s="30" t="s">
        <v>738</v>
      </c>
      <c r="L1233" s="30" t="s">
        <v>699</v>
      </c>
      <c r="M1233" s="30">
        <v>1</v>
      </c>
      <c r="N1233" s="7" t="s">
        <v>2408</v>
      </c>
      <c r="O1233" s="49" t="s">
        <v>767</v>
      </c>
      <c r="P1233" s="52" t="s">
        <v>746</v>
      </c>
      <c r="Q1233" s="49"/>
      <c r="R1233" s="49" t="s">
        <v>375</v>
      </c>
      <c r="S1233" s="49" t="s">
        <v>684</v>
      </c>
      <c r="T1233" s="49" t="s">
        <v>1821</v>
      </c>
      <c r="U1233" s="52" t="s">
        <v>1824</v>
      </c>
      <c r="V1233" s="50" t="s">
        <v>1823</v>
      </c>
    </row>
    <row r="1234" spans="1:22" x14ac:dyDescent="0.3">
      <c r="A1234" s="51" t="s">
        <v>1818</v>
      </c>
      <c r="B1234" s="52" t="s">
        <v>1818</v>
      </c>
      <c r="C1234" s="52" t="s">
        <v>1818</v>
      </c>
      <c r="D1234" s="52"/>
      <c r="E1234" s="52" t="s">
        <v>1819</v>
      </c>
      <c r="F1234" s="52" t="s">
        <v>1818</v>
      </c>
      <c r="G1234" s="52" t="s">
        <v>1818</v>
      </c>
      <c r="H1234" s="52" t="s">
        <v>1818</v>
      </c>
      <c r="I1234" s="52" t="s">
        <v>1818</v>
      </c>
      <c r="J1234" s="52" t="s">
        <v>1818</v>
      </c>
      <c r="K1234" s="52" t="s">
        <v>1818</v>
      </c>
      <c r="L1234" s="52" t="s">
        <v>1818</v>
      </c>
      <c r="M1234" s="52">
        <v>0</v>
      </c>
      <c r="N1234" s="54" t="s">
        <v>2409</v>
      </c>
      <c r="O1234" s="52" t="s">
        <v>767</v>
      </c>
      <c r="P1234" s="52" t="s">
        <v>746</v>
      </c>
      <c r="Q1234" s="52"/>
      <c r="R1234" s="52" t="s">
        <v>2410</v>
      </c>
      <c r="S1234" s="49" t="s">
        <v>684</v>
      </c>
      <c r="T1234" s="52" t="s">
        <v>1821</v>
      </c>
      <c r="U1234" s="52" t="s">
        <v>1822</v>
      </c>
      <c r="V1234" s="53" t="s">
        <v>2135</v>
      </c>
    </row>
    <row r="1235" spans="1:22" x14ac:dyDescent="0.3">
      <c r="A1235" s="48" t="s">
        <v>1818</v>
      </c>
      <c r="B1235" s="49" t="s">
        <v>1818</v>
      </c>
      <c r="C1235" s="49" t="s">
        <v>1818</v>
      </c>
      <c r="D1235" s="49"/>
      <c r="E1235" s="49" t="s">
        <v>1819</v>
      </c>
      <c r="F1235" s="49" t="s">
        <v>1818</v>
      </c>
      <c r="G1235" s="49" t="s">
        <v>1818</v>
      </c>
      <c r="H1235" s="49" t="s">
        <v>1818</v>
      </c>
      <c r="I1235" s="49" t="s">
        <v>1818</v>
      </c>
      <c r="J1235" s="49" t="s">
        <v>1818</v>
      </c>
      <c r="K1235" s="49" t="s">
        <v>1818</v>
      </c>
      <c r="L1235" s="49" t="s">
        <v>1818</v>
      </c>
      <c r="M1235" s="49">
        <v>0</v>
      </c>
      <c r="N1235" s="55" t="s">
        <v>2411</v>
      </c>
      <c r="O1235" s="49" t="s">
        <v>767</v>
      </c>
      <c r="P1235" s="52" t="s">
        <v>746</v>
      </c>
      <c r="Q1235" s="49"/>
      <c r="R1235" s="49" t="s">
        <v>470</v>
      </c>
      <c r="S1235" s="49" t="s">
        <v>684</v>
      </c>
      <c r="T1235" s="49" t="s">
        <v>1821</v>
      </c>
      <c r="U1235" s="49" t="s">
        <v>1822</v>
      </c>
      <c r="V1235" s="53" t="s">
        <v>2135</v>
      </c>
    </row>
    <row r="1236" spans="1:22" x14ac:dyDescent="0.3">
      <c r="A1236" s="51" t="s">
        <v>1818</v>
      </c>
      <c r="B1236" s="52" t="s">
        <v>1818</v>
      </c>
      <c r="C1236" s="52" t="s">
        <v>1818</v>
      </c>
      <c r="D1236" s="52"/>
      <c r="E1236" s="52" t="s">
        <v>1819</v>
      </c>
      <c r="F1236" s="52" t="s">
        <v>1818</v>
      </c>
      <c r="G1236" s="52" t="s">
        <v>1818</v>
      </c>
      <c r="H1236" s="52" t="s">
        <v>1818</v>
      </c>
      <c r="I1236" s="52" t="s">
        <v>1818</v>
      </c>
      <c r="J1236" s="52" t="s">
        <v>1818</v>
      </c>
      <c r="K1236" s="52" t="s">
        <v>1818</v>
      </c>
      <c r="L1236" s="52" t="s">
        <v>1818</v>
      </c>
      <c r="M1236" s="52">
        <v>0</v>
      </c>
      <c r="N1236" s="54" t="s">
        <v>2412</v>
      </c>
      <c r="O1236" s="52" t="s">
        <v>767</v>
      </c>
      <c r="P1236" s="52" t="s">
        <v>746</v>
      </c>
      <c r="Q1236" s="52"/>
      <c r="R1236" s="52" t="s">
        <v>470</v>
      </c>
      <c r="S1236" s="49" t="s">
        <v>684</v>
      </c>
      <c r="T1236" s="52" t="s">
        <v>1821</v>
      </c>
      <c r="U1236" s="52" t="s">
        <v>1822</v>
      </c>
      <c r="V1236" s="53" t="s">
        <v>2135</v>
      </c>
    </row>
    <row r="1237" spans="1:22" x14ac:dyDescent="0.3">
      <c r="A1237" s="48" t="s">
        <v>1818</v>
      </c>
      <c r="B1237" s="49" t="s">
        <v>1818</v>
      </c>
      <c r="C1237" s="49" t="s">
        <v>1818</v>
      </c>
      <c r="D1237" s="49"/>
      <c r="E1237" s="49" t="s">
        <v>1819</v>
      </c>
      <c r="F1237" s="49" t="s">
        <v>1818</v>
      </c>
      <c r="G1237" s="49" t="s">
        <v>1818</v>
      </c>
      <c r="H1237" s="49" t="s">
        <v>1818</v>
      </c>
      <c r="I1237" s="49" t="s">
        <v>1818</v>
      </c>
      <c r="J1237" s="49" t="s">
        <v>1818</v>
      </c>
      <c r="K1237" s="49" t="s">
        <v>1818</v>
      </c>
      <c r="L1237" s="49" t="s">
        <v>1818</v>
      </c>
      <c r="M1237" s="49">
        <v>0</v>
      </c>
      <c r="N1237" s="55" t="s">
        <v>2413</v>
      </c>
      <c r="O1237" s="49" t="s">
        <v>767</v>
      </c>
      <c r="P1237" s="52" t="s">
        <v>746</v>
      </c>
      <c r="Q1237" s="49"/>
      <c r="R1237" s="49" t="s">
        <v>470</v>
      </c>
      <c r="S1237" s="49" t="s">
        <v>684</v>
      </c>
      <c r="T1237" s="49" t="s">
        <v>1821</v>
      </c>
      <c r="U1237" s="49" t="s">
        <v>1822</v>
      </c>
      <c r="V1237" s="53" t="s">
        <v>2135</v>
      </c>
    </row>
    <row r="1238" spans="1:22" x14ac:dyDescent="0.3">
      <c r="A1238" s="51" t="s">
        <v>1818</v>
      </c>
      <c r="B1238" s="52" t="s">
        <v>1818</v>
      </c>
      <c r="C1238" s="52" t="s">
        <v>1818</v>
      </c>
      <c r="D1238" s="52"/>
      <c r="E1238" s="52" t="s">
        <v>1819</v>
      </c>
      <c r="F1238" s="52" t="s">
        <v>1818</v>
      </c>
      <c r="G1238" s="52" t="s">
        <v>1818</v>
      </c>
      <c r="H1238" s="52" t="s">
        <v>1818</v>
      </c>
      <c r="I1238" s="52" t="s">
        <v>1818</v>
      </c>
      <c r="J1238" s="52" t="s">
        <v>1818</v>
      </c>
      <c r="K1238" s="52" t="s">
        <v>1818</v>
      </c>
      <c r="L1238" s="52" t="s">
        <v>1818</v>
      </c>
      <c r="M1238" s="52">
        <v>0</v>
      </c>
      <c r="N1238" s="54" t="s">
        <v>2414</v>
      </c>
      <c r="O1238" s="52" t="s">
        <v>767</v>
      </c>
      <c r="P1238" s="52" t="s">
        <v>746</v>
      </c>
      <c r="Q1238" s="52"/>
      <c r="R1238" s="52" t="s">
        <v>470</v>
      </c>
      <c r="S1238" s="49" t="s">
        <v>684</v>
      </c>
      <c r="T1238" s="52" t="s">
        <v>1821</v>
      </c>
      <c r="U1238" s="52" t="s">
        <v>1822</v>
      </c>
      <c r="V1238" s="53" t="s">
        <v>2135</v>
      </c>
    </row>
    <row r="1239" spans="1:22" x14ac:dyDescent="0.3">
      <c r="A1239" s="48" t="s">
        <v>1818</v>
      </c>
      <c r="B1239" s="49" t="s">
        <v>1818</v>
      </c>
      <c r="C1239" s="49" t="s">
        <v>1818</v>
      </c>
      <c r="D1239" s="49"/>
      <c r="E1239" s="49" t="s">
        <v>1819</v>
      </c>
      <c r="F1239" s="49" t="s">
        <v>1818</v>
      </c>
      <c r="G1239" s="49" t="s">
        <v>1818</v>
      </c>
      <c r="H1239" s="49" t="s">
        <v>1818</v>
      </c>
      <c r="I1239" s="49" t="s">
        <v>1818</v>
      </c>
      <c r="J1239" s="49" t="s">
        <v>1818</v>
      </c>
      <c r="K1239" s="49" t="s">
        <v>1818</v>
      </c>
      <c r="L1239" s="49" t="s">
        <v>1818</v>
      </c>
      <c r="M1239" s="49">
        <v>0</v>
      </c>
      <c r="N1239" s="55" t="s">
        <v>2415</v>
      </c>
      <c r="O1239" s="49" t="s">
        <v>767</v>
      </c>
      <c r="P1239" s="52" t="s">
        <v>746</v>
      </c>
      <c r="Q1239" s="49"/>
      <c r="R1239" s="49" t="s">
        <v>470</v>
      </c>
      <c r="S1239" s="49" t="s">
        <v>684</v>
      </c>
      <c r="T1239" s="49" t="s">
        <v>1821</v>
      </c>
      <c r="U1239" s="49" t="s">
        <v>1822</v>
      </c>
      <c r="V1239" s="53" t="s">
        <v>2135</v>
      </c>
    </row>
    <row r="1240" spans="1:22" x14ac:dyDescent="0.3">
      <c r="A1240" s="51" t="s">
        <v>1818</v>
      </c>
      <c r="B1240" s="52" t="s">
        <v>1818</v>
      </c>
      <c r="C1240" s="52" t="s">
        <v>1818</v>
      </c>
      <c r="D1240" s="52"/>
      <c r="E1240" s="52" t="s">
        <v>1819</v>
      </c>
      <c r="F1240" s="52" t="s">
        <v>1818</v>
      </c>
      <c r="G1240" s="52" t="s">
        <v>1818</v>
      </c>
      <c r="H1240" s="52" t="s">
        <v>1818</v>
      </c>
      <c r="I1240" s="52" t="s">
        <v>1818</v>
      </c>
      <c r="J1240" s="52" t="s">
        <v>1818</v>
      </c>
      <c r="K1240" s="52" t="s">
        <v>1818</v>
      </c>
      <c r="L1240" s="52" t="s">
        <v>1818</v>
      </c>
      <c r="M1240" s="52">
        <v>0</v>
      </c>
      <c r="N1240" s="54" t="s">
        <v>2416</v>
      </c>
      <c r="O1240" s="52" t="s">
        <v>767</v>
      </c>
      <c r="P1240" s="52" t="s">
        <v>746</v>
      </c>
      <c r="Q1240" s="52"/>
      <c r="R1240" s="52" t="s">
        <v>470</v>
      </c>
      <c r="S1240" s="49" t="s">
        <v>684</v>
      </c>
      <c r="T1240" s="52" t="s">
        <v>1821</v>
      </c>
      <c r="U1240" s="52" t="s">
        <v>1822</v>
      </c>
      <c r="V1240" s="53" t="s">
        <v>2135</v>
      </c>
    </row>
    <row r="1241" spans="1:22" x14ac:dyDescent="0.3">
      <c r="A1241" s="48" t="s">
        <v>1818</v>
      </c>
      <c r="B1241" s="49" t="s">
        <v>1818</v>
      </c>
      <c r="C1241" s="49" t="s">
        <v>1818</v>
      </c>
      <c r="D1241" s="49"/>
      <c r="E1241" s="49" t="s">
        <v>1819</v>
      </c>
      <c r="F1241" s="49" t="s">
        <v>1818</v>
      </c>
      <c r="G1241" s="49" t="s">
        <v>1818</v>
      </c>
      <c r="H1241" s="49" t="s">
        <v>1818</v>
      </c>
      <c r="I1241" s="49" t="s">
        <v>1818</v>
      </c>
      <c r="J1241" s="49" t="s">
        <v>1818</v>
      </c>
      <c r="K1241" s="49" t="s">
        <v>1818</v>
      </c>
      <c r="L1241" s="49" t="s">
        <v>1818</v>
      </c>
      <c r="M1241" s="49">
        <v>0</v>
      </c>
      <c r="N1241" s="54" t="s">
        <v>2417</v>
      </c>
      <c r="O1241" s="49" t="s">
        <v>767</v>
      </c>
      <c r="P1241" s="52" t="s">
        <v>746</v>
      </c>
      <c r="Q1241" s="49"/>
      <c r="R1241" s="49" t="s">
        <v>470</v>
      </c>
      <c r="S1241" s="49" t="s">
        <v>684</v>
      </c>
      <c r="T1241" s="49" t="s">
        <v>1821</v>
      </c>
      <c r="U1241" s="49" t="s">
        <v>1822</v>
      </c>
      <c r="V1241" s="53" t="s">
        <v>2135</v>
      </c>
    </row>
    <row r="1242" spans="1:22" x14ac:dyDescent="0.3">
      <c r="A1242" s="51" t="s">
        <v>1818</v>
      </c>
      <c r="B1242" s="52" t="s">
        <v>1818</v>
      </c>
      <c r="C1242" s="52" t="s">
        <v>1818</v>
      </c>
      <c r="D1242" s="52"/>
      <c r="E1242" s="52" t="s">
        <v>1819</v>
      </c>
      <c r="F1242" s="52" t="s">
        <v>1818</v>
      </c>
      <c r="G1242" s="52" t="s">
        <v>1818</v>
      </c>
      <c r="H1242" s="52" t="s">
        <v>1818</v>
      </c>
      <c r="I1242" s="52" t="s">
        <v>1818</v>
      </c>
      <c r="J1242" s="52" t="s">
        <v>1818</v>
      </c>
      <c r="K1242" s="52" t="s">
        <v>1818</v>
      </c>
      <c r="L1242" s="52" t="s">
        <v>1818</v>
      </c>
      <c r="M1242" s="52">
        <v>0</v>
      </c>
      <c r="N1242" s="54" t="s">
        <v>2418</v>
      </c>
      <c r="O1242" s="52" t="s">
        <v>767</v>
      </c>
      <c r="P1242" s="52" t="s">
        <v>746</v>
      </c>
      <c r="Q1242" s="52"/>
      <c r="R1242" s="52" t="s">
        <v>470</v>
      </c>
      <c r="S1242" s="49" t="s">
        <v>684</v>
      </c>
      <c r="T1242" s="52" t="s">
        <v>1821</v>
      </c>
      <c r="U1242" s="52" t="s">
        <v>1822</v>
      </c>
      <c r="V1242" s="53" t="s">
        <v>2135</v>
      </c>
    </row>
    <row r="1243" spans="1:22" x14ac:dyDescent="0.3">
      <c r="A1243" s="48" t="s">
        <v>1818</v>
      </c>
      <c r="B1243" s="49" t="s">
        <v>1818</v>
      </c>
      <c r="C1243" s="49" t="s">
        <v>1818</v>
      </c>
      <c r="D1243" s="49"/>
      <c r="E1243" s="49" t="s">
        <v>1819</v>
      </c>
      <c r="F1243" s="49" t="s">
        <v>1818</v>
      </c>
      <c r="G1243" s="49" t="s">
        <v>1818</v>
      </c>
      <c r="H1243" s="49" t="s">
        <v>1818</v>
      </c>
      <c r="I1243" s="49" t="s">
        <v>1818</v>
      </c>
      <c r="J1243" s="49" t="s">
        <v>1818</v>
      </c>
      <c r="K1243" s="49" t="s">
        <v>1818</v>
      </c>
      <c r="L1243" s="49" t="s">
        <v>1818</v>
      </c>
      <c r="M1243" s="49">
        <v>0</v>
      </c>
      <c r="N1243" s="49" t="s">
        <v>2419</v>
      </c>
      <c r="O1243" s="49" t="s">
        <v>767</v>
      </c>
      <c r="P1243" s="52" t="s">
        <v>746</v>
      </c>
      <c r="Q1243" s="49"/>
      <c r="R1243" s="49" t="s">
        <v>123</v>
      </c>
      <c r="S1243" s="52" t="s">
        <v>673</v>
      </c>
      <c r="T1243" s="49" t="s">
        <v>1821</v>
      </c>
      <c r="U1243" s="49" t="s">
        <v>1822</v>
      </c>
      <c r="V1243" s="50" t="s">
        <v>1823</v>
      </c>
    </row>
    <row r="1244" spans="1:22" x14ac:dyDescent="0.3">
      <c r="A1244" s="51" t="s">
        <v>1818</v>
      </c>
      <c r="B1244" s="52" t="s">
        <v>1818</v>
      </c>
      <c r="C1244" s="52" t="s">
        <v>1818</v>
      </c>
      <c r="D1244" s="52"/>
      <c r="E1244" s="52" t="s">
        <v>1819</v>
      </c>
      <c r="F1244" s="52" t="s">
        <v>1818</v>
      </c>
      <c r="G1244" s="52" t="s">
        <v>1818</v>
      </c>
      <c r="H1244" s="52" t="s">
        <v>1818</v>
      </c>
      <c r="I1244" s="52" t="s">
        <v>1818</v>
      </c>
      <c r="J1244" s="52" t="s">
        <v>1818</v>
      </c>
      <c r="K1244" s="52" t="s">
        <v>1818</v>
      </c>
      <c r="L1244" s="52" t="s">
        <v>1818</v>
      </c>
      <c r="M1244" s="52">
        <v>0</v>
      </c>
      <c r="N1244" s="52" t="s">
        <v>2420</v>
      </c>
      <c r="O1244" s="52" t="s">
        <v>767</v>
      </c>
      <c r="P1244" s="52" t="s">
        <v>746</v>
      </c>
      <c r="Q1244" s="52"/>
      <c r="R1244" s="52" t="s">
        <v>242</v>
      </c>
      <c r="S1244" s="52" t="s">
        <v>673</v>
      </c>
      <c r="T1244" s="52" t="s">
        <v>1821</v>
      </c>
      <c r="U1244" s="52" t="s">
        <v>1822</v>
      </c>
      <c r="V1244" s="53" t="s">
        <v>1823</v>
      </c>
    </row>
    <row r="1245" spans="1:22" x14ac:dyDescent="0.3">
      <c r="A1245" s="31" t="s">
        <v>1002</v>
      </c>
      <c r="B1245" s="32" t="s">
        <v>998</v>
      </c>
      <c r="C1245" s="32" t="s">
        <v>1003</v>
      </c>
      <c r="D1245" s="32" t="s">
        <v>673</v>
      </c>
      <c r="E1245" s="32" t="s">
        <v>674</v>
      </c>
      <c r="F1245" s="32" t="s">
        <v>716</v>
      </c>
      <c r="G1245" s="32" t="s">
        <v>744</v>
      </c>
      <c r="H1245" s="32" t="s">
        <v>677</v>
      </c>
      <c r="I1245" s="49" t="s">
        <v>678</v>
      </c>
      <c r="J1245" s="32" t="s">
        <v>751</v>
      </c>
      <c r="K1245" s="32" t="s">
        <v>690</v>
      </c>
      <c r="L1245" s="32" t="s">
        <v>681</v>
      </c>
      <c r="M1245" s="32">
        <v>1</v>
      </c>
      <c r="N1245" s="30" t="s">
        <v>2421</v>
      </c>
      <c r="O1245" s="30" t="s">
        <v>767</v>
      </c>
      <c r="P1245" s="52" t="s">
        <v>746</v>
      </c>
      <c r="Q1245" s="52" t="s">
        <v>683</v>
      </c>
      <c r="R1245" s="30" t="s">
        <v>278</v>
      </c>
      <c r="S1245" s="52" t="s">
        <v>673</v>
      </c>
      <c r="T1245" s="30" t="s">
        <v>1821</v>
      </c>
      <c r="U1245" s="52" t="s">
        <v>1824</v>
      </c>
      <c r="V1245" s="44" t="s">
        <v>1823</v>
      </c>
    </row>
    <row r="1246" spans="1:22" x14ac:dyDescent="0.3">
      <c r="A1246" s="31" t="s">
        <v>1503</v>
      </c>
      <c r="B1246" s="32" t="s">
        <v>544</v>
      </c>
      <c r="C1246" s="32" t="s">
        <v>1504</v>
      </c>
      <c r="D1246" s="32" t="s">
        <v>684</v>
      </c>
      <c r="E1246" s="32" t="s">
        <v>674</v>
      </c>
      <c r="F1246" s="32" t="s">
        <v>716</v>
      </c>
      <c r="G1246" s="32" t="s">
        <v>717</v>
      </c>
      <c r="H1246" s="32" t="s">
        <v>717</v>
      </c>
      <c r="I1246" s="32" t="s">
        <v>736</v>
      </c>
      <c r="J1246" s="32" t="s">
        <v>737</v>
      </c>
      <c r="K1246" s="32" t="s">
        <v>738</v>
      </c>
      <c r="L1246" s="32" t="s">
        <v>699</v>
      </c>
      <c r="M1246" s="30">
        <v>0.5</v>
      </c>
      <c r="N1246" s="52" t="s">
        <v>2139</v>
      </c>
      <c r="O1246" s="52" t="s">
        <v>665</v>
      </c>
      <c r="P1246" s="52" t="s">
        <v>746</v>
      </c>
      <c r="Q1246" s="52" t="s">
        <v>683</v>
      </c>
      <c r="R1246" s="52" t="s">
        <v>89</v>
      </c>
      <c r="S1246" s="49" t="s">
        <v>684</v>
      </c>
      <c r="T1246" s="52" t="s">
        <v>1821</v>
      </c>
      <c r="U1246" s="52" t="s">
        <v>1824</v>
      </c>
      <c r="V1246" s="53" t="s">
        <v>1826</v>
      </c>
    </row>
    <row r="1247" spans="1:22" x14ac:dyDescent="0.3">
      <c r="A1247" s="29" t="s">
        <v>2399</v>
      </c>
      <c r="B1247" s="30" t="s">
        <v>463</v>
      </c>
      <c r="C1247" s="30" t="s">
        <v>2400</v>
      </c>
      <c r="D1247" s="30" t="s">
        <v>755</v>
      </c>
      <c r="E1247" s="30" t="s">
        <v>674</v>
      </c>
      <c r="F1247" s="30" t="s">
        <v>675</v>
      </c>
      <c r="G1247" s="30" t="s">
        <v>724</v>
      </c>
      <c r="H1247" s="30" t="s">
        <v>702</v>
      </c>
      <c r="I1247" s="49" t="s">
        <v>678</v>
      </c>
      <c r="J1247" s="30" t="s">
        <v>774</v>
      </c>
      <c r="K1247" s="30" t="s">
        <v>680</v>
      </c>
      <c r="L1247" s="30" t="s">
        <v>699</v>
      </c>
      <c r="M1247" s="30">
        <v>0.2</v>
      </c>
      <c r="N1247" s="30" t="s">
        <v>274</v>
      </c>
      <c r="O1247" s="52" t="s">
        <v>665</v>
      </c>
      <c r="P1247" s="52" t="s">
        <v>746</v>
      </c>
      <c r="Q1247" s="52"/>
      <c r="R1247" s="52" t="s">
        <v>47</v>
      </c>
      <c r="S1247" s="49" t="s">
        <v>755</v>
      </c>
      <c r="T1247" s="52" t="s">
        <v>1821</v>
      </c>
      <c r="U1247" s="52" t="s">
        <v>1824</v>
      </c>
      <c r="V1247" s="53" t="s">
        <v>1826</v>
      </c>
    </row>
    <row r="1248" spans="1:22" x14ac:dyDescent="0.3">
      <c r="A1248" s="31" t="s">
        <v>2393</v>
      </c>
      <c r="B1248" s="32" t="s">
        <v>463</v>
      </c>
      <c r="C1248" s="32" t="s">
        <v>2394</v>
      </c>
      <c r="D1248" s="32" t="s">
        <v>755</v>
      </c>
      <c r="E1248" s="32" t="s">
        <v>674</v>
      </c>
      <c r="F1248" s="32" t="s">
        <v>675</v>
      </c>
      <c r="G1248" s="32" t="s">
        <v>724</v>
      </c>
      <c r="H1248" s="32" t="s">
        <v>702</v>
      </c>
      <c r="I1248" s="49" t="s">
        <v>678</v>
      </c>
      <c r="J1248" s="32" t="s">
        <v>774</v>
      </c>
      <c r="K1248" s="32" t="s">
        <v>680</v>
      </c>
      <c r="L1248" s="32" t="s">
        <v>699</v>
      </c>
      <c r="M1248" s="32">
        <v>0.2</v>
      </c>
      <c r="N1248" s="32" t="s">
        <v>274</v>
      </c>
      <c r="O1248" s="52" t="s">
        <v>665</v>
      </c>
      <c r="P1248" s="52" t="s">
        <v>746</v>
      </c>
      <c r="Q1248" s="52"/>
      <c r="R1248" s="52" t="s">
        <v>47</v>
      </c>
      <c r="S1248" s="49" t="s">
        <v>755</v>
      </c>
      <c r="T1248" s="52" t="s">
        <v>1821</v>
      </c>
      <c r="U1248" s="52" t="s">
        <v>1824</v>
      </c>
      <c r="V1248" s="53" t="s">
        <v>1826</v>
      </c>
    </row>
    <row r="1249" spans="1:22" x14ac:dyDescent="0.3">
      <c r="A1249" s="29" t="s">
        <v>2395</v>
      </c>
      <c r="B1249" s="30" t="s">
        <v>463</v>
      </c>
      <c r="C1249" s="30" t="s">
        <v>2396</v>
      </c>
      <c r="D1249" s="30" t="s">
        <v>755</v>
      </c>
      <c r="E1249" s="30" t="s">
        <v>674</v>
      </c>
      <c r="F1249" s="30" t="s">
        <v>675</v>
      </c>
      <c r="G1249" s="30" t="s">
        <v>724</v>
      </c>
      <c r="H1249" s="30" t="s">
        <v>702</v>
      </c>
      <c r="I1249" s="49" t="s">
        <v>678</v>
      </c>
      <c r="J1249" s="30" t="s">
        <v>774</v>
      </c>
      <c r="K1249" s="30" t="s">
        <v>680</v>
      </c>
      <c r="L1249" s="30" t="s">
        <v>699</v>
      </c>
      <c r="M1249" s="30">
        <v>0.2</v>
      </c>
      <c r="N1249" s="30" t="s">
        <v>274</v>
      </c>
      <c r="O1249" s="52" t="s">
        <v>665</v>
      </c>
      <c r="P1249" s="52" t="s">
        <v>746</v>
      </c>
      <c r="Q1249" s="52"/>
      <c r="R1249" s="52" t="s">
        <v>47</v>
      </c>
      <c r="S1249" s="49" t="s">
        <v>755</v>
      </c>
      <c r="T1249" s="52" t="s">
        <v>1821</v>
      </c>
      <c r="U1249" s="52" t="s">
        <v>1824</v>
      </c>
      <c r="V1249" s="53" t="s">
        <v>1826</v>
      </c>
    </row>
    <row r="1250" spans="1:22" x14ac:dyDescent="0.3">
      <c r="A1250" s="31" t="s">
        <v>2401</v>
      </c>
      <c r="B1250" s="32" t="s">
        <v>463</v>
      </c>
      <c r="C1250" s="32" t="s">
        <v>2402</v>
      </c>
      <c r="D1250" s="32" t="s">
        <v>755</v>
      </c>
      <c r="E1250" s="32" t="s">
        <v>674</v>
      </c>
      <c r="F1250" s="32" t="s">
        <v>675</v>
      </c>
      <c r="G1250" s="32" t="s">
        <v>724</v>
      </c>
      <c r="H1250" s="32" t="s">
        <v>702</v>
      </c>
      <c r="I1250" s="49" t="s">
        <v>678</v>
      </c>
      <c r="J1250" s="32" t="s">
        <v>774</v>
      </c>
      <c r="K1250" s="32" t="s">
        <v>680</v>
      </c>
      <c r="L1250" s="32" t="s">
        <v>699</v>
      </c>
      <c r="M1250" s="32">
        <v>0.2</v>
      </c>
      <c r="N1250" s="32" t="s">
        <v>274</v>
      </c>
      <c r="O1250" s="52" t="s">
        <v>665</v>
      </c>
      <c r="P1250" s="52" t="s">
        <v>746</v>
      </c>
      <c r="Q1250" s="52"/>
      <c r="R1250" s="52" t="s">
        <v>47</v>
      </c>
      <c r="S1250" s="49" t="s">
        <v>755</v>
      </c>
      <c r="T1250" s="52" t="s">
        <v>1821</v>
      </c>
      <c r="U1250" s="52" t="s">
        <v>1824</v>
      </c>
      <c r="V1250" s="53" t="s">
        <v>1826</v>
      </c>
    </row>
    <row r="1251" spans="1:22" x14ac:dyDescent="0.3">
      <c r="A1251" s="31" t="s">
        <v>841</v>
      </c>
      <c r="B1251" s="32" t="s">
        <v>707</v>
      </c>
      <c r="C1251" s="32" t="s">
        <v>715</v>
      </c>
      <c r="D1251" s="32" t="s">
        <v>673</v>
      </c>
      <c r="E1251" s="32" t="s">
        <v>674</v>
      </c>
      <c r="F1251" s="32" t="s">
        <v>716</v>
      </c>
      <c r="G1251" s="32" t="s">
        <v>717</v>
      </c>
      <c r="H1251" s="32" t="s">
        <v>717</v>
      </c>
      <c r="I1251" s="32" t="s">
        <v>717</v>
      </c>
      <c r="J1251" s="32" t="s">
        <v>713</v>
      </c>
      <c r="K1251" s="32" t="s">
        <v>690</v>
      </c>
      <c r="L1251" s="32" t="s">
        <v>699</v>
      </c>
      <c r="M1251" s="30">
        <v>0.3</v>
      </c>
      <c r="N1251" s="30" t="s">
        <v>366</v>
      </c>
      <c r="O1251" s="49" t="s">
        <v>665</v>
      </c>
      <c r="P1251" s="49" t="s">
        <v>711</v>
      </c>
      <c r="Q1251" s="49"/>
      <c r="R1251" s="49" t="s">
        <v>718</v>
      </c>
      <c r="S1251" s="49" t="s">
        <v>719</v>
      </c>
      <c r="T1251" s="49" t="s">
        <v>1821</v>
      </c>
      <c r="U1251" s="52" t="s">
        <v>1824</v>
      </c>
      <c r="V1251" s="50" t="s">
        <v>1826</v>
      </c>
    </row>
    <row r="1252" spans="1:22" x14ac:dyDescent="0.3">
      <c r="A1252" s="20" t="s">
        <v>1191</v>
      </c>
      <c r="B1252" s="32" t="s">
        <v>707</v>
      </c>
      <c r="C1252" s="32" t="s">
        <v>715</v>
      </c>
      <c r="D1252" s="32" t="s">
        <v>673</v>
      </c>
      <c r="E1252" s="7"/>
      <c r="F1252" s="32" t="s">
        <v>716</v>
      </c>
      <c r="G1252" s="32" t="s">
        <v>717</v>
      </c>
      <c r="H1252" s="32" t="s">
        <v>717</v>
      </c>
      <c r="I1252" s="32" t="s">
        <v>717</v>
      </c>
      <c r="J1252" s="7" t="s">
        <v>698</v>
      </c>
      <c r="K1252" s="32" t="s">
        <v>690</v>
      </c>
      <c r="L1252" s="32" t="s">
        <v>699</v>
      </c>
      <c r="M1252" s="30">
        <v>0.4</v>
      </c>
      <c r="N1252" s="30" t="s">
        <v>366</v>
      </c>
      <c r="O1252" s="49" t="s">
        <v>665</v>
      </c>
      <c r="P1252" s="49" t="s">
        <v>711</v>
      </c>
      <c r="Q1252" s="49"/>
      <c r="R1252" s="49" t="s">
        <v>718</v>
      </c>
      <c r="S1252" s="49" t="s">
        <v>719</v>
      </c>
      <c r="T1252" s="49" t="s">
        <v>1821</v>
      </c>
      <c r="U1252" s="52" t="s">
        <v>1824</v>
      </c>
      <c r="V1252" s="50" t="s">
        <v>1826</v>
      </c>
    </row>
    <row r="1253" spans="1:22" x14ac:dyDescent="0.3">
      <c r="A1253" s="20" t="s">
        <v>1314</v>
      </c>
      <c r="B1253" s="7" t="s">
        <v>154</v>
      </c>
      <c r="C1253" s="7" t="s">
        <v>1315</v>
      </c>
      <c r="D1253" s="32" t="s">
        <v>673</v>
      </c>
      <c r="E1253" s="7"/>
      <c r="F1253" s="32" t="s">
        <v>675</v>
      </c>
      <c r="G1253" s="32" t="s">
        <v>676</v>
      </c>
      <c r="H1253" s="7" t="s">
        <v>702</v>
      </c>
      <c r="I1253" s="7" t="s">
        <v>697</v>
      </c>
      <c r="J1253" s="30" t="s">
        <v>713</v>
      </c>
      <c r="K1253" s="30" t="s">
        <v>690</v>
      </c>
      <c r="L1253" s="32" t="s">
        <v>691</v>
      </c>
      <c r="M1253" s="32">
        <v>0.5</v>
      </c>
      <c r="N1253" s="7" t="s">
        <v>1310</v>
      </c>
      <c r="O1253" s="49" t="s">
        <v>665</v>
      </c>
      <c r="P1253" s="49" t="s">
        <v>746</v>
      </c>
      <c r="Q1253" s="49"/>
      <c r="R1253" s="49" t="s">
        <v>633</v>
      </c>
      <c r="S1253" s="49" t="s">
        <v>755</v>
      </c>
      <c r="T1253" s="49" t="s">
        <v>1821</v>
      </c>
      <c r="U1253" s="52" t="s">
        <v>1824</v>
      </c>
      <c r="V1253" s="50" t="s">
        <v>1826</v>
      </c>
    </row>
    <row r="1254" spans="1:22" x14ac:dyDescent="0.3">
      <c r="A1254" s="29" t="s">
        <v>1342</v>
      </c>
      <c r="B1254" s="30" t="s">
        <v>228</v>
      </c>
      <c r="C1254" s="30" t="s">
        <v>1342</v>
      </c>
      <c r="D1254" s="30" t="s">
        <v>673</v>
      </c>
      <c r="E1254" s="30" t="s">
        <v>674</v>
      </c>
      <c r="F1254" s="30" t="s">
        <v>716</v>
      </c>
      <c r="G1254" s="30" t="s">
        <v>731</v>
      </c>
      <c r="H1254" s="30" t="s">
        <v>702</v>
      </c>
      <c r="I1254" s="49" t="s">
        <v>688</v>
      </c>
      <c r="J1254" s="30" t="s">
        <v>698</v>
      </c>
      <c r="K1254" s="30" t="s">
        <v>690</v>
      </c>
      <c r="L1254" s="30" t="s">
        <v>691</v>
      </c>
      <c r="M1254" s="30">
        <v>0.5</v>
      </c>
      <c r="N1254" s="30" t="s">
        <v>592</v>
      </c>
      <c r="O1254" s="52" t="s">
        <v>665</v>
      </c>
      <c r="P1254" s="52" t="s">
        <v>746</v>
      </c>
      <c r="Q1254" s="52"/>
      <c r="R1254" s="52" t="s">
        <v>396</v>
      </c>
      <c r="S1254" s="52" t="s">
        <v>673</v>
      </c>
      <c r="T1254" s="52" t="s">
        <v>1821</v>
      </c>
      <c r="U1254" s="52" t="s">
        <v>1824</v>
      </c>
      <c r="V1254" s="53" t="s">
        <v>1826</v>
      </c>
    </row>
    <row r="1255" spans="1:22" x14ac:dyDescent="0.3">
      <c r="A1255" s="31" t="s">
        <v>1404</v>
      </c>
      <c r="B1255" s="32" t="s">
        <v>1403</v>
      </c>
      <c r="C1255" s="32" t="s">
        <v>1405</v>
      </c>
      <c r="D1255" s="32" t="s">
        <v>684</v>
      </c>
      <c r="E1255" s="32" t="s">
        <v>674</v>
      </c>
      <c r="F1255" s="32" t="s">
        <v>716</v>
      </c>
      <c r="G1255" s="32" t="s">
        <v>744</v>
      </c>
      <c r="H1255" s="32" t="s">
        <v>702</v>
      </c>
      <c r="I1255" s="32" t="s">
        <v>736</v>
      </c>
      <c r="J1255" s="32" t="s">
        <v>745</v>
      </c>
      <c r="K1255" s="32" t="s">
        <v>738</v>
      </c>
      <c r="L1255" s="32" t="s">
        <v>739</v>
      </c>
      <c r="M1255" s="32">
        <v>0.7</v>
      </c>
      <c r="N1255" s="30" t="s">
        <v>1546</v>
      </c>
      <c r="O1255" s="49" t="s">
        <v>665</v>
      </c>
      <c r="P1255" s="49" t="s">
        <v>746</v>
      </c>
      <c r="Q1255" s="52" t="s">
        <v>683</v>
      </c>
      <c r="R1255" s="49" t="s">
        <v>333</v>
      </c>
      <c r="S1255" s="49" t="s">
        <v>684</v>
      </c>
      <c r="T1255" s="49" t="s">
        <v>1821</v>
      </c>
      <c r="U1255" s="52" t="s">
        <v>1824</v>
      </c>
      <c r="V1255" s="50" t="s">
        <v>1826</v>
      </c>
    </row>
    <row r="1256" spans="1:22" x14ac:dyDescent="0.3">
      <c r="A1256" s="31" t="s">
        <v>712</v>
      </c>
      <c r="B1256" s="32" t="s">
        <v>707</v>
      </c>
      <c r="C1256" s="32" t="s">
        <v>708</v>
      </c>
      <c r="D1256" s="32" t="s">
        <v>673</v>
      </c>
      <c r="E1256" s="32" t="s">
        <v>674</v>
      </c>
      <c r="F1256" s="32" t="s">
        <v>709</v>
      </c>
      <c r="G1256" s="32" t="s">
        <v>709</v>
      </c>
      <c r="H1256" s="32" t="s">
        <v>709</v>
      </c>
      <c r="I1256" s="32" t="s">
        <v>709</v>
      </c>
      <c r="J1256" s="32" t="s">
        <v>713</v>
      </c>
      <c r="K1256" s="32" t="s">
        <v>690</v>
      </c>
      <c r="L1256" s="32" t="s">
        <v>699</v>
      </c>
      <c r="M1256" s="30">
        <v>0.1</v>
      </c>
      <c r="N1256" s="49" t="s">
        <v>56</v>
      </c>
      <c r="O1256" s="49" t="s">
        <v>665</v>
      </c>
      <c r="P1256" s="49" t="s">
        <v>711</v>
      </c>
      <c r="Q1256" s="49"/>
      <c r="R1256" s="49" t="s">
        <v>366</v>
      </c>
      <c r="S1256" s="52" t="s">
        <v>673</v>
      </c>
      <c r="T1256" s="49" t="s">
        <v>1821</v>
      </c>
      <c r="U1256" s="52" t="s">
        <v>1824</v>
      </c>
      <c r="V1256" s="50" t="s">
        <v>1826</v>
      </c>
    </row>
    <row r="1257" spans="1:22" x14ac:dyDescent="0.3">
      <c r="A1257" s="31" t="s">
        <v>812</v>
      </c>
      <c r="B1257" s="32" t="s">
        <v>707</v>
      </c>
      <c r="C1257" s="32" t="s">
        <v>708</v>
      </c>
      <c r="D1257" s="32" t="s">
        <v>673</v>
      </c>
      <c r="E1257" s="32" t="s">
        <v>674</v>
      </c>
      <c r="F1257" s="32" t="s">
        <v>709</v>
      </c>
      <c r="G1257" s="32" t="s">
        <v>709</v>
      </c>
      <c r="H1257" s="32" t="s">
        <v>709</v>
      </c>
      <c r="I1257" s="32" t="s">
        <v>709</v>
      </c>
      <c r="J1257" s="32" t="s">
        <v>751</v>
      </c>
      <c r="K1257" s="32" t="s">
        <v>690</v>
      </c>
      <c r="L1257" s="32" t="s">
        <v>699</v>
      </c>
      <c r="M1257" s="32">
        <v>0.1</v>
      </c>
      <c r="N1257" s="49" t="s">
        <v>56</v>
      </c>
      <c r="O1257" s="49" t="s">
        <v>665</v>
      </c>
      <c r="P1257" s="49" t="s">
        <v>711</v>
      </c>
      <c r="Q1257" s="49"/>
      <c r="R1257" s="49" t="s">
        <v>366</v>
      </c>
      <c r="S1257" s="52" t="s">
        <v>673</v>
      </c>
      <c r="T1257" s="49" t="s">
        <v>1821</v>
      </c>
      <c r="U1257" s="52" t="s">
        <v>1824</v>
      </c>
      <c r="V1257" s="50" t="s">
        <v>1826</v>
      </c>
    </row>
    <row r="1258" spans="1:22" x14ac:dyDescent="0.3">
      <c r="A1258" s="20" t="s">
        <v>907</v>
      </c>
      <c r="B1258" s="7" t="s">
        <v>908</v>
      </c>
      <c r="C1258" s="7" t="s">
        <v>2448</v>
      </c>
      <c r="D1258" s="32" t="s">
        <v>673</v>
      </c>
      <c r="E1258" s="7"/>
      <c r="F1258" s="32" t="s">
        <v>675</v>
      </c>
      <c r="G1258" s="32" t="s">
        <v>676</v>
      </c>
      <c r="H1258" s="7" t="s">
        <v>702</v>
      </c>
      <c r="I1258" s="49" t="s">
        <v>688</v>
      </c>
      <c r="J1258" s="7" t="s">
        <v>689</v>
      </c>
      <c r="K1258" s="32" t="s">
        <v>690</v>
      </c>
      <c r="L1258" s="32" t="s">
        <v>681</v>
      </c>
      <c r="M1258" s="32">
        <v>0.2</v>
      </c>
      <c r="N1258" s="49" t="s">
        <v>56</v>
      </c>
      <c r="O1258" s="49" t="s">
        <v>665</v>
      </c>
      <c r="P1258" s="49" t="s">
        <v>711</v>
      </c>
      <c r="Q1258" s="49"/>
      <c r="R1258" s="49" t="s">
        <v>366</v>
      </c>
      <c r="S1258" s="52" t="s">
        <v>673</v>
      </c>
      <c r="T1258" s="49" t="s">
        <v>1821</v>
      </c>
      <c r="U1258" s="52" t="s">
        <v>1824</v>
      </c>
      <c r="V1258" s="50" t="s">
        <v>1826</v>
      </c>
    </row>
    <row r="1259" spans="1:22" x14ac:dyDescent="0.3">
      <c r="A1259" s="20" t="s">
        <v>2445</v>
      </c>
      <c r="B1259" s="7" t="s">
        <v>908</v>
      </c>
      <c r="C1259" s="7" t="s">
        <v>2449</v>
      </c>
      <c r="D1259" s="32" t="s">
        <v>673</v>
      </c>
      <c r="E1259" s="7"/>
      <c r="F1259" s="32" t="s">
        <v>675</v>
      </c>
      <c r="G1259" s="32" t="s">
        <v>676</v>
      </c>
      <c r="H1259" s="32" t="s">
        <v>677</v>
      </c>
      <c r="I1259" s="49" t="s">
        <v>678</v>
      </c>
      <c r="J1259" s="7" t="s">
        <v>689</v>
      </c>
      <c r="K1259" s="32" t="s">
        <v>690</v>
      </c>
      <c r="L1259" s="32" t="s">
        <v>691</v>
      </c>
      <c r="M1259" s="32">
        <v>0.2</v>
      </c>
      <c r="N1259" s="49" t="s">
        <v>56</v>
      </c>
      <c r="O1259" s="49" t="s">
        <v>665</v>
      </c>
      <c r="P1259" s="49" t="s">
        <v>711</v>
      </c>
      <c r="Q1259" s="49"/>
      <c r="R1259" s="49" t="s">
        <v>366</v>
      </c>
      <c r="S1259" s="52" t="s">
        <v>673</v>
      </c>
      <c r="T1259" s="49" t="s">
        <v>1821</v>
      </c>
      <c r="U1259" s="52" t="s">
        <v>1824</v>
      </c>
      <c r="V1259" s="50" t="s">
        <v>1826</v>
      </c>
    </row>
    <row r="1260" spans="1:22" x14ac:dyDescent="0.3">
      <c r="A1260" s="20" t="s">
        <v>2446</v>
      </c>
      <c r="B1260" s="32" t="s">
        <v>56</v>
      </c>
      <c r="C1260" s="7" t="s">
        <v>2450</v>
      </c>
      <c r="D1260" s="32" t="s">
        <v>673</v>
      </c>
      <c r="E1260" s="7"/>
      <c r="F1260" s="32" t="s">
        <v>675</v>
      </c>
      <c r="G1260" s="32" t="s">
        <v>676</v>
      </c>
      <c r="H1260" s="32" t="s">
        <v>677</v>
      </c>
      <c r="I1260" s="49" t="s">
        <v>678</v>
      </c>
      <c r="J1260" s="7" t="s">
        <v>689</v>
      </c>
      <c r="K1260" s="32" t="s">
        <v>690</v>
      </c>
      <c r="L1260" s="32" t="s">
        <v>681</v>
      </c>
      <c r="M1260" s="32">
        <v>0.1</v>
      </c>
      <c r="N1260" s="49" t="s">
        <v>56</v>
      </c>
      <c r="O1260" s="49" t="s">
        <v>665</v>
      </c>
      <c r="P1260" s="49" t="s">
        <v>711</v>
      </c>
      <c r="Q1260" s="49"/>
      <c r="R1260" s="49" t="s">
        <v>366</v>
      </c>
      <c r="S1260" s="52" t="s">
        <v>673</v>
      </c>
      <c r="T1260" s="49" t="s">
        <v>1821</v>
      </c>
      <c r="U1260" s="52" t="s">
        <v>1824</v>
      </c>
      <c r="V1260" s="50" t="s">
        <v>1826</v>
      </c>
    </row>
    <row r="1261" spans="1:22" x14ac:dyDescent="0.3">
      <c r="A1261" s="20" t="s">
        <v>2447</v>
      </c>
      <c r="B1261" s="32" t="s">
        <v>56</v>
      </c>
      <c r="C1261" s="7" t="s">
        <v>2451</v>
      </c>
      <c r="D1261" s="32" t="s">
        <v>673</v>
      </c>
      <c r="E1261" s="7"/>
      <c r="F1261" s="32" t="s">
        <v>675</v>
      </c>
      <c r="G1261" s="32" t="s">
        <v>676</v>
      </c>
      <c r="H1261" s="7" t="s">
        <v>935</v>
      </c>
      <c r="I1261" s="49" t="s">
        <v>678</v>
      </c>
      <c r="J1261" s="7" t="s">
        <v>689</v>
      </c>
      <c r="K1261" s="32" t="s">
        <v>690</v>
      </c>
      <c r="L1261" s="32" t="s">
        <v>681</v>
      </c>
      <c r="M1261" s="32">
        <v>0.1</v>
      </c>
      <c r="N1261" s="49" t="s">
        <v>56</v>
      </c>
      <c r="O1261" s="49" t="s">
        <v>665</v>
      </c>
      <c r="P1261" s="49" t="s">
        <v>711</v>
      </c>
      <c r="Q1261" s="49"/>
      <c r="R1261" s="49" t="s">
        <v>366</v>
      </c>
      <c r="S1261" s="52" t="s">
        <v>673</v>
      </c>
      <c r="T1261" s="49" t="s">
        <v>1821</v>
      </c>
      <c r="U1261" s="52" t="s">
        <v>1824</v>
      </c>
      <c r="V1261" s="50" t="s">
        <v>1826</v>
      </c>
    </row>
    <row r="1262" spans="1:22" x14ac:dyDescent="0.3">
      <c r="A1262" s="20" t="s">
        <v>1314</v>
      </c>
      <c r="B1262" s="7" t="s">
        <v>154</v>
      </c>
      <c r="C1262" s="7" t="s">
        <v>1315</v>
      </c>
      <c r="D1262" s="32" t="s">
        <v>673</v>
      </c>
      <c r="E1262" s="7"/>
      <c r="F1262" s="32" t="s">
        <v>675</v>
      </c>
      <c r="G1262" s="32" t="s">
        <v>676</v>
      </c>
      <c r="H1262" s="7" t="s">
        <v>702</v>
      </c>
      <c r="I1262" s="7" t="s">
        <v>697</v>
      </c>
      <c r="J1262" s="30" t="s">
        <v>713</v>
      </c>
      <c r="K1262" s="30" t="s">
        <v>690</v>
      </c>
      <c r="L1262" s="32" t="s">
        <v>691</v>
      </c>
      <c r="M1262" s="32">
        <v>0.5</v>
      </c>
      <c r="N1262" s="49" t="s">
        <v>1316</v>
      </c>
      <c r="O1262" s="52" t="s">
        <v>767</v>
      </c>
      <c r="P1262" s="52" t="s">
        <v>746</v>
      </c>
      <c r="Q1262" s="52"/>
      <c r="R1262" s="52" t="s">
        <v>633</v>
      </c>
      <c r="S1262" s="49" t="s">
        <v>755</v>
      </c>
      <c r="T1262" s="52" t="s">
        <v>1821</v>
      </c>
      <c r="U1262" s="52" t="s">
        <v>1824</v>
      </c>
      <c r="V1262" s="53" t="s">
        <v>1823</v>
      </c>
    </row>
    <row r="1263" spans="1:22" x14ac:dyDescent="0.3">
      <c r="A1263" s="31" t="s">
        <v>1209</v>
      </c>
      <c r="B1263" s="32" t="s">
        <v>707</v>
      </c>
      <c r="C1263" s="32" t="s">
        <v>715</v>
      </c>
      <c r="D1263" s="32" t="s">
        <v>755</v>
      </c>
      <c r="E1263" s="32" t="s">
        <v>674</v>
      </c>
      <c r="F1263" s="32" t="s">
        <v>716</v>
      </c>
      <c r="G1263" s="32" t="s">
        <v>717</v>
      </c>
      <c r="H1263" s="32" t="s">
        <v>717</v>
      </c>
      <c r="I1263" s="32" t="s">
        <v>717</v>
      </c>
      <c r="J1263" s="32" t="s">
        <v>679</v>
      </c>
      <c r="K1263" s="32" t="s">
        <v>680</v>
      </c>
      <c r="L1263" s="32" t="s">
        <v>699</v>
      </c>
      <c r="M1263" s="32">
        <v>0.65</v>
      </c>
      <c r="N1263" s="52" t="s">
        <v>290</v>
      </c>
      <c r="O1263" s="52" t="s">
        <v>665</v>
      </c>
      <c r="P1263" s="52" t="s">
        <v>746</v>
      </c>
      <c r="Q1263" s="52" t="s">
        <v>683</v>
      </c>
      <c r="R1263" s="52" t="s">
        <v>1211</v>
      </c>
      <c r="S1263" s="49" t="s">
        <v>755</v>
      </c>
      <c r="T1263" s="52" t="s">
        <v>1821</v>
      </c>
      <c r="U1263" s="52" t="s">
        <v>1824</v>
      </c>
      <c r="V1263" s="53" t="s">
        <v>1823</v>
      </c>
    </row>
    <row r="1264" spans="1:22" x14ac:dyDescent="0.3">
      <c r="A1264" s="29" t="s">
        <v>1243</v>
      </c>
      <c r="B1264" s="30" t="s">
        <v>1239</v>
      </c>
      <c r="C1264" s="30" t="s">
        <v>1244</v>
      </c>
      <c r="D1264" s="30" t="s">
        <v>684</v>
      </c>
      <c r="E1264" s="30" t="s">
        <v>674</v>
      </c>
      <c r="F1264" s="30" t="s">
        <v>675</v>
      </c>
      <c r="G1264" s="30" t="s">
        <v>676</v>
      </c>
      <c r="H1264" s="30" t="s">
        <v>677</v>
      </c>
      <c r="I1264" s="49" t="s">
        <v>688</v>
      </c>
      <c r="J1264" s="30" t="s">
        <v>860</v>
      </c>
      <c r="K1264" s="30" t="s">
        <v>861</v>
      </c>
      <c r="L1264" s="30" t="s">
        <v>739</v>
      </c>
      <c r="M1264" s="30">
        <v>0.5</v>
      </c>
      <c r="N1264" s="52" t="s">
        <v>2188</v>
      </c>
      <c r="O1264" s="49" t="s">
        <v>767</v>
      </c>
      <c r="P1264" s="52" t="s">
        <v>746</v>
      </c>
      <c r="Q1264" s="49" t="s">
        <v>683</v>
      </c>
      <c r="R1264" s="49" t="s">
        <v>1242</v>
      </c>
      <c r="S1264" s="52" t="s">
        <v>673</v>
      </c>
      <c r="T1264" s="49" t="s">
        <v>1821</v>
      </c>
      <c r="U1264" s="52" t="s">
        <v>1824</v>
      </c>
      <c r="V1264" s="50" t="s">
        <v>1823</v>
      </c>
    </row>
    <row r="1265" spans="1:22" x14ac:dyDescent="0.3">
      <c r="A1265" s="20" t="s">
        <v>2453</v>
      </c>
      <c r="B1265" s="7" t="s">
        <v>43</v>
      </c>
      <c r="C1265" s="30" t="s">
        <v>773</v>
      </c>
      <c r="D1265" s="30" t="s">
        <v>684</v>
      </c>
      <c r="E1265" s="7"/>
      <c r="F1265" s="30" t="s">
        <v>773</v>
      </c>
      <c r="G1265" s="30" t="s">
        <v>773</v>
      </c>
      <c r="H1265" s="30" t="s">
        <v>773</v>
      </c>
      <c r="I1265" s="30" t="s">
        <v>773</v>
      </c>
      <c r="J1265" s="7" t="s">
        <v>1551</v>
      </c>
      <c r="K1265" s="7" t="s">
        <v>738</v>
      </c>
      <c r="L1265" s="30" t="s">
        <v>699</v>
      </c>
      <c r="M1265" s="32">
        <v>0.5</v>
      </c>
      <c r="N1265" s="52" t="s">
        <v>1831</v>
      </c>
      <c r="O1265" s="52" t="s">
        <v>665</v>
      </c>
      <c r="P1265" s="52" t="s">
        <v>746</v>
      </c>
      <c r="Q1265" s="52"/>
      <c r="R1265" s="52" t="s">
        <v>89</v>
      </c>
      <c r="S1265" s="49" t="s">
        <v>684</v>
      </c>
      <c r="T1265" s="52" t="s">
        <v>1821</v>
      </c>
      <c r="U1265" s="52" t="s">
        <v>1824</v>
      </c>
      <c r="V1265" s="53" t="s">
        <v>1826</v>
      </c>
    </row>
  </sheetData>
  <conditionalFormatting sqref="A1:V1">
    <cfRule type="expression" dxfId="2" priority="151">
      <formula>#REF!="NOT FOUND"</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02BAB-3288-437D-B30F-2FA68D9185F8}">
  <dimension ref="A1:B108"/>
  <sheetViews>
    <sheetView workbookViewId="0">
      <selection activeCell="B5" sqref="B5"/>
    </sheetView>
  </sheetViews>
  <sheetFormatPr defaultRowHeight="14.4" x14ac:dyDescent="0.3"/>
  <cols>
    <col min="1" max="1" width="24.44140625" bestFit="1" customWidth="1"/>
    <col min="2" max="2" width="21.5546875" bestFit="1" customWidth="1"/>
  </cols>
  <sheetData>
    <row r="1" spans="1:2" x14ac:dyDescent="0.3">
      <c r="A1" s="6" t="s">
        <v>668</v>
      </c>
      <c r="B1" t="s">
        <v>1849</v>
      </c>
    </row>
    <row r="2" spans="1:2" x14ac:dyDescent="0.3">
      <c r="A2" s="6" t="s">
        <v>670</v>
      </c>
      <c r="B2" t="s">
        <v>1850</v>
      </c>
    </row>
    <row r="3" spans="1:2" x14ac:dyDescent="0.3">
      <c r="A3" s="6" t="s">
        <v>662</v>
      </c>
      <c r="B3" t="s">
        <v>1849</v>
      </c>
    </row>
    <row r="5" spans="1:2" x14ac:dyDescent="0.3">
      <c r="A5" s="6" t="s">
        <v>24</v>
      </c>
      <c r="B5" t="s">
        <v>25</v>
      </c>
    </row>
    <row r="6" spans="1:2" x14ac:dyDescent="0.3">
      <c r="A6" s="7" t="s">
        <v>48</v>
      </c>
      <c r="B6">
        <v>1</v>
      </c>
    </row>
    <row r="7" spans="1:2" x14ac:dyDescent="0.3">
      <c r="A7" s="7" t="s">
        <v>1851</v>
      </c>
      <c r="B7">
        <v>1</v>
      </c>
    </row>
    <row r="8" spans="1:2" x14ac:dyDescent="0.3">
      <c r="A8" s="7" t="s">
        <v>73</v>
      </c>
      <c r="B8">
        <v>1</v>
      </c>
    </row>
    <row r="9" spans="1:2" x14ac:dyDescent="0.3">
      <c r="A9" s="7" t="s">
        <v>76</v>
      </c>
      <c r="B9">
        <v>1</v>
      </c>
    </row>
    <row r="10" spans="1:2" x14ac:dyDescent="0.3">
      <c r="A10" s="7" t="s">
        <v>1852</v>
      </c>
      <c r="B10">
        <v>0.79999999999999993</v>
      </c>
    </row>
    <row r="11" spans="1:2" x14ac:dyDescent="0.3">
      <c r="A11" s="7" t="s">
        <v>83</v>
      </c>
      <c r="B11">
        <v>1</v>
      </c>
    </row>
    <row r="12" spans="1:2" x14ac:dyDescent="0.3">
      <c r="A12" s="7" t="s">
        <v>89</v>
      </c>
      <c r="B12">
        <v>1</v>
      </c>
    </row>
    <row r="13" spans="1:2" x14ac:dyDescent="0.3">
      <c r="A13" s="7" t="s">
        <v>94</v>
      </c>
      <c r="B13">
        <v>0.99999999999999989</v>
      </c>
    </row>
    <row r="14" spans="1:2" x14ac:dyDescent="0.3">
      <c r="A14" s="7" t="s">
        <v>1853</v>
      </c>
      <c r="B14">
        <v>1</v>
      </c>
    </row>
    <row r="15" spans="1:2" x14ac:dyDescent="0.3">
      <c r="A15" s="7" t="s">
        <v>1854</v>
      </c>
      <c r="B15">
        <v>0.60000000000000009</v>
      </c>
    </row>
    <row r="16" spans="1:2" x14ac:dyDescent="0.3">
      <c r="A16" s="7" t="s">
        <v>1855</v>
      </c>
      <c r="B16">
        <v>1</v>
      </c>
    </row>
    <row r="17" spans="1:2" x14ac:dyDescent="0.3">
      <c r="A17" s="7" t="s">
        <v>110</v>
      </c>
      <c r="B17">
        <v>0.99999999999999989</v>
      </c>
    </row>
    <row r="18" spans="1:2" x14ac:dyDescent="0.3">
      <c r="A18" s="7" t="s">
        <v>122</v>
      </c>
      <c r="B18">
        <v>0.7</v>
      </c>
    </row>
    <row r="19" spans="1:2" x14ac:dyDescent="0.3">
      <c r="A19" s="7" t="s">
        <v>139</v>
      </c>
      <c r="B19">
        <v>0.4</v>
      </c>
    </row>
    <row r="20" spans="1:2" x14ac:dyDescent="0.3">
      <c r="A20" s="7" t="s">
        <v>155</v>
      </c>
      <c r="B20">
        <v>0.85</v>
      </c>
    </row>
    <row r="21" spans="1:2" x14ac:dyDescent="0.3">
      <c r="A21" s="7" t="s">
        <v>1856</v>
      </c>
      <c r="B21">
        <v>1</v>
      </c>
    </row>
    <row r="22" spans="1:2" x14ac:dyDescent="0.3">
      <c r="A22" s="7" t="s">
        <v>157</v>
      </c>
      <c r="B22">
        <v>1</v>
      </c>
    </row>
    <row r="23" spans="1:2" x14ac:dyDescent="0.3">
      <c r="A23" s="7" t="s">
        <v>159</v>
      </c>
      <c r="B23">
        <v>0.8</v>
      </c>
    </row>
    <row r="24" spans="1:2" x14ac:dyDescent="0.3">
      <c r="A24" s="7" t="s">
        <v>1857</v>
      </c>
      <c r="B24">
        <v>1</v>
      </c>
    </row>
    <row r="25" spans="1:2" x14ac:dyDescent="0.3">
      <c r="A25" s="7" t="s">
        <v>176</v>
      </c>
      <c r="B25">
        <v>1</v>
      </c>
    </row>
    <row r="26" spans="1:2" x14ac:dyDescent="0.3">
      <c r="A26" s="7" t="s">
        <v>41</v>
      </c>
      <c r="B26">
        <v>1</v>
      </c>
    </row>
    <row r="27" spans="1:2" x14ac:dyDescent="0.3">
      <c r="A27" s="7" t="s">
        <v>1858</v>
      </c>
      <c r="B27">
        <v>1</v>
      </c>
    </row>
    <row r="28" spans="1:2" x14ac:dyDescent="0.3">
      <c r="A28" s="7" t="s">
        <v>191</v>
      </c>
      <c r="B28">
        <v>1</v>
      </c>
    </row>
    <row r="29" spans="1:2" x14ac:dyDescent="0.3">
      <c r="A29" s="7" t="s">
        <v>1859</v>
      </c>
      <c r="B29">
        <v>1</v>
      </c>
    </row>
    <row r="30" spans="1:2" x14ac:dyDescent="0.3">
      <c r="A30" s="7" t="s">
        <v>197</v>
      </c>
      <c r="B30">
        <v>1</v>
      </c>
    </row>
    <row r="31" spans="1:2" x14ac:dyDescent="0.3">
      <c r="A31" s="7" t="s">
        <v>1860</v>
      </c>
      <c r="B31">
        <v>1</v>
      </c>
    </row>
    <row r="32" spans="1:2" x14ac:dyDescent="0.3">
      <c r="A32" s="7" t="s">
        <v>206</v>
      </c>
      <c r="B32">
        <v>1</v>
      </c>
    </row>
    <row r="33" spans="1:2" x14ac:dyDescent="0.3">
      <c r="A33" s="7" t="s">
        <v>213</v>
      </c>
      <c r="B33">
        <v>1</v>
      </c>
    </row>
    <row r="34" spans="1:2" x14ac:dyDescent="0.3">
      <c r="A34" s="7" t="s">
        <v>1861</v>
      </c>
      <c r="B34">
        <v>0.5</v>
      </c>
    </row>
    <row r="35" spans="1:2" x14ac:dyDescent="0.3">
      <c r="A35" s="7" t="s">
        <v>217</v>
      </c>
      <c r="B35">
        <v>1</v>
      </c>
    </row>
    <row r="36" spans="1:2" x14ac:dyDescent="0.3">
      <c r="A36" s="7" t="s">
        <v>244</v>
      </c>
      <c r="B36">
        <v>0.85</v>
      </c>
    </row>
    <row r="37" spans="1:2" x14ac:dyDescent="0.3">
      <c r="A37" s="7" t="s">
        <v>248</v>
      </c>
      <c r="B37">
        <v>1</v>
      </c>
    </row>
    <row r="38" spans="1:2" x14ac:dyDescent="0.3">
      <c r="A38" s="7" t="s">
        <v>1862</v>
      </c>
      <c r="B38">
        <v>1</v>
      </c>
    </row>
    <row r="39" spans="1:2" x14ac:dyDescent="0.3">
      <c r="A39" s="7" t="s">
        <v>249</v>
      </c>
      <c r="B39">
        <v>1</v>
      </c>
    </row>
    <row r="40" spans="1:2" x14ac:dyDescent="0.3">
      <c r="A40" s="7" t="s">
        <v>254</v>
      </c>
      <c r="B40">
        <v>0.4</v>
      </c>
    </row>
    <row r="41" spans="1:2" x14ac:dyDescent="0.3">
      <c r="A41" s="7" t="s">
        <v>1863</v>
      </c>
      <c r="B41">
        <v>1</v>
      </c>
    </row>
    <row r="42" spans="1:2" x14ac:dyDescent="0.3">
      <c r="A42" s="7" t="s">
        <v>1864</v>
      </c>
      <c r="B42">
        <v>1</v>
      </c>
    </row>
    <row r="43" spans="1:2" x14ac:dyDescent="0.3">
      <c r="A43" s="7" t="s">
        <v>1865</v>
      </c>
      <c r="B43">
        <v>1.25</v>
      </c>
    </row>
    <row r="44" spans="1:2" x14ac:dyDescent="0.3">
      <c r="A44" s="7" t="s">
        <v>275</v>
      </c>
      <c r="B44">
        <v>1</v>
      </c>
    </row>
    <row r="45" spans="1:2" x14ac:dyDescent="0.3">
      <c r="A45" s="7" t="s">
        <v>1866</v>
      </c>
      <c r="B45">
        <v>1</v>
      </c>
    </row>
    <row r="46" spans="1:2" x14ac:dyDescent="0.3">
      <c r="A46" s="7" t="s">
        <v>291</v>
      </c>
      <c r="B46">
        <v>1</v>
      </c>
    </row>
    <row r="47" spans="1:2" x14ac:dyDescent="0.3">
      <c r="A47" s="7" t="s">
        <v>302</v>
      </c>
      <c r="B47">
        <v>1</v>
      </c>
    </row>
    <row r="48" spans="1:2" x14ac:dyDescent="0.3">
      <c r="A48" s="7" t="s">
        <v>1867</v>
      </c>
      <c r="B48">
        <v>1</v>
      </c>
    </row>
    <row r="49" spans="1:2" x14ac:dyDescent="0.3">
      <c r="A49" s="7" t="s">
        <v>1868</v>
      </c>
      <c r="B49">
        <v>1</v>
      </c>
    </row>
    <row r="50" spans="1:2" x14ac:dyDescent="0.3">
      <c r="A50" s="7" t="s">
        <v>321</v>
      </c>
      <c r="B50">
        <v>1</v>
      </c>
    </row>
    <row r="51" spans="1:2" x14ac:dyDescent="0.3">
      <c r="A51" s="7" t="s">
        <v>1869</v>
      </c>
      <c r="B51">
        <v>0.99999999999999989</v>
      </c>
    </row>
    <row r="52" spans="1:2" x14ac:dyDescent="0.3">
      <c r="A52" s="7" t="s">
        <v>333</v>
      </c>
      <c r="B52">
        <v>1</v>
      </c>
    </row>
    <row r="53" spans="1:2" x14ac:dyDescent="0.3">
      <c r="A53" s="7" t="s">
        <v>1870</v>
      </c>
      <c r="B53">
        <v>0.8</v>
      </c>
    </row>
    <row r="54" spans="1:2" x14ac:dyDescent="0.3">
      <c r="A54" s="7" t="s">
        <v>1871</v>
      </c>
      <c r="B54">
        <v>1</v>
      </c>
    </row>
    <row r="55" spans="1:2" x14ac:dyDescent="0.3">
      <c r="A55" s="7" t="s">
        <v>344</v>
      </c>
      <c r="B55">
        <v>1</v>
      </c>
    </row>
    <row r="56" spans="1:2" x14ac:dyDescent="0.3">
      <c r="A56" s="7" t="s">
        <v>349</v>
      </c>
      <c r="B56">
        <v>1</v>
      </c>
    </row>
    <row r="57" spans="1:2" x14ac:dyDescent="0.3">
      <c r="A57" s="7" t="s">
        <v>43</v>
      </c>
      <c r="B57">
        <v>1</v>
      </c>
    </row>
    <row r="58" spans="1:2" x14ac:dyDescent="0.3">
      <c r="A58" s="7" t="s">
        <v>1872</v>
      </c>
      <c r="B58">
        <v>1</v>
      </c>
    </row>
    <row r="59" spans="1:2" x14ac:dyDescent="0.3">
      <c r="A59" s="7" t="s">
        <v>365</v>
      </c>
      <c r="B59">
        <v>1</v>
      </c>
    </row>
    <row r="60" spans="1:2" x14ac:dyDescent="0.3">
      <c r="A60" s="7" t="s">
        <v>380</v>
      </c>
      <c r="B60">
        <v>0.5</v>
      </c>
    </row>
    <row r="61" spans="1:2" x14ac:dyDescent="0.3">
      <c r="A61" s="7" t="s">
        <v>368</v>
      </c>
      <c r="B61">
        <v>1</v>
      </c>
    </row>
    <row r="62" spans="1:2" x14ac:dyDescent="0.3">
      <c r="A62" s="7" t="s">
        <v>369</v>
      </c>
      <c r="B62">
        <v>1</v>
      </c>
    </row>
    <row r="63" spans="1:2" x14ac:dyDescent="0.3">
      <c r="A63" s="7" t="s">
        <v>1873</v>
      </c>
      <c r="B63">
        <v>1</v>
      </c>
    </row>
    <row r="64" spans="1:2" x14ac:dyDescent="0.3">
      <c r="A64" s="7" t="s">
        <v>1874</v>
      </c>
      <c r="B64">
        <v>1</v>
      </c>
    </row>
    <row r="65" spans="1:2" x14ac:dyDescent="0.3">
      <c r="A65" s="7" t="s">
        <v>375</v>
      </c>
      <c r="B65">
        <v>1</v>
      </c>
    </row>
    <row r="66" spans="1:2" x14ac:dyDescent="0.3">
      <c r="A66" s="7" t="s">
        <v>393</v>
      </c>
      <c r="B66">
        <v>1</v>
      </c>
    </row>
    <row r="67" spans="1:2" x14ac:dyDescent="0.3">
      <c r="A67" s="7" t="s">
        <v>394</v>
      </c>
      <c r="B67">
        <v>1</v>
      </c>
    </row>
    <row r="68" spans="1:2" x14ac:dyDescent="0.3">
      <c r="A68" s="7" t="s">
        <v>1875</v>
      </c>
      <c r="B68">
        <v>1</v>
      </c>
    </row>
    <row r="69" spans="1:2" x14ac:dyDescent="0.3">
      <c r="A69" s="7" t="s">
        <v>1876</v>
      </c>
      <c r="B69">
        <v>1</v>
      </c>
    </row>
    <row r="70" spans="1:2" x14ac:dyDescent="0.3">
      <c r="A70" s="7" t="s">
        <v>1877</v>
      </c>
      <c r="B70">
        <v>0.4</v>
      </c>
    </row>
    <row r="71" spans="1:2" x14ac:dyDescent="0.3">
      <c r="A71" s="7" t="s">
        <v>1878</v>
      </c>
      <c r="B71">
        <v>1</v>
      </c>
    </row>
    <row r="72" spans="1:2" x14ac:dyDescent="0.3">
      <c r="A72" s="7" t="s">
        <v>1879</v>
      </c>
      <c r="B72">
        <v>1</v>
      </c>
    </row>
    <row r="73" spans="1:2" x14ac:dyDescent="0.3">
      <c r="A73" s="7" t="s">
        <v>1880</v>
      </c>
      <c r="B73">
        <v>1</v>
      </c>
    </row>
    <row r="74" spans="1:2" x14ac:dyDescent="0.3">
      <c r="A74" s="7" t="s">
        <v>1881</v>
      </c>
      <c r="B74">
        <v>1</v>
      </c>
    </row>
    <row r="75" spans="1:2" x14ac:dyDescent="0.3">
      <c r="A75" s="7" t="s">
        <v>1882</v>
      </c>
      <c r="B75">
        <v>1.1000000000000001</v>
      </c>
    </row>
    <row r="76" spans="1:2" x14ac:dyDescent="0.3">
      <c r="A76" s="7" t="s">
        <v>1883</v>
      </c>
      <c r="B76">
        <v>1</v>
      </c>
    </row>
    <row r="77" spans="1:2" x14ac:dyDescent="0.3">
      <c r="A77" s="7" t="s">
        <v>444</v>
      </c>
      <c r="B77">
        <v>1</v>
      </c>
    </row>
    <row r="78" spans="1:2" x14ac:dyDescent="0.3">
      <c r="A78" s="7" t="s">
        <v>449</v>
      </c>
      <c r="B78">
        <v>0.3</v>
      </c>
    </row>
    <row r="79" spans="1:2" x14ac:dyDescent="0.3">
      <c r="A79" s="7" t="s">
        <v>1884</v>
      </c>
      <c r="B79">
        <v>1</v>
      </c>
    </row>
    <row r="80" spans="1:2" x14ac:dyDescent="0.3">
      <c r="A80" s="7" t="s">
        <v>1885</v>
      </c>
      <c r="B80">
        <v>1</v>
      </c>
    </row>
    <row r="81" spans="1:2" x14ac:dyDescent="0.3">
      <c r="A81" s="7" t="s">
        <v>456</v>
      </c>
      <c r="B81">
        <v>1</v>
      </c>
    </row>
    <row r="82" spans="1:2" x14ac:dyDescent="0.3">
      <c r="A82" s="7" t="s">
        <v>458</v>
      </c>
      <c r="B82">
        <v>1</v>
      </c>
    </row>
    <row r="83" spans="1:2" x14ac:dyDescent="0.3">
      <c r="A83" s="7" t="s">
        <v>1886</v>
      </c>
      <c r="B83">
        <v>0.5</v>
      </c>
    </row>
    <row r="84" spans="1:2" x14ac:dyDescent="0.3">
      <c r="A84" s="7" t="s">
        <v>470</v>
      </c>
      <c r="B84">
        <v>1</v>
      </c>
    </row>
    <row r="85" spans="1:2" x14ac:dyDescent="0.3">
      <c r="A85" s="7" t="s">
        <v>471</v>
      </c>
      <c r="B85">
        <v>0.60000000000000009</v>
      </c>
    </row>
    <row r="86" spans="1:2" x14ac:dyDescent="0.3">
      <c r="A86" s="7" t="s">
        <v>1887</v>
      </c>
      <c r="B86">
        <v>1</v>
      </c>
    </row>
    <row r="87" spans="1:2" x14ac:dyDescent="0.3">
      <c r="A87" s="7" t="s">
        <v>1888</v>
      </c>
      <c r="B87">
        <v>1</v>
      </c>
    </row>
    <row r="88" spans="1:2" x14ac:dyDescent="0.3">
      <c r="A88" s="7" t="s">
        <v>490</v>
      </c>
      <c r="B88">
        <v>0.1</v>
      </c>
    </row>
    <row r="89" spans="1:2" x14ac:dyDescent="0.3">
      <c r="A89" s="7" t="s">
        <v>514</v>
      </c>
      <c r="B89">
        <v>1.0999999999999999</v>
      </c>
    </row>
    <row r="90" spans="1:2" x14ac:dyDescent="0.3">
      <c r="A90" s="7" t="s">
        <v>498</v>
      </c>
      <c r="B90">
        <v>0.75</v>
      </c>
    </row>
    <row r="91" spans="1:2" x14ac:dyDescent="0.3">
      <c r="A91" s="7" t="s">
        <v>512</v>
      </c>
      <c r="B91">
        <v>1</v>
      </c>
    </row>
    <row r="92" spans="1:2" x14ac:dyDescent="0.3">
      <c r="A92" s="7" t="s">
        <v>516</v>
      </c>
      <c r="B92">
        <v>0.99999999999999989</v>
      </c>
    </row>
    <row r="93" spans="1:2" x14ac:dyDescent="0.3">
      <c r="A93" s="7" t="s">
        <v>518</v>
      </c>
      <c r="B93">
        <v>1</v>
      </c>
    </row>
    <row r="94" spans="1:2" x14ac:dyDescent="0.3">
      <c r="A94" s="7" t="s">
        <v>1889</v>
      </c>
      <c r="B94">
        <v>1</v>
      </c>
    </row>
    <row r="95" spans="1:2" x14ac:dyDescent="0.3">
      <c r="A95" s="7" t="s">
        <v>544</v>
      </c>
      <c r="B95">
        <v>1</v>
      </c>
    </row>
    <row r="96" spans="1:2" x14ac:dyDescent="0.3">
      <c r="A96" s="7" t="s">
        <v>546</v>
      </c>
      <c r="B96">
        <v>1</v>
      </c>
    </row>
    <row r="97" spans="1:2" x14ac:dyDescent="0.3">
      <c r="A97" s="7" t="s">
        <v>548</v>
      </c>
      <c r="B97">
        <v>1</v>
      </c>
    </row>
    <row r="98" spans="1:2" x14ac:dyDescent="0.3">
      <c r="A98" s="7" t="s">
        <v>1890</v>
      </c>
      <c r="B98">
        <v>0.8</v>
      </c>
    </row>
    <row r="99" spans="1:2" x14ac:dyDescent="0.3">
      <c r="A99" s="7" t="s">
        <v>556</v>
      </c>
      <c r="B99">
        <v>0.4</v>
      </c>
    </row>
    <row r="100" spans="1:2" x14ac:dyDescent="0.3">
      <c r="A100" s="7" t="s">
        <v>557</v>
      </c>
      <c r="B100">
        <v>1</v>
      </c>
    </row>
    <row r="101" spans="1:2" x14ac:dyDescent="0.3">
      <c r="A101" s="7" t="s">
        <v>1891</v>
      </c>
      <c r="B101">
        <v>1.0999999999999999</v>
      </c>
    </row>
    <row r="102" spans="1:2" x14ac:dyDescent="0.3">
      <c r="A102" s="7" t="s">
        <v>1892</v>
      </c>
      <c r="B102">
        <v>0.75</v>
      </c>
    </row>
    <row r="103" spans="1:2" x14ac:dyDescent="0.3">
      <c r="A103" s="7" t="s">
        <v>580</v>
      </c>
      <c r="B103">
        <v>1</v>
      </c>
    </row>
    <row r="104" spans="1:2" x14ac:dyDescent="0.3">
      <c r="A104" s="7" t="s">
        <v>586</v>
      </c>
      <c r="B104">
        <v>1</v>
      </c>
    </row>
    <row r="105" spans="1:2" x14ac:dyDescent="0.3">
      <c r="A105" s="7" t="s">
        <v>1893</v>
      </c>
      <c r="B105">
        <v>0.6</v>
      </c>
    </row>
    <row r="106" spans="1:2" x14ac:dyDescent="0.3">
      <c r="A106" s="7" t="s">
        <v>1894</v>
      </c>
      <c r="B106">
        <v>1</v>
      </c>
    </row>
    <row r="107" spans="1:2" x14ac:dyDescent="0.3">
      <c r="A107" s="7" t="s">
        <v>1895</v>
      </c>
      <c r="B107">
        <v>1</v>
      </c>
    </row>
    <row r="108" spans="1:2" x14ac:dyDescent="0.3">
      <c r="A108" s="7" t="s">
        <v>26</v>
      </c>
      <c r="B108">
        <v>93.94999999999996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4DA4E-8AE6-446C-8203-C61204EE4864}">
  <dimension ref="A1:R84"/>
  <sheetViews>
    <sheetView workbookViewId="0">
      <selection activeCell="A2" sqref="A2"/>
    </sheetView>
  </sheetViews>
  <sheetFormatPr defaultRowHeight="14.4" x14ac:dyDescent="0.3"/>
  <cols>
    <col min="1" max="1" width="16.44140625" customWidth="1"/>
    <col min="3" max="3" width="23.5546875" customWidth="1"/>
    <col min="14" max="14" width="15.44140625" customWidth="1"/>
    <col min="15" max="15" width="13.5546875" bestFit="1" customWidth="1"/>
    <col min="16" max="16" width="11" bestFit="1" customWidth="1"/>
    <col min="17" max="17" width="18.44140625" bestFit="1" customWidth="1"/>
    <col min="18" max="18" width="34" bestFit="1" customWidth="1"/>
  </cols>
  <sheetData>
    <row r="1" spans="1:18" x14ac:dyDescent="0.3">
      <c r="A1" s="11" t="s">
        <v>652</v>
      </c>
      <c r="B1" s="12" t="s">
        <v>653</v>
      </c>
      <c r="C1" s="12" t="s">
        <v>654</v>
      </c>
      <c r="D1" s="12" t="s">
        <v>655</v>
      </c>
      <c r="E1" s="12" t="s">
        <v>656</v>
      </c>
      <c r="F1" s="1" t="s">
        <v>657</v>
      </c>
      <c r="G1" s="1" t="s">
        <v>658</v>
      </c>
      <c r="H1" s="1" t="s">
        <v>659</v>
      </c>
      <c r="I1" s="1" t="s">
        <v>660</v>
      </c>
      <c r="J1" s="1" t="s">
        <v>661</v>
      </c>
      <c r="K1" s="1" t="s">
        <v>662</v>
      </c>
      <c r="L1" s="1" t="s">
        <v>663</v>
      </c>
      <c r="M1" s="1" t="s">
        <v>664</v>
      </c>
      <c r="N1" s="1" t="s">
        <v>665</v>
      </c>
      <c r="O1" s="1" t="s">
        <v>666</v>
      </c>
      <c r="P1" s="1" t="s">
        <v>667</v>
      </c>
      <c r="Q1" s="1" t="s">
        <v>668</v>
      </c>
      <c r="R1" s="17" t="s">
        <v>1896</v>
      </c>
    </row>
    <row r="2" spans="1:18" x14ac:dyDescent="0.3">
      <c r="A2" s="20"/>
      <c r="B2" s="7"/>
      <c r="C2" s="7"/>
      <c r="D2" s="7"/>
      <c r="E2" s="7"/>
      <c r="F2" s="7"/>
      <c r="G2" s="7"/>
      <c r="H2" s="7"/>
      <c r="I2" s="7"/>
      <c r="J2" s="7"/>
      <c r="K2" s="7"/>
      <c r="L2" s="7"/>
      <c r="M2" s="7"/>
      <c r="N2" s="7"/>
      <c r="O2" s="7"/>
      <c r="P2" s="7"/>
      <c r="Q2" s="7"/>
    </row>
    <row r="3" spans="1:18" x14ac:dyDescent="0.3">
      <c r="A3" s="20"/>
      <c r="B3" s="7"/>
      <c r="C3" s="7"/>
      <c r="D3" s="7"/>
      <c r="E3" s="7"/>
      <c r="F3" s="7"/>
      <c r="G3" s="7"/>
      <c r="H3" s="7"/>
      <c r="I3" s="7"/>
      <c r="J3" s="7"/>
      <c r="K3" s="7"/>
      <c r="L3" s="7"/>
      <c r="M3" s="7"/>
      <c r="N3" s="7"/>
      <c r="O3" s="7"/>
      <c r="P3" s="7"/>
      <c r="Q3" s="7"/>
    </row>
    <row r="4" spans="1:18" x14ac:dyDescent="0.3">
      <c r="A4" s="20"/>
      <c r="B4" s="7"/>
      <c r="C4" s="7"/>
      <c r="D4" s="7"/>
      <c r="E4" s="7"/>
      <c r="F4" s="7"/>
      <c r="G4" s="7"/>
      <c r="H4" s="7"/>
      <c r="I4" s="7"/>
      <c r="J4" s="7"/>
      <c r="K4" s="7"/>
      <c r="L4" s="7"/>
      <c r="M4" s="7"/>
      <c r="N4" s="7"/>
      <c r="O4" s="7"/>
      <c r="P4" s="7"/>
      <c r="Q4" s="7"/>
    </row>
    <row r="5" spans="1:18" x14ac:dyDescent="0.3">
      <c r="A5" s="20"/>
      <c r="B5" s="7"/>
      <c r="C5" s="7"/>
      <c r="D5" s="7"/>
      <c r="E5" s="7"/>
      <c r="F5" s="7"/>
      <c r="G5" s="7"/>
      <c r="H5" s="7"/>
      <c r="I5" s="7"/>
      <c r="J5" s="7"/>
      <c r="K5" s="7"/>
      <c r="L5" s="7"/>
      <c r="M5" s="7"/>
      <c r="N5" s="7"/>
      <c r="O5" s="7"/>
      <c r="P5" s="7"/>
      <c r="Q5" s="7"/>
    </row>
    <row r="6" spans="1:18" x14ac:dyDescent="0.3">
      <c r="A6" s="20"/>
      <c r="B6" s="7"/>
      <c r="C6" s="7"/>
      <c r="D6" s="7"/>
      <c r="E6" s="7"/>
      <c r="F6" s="7"/>
      <c r="G6" s="7"/>
      <c r="H6" s="7"/>
      <c r="I6" s="7"/>
      <c r="J6" s="7"/>
      <c r="K6" s="7"/>
      <c r="L6" s="7"/>
      <c r="M6" s="7"/>
      <c r="N6" s="7"/>
      <c r="O6" s="7"/>
      <c r="P6" s="7"/>
      <c r="Q6" s="7"/>
    </row>
    <row r="7" spans="1:18" x14ac:dyDescent="0.3">
      <c r="A7" s="20"/>
      <c r="B7" s="7"/>
      <c r="C7" s="7"/>
      <c r="D7" s="7"/>
      <c r="E7" s="7"/>
      <c r="F7" s="7"/>
      <c r="G7" s="7"/>
      <c r="H7" s="7"/>
      <c r="I7" s="7"/>
      <c r="J7" s="7"/>
      <c r="K7" s="7"/>
      <c r="L7" s="7"/>
      <c r="M7" s="7"/>
      <c r="N7" s="7"/>
      <c r="O7" s="7"/>
      <c r="P7" s="7"/>
      <c r="Q7" s="7"/>
    </row>
    <row r="8" spans="1:18" x14ac:dyDescent="0.3">
      <c r="A8" s="20"/>
      <c r="B8" s="7"/>
      <c r="C8" s="7"/>
      <c r="D8" s="7"/>
      <c r="E8" s="7"/>
      <c r="F8" s="7"/>
      <c r="G8" s="7"/>
      <c r="H8" s="7"/>
      <c r="I8" s="7"/>
      <c r="J8" s="7"/>
      <c r="K8" s="7"/>
      <c r="L8" s="7"/>
      <c r="M8" s="7"/>
      <c r="N8" s="7"/>
      <c r="O8" s="7"/>
      <c r="P8" s="7"/>
      <c r="Q8" s="7"/>
    </row>
    <row r="9" spans="1:18" x14ac:dyDescent="0.3">
      <c r="A9" s="20"/>
      <c r="B9" s="7"/>
      <c r="C9" s="7"/>
      <c r="D9" s="7"/>
      <c r="E9" s="7"/>
      <c r="F9" s="7"/>
      <c r="G9" s="7"/>
      <c r="H9" s="7"/>
      <c r="I9" s="7"/>
      <c r="J9" s="7"/>
      <c r="K9" s="7"/>
      <c r="L9" s="7"/>
      <c r="M9" s="7"/>
      <c r="N9" s="7"/>
      <c r="O9" s="7"/>
      <c r="P9" s="7"/>
      <c r="Q9" s="7"/>
    </row>
    <row r="10" spans="1:18" x14ac:dyDescent="0.3">
      <c r="A10" s="20"/>
      <c r="B10" s="7"/>
      <c r="C10" s="7"/>
      <c r="D10" s="7"/>
      <c r="E10" s="7"/>
      <c r="F10" s="7"/>
      <c r="G10" s="7"/>
      <c r="H10" s="7"/>
      <c r="I10" s="7"/>
      <c r="J10" s="7"/>
      <c r="K10" s="7"/>
      <c r="L10" s="7"/>
      <c r="M10" s="7"/>
      <c r="N10" s="7"/>
      <c r="O10" s="7"/>
      <c r="P10" s="7"/>
      <c r="Q10" s="7"/>
    </row>
    <row r="11" spans="1:18" x14ac:dyDescent="0.3">
      <c r="A11" s="20"/>
      <c r="B11" s="7"/>
      <c r="C11" s="7"/>
      <c r="D11" s="7"/>
      <c r="E11" s="7"/>
      <c r="F11" s="7"/>
      <c r="G11" s="7"/>
      <c r="H11" s="7"/>
      <c r="I11" s="7"/>
      <c r="J11" s="7"/>
      <c r="K11" s="7"/>
      <c r="L11" s="7"/>
      <c r="M11" s="7"/>
      <c r="N11" s="7"/>
      <c r="O11" s="7"/>
      <c r="P11" s="7"/>
      <c r="Q11" s="7"/>
    </row>
    <row r="12" spans="1:18" x14ac:dyDescent="0.3">
      <c r="A12" s="20"/>
      <c r="B12" s="7"/>
      <c r="C12" s="7"/>
      <c r="D12" s="7"/>
      <c r="E12" s="7"/>
      <c r="F12" s="7"/>
      <c r="G12" s="7"/>
      <c r="H12" s="7"/>
      <c r="I12" s="7"/>
      <c r="J12" s="7"/>
      <c r="K12" s="7"/>
      <c r="L12" s="7"/>
      <c r="M12" s="7"/>
      <c r="N12" s="7"/>
      <c r="O12" s="7"/>
      <c r="P12" s="7"/>
      <c r="Q12" s="7"/>
    </row>
    <row r="13" spans="1:18" x14ac:dyDescent="0.3">
      <c r="A13" s="20"/>
      <c r="B13" s="7"/>
      <c r="C13" s="7"/>
      <c r="D13" s="7"/>
      <c r="E13" s="7"/>
      <c r="F13" s="7"/>
      <c r="G13" s="7"/>
      <c r="H13" s="7"/>
      <c r="I13" s="7"/>
      <c r="J13" s="7"/>
      <c r="K13" s="7"/>
      <c r="L13" s="7"/>
      <c r="M13" s="7"/>
      <c r="N13" s="7"/>
      <c r="O13" s="7"/>
      <c r="P13" s="7"/>
      <c r="Q13" s="7"/>
    </row>
    <row r="14" spans="1:18" x14ac:dyDescent="0.3">
      <c r="A14" s="20"/>
      <c r="B14" s="7"/>
      <c r="C14" s="7"/>
      <c r="D14" s="7"/>
      <c r="E14" s="7"/>
      <c r="F14" s="7"/>
      <c r="G14" s="7"/>
      <c r="H14" s="7"/>
      <c r="I14" s="7"/>
      <c r="J14" s="7"/>
      <c r="K14" s="7"/>
      <c r="L14" s="7"/>
      <c r="M14" s="7"/>
      <c r="N14" s="7"/>
      <c r="O14" s="7"/>
      <c r="P14" s="7"/>
      <c r="Q14" s="7"/>
    </row>
    <row r="15" spans="1:18" x14ac:dyDescent="0.3">
      <c r="A15" s="20"/>
      <c r="B15" s="7"/>
      <c r="C15" s="7"/>
      <c r="D15" s="7"/>
      <c r="E15" s="7"/>
      <c r="F15" s="7"/>
      <c r="G15" s="7"/>
      <c r="H15" s="7"/>
      <c r="I15" s="7"/>
      <c r="J15" s="7"/>
      <c r="K15" s="7"/>
      <c r="L15" s="7"/>
      <c r="M15" s="7"/>
      <c r="N15" s="7"/>
      <c r="O15" s="7"/>
      <c r="P15" s="7"/>
      <c r="Q15" s="7"/>
    </row>
    <row r="16" spans="1:18" x14ac:dyDescent="0.3">
      <c r="A16" s="20"/>
      <c r="B16" s="7"/>
      <c r="C16" s="7"/>
      <c r="D16" s="7"/>
      <c r="E16" s="7"/>
      <c r="F16" s="7"/>
      <c r="G16" s="7"/>
      <c r="H16" s="7"/>
      <c r="I16" s="7"/>
      <c r="J16" s="7"/>
      <c r="K16" s="7"/>
      <c r="L16" s="7"/>
      <c r="M16" s="7"/>
      <c r="N16" s="7"/>
      <c r="O16" s="7"/>
      <c r="P16" s="7"/>
      <c r="Q16" s="7"/>
    </row>
    <row r="17" spans="1:17" x14ac:dyDescent="0.3">
      <c r="A17" s="20"/>
      <c r="B17" s="7"/>
      <c r="C17" s="7"/>
      <c r="D17" s="7"/>
      <c r="E17" s="7"/>
      <c r="F17" s="7"/>
      <c r="G17" s="7"/>
      <c r="H17" s="7"/>
      <c r="I17" s="7"/>
      <c r="J17" s="7"/>
      <c r="K17" s="7"/>
      <c r="L17" s="7"/>
      <c r="M17" s="7"/>
      <c r="N17" s="7"/>
      <c r="O17" s="7"/>
      <c r="P17" s="7"/>
      <c r="Q17" s="7"/>
    </row>
    <row r="18" spans="1:17" x14ac:dyDescent="0.3">
      <c r="A18" s="20"/>
      <c r="B18" s="7"/>
      <c r="C18" s="7"/>
      <c r="D18" s="7"/>
      <c r="E18" s="7"/>
      <c r="F18" s="7"/>
      <c r="G18" s="7"/>
      <c r="H18" s="7"/>
      <c r="I18" s="7"/>
      <c r="J18" s="7"/>
      <c r="K18" s="7"/>
      <c r="L18" s="7"/>
      <c r="M18" s="7"/>
      <c r="N18" s="7"/>
      <c r="O18" s="7"/>
      <c r="P18" s="7"/>
      <c r="Q18" s="7"/>
    </row>
    <row r="19" spans="1:17" x14ac:dyDescent="0.3">
      <c r="A19" s="20"/>
      <c r="B19" s="7"/>
      <c r="C19" s="7"/>
      <c r="D19" s="7"/>
      <c r="E19" s="7"/>
      <c r="F19" s="7"/>
      <c r="G19" s="7"/>
      <c r="H19" s="7"/>
      <c r="I19" s="7"/>
      <c r="J19" s="7"/>
      <c r="K19" s="7"/>
      <c r="L19" s="7"/>
      <c r="M19" s="7"/>
      <c r="N19" s="7"/>
      <c r="O19" s="7"/>
      <c r="P19" s="7"/>
      <c r="Q19" s="7"/>
    </row>
    <row r="20" spans="1:17" x14ac:dyDescent="0.3">
      <c r="A20" s="20"/>
      <c r="B20" s="7"/>
      <c r="C20" s="7"/>
      <c r="D20" s="7"/>
      <c r="E20" s="7"/>
      <c r="F20" s="7"/>
      <c r="G20" s="7"/>
      <c r="H20" s="7"/>
      <c r="I20" s="7"/>
      <c r="J20" s="7"/>
      <c r="K20" s="7"/>
      <c r="L20" s="7"/>
      <c r="M20" s="7"/>
      <c r="N20" s="7"/>
      <c r="O20" s="7"/>
      <c r="P20" s="7"/>
      <c r="Q20" s="7"/>
    </row>
    <row r="21" spans="1:17" x14ac:dyDescent="0.3">
      <c r="A21" s="20"/>
      <c r="B21" s="7"/>
      <c r="C21" s="7"/>
      <c r="D21" s="7"/>
      <c r="E21" s="7"/>
      <c r="F21" s="7"/>
      <c r="G21" s="7"/>
      <c r="H21" s="7"/>
      <c r="I21" s="7"/>
      <c r="J21" s="7"/>
      <c r="K21" s="7"/>
      <c r="L21" s="7"/>
      <c r="M21" s="7"/>
      <c r="N21" s="7"/>
      <c r="O21" s="7"/>
      <c r="P21" s="7"/>
      <c r="Q21" s="7"/>
    </row>
    <row r="22" spans="1:17" x14ac:dyDescent="0.3">
      <c r="A22" s="20"/>
      <c r="B22" s="7"/>
      <c r="C22" s="7"/>
      <c r="D22" s="7"/>
      <c r="E22" s="7"/>
      <c r="F22" s="7"/>
      <c r="G22" s="7"/>
      <c r="H22" s="7"/>
      <c r="I22" s="7"/>
      <c r="J22" s="7"/>
      <c r="K22" s="7"/>
      <c r="L22" s="7"/>
      <c r="M22" s="7"/>
      <c r="N22" s="7"/>
      <c r="O22" s="7"/>
      <c r="P22" s="7"/>
      <c r="Q22" s="7"/>
    </row>
    <row r="23" spans="1:17" x14ac:dyDescent="0.3">
      <c r="A23" s="20"/>
      <c r="B23" s="7"/>
      <c r="C23" s="7"/>
      <c r="D23" s="7"/>
      <c r="E23" s="7"/>
      <c r="F23" s="7"/>
      <c r="G23" s="7"/>
      <c r="H23" s="7"/>
      <c r="I23" s="7"/>
      <c r="J23" s="7"/>
      <c r="K23" s="7"/>
      <c r="L23" s="7"/>
      <c r="M23" s="7"/>
      <c r="N23" s="7"/>
      <c r="O23" s="7"/>
      <c r="P23" s="7"/>
      <c r="Q23" s="7"/>
    </row>
    <row r="24" spans="1:17" x14ac:dyDescent="0.3">
      <c r="A24" s="20"/>
      <c r="B24" s="7"/>
      <c r="C24" s="7"/>
      <c r="D24" s="7"/>
      <c r="E24" s="7"/>
      <c r="F24" s="7"/>
      <c r="G24" s="7"/>
      <c r="H24" s="7"/>
      <c r="I24" s="7"/>
      <c r="J24" s="7"/>
      <c r="K24" s="7"/>
      <c r="L24" s="7"/>
      <c r="M24" s="7"/>
      <c r="N24" s="7"/>
      <c r="O24" s="7"/>
      <c r="P24" s="7"/>
      <c r="Q24" s="7"/>
    </row>
    <row r="25" spans="1:17" x14ac:dyDescent="0.3">
      <c r="A25" s="20"/>
      <c r="B25" s="7"/>
      <c r="C25" s="7"/>
      <c r="D25" s="7"/>
      <c r="E25" s="7"/>
      <c r="F25" s="7"/>
      <c r="G25" s="7"/>
      <c r="H25" s="7"/>
      <c r="I25" s="7"/>
      <c r="J25" s="7"/>
      <c r="K25" s="7"/>
      <c r="L25" s="7"/>
      <c r="M25" s="7"/>
      <c r="N25" s="7"/>
      <c r="O25" s="7"/>
      <c r="P25" s="7"/>
      <c r="Q25" s="7"/>
    </row>
    <row r="26" spans="1:17" x14ac:dyDescent="0.3">
      <c r="A26" s="20"/>
      <c r="B26" s="7"/>
      <c r="C26" s="7"/>
      <c r="D26" s="7"/>
      <c r="E26" s="7"/>
      <c r="F26" s="7"/>
      <c r="G26" s="7"/>
      <c r="H26" s="7"/>
      <c r="I26" s="7"/>
      <c r="J26" s="7"/>
      <c r="K26" s="7"/>
      <c r="L26" s="7"/>
      <c r="M26" s="7"/>
      <c r="N26" s="7"/>
      <c r="O26" s="7"/>
      <c r="P26" s="7"/>
      <c r="Q26" s="7"/>
    </row>
    <row r="27" spans="1:17" x14ac:dyDescent="0.3">
      <c r="A27" s="20"/>
      <c r="B27" s="7"/>
      <c r="C27" s="7"/>
      <c r="D27" s="7"/>
      <c r="E27" s="7"/>
      <c r="F27" s="7"/>
      <c r="G27" s="7"/>
      <c r="H27" s="7"/>
      <c r="I27" s="7"/>
      <c r="J27" s="7"/>
      <c r="K27" s="7"/>
      <c r="L27" s="7"/>
      <c r="M27" s="7"/>
      <c r="N27" s="7"/>
      <c r="O27" s="7"/>
      <c r="P27" s="7"/>
      <c r="Q27" s="7"/>
    </row>
    <row r="28" spans="1:17" x14ac:dyDescent="0.3">
      <c r="A28" s="20"/>
      <c r="B28" s="7"/>
      <c r="C28" s="7"/>
      <c r="D28" s="7"/>
      <c r="E28" s="7"/>
      <c r="F28" s="7"/>
      <c r="G28" s="7"/>
      <c r="H28" s="7"/>
      <c r="I28" s="7"/>
      <c r="J28" s="7"/>
      <c r="K28" s="7"/>
      <c r="L28" s="7"/>
      <c r="M28" s="7"/>
      <c r="N28" s="7"/>
      <c r="O28" s="7"/>
      <c r="P28" s="7"/>
      <c r="Q28" s="7"/>
    </row>
    <row r="29" spans="1:17" x14ac:dyDescent="0.3">
      <c r="A29" s="20"/>
      <c r="B29" s="7"/>
      <c r="C29" s="7"/>
      <c r="D29" s="7"/>
      <c r="E29" s="7"/>
      <c r="F29" s="7"/>
      <c r="G29" s="7"/>
      <c r="H29" s="7"/>
      <c r="I29" s="7"/>
      <c r="J29" s="7"/>
      <c r="K29" s="7"/>
      <c r="L29" s="7"/>
      <c r="M29" s="7"/>
      <c r="N29" s="7"/>
      <c r="O29" s="7"/>
      <c r="P29" s="7"/>
      <c r="Q29" s="7"/>
    </row>
    <row r="30" spans="1:17" x14ac:dyDescent="0.3">
      <c r="A30" s="20"/>
      <c r="B30" s="7"/>
      <c r="C30" s="7"/>
      <c r="D30" s="7"/>
      <c r="E30" s="7"/>
      <c r="F30" s="7"/>
      <c r="G30" s="7"/>
      <c r="H30" s="7"/>
      <c r="I30" s="7"/>
      <c r="J30" s="7"/>
      <c r="K30" s="7"/>
      <c r="L30" s="7"/>
      <c r="M30" s="7"/>
      <c r="N30" s="7"/>
      <c r="O30" s="7"/>
      <c r="P30" s="7"/>
      <c r="Q30" s="7"/>
    </row>
    <row r="31" spans="1:17" x14ac:dyDescent="0.3">
      <c r="A31" s="20"/>
      <c r="B31" s="7"/>
      <c r="C31" s="7"/>
      <c r="D31" s="7"/>
      <c r="E31" s="7"/>
      <c r="F31" s="7"/>
      <c r="G31" s="7"/>
      <c r="H31" s="7"/>
      <c r="I31" s="7"/>
      <c r="J31" s="7"/>
      <c r="K31" s="7"/>
      <c r="L31" s="7"/>
      <c r="M31" s="7"/>
      <c r="N31" s="7"/>
      <c r="O31" s="7"/>
      <c r="P31" s="7"/>
      <c r="Q31" s="7"/>
    </row>
    <row r="32" spans="1:17" x14ac:dyDescent="0.3">
      <c r="A32" s="20"/>
      <c r="B32" s="7"/>
      <c r="C32" s="7"/>
      <c r="D32" s="7"/>
      <c r="E32" s="7"/>
      <c r="F32" s="7"/>
      <c r="G32" s="7"/>
      <c r="H32" s="7"/>
      <c r="I32" s="7"/>
      <c r="J32" s="7"/>
      <c r="K32" s="7"/>
      <c r="L32" s="7"/>
      <c r="M32" s="7"/>
      <c r="N32" s="7"/>
      <c r="O32" s="7"/>
      <c r="P32" s="7"/>
      <c r="Q32" s="7"/>
    </row>
    <row r="33" spans="1:17" x14ac:dyDescent="0.3">
      <c r="A33" s="20"/>
      <c r="B33" s="7"/>
      <c r="C33" s="7"/>
      <c r="D33" s="7"/>
      <c r="E33" s="7"/>
      <c r="F33" s="7"/>
      <c r="G33" s="7"/>
      <c r="H33" s="7"/>
      <c r="I33" s="7"/>
      <c r="J33" s="7"/>
      <c r="K33" s="7"/>
      <c r="L33" s="7"/>
      <c r="M33" s="7"/>
      <c r="N33" s="7"/>
      <c r="O33" s="7"/>
      <c r="P33" s="7"/>
      <c r="Q33" s="7"/>
    </row>
    <row r="34" spans="1:17" x14ac:dyDescent="0.3">
      <c r="A34" s="20"/>
      <c r="B34" s="7"/>
      <c r="C34" s="7"/>
      <c r="D34" s="7"/>
      <c r="E34" s="7"/>
      <c r="F34" s="7"/>
      <c r="G34" s="7"/>
      <c r="H34" s="7"/>
      <c r="I34" s="7"/>
      <c r="J34" s="7"/>
      <c r="K34" s="7"/>
      <c r="L34" s="7"/>
      <c r="M34" s="7"/>
      <c r="N34" s="7"/>
      <c r="O34" s="7"/>
      <c r="P34" s="7"/>
      <c r="Q34" s="7"/>
    </row>
    <row r="35" spans="1:17" x14ac:dyDescent="0.3">
      <c r="A35" s="20"/>
      <c r="B35" s="7"/>
      <c r="C35" s="7"/>
      <c r="D35" s="7"/>
      <c r="E35" s="7"/>
      <c r="F35" s="7"/>
      <c r="G35" s="7"/>
      <c r="H35" s="7"/>
      <c r="I35" s="7"/>
      <c r="J35" s="7"/>
      <c r="K35" s="7"/>
      <c r="L35" s="7"/>
      <c r="M35" s="7"/>
      <c r="N35" s="7"/>
      <c r="O35" s="7"/>
      <c r="P35" s="7"/>
      <c r="Q35" s="7"/>
    </row>
    <row r="36" spans="1:17" x14ac:dyDescent="0.3">
      <c r="A36" s="20"/>
      <c r="B36" s="7"/>
      <c r="C36" s="7"/>
      <c r="D36" s="7"/>
      <c r="E36" s="7"/>
      <c r="F36" s="7"/>
      <c r="G36" s="7"/>
      <c r="H36" s="7"/>
      <c r="I36" s="7"/>
      <c r="J36" s="7"/>
      <c r="K36" s="7"/>
      <c r="L36" s="7"/>
      <c r="M36" s="7"/>
      <c r="N36" s="7"/>
      <c r="O36" s="7"/>
      <c r="P36" s="7"/>
      <c r="Q36" s="7"/>
    </row>
    <row r="37" spans="1:17" x14ac:dyDescent="0.3">
      <c r="A37" s="20"/>
      <c r="B37" s="7"/>
      <c r="C37" s="7"/>
      <c r="D37" s="7"/>
      <c r="E37" s="7"/>
      <c r="F37" s="7"/>
      <c r="G37" s="7"/>
      <c r="H37" s="7"/>
      <c r="I37" s="7"/>
      <c r="J37" s="7"/>
      <c r="K37" s="7"/>
      <c r="L37" s="7"/>
      <c r="M37" s="7"/>
      <c r="N37" s="7"/>
      <c r="O37" s="7"/>
      <c r="P37" s="7"/>
      <c r="Q37" s="7"/>
    </row>
    <row r="38" spans="1:17" x14ac:dyDescent="0.3">
      <c r="A38" s="20"/>
      <c r="B38" s="7"/>
      <c r="C38" s="7"/>
      <c r="D38" s="7"/>
      <c r="E38" s="7"/>
      <c r="F38" s="7"/>
      <c r="G38" s="7"/>
      <c r="H38" s="7"/>
      <c r="I38" s="7"/>
      <c r="J38" s="7"/>
      <c r="K38" s="7"/>
      <c r="L38" s="7"/>
      <c r="M38" s="7"/>
      <c r="N38" s="7"/>
      <c r="O38" s="7"/>
      <c r="P38" s="7"/>
      <c r="Q38" s="7"/>
    </row>
    <row r="39" spans="1:17" x14ac:dyDescent="0.3">
      <c r="A39" s="20"/>
      <c r="B39" s="7"/>
      <c r="C39" s="7"/>
      <c r="D39" s="7"/>
      <c r="E39" s="7"/>
      <c r="F39" s="7"/>
      <c r="G39" s="7"/>
      <c r="H39" s="7"/>
      <c r="I39" s="7"/>
      <c r="J39" s="7"/>
      <c r="K39" s="7"/>
      <c r="L39" s="7"/>
      <c r="M39" s="7"/>
      <c r="N39" s="7"/>
      <c r="O39" s="7"/>
      <c r="P39" s="7"/>
      <c r="Q39" s="7"/>
    </row>
    <row r="40" spans="1:17" x14ac:dyDescent="0.3">
      <c r="A40" s="20"/>
      <c r="B40" s="7"/>
      <c r="C40" s="7"/>
      <c r="D40" s="7"/>
      <c r="E40" s="7"/>
      <c r="F40" s="7"/>
      <c r="G40" s="7"/>
      <c r="H40" s="7"/>
      <c r="I40" s="7"/>
      <c r="J40" s="7"/>
      <c r="K40" s="7"/>
      <c r="L40" s="7"/>
      <c r="M40" s="7"/>
      <c r="N40" s="7"/>
      <c r="O40" s="7"/>
      <c r="P40" s="7"/>
      <c r="Q40" s="7"/>
    </row>
    <row r="41" spans="1:17" x14ac:dyDescent="0.3">
      <c r="A41" s="20"/>
      <c r="B41" s="7"/>
      <c r="C41" s="7"/>
      <c r="D41" s="7"/>
      <c r="E41" s="7"/>
      <c r="F41" s="7"/>
      <c r="G41" s="7"/>
      <c r="H41" s="7"/>
      <c r="I41" s="7"/>
      <c r="J41" s="7"/>
      <c r="K41" s="7"/>
      <c r="L41" s="7"/>
      <c r="M41" s="7"/>
      <c r="N41" s="7"/>
      <c r="O41" s="7"/>
      <c r="P41" s="7"/>
      <c r="Q41" s="7"/>
    </row>
    <row r="42" spans="1:17" x14ac:dyDescent="0.3">
      <c r="A42" s="20"/>
      <c r="B42" s="7"/>
      <c r="C42" s="7"/>
      <c r="D42" s="7"/>
      <c r="E42" s="7"/>
      <c r="F42" s="7"/>
      <c r="G42" s="7"/>
      <c r="H42" s="7"/>
      <c r="I42" s="7"/>
      <c r="J42" s="7"/>
      <c r="K42" s="7"/>
      <c r="L42" s="7"/>
      <c r="M42" s="7"/>
      <c r="N42" s="7"/>
      <c r="O42" s="7"/>
      <c r="P42" s="7"/>
      <c r="Q42" s="7"/>
    </row>
    <row r="43" spans="1:17" x14ac:dyDescent="0.3">
      <c r="A43" s="20"/>
      <c r="B43" s="7"/>
      <c r="C43" s="7"/>
      <c r="D43" s="7"/>
      <c r="E43" s="7"/>
      <c r="F43" s="7"/>
      <c r="G43" s="7"/>
      <c r="H43" s="7"/>
      <c r="I43" s="7"/>
      <c r="J43" s="7"/>
      <c r="K43" s="7"/>
      <c r="L43" s="7"/>
      <c r="M43" s="7"/>
      <c r="N43" s="7"/>
      <c r="O43" s="7"/>
      <c r="P43" s="7"/>
      <c r="Q43" s="7"/>
    </row>
    <row r="44" spans="1:17" x14ac:dyDescent="0.3">
      <c r="A44" s="20"/>
      <c r="B44" s="7"/>
      <c r="C44" s="7"/>
      <c r="D44" s="7"/>
      <c r="E44" s="7"/>
      <c r="F44" s="7"/>
      <c r="G44" s="7"/>
      <c r="H44" s="7"/>
      <c r="I44" s="7"/>
      <c r="J44" s="7"/>
      <c r="K44" s="7"/>
      <c r="L44" s="7"/>
      <c r="M44" s="7"/>
      <c r="N44" s="7"/>
      <c r="O44" s="7"/>
      <c r="P44" s="7"/>
      <c r="Q44" s="7"/>
    </row>
    <row r="45" spans="1:17" x14ac:dyDescent="0.3">
      <c r="A45" s="20"/>
      <c r="B45" s="7"/>
      <c r="C45" s="7"/>
      <c r="D45" s="7"/>
      <c r="E45" s="7"/>
      <c r="F45" s="7"/>
      <c r="G45" s="7"/>
      <c r="H45" s="7"/>
      <c r="I45" s="7"/>
      <c r="J45" s="7"/>
      <c r="K45" s="7"/>
      <c r="L45" s="7"/>
      <c r="M45" s="7"/>
      <c r="N45" s="7"/>
      <c r="O45" s="7"/>
      <c r="P45" s="7"/>
      <c r="Q45" s="7"/>
    </row>
    <row r="46" spans="1:17" x14ac:dyDescent="0.3">
      <c r="A46" s="20"/>
      <c r="B46" s="7"/>
      <c r="C46" s="7"/>
      <c r="D46" s="7"/>
      <c r="E46" s="7"/>
      <c r="F46" s="7"/>
      <c r="G46" s="7"/>
      <c r="H46" s="7"/>
      <c r="I46" s="7"/>
      <c r="J46" s="7"/>
      <c r="K46" s="7"/>
      <c r="L46" s="7"/>
      <c r="M46" s="7"/>
      <c r="N46" s="7"/>
      <c r="O46" s="7"/>
      <c r="P46" s="7"/>
      <c r="Q46" s="7"/>
    </row>
    <row r="47" spans="1:17" x14ac:dyDescent="0.3">
      <c r="A47" s="20"/>
      <c r="B47" s="7"/>
      <c r="C47" s="7"/>
      <c r="D47" s="7"/>
      <c r="E47" s="7"/>
      <c r="F47" s="7"/>
      <c r="G47" s="7"/>
      <c r="H47" s="7"/>
      <c r="I47" s="7"/>
      <c r="J47" s="7"/>
      <c r="K47" s="7"/>
      <c r="L47" s="7"/>
      <c r="M47" s="7"/>
      <c r="N47" s="7"/>
      <c r="O47" s="7"/>
      <c r="P47" s="7"/>
      <c r="Q47" s="7"/>
    </row>
    <row r="48" spans="1:17" x14ac:dyDescent="0.3">
      <c r="A48" s="20"/>
      <c r="B48" s="7"/>
      <c r="C48" s="7"/>
      <c r="D48" s="7"/>
      <c r="E48" s="7"/>
      <c r="F48" s="7"/>
      <c r="G48" s="7"/>
      <c r="H48" s="7"/>
      <c r="I48" s="7"/>
      <c r="J48" s="7"/>
      <c r="K48" s="7"/>
      <c r="L48" s="7"/>
      <c r="M48" s="7"/>
      <c r="N48" s="7"/>
      <c r="O48" s="7"/>
      <c r="P48" s="7"/>
      <c r="Q48" s="7"/>
    </row>
    <row r="49" spans="1:18" x14ac:dyDescent="0.3">
      <c r="A49" s="20"/>
      <c r="B49" s="7"/>
      <c r="C49" s="7"/>
      <c r="D49" s="7"/>
      <c r="E49" s="7"/>
      <c r="F49" s="7"/>
      <c r="G49" s="7"/>
      <c r="H49" s="7"/>
      <c r="I49" s="7"/>
      <c r="J49" s="7"/>
      <c r="K49" s="7"/>
      <c r="L49" s="7"/>
      <c r="M49" s="7"/>
      <c r="N49" s="7"/>
      <c r="O49" s="7"/>
      <c r="P49" s="7"/>
      <c r="Q49" s="7"/>
    </row>
    <row r="50" spans="1:18" x14ac:dyDescent="0.3">
      <c r="A50" s="20"/>
      <c r="B50" s="7"/>
      <c r="C50" s="7"/>
      <c r="D50" s="7"/>
      <c r="E50" s="7"/>
      <c r="F50" s="7"/>
      <c r="G50" s="7"/>
      <c r="H50" s="7"/>
      <c r="I50" s="7"/>
      <c r="J50" s="7"/>
      <c r="K50" s="7"/>
      <c r="L50" s="7"/>
      <c r="M50" s="7"/>
      <c r="N50" s="7"/>
      <c r="O50" s="7"/>
      <c r="P50" s="7"/>
      <c r="Q50" s="7"/>
    </row>
    <row r="51" spans="1:18" x14ac:dyDescent="0.3">
      <c r="A51" s="20"/>
      <c r="B51" s="7"/>
      <c r="C51" s="7"/>
      <c r="D51" s="7"/>
      <c r="E51" s="7"/>
      <c r="F51" s="7"/>
      <c r="G51" s="7"/>
      <c r="H51" s="7"/>
      <c r="I51" s="7"/>
      <c r="J51" s="7"/>
      <c r="K51" s="7"/>
      <c r="L51" s="7"/>
      <c r="M51" s="7"/>
      <c r="N51" s="7"/>
      <c r="O51" s="7"/>
      <c r="P51" s="7"/>
      <c r="Q51" s="7"/>
      <c r="R51" s="7"/>
    </row>
    <row r="52" spans="1:18" x14ac:dyDescent="0.3">
      <c r="A52" s="20"/>
      <c r="B52" s="7"/>
      <c r="C52" s="7"/>
      <c r="D52" s="7"/>
      <c r="E52" s="7"/>
      <c r="F52" s="7"/>
      <c r="G52" s="7"/>
      <c r="H52" s="7"/>
      <c r="I52" s="7"/>
      <c r="J52" s="7"/>
      <c r="K52" s="7"/>
      <c r="L52" s="7"/>
      <c r="M52" s="7"/>
      <c r="N52" s="7"/>
      <c r="O52" s="7"/>
      <c r="P52" s="7"/>
      <c r="Q52" s="7"/>
      <c r="R52" s="7"/>
    </row>
    <row r="53" spans="1:18" x14ac:dyDescent="0.3">
      <c r="A53" s="20"/>
      <c r="B53" s="7"/>
      <c r="C53" s="7"/>
      <c r="D53" s="7"/>
      <c r="E53" s="7"/>
      <c r="F53" s="7"/>
      <c r="G53" s="7"/>
      <c r="H53" s="7"/>
      <c r="I53" s="7"/>
      <c r="J53" s="7"/>
      <c r="K53" s="7"/>
      <c r="L53" s="7"/>
      <c r="M53" s="7"/>
      <c r="N53" s="7"/>
      <c r="O53" s="7"/>
      <c r="P53" s="7"/>
      <c r="Q53" s="7"/>
      <c r="R53" s="7"/>
    </row>
    <row r="54" spans="1:18" x14ac:dyDescent="0.3">
      <c r="A54" s="20"/>
      <c r="B54" s="7"/>
      <c r="C54" s="7"/>
      <c r="D54" s="7"/>
      <c r="E54" s="7"/>
      <c r="F54" s="7"/>
      <c r="G54" s="7"/>
      <c r="H54" s="7"/>
      <c r="I54" s="7"/>
      <c r="J54" s="7"/>
      <c r="K54" s="7"/>
      <c r="L54" s="7"/>
      <c r="M54" s="7"/>
      <c r="N54" s="7"/>
      <c r="O54" s="7"/>
      <c r="P54" s="7"/>
      <c r="Q54" s="7"/>
      <c r="R54" s="7"/>
    </row>
    <row r="55" spans="1:18" x14ac:dyDescent="0.3">
      <c r="A55" s="20"/>
      <c r="B55" s="7"/>
      <c r="C55" s="7"/>
      <c r="D55" s="7"/>
      <c r="E55" s="7"/>
      <c r="F55" s="7"/>
      <c r="G55" s="7"/>
      <c r="H55" s="7"/>
      <c r="I55" s="7"/>
      <c r="J55" s="7"/>
      <c r="K55" s="7"/>
      <c r="L55" s="7"/>
      <c r="M55" s="7"/>
      <c r="N55" s="7"/>
      <c r="O55" s="7"/>
      <c r="P55" s="7"/>
      <c r="Q55" s="7"/>
      <c r="R55" s="7"/>
    </row>
    <row r="56" spans="1:18" x14ac:dyDescent="0.3">
      <c r="A56" s="20"/>
      <c r="B56" s="7"/>
      <c r="C56" s="7"/>
      <c r="D56" s="7"/>
      <c r="E56" s="7"/>
      <c r="F56" s="7"/>
      <c r="G56" s="7"/>
      <c r="H56" s="7"/>
      <c r="I56" s="7"/>
      <c r="J56" s="7"/>
      <c r="K56" s="7"/>
      <c r="L56" s="7"/>
      <c r="M56" s="7"/>
      <c r="N56" s="7"/>
      <c r="O56" s="7"/>
      <c r="P56" s="7"/>
      <c r="Q56" s="7"/>
      <c r="R56" s="7"/>
    </row>
    <row r="57" spans="1:18" x14ac:dyDescent="0.3">
      <c r="A57" s="20"/>
      <c r="B57" s="7"/>
      <c r="C57" s="7"/>
      <c r="D57" s="7"/>
      <c r="E57" s="7"/>
      <c r="F57" s="7"/>
      <c r="G57" s="7"/>
      <c r="H57" s="7"/>
      <c r="I57" s="7"/>
      <c r="J57" s="7"/>
      <c r="K57" s="7"/>
      <c r="L57" s="7"/>
      <c r="M57" s="7"/>
      <c r="N57" s="7"/>
      <c r="O57" s="7"/>
      <c r="P57" s="7"/>
      <c r="Q57" s="7"/>
      <c r="R57" s="7"/>
    </row>
    <row r="58" spans="1:18" x14ac:dyDescent="0.3">
      <c r="A58" s="20"/>
      <c r="B58" s="7"/>
      <c r="C58" s="7"/>
      <c r="D58" s="7"/>
      <c r="E58" s="7"/>
      <c r="F58" s="7"/>
      <c r="G58" s="7"/>
      <c r="H58" s="7"/>
      <c r="I58" s="7"/>
      <c r="J58" s="7"/>
      <c r="K58" s="7"/>
      <c r="L58" s="7"/>
      <c r="M58" s="7"/>
      <c r="N58" s="7"/>
      <c r="O58" s="7"/>
      <c r="P58" s="7"/>
      <c r="Q58" s="7"/>
      <c r="R58" s="7"/>
    </row>
    <row r="59" spans="1:18" x14ac:dyDescent="0.3">
      <c r="A59" s="20"/>
      <c r="B59" s="7"/>
      <c r="C59" s="7"/>
      <c r="D59" s="7"/>
      <c r="E59" s="7"/>
      <c r="F59" s="7"/>
      <c r="G59" s="7"/>
      <c r="H59" s="7"/>
      <c r="I59" s="7"/>
      <c r="J59" s="7"/>
      <c r="K59" s="7"/>
      <c r="L59" s="7"/>
      <c r="M59" s="7"/>
      <c r="N59" s="7"/>
      <c r="O59" s="7"/>
      <c r="P59" s="7"/>
      <c r="Q59" s="7"/>
      <c r="R59" s="7"/>
    </row>
    <row r="60" spans="1:18" x14ac:dyDescent="0.3">
      <c r="A60" s="20"/>
      <c r="B60" s="7"/>
      <c r="C60" s="7"/>
      <c r="D60" s="7"/>
      <c r="E60" s="7"/>
      <c r="F60" s="7"/>
      <c r="G60" s="7"/>
      <c r="H60" s="7"/>
      <c r="I60" s="7"/>
      <c r="J60" s="7"/>
      <c r="K60" s="7"/>
      <c r="L60" s="7"/>
      <c r="M60" s="7"/>
      <c r="N60" s="7"/>
      <c r="O60" s="7"/>
      <c r="P60" s="7"/>
      <c r="Q60" s="7"/>
      <c r="R60" s="7"/>
    </row>
    <row r="61" spans="1:18" x14ac:dyDescent="0.3">
      <c r="A61" s="20"/>
      <c r="B61" s="7"/>
      <c r="C61" s="7"/>
      <c r="D61" s="7"/>
      <c r="E61" s="7"/>
      <c r="F61" s="7"/>
      <c r="G61" s="7"/>
      <c r="H61" s="7"/>
      <c r="I61" s="7"/>
      <c r="J61" s="7"/>
      <c r="K61" s="7"/>
      <c r="L61" s="7"/>
      <c r="M61" s="7"/>
      <c r="N61" s="7"/>
      <c r="O61" s="7"/>
      <c r="P61" s="7"/>
      <c r="Q61" s="7"/>
      <c r="R61" s="7"/>
    </row>
    <row r="62" spans="1:18" x14ac:dyDescent="0.3">
      <c r="A62" s="20"/>
      <c r="B62" s="7"/>
      <c r="C62" s="7"/>
      <c r="D62" s="7"/>
      <c r="E62" s="7"/>
      <c r="F62" s="7"/>
      <c r="G62" s="7"/>
      <c r="H62" s="7"/>
      <c r="I62" s="7"/>
      <c r="J62" s="7"/>
      <c r="K62" s="7"/>
      <c r="L62" s="7"/>
      <c r="M62" s="7"/>
      <c r="N62" s="7"/>
      <c r="O62" s="7"/>
      <c r="P62" s="7"/>
      <c r="Q62" s="7"/>
      <c r="R62" s="7"/>
    </row>
    <row r="63" spans="1:18" x14ac:dyDescent="0.3">
      <c r="A63" s="20"/>
      <c r="B63" s="7"/>
      <c r="C63" s="7"/>
      <c r="D63" s="7"/>
      <c r="E63" s="7"/>
      <c r="F63" s="7"/>
      <c r="G63" s="7"/>
      <c r="H63" s="7"/>
      <c r="I63" s="7"/>
      <c r="J63" s="7"/>
      <c r="K63" s="7"/>
      <c r="L63" s="7"/>
      <c r="M63" s="7"/>
      <c r="N63" s="7"/>
      <c r="O63" s="7"/>
      <c r="P63" s="7"/>
      <c r="Q63" s="7"/>
      <c r="R63" s="7"/>
    </row>
    <row r="64" spans="1:18" x14ac:dyDescent="0.3">
      <c r="A64" s="20"/>
      <c r="B64" s="7"/>
      <c r="C64" s="7"/>
      <c r="D64" s="7"/>
      <c r="E64" s="7"/>
      <c r="F64" s="7"/>
      <c r="G64" s="7"/>
      <c r="H64" s="7"/>
      <c r="I64" s="7"/>
      <c r="J64" s="7"/>
      <c r="K64" s="7"/>
      <c r="L64" s="7"/>
      <c r="M64" s="7"/>
      <c r="N64" s="7"/>
      <c r="O64" s="7"/>
      <c r="P64" s="7"/>
      <c r="Q64" s="7"/>
      <c r="R64" s="7"/>
    </row>
    <row r="65" spans="1:18" x14ac:dyDescent="0.3">
      <c r="A65" s="20"/>
      <c r="B65" s="7"/>
      <c r="C65" s="7"/>
      <c r="D65" s="7"/>
      <c r="E65" s="7"/>
      <c r="F65" s="7"/>
      <c r="G65" s="7"/>
      <c r="H65" s="7"/>
      <c r="I65" s="7"/>
      <c r="J65" s="7"/>
      <c r="K65" s="7"/>
      <c r="L65" s="7"/>
      <c r="M65" s="7"/>
      <c r="N65" s="7"/>
      <c r="O65" s="7"/>
      <c r="P65" s="7"/>
      <c r="Q65" s="7"/>
      <c r="R65" s="7"/>
    </row>
    <row r="66" spans="1:18" x14ac:dyDescent="0.3">
      <c r="A66" s="20"/>
      <c r="B66" s="7"/>
      <c r="C66" s="7"/>
      <c r="D66" s="7"/>
      <c r="E66" s="7"/>
      <c r="F66" s="7"/>
      <c r="G66" s="7"/>
      <c r="H66" s="7"/>
      <c r="I66" s="7"/>
      <c r="J66" s="7"/>
      <c r="K66" s="7"/>
      <c r="L66" s="7"/>
      <c r="M66" s="7"/>
      <c r="N66" s="7"/>
      <c r="O66" s="7"/>
      <c r="P66" s="7"/>
      <c r="Q66" s="7"/>
      <c r="R66" s="7"/>
    </row>
    <row r="67" spans="1:18" x14ac:dyDescent="0.3">
      <c r="A67" s="20"/>
      <c r="B67" s="7"/>
      <c r="C67" s="7"/>
      <c r="D67" s="7"/>
      <c r="E67" s="7"/>
      <c r="F67" s="7"/>
      <c r="G67" s="7"/>
      <c r="H67" s="7"/>
      <c r="I67" s="7"/>
      <c r="J67" s="7"/>
      <c r="K67" s="7"/>
      <c r="L67" s="7"/>
      <c r="M67" s="7"/>
      <c r="N67" s="7"/>
      <c r="O67" s="7"/>
      <c r="P67" s="7"/>
      <c r="Q67" s="7"/>
      <c r="R67" s="7"/>
    </row>
    <row r="68" spans="1:18" x14ac:dyDescent="0.3">
      <c r="A68" s="20"/>
      <c r="B68" s="7"/>
      <c r="C68" s="7"/>
      <c r="D68" s="7"/>
      <c r="E68" s="7"/>
      <c r="F68" s="7"/>
      <c r="G68" s="7"/>
      <c r="H68" s="7"/>
      <c r="I68" s="7"/>
      <c r="J68" s="7"/>
      <c r="K68" s="7"/>
      <c r="L68" s="7"/>
      <c r="M68" s="7"/>
      <c r="N68" s="7"/>
      <c r="O68" s="7"/>
      <c r="P68" s="7"/>
      <c r="Q68" s="7"/>
      <c r="R68" s="7"/>
    </row>
    <row r="69" spans="1:18" x14ac:dyDescent="0.3">
      <c r="A69" s="20"/>
      <c r="B69" s="7"/>
      <c r="C69" s="7"/>
      <c r="D69" s="7"/>
      <c r="E69" s="7"/>
      <c r="F69" s="7"/>
      <c r="G69" s="7"/>
      <c r="H69" s="7"/>
      <c r="I69" s="7"/>
      <c r="J69" s="7"/>
      <c r="K69" s="7"/>
      <c r="L69" s="7"/>
      <c r="M69" s="7"/>
      <c r="N69" s="7"/>
      <c r="O69" s="7"/>
      <c r="P69" s="7"/>
      <c r="Q69" s="7"/>
      <c r="R69" s="7"/>
    </row>
    <row r="70" spans="1:18" x14ac:dyDescent="0.3">
      <c r="A70" s="20"/>
      <c r="B70" s="7"/>
      <c r="C70" s="7"/>
      <c r="D70" s="7"/>
      <c r="E70" s="7"/>
      <c r="F70" s="7"/>
      <c r="G70" s="7"/>
      <c r="H70" s="7"/>
      <c r="I70" s="7"/>
      <c r="J70" s="7"/>
      <c r="K70" s="7"/>
      <c r="L70" s="7"/>
      <c r="M70" s="7"/>
      <c r="N70" s="7"/>
      <c r="O70" s="7"/>
      <c r="P70" s="7"/>
      <c r="Q70" s="7"/>
      <c r="R70" s="7"/>
    </row>
    <row r="71" spans="1:18" x14ac:dyDescent="0.3">
      <c r="A71" s="20"/>
      <c r="B71" s="7"/>
      <c r="C71" s="7"/>
      <c r="D71" s="7"/>
      <c r="E71" s="7"/>
      <c r="F71" s="7"/>
      <c r="G71" s="7"/>
      <c r="H71" s="7"/>
      <c r="I71" s="7"/>
      <c r="J71" s="7"/>
      <c r="K71" s="7"/>
      <c r="L71" s="7"/>
      <c r="M71" s="7"/>
      <c r="N71" s="7"/>
      <c r="O71" s="7"/>
      <c r="P71" s="7"/>
      <c r="Q71" s="7"/>
      <c r="R71" s="7"/>
    </row>
    <row r="72" spans="1:18" x14ac:dyDescent="0.3">
      <c r="A72" s="20"/>
      <c r="B72" s="7"/>
      <c r="C72" s="7"/>
      <c r="D72" s="7"/>
      <c r="E72" s="7"/>
      <c r="F72" s="7"/>
      <c r="G72" s="7"/>
      <c r="H72" s="7"/>
      <c r="I72" s="7"/>
      <c r="J72" s="7"/>
      <c r="K72" s="7"/>
      <c r="L72" s="7"/>
      <c r="M72" s="7"/>
      <c r="N72" s="7"/>
      <c r="O72" s="7"/>
      <c r="P72" s="7"/>
      <c r="Q72" s="7"/>
      <c r="R72" s="7"/>
    </row>
    <row r="73" spans="1:18" x14ac:dyDescent="0.3">
      <c r="A73" s="20"/>
      <c r="B73" s="7"/>
      <c r="C73" s="7"/>
      <c r="D73" s="7"/>
      <c r="E73" s="7"/>
      <c r="F73" s="7"/>
      <c r="G73" s="7"/>
      <c r="H73" s="7"/>
      <c r="I73" s="7"/>
      <c r="J73" s="7"/>
      <c r="K73" s="7"/>
      <c r="L73" s="7"/>
      <c r="M73" s="7"/>
      <c r="N73" s="7"/>
      <c r="O73" s="7"/>
      <c r="P73" s="7"/>
      <c r="Q73" s="7"/>
      <c r="R73" s="7"/>
    </row>
    <row r="74" spans="1:18" x14ac:dyDescent="0.3">
      <c r="A74" s="20"/>
      <c r="B74" s="7"/>
      <c r="C74" s="7"/>
      <c r="D74" s="7"/>
      <c r="E74" s="7"/>
      <c r="F74" s="7"/>
      <c r="G74" s="7"/>
      <c r="H74" s="7"/>
      <c r="I74" s="7"/>
      <c r="J74" s="7"/>
      <c r="K74" s="7"/>
      <c r="L74" s="7"/>
      <c r="M74" s="7"/>
      <c r="N74" s="7"/>
      <c r="O74" s="7"/>
      <c r="P74" s="7"/>
      <c r="Q74" s="7"/>
      <c r="R74" s="7"/>
    </row>
    <row r="75" spans="1:18" x14ac:dyDescent="0.3">
      <c r="A75" s="20"/>
      <c r="B75" s="7"/>
      <c r="C75" s="7"/>
      <c r="D75" s="7"/>
      <c r="E75" s="7"/>
      <c r="F75" s="7"/>
      <c r="G75" s="7"/>
      <c r="H75" s="7"/>
      <c r="I75" s="7"/>
      <c r="J75" s="7"/>
      <c r="K75" s="7"/>
      <c r="L75" s="7"/>
      <c r="M75" s="7"/>
      <c r="N75" s="7"/>
      <c r="O75" s="7"/>
      <c r="P75" s="7"/>
      <c r="Q75" s="7"/>
      <c r="R75" s="7"/>
    </row>
    <row r="76" spans="1:18" x14ac:dyDescent="0.3">
      <c r="A76" s="20"/>
      <c r="B76" s="7"/>
      <c r="C76" s="7"/>
      <c r="D76" s="7"/>
      <c r="E76" s="7"/>
      <c r="F76" s="7"/>
      <c r="G76" s="7"/>
      <c r="H76" s="7"/>
      <c r="I76" s="7"/>
      <c r="J76" s="7"/>
      <c r="K76" s="7"/>
      <c r="L76" s="7"/>
      <c r="M76" s="7"/>
      <c r="N76" s="7"/>
      <c r="O76" s="7"/>
      <c r="P76" s="7"/>
      <c r="Q76" s="7"/>
      <c r="R76" s="7"/>
    </row>
    <row r="77" spans="1:18" x14ac:dyDescent="0.3">
      <c r="A77" s="20"/>
      <c r="B77" s="7"/>
      <c r="C77" s="7"/>
      <c r="D77" s="7"/>
      <c r="E77" s="7"/>
      <c r="F77" s="7"/>
      <c r="G77" s="7"/>
      <c r="H77" s="7"/>
      <c r="I77" s="7"/>
      <c r="J77" s="7"/>
      <c r="K77" s="7"/>
      <c r="L77" s="7"/>
      <c r="M77" s="7"/>
      <c r="N77" s="7"/>
      <c r="O77" s="7"/>
      <c r="P77" s="7"/>
      <c r="Q77" s="7"/>
      <c r="R77" s="7"/>
    </row>
    <row r="78" spans="1:18" x14ac:dyDescent="0.3">
      <c r="A78" s="20"/>
      <c r="B78" s="7"/>
      <c r="C78" s="7"/>
      <c r="D78" s="7"/>
      <c r="E78" s="7"/>
      <c r="F78" s="7"/>
      <c r="G78" s="7"/>
      <c r="H78" s="7"/>
      <c r="I78" s="7"/>
      <c r="J78" s="7"/>
      <c r="K78" s="7"/>
      <c r="L78" s="7"/>
      <c r="M78" s="7"/>
      <c r="N78" s="7"/>
      <c r="O78" s="7"/>
      <c r="P78" s="7"/>
      <c r="Q78" s="7"/>
      <c r="R78" s="7"/>
    </row>
    <row r="79" spans="1:18" x14ac:dyDescent="0.3">
      <c r="A79" s="20"/>
      <c r="B79" s="7"/>
      <c r="C79" s="7"/>
      <c r="D79" s="7"/>
      <c r="E79" s="7"/>
      <c r="F79" s="7"/>
      <c r="G79" s="7"/>
      <c r="H79" s="7"/>
      <c r="I79" s="7"/>
      <c r="J79" s="7"/>
      <c r="K79" s="7"/>
      <c r="L79" s="7"/>
      <c r="M79" s="7"/>
      <c r="N79" s="7"/>
      <c r="O79" s="7"/>
      <c r="P79" s="7"/>
      <c r="Q79" s="7"/>
      <c r="R79" s="7"/>
    </row>
    <row r="80" spans="1:18" x14ac:dyDescent="0.3">
      <c r="A80" s="20"/>
      <c r="B80" s="7"/>
      <c r="C80" s="7"/>
      <c r="D80" s="7"/>
      <c r="E80" s="7"/>
      <c r="F80" s="7"/>
      <c r="G80" s="7"/>
      <c r="H80" s="7"/>
      <c r="I80" s="7"/>
      <c r="J80" s="7"/>
      <c r="K80" s="7"/>
      <c r="L80" s="7"/>
      <c r="M80" s="7"/>
      <c r="N80" s="7"/>
      <c r="O80" s="7"/>
      <c r="P80" s="7"/>
      <c r="Q80" s="7"/>
      <c r="R80" s="7"/>
    </row>
    <row r="81" spans="1:18" x14ac:dyDescent="0.3">
      <c r="A81" s="20"/>
      <c r="B81" s="7"/>
      <c r="C81" s="7"/>
      <c r="D81" s="7"/>
      <c r="E81" s="7"/>
      <c r="F81" s="7"/>
      <c r="G81" s="7"/>
      <c r="H81" s="7"/>
      <c r="I81" s="7"/>
      <c r="J81" s="7"/>
      <c r="K81" s="7"/>
      <c r="L81" s="7"/>
      <c r="M81" s="7"/>
      <c r="N81" s="7"/>
      <c r="O81" s="7"/>
      <c r="P81" s="7"/>
      <c r="Q81" s="7"/>
      <c r="R81" s="7"/>
    </row>
    <row r="82" spans="1:18" x14ac:dyDescent="0.3">
      <c r="A82" s="20"/>
      <c r="B82" s="7"/>
      <c r="C82" s="7"/>
      <c r="D82" s="7"/>
      <c r="E82" s="7"/>
      <c r="F82" s="7"/>
      <c r="G82" s="7"/>
      <c r="H82" s="7"/>
      <c r="I82" s="7"/>
      <c r="J82" s="7"/>
      <c r="K82" s="7"/>
      <c r="L82" s="7"/>
      <c r="M82" s="7"/>
      <c r="N82" s="7"/>
      <c r="O82" s="7"/>
      <c r="P82" s="7"/>
      <c r="Q82" s="7"/>
      <c r="R82" s="7"/>
    </row>
    <row r="83" spans="1:18" x14ac:dyDescent="0.3">
      <c r="A83" s="20"/>
      <c r="B83" s="7"/>
      <c r="C83" s="7"/>
      <c r="D83" s="7"/>
      <c r="E83" s="7"/>
      <c r="F83" s="7"/>
      <c r="G83" s="7"/>
      <c r="H83" s="7"/>
      <c r="I83" s="7"/>
      <c r="J83" s="7"/>
      <c r="K83" s="7"/>
      <c r="L83" s="7"/>
      <c r="M83" s="7"/>
      <c r="N83" s="7"/>
      <c r="O83" s="7"/>
      <c r="P83" s="7"/>
      <c r="Q83" s="7"/>
      <c r="R83" s="7"/>
    </row>
    <row r="84" spans="1:18" x14ac:dyDescent="0.3">
      <c r="A84" s="20"/>
      <c r="B84" s="7"/>
      <c r="C84" s="7"/>
      <c r="D84" s="7"/>
      <c r="E84" s="7"/>
      <c r="F84" s="7"/>
      <c r="G84" s="7"/>
      <c r="H84" s="7"/>
      <c r="I84" s="7"/>
      <c r="J84" s="7"/>
      <c r="K84" s="7"/>
      <c r="L84" s="7"/>
      <c r="M84" s="7"/>
      <c r="N84" s="7"/>
      <c r="O84" s="7"/>
      <c r="P84" s="7"/>
      <c r="Q84" s="7"/>
      <c r="R84" s="7"/>
    </row>
  </sheetData>
  <autoFilter ref="A1:R84" xr:uid="{33B4DA4E-8AE6-446C-8203-C61204EE4864}"/>
  <conditionalFormatting sqref="A1:N1">
    <cfRule type="expression" dxfId="1" priority="14">
      <formula>$O1="NOT FOUND"</formula>
    </cfRule>
  </conditionalFormatting>
  <conditionalFormatting sqref="O1:R1">
    <cfRule type="expression" dxfId="0" priority="7">
      <formula>#REF!="NOT FOUND"</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EBE54-BC7F-46CB-B247-7734CB53DD5F}">
  <dimension ref="A1:R678"/>
  <sheetViews>
    <sheetView zoomScale="70" zoomScaleNormal="100" workbookViewId="0">
      <pane ySplit="1" topLeftCell="A460" activePane="bottomLeft" state="frozen"/>
      <selection activeCell="C21" sqref="C21"/>
      <selection pane="bottomLeft" activeCell="E541" sqref="E541"/>
    </sheetView>
  </sheetViews>
  <sheetFormatPr defaultColWidth="8.88671875" defaultRowHeight="14.4" x14ac:dyDescent="0.3"/>
  <cols>
    <col min="1" max="1" width="11.33203125" style="7" customWidth="1"/>
    <col min="2" max="2" width="13.44140625" style="7" customWidth="1"/>
    <col min="3" max="3" width="31.6640625" style="7" customWidth="1"/>
    <col min="4" max="4" width="9.6640625" style="7" bestFit="1" customWidth="1"/>
    <col min="5" max="5" width="16" style="7" bestFit="1" customWidth="1"/>
    <col min="6" max="6" width="22.33203125" style="7" bestFit="1" customWidth="1"/>
    <col min="7" max="7" width="28.5546875" style="7" customWidth="1"/>
    <col min="8" max="8" width="11.5546875" style="7" bestFit="1" customWidth="1"/>
    <col min="9" max="9" width="15" style="7" bestFit="1" customWidth="1"/>
    <col min="10" max="10" width="20.6640625" style="42" bestFit="1" customWidth="1"/>
    <col min="11" max="11" width="17.6640625" style="42" bestFit="1" customWidth="1"/>
    <col min="12" max="12" width="28.5546875" style="7" bestFit="1" customWidth="1"/>
    <col min="13" max="13" width="19.5546875" style="7" bestFit="1" customWidth="1"/>
    <col min="14" max="14" width="20.44140625" style="7" customWidth="1"/>
    <col min="15" max="15" width="16.44140625" style="7" bestFit="1" customWidth="1"/>
    <col min="16" max="16" width="26.44140625" style="7" customWidth="1"/>
    <col min="17" max="17" width="18.5546875" style="7" bestFit="1" customWidth="1"/>
    <col min="18" max="16384" width="8.88671875" style="7"/>
  </cols>
  <sheetData>
    <row r="1" spans="1:18" s="25" customFormat="1" ht="27.6" x14ac:dyDescent="0.3">
      <c r="A1" s="33" t="s">
        <v>1897</v>
      </c>
      <c r="B1" s="33" t="s">
        <v>1898</v>
      </c>
      <c r="C1" s="33" t="s">
        <v>1899</v>
      </c>
      <c r="D1" s="33" t="s">
        <v>1900</v>
      </c>
      <c r="E1" s="33" t="s">
        <v>1901</v>
      </c>
      <c r="F1" s="33" t="s">
        <v>1902</v>
      </c>
      <c r="G1" s="33" t="s">
        <v>1903</v>
      </c>
      <c r="H1" s="33" t="s">
        <v>1904</v>
      </c>
      <c r="I1" s="33" t="s">
        <v>1817</v>
      </c>
      <c r="J1" s="33" t="s">
        <v>1905</v>
      </c>
      <c r="K1" s="33" t="s">
        <v>1906</v>
      </c>
      <c r="L1" s="33" t="s">
        <v>1907</v>
      </c>
      <c r="M1" s="33" t="s">
        <v>1908</v>
      </c>
      <c r="N1" s="33" t="s">
        <v>1816</v>
      </c>
      <c r="O1" s="34" t="s">
        <v>1909</v>
      </c>
      <c r="P1" s="34" t="s">
        <v>668</v>
      </c>
      <c r="Q1" s="35" t="s">
        <v>1910</v>
      </c>
      <c r="R1" s="43" t="s">
        <v>1911</v>
      </c>
    </row>
    <row r="2" spans="1:18" x14ac:dyDescent="0.3">
      <c r="A2" s="7" t="s">
        <v>1912</v>
      </c>
      <c r="B2" s="7">
        <v>433521</v>
      </c>
      <c r="C2" s="7" t="s">
        <v>1913</v>
      </c>
      <c r="D2" s="7" t="s">
        <v>1914</v>
      </c>
      <c r="E2" s="7" t="s">
        <v>746</v>
      </c>
      <c r="F2" s="7" t="s">
        <v>1915</v>
      </c>
      <c r="G2" s="7" t="s">
        <v>550</v>
      </c>
      <c r="H2" s="36" t="s">
        <v>1916</v>
      </c>
      <c r="I2" s="36" t="s">
        <v>1826</v>
      </c>
      <c r="J2" s="36">
        <v>42233</v>
      </c>
      <c r="K2" s="46"/>
      <c r="L2" s="46" t="s">
        <v>278</v>
      </c>
      <c r="M2" s="46"/>
      <c r="N2" s="46" t="s">
        <v>1824</v>
      </c>
      <c r="O2" s="45"/>
      <c r="P2" s="45" t="s">
        <v>665</v>
      </c>
      <c r="Q2" s="45"/>
    </row>
    <row r="3" spans="1:18" x14ac:dyDescent="0.3">
      <c r="A3" s="7" t="s">
        <v>1658</v>
      </c>
      <c r="B3" s="7" t="s">
        <v>716</v>
      </c>
      <c r="C3" s="7" t="s">
        <v>1917</v>
      </c>
      <c r="D3" s="7" t="s">
        <v>1918</v>
      </c>
      <c r="E3" s="7" t="s">
        <v>746</v>
      </c>
      <c r="F3" s="7" t="s">
        <v>1919</v>
      </c>
      <c r="G3" s="7" t="s">
        <v>544</v>
      </c>
      <c r="H3" s="36" t="s">
        <v>1916</v>
      </c>
      <c r="I3" s="36" t="s">
        <v>1826</v>
      </c>
      <c r="J3" s="36">
        <v>42270</v>
      </c>
      <c r="K3" s="46"/>
      <c r="L3" s="46" t="s">
        <v>567</v>
      </c>
      <c r="M3" s="46"/>
      <c r="N3" s="46" t="s">
        <v>1824</v>
      </c>
      <c r="O3" s="45"/>
      <c r="P3" s="45" t="s">
        <v>665</v>
      </c>
      <c r="Q3" s="45"/>
    </row>
    <row r="4" spans="1:18" x14ac:dyDescent="0.3">
      <c r="A4" s="7" t="s">
        <v>1912</v>
      </c>
      <c r="B4" s="7">
        <v>391790</v>
      </c>
      <c r="C4" s="7" t="s">
        <v>1920</v>
      </c>
      <c r="D4" s="7" t="s">
        <v>1921</v>
      </c>
      <c r="E4" s="7" t="s">
        <v>746</v>
      </c>
      <c r="F4" s="7" t="s">
        <v>1919</v>
      </c>
      <c r="G4" s="7" t="s">
        <v>260</v>
      </c>
      <c r="H4" s="36" t="s">
        <v>1916</v>
      </c>
      <c r="I4" s="36" t="s">
        <v>1826</v>
      </c>
      <c r="J4" s="36">
        <v>42312</v>
      </c>
      <c r="K4" s="46"/>
      <c r="L4" s="46" t="s">
        <v>132</v>
      </c>
      <c r="M4" s="46"/>
      <c r="N4" s="46" t="s">
        <v>1824</v>
      </c>
      <c r="O4" s="45"/>
      <c r="P4" s="45" t="s">
        <v>665</v>
      </c>
      <c r="Q4" s="45"/>
    </row>
    <row r="5" spans="1:18" x14ac:dyDescent="0.3">
      <c r="A5" s="7" t="s">
        <v>1658</v>
      </c>
      <c r="B5" s="7" t="s">
        <v>716</v>
      </c>
      <c r="C5" s="7" t="s">
        <v>1922</v>
      </c>
      <c r="D5" s="7" t="s">
        <v>1923</v>
      </c>
      <c r="E5" s="7" t="s">
        <v>746</v>
      </c>
      <c r="F5" s="7" t="s">
        <v>1919</v>
      </c>
      <c r="G5" s="7" t="s">
        <v>89</v>
      </c>
      <c r="H5" s="36" t="s">
        <v>1916</v>
      </c>
      <c r="I5" s="36" t="s">
        <v>1826</v>
      </c>
      <c r="J5" s="36">
        <v>42751</v>
      </c>
      <c r="K5" s="46"/>
      <c r="L5" s="46" t="s">
        <v>567</v>
      </c>
      <c r="M5" s="46"/>
      <c r="N5" s="46" t="s">
        <v>1824</v>
      </c>
      <c r="O5" s="45"/>
      <c r="P5" s="45" t="s">
        <v>665</v>
      </c>
      <c r="Q5" s="45"/>
    </row>
    <row r="6" spans="1:18" x14ac:dyDescent="0.3">
      <c r="A6" s="7" t="s">
        <v>1912</v>
      </c>
      <c r="B6" s="7" t="s">
        <v>716</v>
      </c>
      <c r="C6" s="7" t="s">
        <v>1924</v>
      </c>
      <c r="D6" s="7" t="s">
        <v>1923</v>
      </c>
      <c r="E6" s="7" t="s">
        <v>711</v>
      </c>
      <c r="F6" s="7" t="s">
        <v>1925</v>
      </c>
      <c r="G6" s="7" t="s">
        <v>56</v>
      </c>
      <c r="H6" s="36" t="s">
        <v>1926</v>
      </c>
      <c r="I6" s="36" t="s">
        <v>1826</v>
      </c>
      <c r="J6" s="36">
        <v>43325</v>
      </c>
      <c r="K6" s="46"/>
      <c r="L6" s="46" t="s">
        <v>366</v>
      </c>
      <c r="M6" s="46"/>
      <c r="N6" s="46" t="s">
        <v>1824</v>
      </c>
      <c r="O6" s="45"/>
      <c r="P6" s="45" t="s">
        <v>665</v>
      </c>
      <c r="Q6" s="45"/>
    </row>
    <row r="7" spans="1:18" x14ac:dyDescent="0.3">
      <c r="A7" s="7" t="s">
        <v>1658</v>
      </c>
      <c r="B7" s="7" t="s">
        <v>716</v>
      </c>
      <c r="C7" s="7" t="s">
        <v>1927</v>
      </c>
      <c r="D7" s="7" t="s">
        <v>1914</v>
      </c>
      <c r="E7" s="7" t="s">
        <v>746</v>
      </c>
      <c r="F7" s="7" t="s">
        <v>1915</v>
      </c>
      <c r="G7" s="7" t="s">
        <v>333</v>
      </c>
      <c r="H7" s="36" t="s">
        <v>1916</v>
      </c>
      <c r="I7" s="36" t="s">
        <v>1826</v>
      </c>
      <c r="J7" s="36">
        <v>43990</v>
      </c>
      <c r="K7" s="46"/>
      <c r="L7" s="46" t="s">
        <v>470</v>
      </c>
      <c r="M7" s="46"/>
      <c r="N7" s="46" t="s">
        <v>1824</v>
      </c>
      <c r="O7" s="45"/>
      <c r="P7" s="45" t="s">
        <v>665</v>
      </c>
      <c r="Q7" s="45"/>
    </row>
    <row r="8" spans="1:18" x14ac:dyDescent="0.3">
      <c r="A8" s="7" t="s">
        <v>1658</v>
      </c>
      <c r="B8" s="7" t="s">
        <v>716</v>
      </c>
      <c r="C8" s="7" t="s">
        <v>1924</v>
      </c>
      <c r="D8" s="7" t="s">
        <v>1914</v>
      </c>
      <c r="E8" s="7" t="s">
        <v>746</v>
      </c>
      <c r="F8" s="7" t="s">
        <v>1919</v>
      </c>
      <c r="G8" s="7" t="s">
        <v>203</v>
      </c>
      <c r="H8" s="36" t="s">
        <v>1916</v>
      </c>
      <c r="I8" s="36" t="s">
        <v>1826</v>
      </c>
      <c r="J8" s="36">
        <v>44158</v>
      </c>
      <c r="K8" s="46"/>
      <c r="L8" s="46" t="s">
        <v>544</v>
      </c>
      <c r="M8" s="46"/>
      <c r="N8" s="46" t="s">
        <v>1824</v>
      </c>
      <c r="O8" s="45"/>
      <c r="P8" s="45" t="s">
        <v>665</v>
      </c>
      <c r="Q8" s="45"/>
    </row>
    <row r="9" spans="1:18" x14ac:dyDescent="0.3">
      <c r="A9" s="7" t="s">
        <v>1912</v>
      </c>
      <c r="B9" s="7" t="s">
        <v>716</v>
      </c>
      <c r="C9" s="7" t="s">
        <v>1928</v>
      </c>
      <c r="D9" s="7" t="s">
        <v>1921</v>
      </c>
      <c r="E9" s="7" t="s">
        <v>682</v>
      </c>
      <c r="F9" s="7" t="s">
        <v>1929</v>
      </c>
      <c r="G9" s="7" t="s">
        <v>642</v>
      </c>
      <c r="H9" s="36" t="s">
        <v>1916</v>
      </c>
      <c r="I9" s="36" t="s">
        <v>1826</v>
      </c>
      <c r="J9" s="36">
        <v>44200</v>
      </c>
      <c r="K9" s="46"/>
      <c r="L9" s="46" t="s">
        <v>447</v>
      </c>
      <c r="M9" s="46"/>
      <c r="N9" s="46" t="s">
        <v>1824</v>
      </c>
      <c r="O9" s="45"/>
      <c r="P9" s="45" t="s">
        <v>665</v>
      </c>
      <c r="Q9" s="45"/>
    </row>
    <row r="10" spans="1:18" x14ac:dyDescent="0.3">
      <c r="A10" s="7" t="s">
        <v>755</v>
      </c>
      <c r="B10" s="7">
        <v>382094</v>
      </c>
      <c r="C10" s="7" t="s">
        <v>2422</v>
      </c>
      <c r="D10" s="7" t="s">
        <v>1914</v>
      </c>
      <c r="E10" s="7" t="s">
        <v>746</v>
      </c>
      <c r="F10" s="7" t="s">
        <v>1915</v>
      </c>
      <c r="G10" s="7" t="s">
        <v>128</v>
      </c>
      <c r="H10" s="36" t="s">
        <v>1916</v>
      </c>
      <c r="I10" s="36" t="s">
        <v>1826</v>
      </c>
      <c r="J10" s="36">
        <v>44218</v>
      </c>
      <c r="K10" s="46"/>
      <c r="L10" s="46" t="s">
        <v>293</v>
      </c>
      <c r="M10" s="46"/>
      <c r="N10" s="46" t="s">
        <v>1824</v>
      </c>
      <c r="O10" s="45"/>
      <c r="P10" s="45" t="s">
        <v>665</v>
      </c>
      <c r="Q10" s="45"/>
    </row>
    <row r="11" spans="1:18" x14ac:dyDescent="0.3">
      <c r="A11" s="7" t="s">
        <v>1912</v>
      </c>
      <c r="B11" s="7">
        <v>382685</v>
      </c>
      <c r="C11" s="7" t="s">
        <v>1931</v>
      </c>
      <c r="D11" s="7" t="s">
        <v>1923</v>
      </c>
      <c r="E11" s="7" t="s">
        <v>746</v>
      </c>
      <c r="F11" s="7" t="s">
        <v>1919</v>
      </c>
      <c r="G11" s="7" t="s">
        <v>181</v>
      </c>
      <c r="H11" s="36" t="s">
        <v>1916</v>
      </c>
      <c r="I11" s="36" t="s">
        <v>1826</v>
      </c>
      <c r="J11" s="36">
        <v>44242</v>
      </c>
      <c r="K11" s="46"/>
      <c r="L11" s="46" t="s">
        <v>528</v>
      </c>
      <c r="M11" s="46"/>
      <c r="N11" s="46" t="s">
        <v>1824</v>
      </c>
      <c r="O11" s="45"/>
      <c r="P11" s="45" t="s">
        <v>665</v>
      </c>
      <c r="Q11" s="45"/>
    </row>
    <row r="12" spans="1:18" x14ac:dyDescent="0.3">
      <c r="A12" s="7" t="s">
        <v>1912</v>
      </c>
      <c r="B12" s="7">
        <v>384261</v>
      </c>
      <c r="C12" s="7" t="s">
        <v>1932</v>
      </c>
      <c r="D12" s="7" t="s">
        <v>1921</v>
      </c>
      <c r="E12" s="7" t="s">
        <v>746</v>
      </c>
      <c r="F12" s="7" t="s">
        <v>1919</v>
      </c>
      <c r="G12" s="7" t="s">
        <v>110</v>
      </c>
      <c r="H12" s="36" t="s">
        <v>1926</v>
      </c>
      <c r="I12" s="36" t="s">
        <v>1826</v>
      </c>
      <c r="J12" s="36">
        <v>44242</v>
      </c>
      <c r="K12" s="46"/>
      <c r="L12" s="46" t="s">
        <v>181</v>
      </c>
      <c r="M12" s="46"/>
      <c r="N12" s="46" t="s">
        <v>1824</v>
      </c>
      <c r="O12" s="45"/>
      <c r="P12" s="45" t="s">
        <v>665</v>
      </c>
      <c r="Q12" s="45"/>
    </row>
    <row r="13" spans="1:18" x14ac:dyDescent="0.3">
      <c r="A13" s="7" t="s">
        <v>1912</v>
      </c>
      <c r="B13" s="7">
        <v>381355</v>
      </c>
      <c r="C13" s="7" t="s">
        <v>1932</v>
      </c>
      <c r="D13" s="7" t="s">
        <v>1914</v>
      </c>
      <c r="E13" s="7" t="s">
        <v>746</v>
      </c>
      <c r="F13" s="7" t="s">
        <v>1919</v>
      </c>
      <c r="G13" s="7" t="s">
        <v>397</v>
      </c>
      <c r="H13" s="36" t="s">
        <v>1916</v>
      </c>
      <c r="I13" s="36" t="s">
        <v>1826</v>
      </c>
      <c r="J13" s="36">
        <v>44249</v>
      </c>
      <c r="K13" s="46"/>
      <c r="L13" s="46" t="s">
        <v>181</v>
      </c>
      <c r="M13" s="46"/>
      <c r="N13" s="46" t="s">
        <v>1824</v>
      </c>
      <c r="O13" s="45"/>
      <c r="P13" s="45" t="s">
        <v>665</v>
      </c>
      <c r="Q13" s="45"/>
    </row>
    <row r="14" spans="1:18" x14ac:dyDescent="0.3">
      <c r="A14" s="7" t="s">
        <v>1912</v>
      </c>
      <c r="B14" s="7">
        <v>382978</v>
      </c>
      <c r="C14" s="7" t="s">
        <v>1928</v>
      </c>
      <c r="D14" s="7" t="s">
        <v>1921</v>
      </c>
      <c r="E14" s="7" t="s">
        <v>682</v>
      </c>
      <c r="F14" s="7" t="s">
        <v>1929</v>
      </c>
      <c r="G14" s="7" t="s">
        <v>272</v>
      </c>
      <c r="H14" s="36" t="s">
        <v>1916</v>
      </c>
      <c r="I14" s="36" t="s">
        <v>1826</v>
      </c>
      <c r="J14" s="36">
        <v>44263</v>
      </c>
      <c r="K14" s="46"/>
      <c r="L14" s="46" t="s">
        <v>447</v>
      </c>
      <c r="M14" s="46"/>
      <c r="N14" s="46" t="s">
        <v>1824</v>
      </c>
      <c r="O14" s="45"/>
      <c r="P14" s="45" t="s">
        <v>665</v>
      </c>
      <c r="Q14" s="45"/>
    </row>
    <row r="15" spans="1:18" x14ac:dyDescent="0.3">
      <c r="A15" s="7" t="s">
        <v>1912</v>
      </c>
      <c r="B15" s="7">
        <v>378173</v>
      </c>
      <c r="C15" s="7" t="s">
        <v>1934</v>
      </c>
      <c r="D15" s="7" t="s">
        <v>1923</v>
      </c>
      <c r="E15" s="7" t="s">
        <v>746</v>
      </c>
      <c r="F15" s="7" t="s">
        <v>1919</v>
      </c>
      <c r="G15" s="7" t="s">
        <v>87</v>
      </c>
      <c r="H15" s="36" t="s">
        <v>1916</v>
      </c>
      <c r="I15" s="36" t="s">
        <v>1826</v>
      </c>
      <c r="J15" s="36">
        <v>44263</v>
      </c>
      <c r="K15" s="46"/>
      <c r="L15" s="46" t="s">
        <v>142</v>
      </c>
      <c r="M15" s="46"/>
      <c r="N15" s="46" t="s">
        <v>1824</v>
      </c>
      <c r="O15" s="45"/>
      <c r="P15" s="45" t="s">
        <v>665</v>
      </c>
      <c r="Q15" s="45"/>
    </row>
    <row r="16" spans="1:18" x14ac:dyDescent="0.3">
      <c r="A16" s="7" t="s">
        <v>1658</v>
      </c>
      <c r="B16" s="7">
        <v>381958</v>
      </c>
      <c r="C16" s="7" t="s">
        <v>1935</v>
      </c>
      <c r="D16" s="7" t="s">
        <v>1914</v>
      </c>
      <c r="E16" s="7" t="s">
        <v>746</v>
      </c>
      <c r="F16" s="7" t="s">
        <v>1915</v>
      </c>
      <c r="G16" s="7" t="s">
        <v>639</v>
      </c>
      <c r="H16" s="36" t="s">
        <v>1916</v>
      </c>
      <c r="I16" s="36" t="s">
        <v>1826</v>
      </c>
      <c r="J16" s="36">
        <v>44277</v>
      </c>
      <c r="K16" s="46"/>
      <c r="L16" s="46" t="s">
        <v>544</v>
      </c>
      <c r="M16" s="46"/>
      <c r="N16" s="46" t="s">
        <v>1824</v>
      </c>
      <c r="O16" s="45"/>
      <c r="P16" s="45" t="s">
        <v>665</v>
      </c>
      <c r="Q16" s="45"/>
    </row>
    <row r="17" spans="1:17" x14ac:dyDescent="0.3">
      <c r="A17" s="7" t="s">
        <v>1912</v>
      </c>
      <c r="B17" s="7">
        <v>380587</v>
      </c>
      <c r="C17" s="7" t="s">
        <v>1936</v>
      </c>
      <c r="D17" s="7" t="s">
        <v>1914</v>
      </c>
      <c r="E17" s="7" t="s">
        <v>746</v>
      </c>
      <c r="F17" s="7" t="s">
        <v>1919</v>
      </c>
      <c r="G17" s="7" t="s">
        <v>609</v>
      </c>
      <c r="H17" s="36" t="s">
        <v>1916</v>
      </c>
      <c r="I17" s="36" t="s">
        <v>1826</v>
      </c>
      <c r="J17" s="36">
        <v>44277</v>
      </c>
      <c r="K17" s="46"/>
      <c r="L17" s="46" t="s">
        <v>142</v>
      </c>
      <c r="M17" s="46"/>
      <c r="N17" s="46" t="s">
        <v>1824</v>
      </c>
      <c r="O17" s="45"/>
      <c r="P17" s="45" t="s">
        <v>665</v>
      </c>
      <c r="Q17" s="45"/>
    </row>
    <row r="18" spans="1:17" x14ac:dyDescent="0.3">
      <c r="A18" s="7" t="s">
        <v>1912</v>
      </c>
      <c r="B18" s="7">
        <v>382969</v>
      </c>
      <c r="C18" s="7" t="s">
        <v>1937</v>
      </c>
      <c r="D18" s="7" t="s">
        <v>1921</v>
      </c>
      <c r="E18" s="7" t="s">
        <v>682</v>
      </c>
      <c r="F18" s="7" t="s">
        <v>1929</v>
      </c>
      <c r="G18" s="7" t="s">
        <v>486</v>
      </c>
      <c r="H18" s="36" t="s">
        <v>1916</v>
      </c>
      <c r="I18" s="36" t="s">
        <v>1826</v>
      </c>
      <c r="J18" s="36">
        <v>44277</v>
      </c>
      <c r="K18" s="46"/>
      <c r="L18" s="46" t="s">
        <v>565</v>
      </c>
      <c r="M18" s="46"/>
      <c r="N18" s="46" t="s">
        <v>1824</v>
      </c>
      <c r="O18" s="45"/>
      <c r="P18" s="45" t="s">
        <v>665</v>
      </c>
      <c r="Q18" s="45"/>
    </row>
    <row r="19" spans="1:17" x14ac:dyDescent="0.3">
      <c r="A19" s="7" t="s">
        <v>1658</v>
      </c>
      <c r="B19" s="7">
        <v>381702</v>
      </c>
      <c r="C19" s="7" t="s">
        <v>2033</v>
      </c>
      <c r="D19" s="7" t="s">
        <v>1921</v>
      </c>
      <c r="E19" s="7" t="s">
        <v>746</v>
      </c>
      <c r="F19" s="7" t="s">
        <v>1919</v>
      </c>
      <c r="G19" s="7" t="s">
        <v>70</v>
      </c>
      <c r="H19" s="36" t="s">
        <v>1926</v>
      </c>
      <c r="I19" s="36" t="s">
        <v>1826</v>
      </c>
      <c r="J19" s="36">
        <v>44277</v>
      </c>
      <c r="K19" s="46"/>
      <c r="L19" s="46" t="s">
        <v>300</v>
      </c>
      <c r="M19" s="46"/>
      <c r="N19" s="46" t="s">
        <v>1824</v>
      </c>
      <c r="O19" s="45"/>
      <c r="P19" s="45" t="s">
        <v>665</v>
      </c>
      <c r="Q19" s="45"/>
    </row>
    <row r="20" spans="1:17" x14ac:dyDescent="0.3">
      <c r="A20" s="7" t="s">
        <v>1912</v>
      </c>
      <c r="B20" s="7">
        <v>386035</v>
      </c>
      <c r="C20" s="7" t="s">
        <v>1934</v>
      </c>
      <c r="D20" s="7" t="s">
        <v>1923</v>
      </c>
      <c r="E20" s="7" t="s">
        <v>746</v>
      </c>
      <c r="F20" s="7" t="s">
        <v>1919</v>
      </c>
      <c r="G20" s="7" t="s">
        <v>396</v>
      </c>
      <c r="H20" s="36" t="s">
        <v>1916</v>
      </c>
      <c r="I20" s="36" t="s">
        <v>1826</v>
      </c>
      <c r="J20" s="36">
        <v>44291</v>
      </c>
      <c r="K20" s="46"/>
      <c r="L20" s="46" t="s">
        <v>142</v>
      </c>
      <c r="M20" s="46"/>
      <c r="N20" s="46" t="s">
        <v>1824</v>
      </c>
      <c r="O20" s="45"/>
      <c r="P20" s="45" t="s">
        <v>665</v>
      </c>
      <c r="Q20" s="45"/>
    </row>
    <row r="21" spans="1:17" x14ac:dyDescent="0.3">
      <c r="A21" s="7" t="s">
        <v>1658</v>
      </c>
      <c r="B21" s="7">
        <v>393892</v>
      </c>
      <c r="C21" s="7" t="s">
        <v>1938</v>
      </c>
      <c r="D21" s="7" t="s">
        <v>1914</v>
      </c>
      <c r="E21" s="7" t="s">
        <v>866</v>
      </c>
      <c r="F21" s="7" t="s">
        <v>1939</v>
      </c>
      <c r="G21" s="7" t="s">
        <v>302</v>
      </c>
      <c r="H21" s="36" t="s">
        <v>1916</v>
      </c>
      <c r="I21" s="36" t="s">
        <v>1826</v>
      </c>
      <c r="J21" s="36">
        <v>44291</v>
      </c>
      <c r="K21" s="46"/>
      <c r="L21" s="46" t="s">
        <v>89</v>
      </c>
      <c r="M21" s="46"/>
      <c r="N21" s="46" t="s">
        <v>1824</v>
      </c>
      <c r="O21" s="45"/>
      <c r="P21" s="45" t="s">
        <v>665</v>
      </c>
      <c r="Q21" s="45"/>
    </row>
    <row r="22" spans="1:17" x14ac:dyDescent="0.3">
      <c r="A22" s="7" t="s">
        <v>1912</v>
      </c>
      <c r="B22" s="7">
        <v>381311</v>
      </c>
      <c r="C22" s="7" t="s">
        <v>1935</v>
      </c>
      <c r="D22" s="7" t="s">
        <v>1914</v>
      </c>
      <c r="E22" s="7" t="s">
        <v>746</v>
      </c>
      <c r="F22" s="7" t="s">
        <v>1919</v>
      </c>
      <c r="G22" s="7" t="s">
        <v>267</v>
      </c>
      <c r="H22" s="36" t="s">
        <v>1916</v>
      </c>
      <c r="I22" s="36" t="s">
        <v>1826</v>
      </c>
      <c r="J22" s="36">
        <v>44291</v>
      </c>
      <c r="K22" s="46"/>
      <c r="L22" s="46" t="s">
        <v>528</v>
      </c>
      <c r="M22" s="46"/>
      <c r="N22" s="46" t="s">
        <v>1824</v>
      </c>
      <c r="O22" s="45"/>
      <c r="P22" s="45" t="s">
        <v>665</v>
      </c>
      <c r="Q22" s="45"/>
    </row>
    <row r="23" spans="1:17" x14ac:dyDescent="0.3">
      <c r="A23" s="7" t="s">
        <v>755</v>
      </c>
      <c r="B23" s="7" t="s">
        <v>716</v>
      </c>
      <c r="C23" s="7" t="s">
        <v>1940</v>
      </c>
      <c r="D23" s="7" t="s">
        <v>1914</v>
      </c>
      <c r="E23" s="7" t="s">
        <v>746</v>
      </c>
      <c r="F23" s="7" t="s">
        <v>1915</v>
      </c>
      <c r="G23" s="7" t="s">
        <v>403</v>
      </c>
      <c r="H23" s="36" t="s">
        <v>1916</v>
      </c>
      <c r="I23" s="36" t="s">
        <v>1826</v>
      </c>
      <c r="J23" s="36">
        <v>44317</v>
      </c>
      <c r="K23" s="46"/>
      <c r="L23" s="46" t="s">
        <v>285</v>
      </c>
      <c r="M23" s="46"/>
      <c r="N23" s="46" t="s">
        <v>1824</v>
      </c>
      <c r="O23" s="45"/>
      <c r="P23" s="45" t="s">
        <v>665</v>
      </c>
      <c r="Q23" s="45"/>
    </row>
    <row r="24" spans="1:17" x14ac:dyDescent="0.3">
      <c r="A24" s="7" t="s">
        <v>1658</v>
      </c>
      <c r="B24" s="7">
        <v>392131</v>
      </c>
      <c r="C24" s="7" t="s">
        <v>1932</v>
      </c>
      <c r="D24" s="7" t="s">
        <v>1914</v>
      </c>
      <c r="E24" s="7" t="s">
        <v>746</v>
      </c>
      <c r="F24" s="7" t="s">
        <v>1915</v>
      </c>
      <c r="G24" s="7" t="s">
        <v>159</v>
      </c>
      <c r="H24" s="36" t="s">
        <v>1926</v>
      </c>
      <c r="I24" s="36" t="s">
        <v>1826</v>
      </c>
      <c r="J24" s="36">
        <v>44319</v>
      </c>
      <c r="K24" s="46"/>
      <c r="L24" s="46" t="s">
        <v>567</v>
      </c>
      <c r="M24" s="46"/>
      <c r="N24" s="46" t="s">
        <v>1824</v>
      </c>
      <c r="O24" s="45"/>
      <c r="P24" s="45" t="s">
        <v>665</v>
      </c>
      <c r="Q24" s="45"/>
    </row>
    <row r="25" spans="1:17" x14ac:dyDescent="0.3">
      <c r="A25" s="7" t="s">
        <v>1658</v>
      </c>
      <c r="B25" s="7">
        <v>393658</v>
      </c>
      <c r="C25" s="7" t="s">
        <v>1932</v>
      </c>
      <c r="D25" s="7" t="s">
        <v>1921</v>
      </c>
      <c r="E25" s="7" t="s">
        <v>746</v>
      </c>
      <c r="F25" s="7" t="s">
        <v>1915</v>
      </c>
      <c r="G25" s="7" t="s">
        <v>266</v>
      </c>
      <c r="H25" s="36" t="s">
        <v>1926</v>
      </c>
      <c r="I25" s="36" t="s">
        <v>1826</v>
      </c>
      <c r="J25" s="36">
        <v>44333</v>
      </c>
      <c r="K25" s="46"/>
      <c r="L25" s="46" t="s">
        <v>213</v>
      </c>
      <c r="M25" s="46"/>
      <c r="N25" s="46" t="s">
        <v>1824</v>
      </c>
      <c r="O25" s="45"/>
      <c r="P25" s="45" t="s">
        <v>665</v>
      </c>
      <c r="Q25" s="45"/>
    </row>
    <row r="26" spans="1:17" x14ac:dyDescent="0.3">
      <c r="A26" s="7" t="s">
        <v>1912</v>
      </c>
      <c r="B26" s="7">
        <v>393449</v>
      </c>
      <c r="C26" s="7" t="s">
        <v>1941</v>
      </c>
      <c r="D26" s="7" t="s">
        <v>1923</v>
      </c>
      <c r="E26" s="7" t="s">
        <v>746</v>
      </c>
      <c r="F26" s="7" t="s">
        <v>1919</v>
      </c>
      <c r="G26" s="7" t="s">
        <v>409</v>
      </c>
      <c r="H26" s="36" t="s">
        <v>1916</v>
      </c>
      <c r="I26" s="36" t="s">
        <v>1826</v>
      </c>
      <c r="J26" s="36">
        <v>44340</v>
      </c>
      <c r="K26" s="46"/>
      <c r="L26" s="46" t="s">
        <v>142</v>
      </c>
      <c r="M26" s="46"/>
      <c r="N26" s="46" t="s">
        <v>1824</v>
      </c>
      <c r="O26" s="45"/>
      <c r="P26" s="45" t="s">
        <v>665</v>
      </c>
      <c r="Q26" s="45"/>
    </row>
    <row r="27" spans="1:17" x14ac:dyDescent="0.3">
      <c r="A27" s="7" t="s">
        <v>1658</v>
      </c>
      <c r="B27" s="7">
        <v>376576</v>
      </c>
      <c r="C27" s="7" t="s">
        <v>1942</v>
      </c>
      <c r="D27" s="7" t="s">
        <v>1923</v>
      </c>
      <c r="E27" s="7" t="s">
        <v>682</v>
      </c>
      <c r="F27" s="7" t="s">
        <v>1943</v>
      </c>
      <c r="G27" s="7" t="s">
        <v>217</v>
      </c>
      <c r="H27" s="36" t="s">
        <v>1916</v>
      </c>
      <c r="I27" s="36" t="s">
        <v>1826</v>
      </c>
      <c r="J27" s="36">
        <v>43899</v>
      </c>
      <c r="K27" s="46"/>
      <c r="L27" s="46" t="s">
        <v>89</v>
      </c>
      <c r="M27" s="46"/>
      <c r="N27" s="46" t="s">
        <v>1824</v>
      </c>
      <c r="O27" s="45"/>
      <c r="P27" s="45" t="s">
        <v>665</v>
      </c>
      <c r="Q27" s="45"/>
    </row>
    <row r="28" spans="1:17" x14ac:dyDescent="0.3">
      <c r="A28" s="7" t="s">
        <v>1912</v>
      </c>
      <c r="B28" s="7">
        <v>368644</v>
      </c>
      <c r="C28" s="7" t="s">
        <v>1928</v>
      </c>
      <c r="D28" s="7" t="s">
        <v>1921</v>
      </c>
      <c r="E28" s="7" t="s">
        <v>746</v>
      </c>
      <c r="F28" s="7" t="s">
        <v>1915</v>
      </c>
      <c r="G28" s="7" t="s">
        <v>511</v>
      </c>
      <c r="H28" s="36" t="s">
        <v>1926</v>
      </c>
      <c r="I28" s="36" t="s">
        <v>1826</v>
      </c>
      <c r="J28" s="36">
        <v>44352</v>
      </c>
      <c r="K28" s="46"/>
      <c r="L28" s="46" t="s">
        <v>549</v>
      </c>
      <c r="M28" s="46"/>
      <c r="N28" s="46" t="s">
        <v>1824</v>
      </c>
      <c r="O28" s="45"/>
      <c r="P28" s="45" t="s">
        <v>665</v>
      </c>
      <c r="Q28" s="45"/>
    </row>
    <row r="29" spans="1:17" x14ac:dyDescent="0.3">
      <c r="A29" s="7" t="s">
        <v>1912</v>
      </c>
      <c r="B29" s="7">
        <v>375680</v>
      </c>
      <c r="C29" s="7" t="s">
        <v>1944</v>
      </c>
      <c r="D29" s="7" t="s">
        <v>1923</v>
      </c>
      <c r="E29" s="7" t="s">
        <v>682</v>
      </c>
      <c r="F29" s="7" t="s">
        <v>1929</v>
      </c>
      <c r="G29" s="7" t="s">
        <v>565</v>
      </c>
      <c r="H29" s="36" t="s">
        <v>1916</v>
      </c>
      <c r="I29" s="36" t="s">
        <v>1826</v>
      </c>
      <c r="J29" s="36">
        <v>44376</v>
      </c>
      <c r="K29" s="46"/>
      <c r="L29" s="46" t="s">
        <v>366</v>
      </c>
      <c r="M29" s="46"/>
      <c r="N29" s="46" t="s">
        <v>1824</v>
      </c>
      <c r="O29" s="45"/>
      <c r="P29" s="45" t="s">
        <v>665</v>
      </c>
      <c r="Q29" s="45"/>
    </row>
    <row r="30" spans="1:17" x14ac:dyDescent="0.3">
      <c r="A30" s="7" t="s">
        <v>1912</v>
      </c>
      <c r="B30" s="7" t="s">
        <v>716</v>
      </c>
      <c r="C30" s="7" t="s">
        <v>1924</v>
      </c>
      <c r="D30" s="7" t="s">
        <v>1923</v>
      </c>
      <c r="E30" s="7" t="s">
        <v>711</v>
      </c>
      <c r="F30" s="7" t="s">
        <v>1945</v>
      </c>
      <c r="G30" s="7" t="s">
        <v>312</v>
      </c>
      <c r="H30" s="36" t="s">
        <v>1926</v>
      </c>
      <c r="I30" s="36" t="s">
        <v>1826</v>
      </c>
      <c r="J30" s="36">
        <v>44389</v>
      </c>
      <c r="K30" s="46"/>
      <c r="L30" s="46" t="s">
        <v>366</v>
      </c>
      <c r="M30" s="46"/>
      <c r="N30" s="46" t="s">
        <v>1824</v>
      </c>
      <c r="O30" s="45"/>
      <c r="P30" s="45" t="s">
        <v>665</v>
      </c>
      <c r="Q30" s="45"/>
    </row>
    <row r="31" spans="1:17" x14ac:dyDescent="0.3">
      <c r="A31" s="7" t="s">
        <v>1912</v>
      </c>
      <c r="B31" s="7">
        <v>404910</v>
      </c>
      <c r="C31" s="7" t="s">
        <v>1928</v>
      </c>
      <c r="D31" s="7" t="s">
        <v>1921</v>
      </c>
      <c r="E31" s="7" t="s">
        <v>682</v>
      </c>
      <c r="F31" s="7" t="s">
        <v>1929</v>
      </c>
      <c r="G31" s="7" t="s">
        <v>629</v>
      </c>
      <c r="H31" s="36" t="s">
        <v>1916</v>
      </c>
      <c r="I31" s="36" t="s">
        <v>1826</v>
      </c>
      <c r="J31" s="36">
        <v>44390</v>
      </c>
      <c r="K31" s="46"/>
      <c r="L31" s="46" t="s">
        <v>447</v>
      </c>
      <c r="M31" s="46"/>
      <c r="N31" s="46" t="s">
        <v>1824</v>
      </c>
      <c r="O31" s="45"/>
      <c r="P31" s="45" t="s">
        <v>665</v>
      </c>
      <c r="Q31" s="45"/>
    </row>
    <row r="32" spans="1:17" x14ac:dyDescent="0.3">
      <c r="A32" s="7" t="s">
        <v>1658</v>
      </c>
      <c r="B32" s="7">
        <v>376574</v>
      </c>
      <c r="C32" s="7" t="s">
        <v>1938</v>
      </c>
      <c r="D32" s="7" t="s">
        <v>1914</v>
      </c>
      <c r="E32" s="7" t="s">
        <v>682</v>
      </c>
      <c r="F32" s="7" t="s">
        <v>1943</v>
      </c>
      <c r="G32" s="7" t="s">
        <v>206</v>
      </c>
      <c r="H32" s="36" t="s">
        <v>1926</v>
      </c>
      <c r="I32" s="36" t="s">
        <v>1826</v>
      </c>
      <c r="J32" s="36">
        <v>44390</v>
      </c>
      <c r="K32" s="46"/>
      <c r="L32" s="46" t="s">
        <v>217</v>
      </c>
      <c r="M32" s="46"/>
      <c r="N32" s="46" t="s">
        <v>1824</v>
      </c>
      <c r="O32" s="45"/>
      <c r="P32" s="45" t="s">
        <v>665</v>
      </c>
      <c r="Q32" s="45"/>
    </row>
    <row r="33" spans="1:17" x14ac:dyDescent="0.3">
      <c r="A33" s="7" t="s">
        <v>1912</v>
      </c>
      <c r="B33" s="7">
        <v>382066</v>
      </c>
      <c r="C33" s="7" t="s">
        <v>1946</v>
      </c>
      <c r="D33" s="7" t="s">
        <v>1921</v>
      </c>
      <c r="E33" s="7" t="s">
        <v>746</v>
      </c>
      <c r="F33" s="7" t="s">
        <v>1915</v>
      </c>
      <c r="G33" s="7" t="s">
        <v>414</v>
      </c>
      <c r="H33" s="36" t="s">
        <v>1916</v>
      </c>
      <c r="I33" s="36" t="s">
        <v>1826</v>
      </c>
      <c r="J33" s="36">
        <v>44396</v>
      </c>
      <c r="K33" s="46"/>
      <c r="L33" s="46" t="s">
        <v>267</v>
      </c>
      <c r="M33" s="46"/>
      <c r="N33" s="46" t="s">
        <v>1824</v>
      </c>
      <c r="O33" s="45"/>
      <c r="P33" s="45" t="s">
        <v>665</v>
      </c>
      <c r="Q33" s="45"/>
    </row>
    <row r="34" spans="1:17" x14ac:dyDescent="0.3">
      <c r="A34" s="7" t="s">
        <v>1912</v>
      </c>
      <c r="B34" s="7">
        <v>389598</v>
      </c>
      <c r="C34" s="7" t="s">
        <v>1928</v>
      </c>
      <c r="D34" s="7" t="s">
        <v>1914</v>
      </c>
      <c r="E34" s="7" t="s">
        <v>682</v>
      </c>
      <c r="F34" s="7" t="s">
        <v>1929</v>
      </c>
      <c r="G34" s="7" t="s">
        <v>641</v>
      </c>
      <c r="H34" s="36" t="s">
        <v>1916</v>
      </c>
      <c r="I34" s="36" t="s">
        <v>1826</v>
      </c>
      <c r="J34" s="36">
        <v>44397</v>
      </c>
      <c r="K34" s="46"/>
      <c r="L34" s="46" t="s">
        <v>447</v>
      </c>
      <c r="M34" s="46"/>
      <c r="N34" s="46" t="s">
        <v>1824</v>
      </c>
      <c r="O34" s="45"/>
      <c r="P34" s="45" t="s">
        <v>665</v>
      </c>
      <c r="Q34" s="45"/>
    </row>
    <row r="35" spans="1:17" x14ac:dyDescent="0.3">
      <c r="A35" s="7" t="s">
        <v>1912</v>
      </c>
      <c r="B35" s="7">
        <v>389592</v>
      </c>
      <c r="C35" s="7" t="s">
        <v>1947</v>
      </c>
      <c r="D35" s="7" t="s">
        <v>1914</v>
      </c>
      <c r="E35" s="7" t="s">
        <v>682</v>
      </c>
      <c r="F35" s="7" t="s">
        <v>1929</v>
      </c>
      <c r="G35" s="7" t="s">
        <v>239</v>
      </c>
      <c r="H35" s="36" t="s">
        <v>1916</v>
      </c>
      <c r="I35" s="36" t="s">
        <v>1826</v>
      </c>
      <c r="J35" s="36">
        <v>44397</v>
      </c>
      <c r="K35" s="46"/>
      <c r="L35" s="46" t="s">
        <v>565</v>
      </c>
      <c r="M35" s="46"/>
      <c r="N35" s="46" t="s">
        <v>1824</v>
      </c>
      <c r="O35" s="45"/>
      <c r="P35" s="45" t="s">
        <v>665</v>
      </c>
      <c r="Q35" s="45"/>
    </row>
    <row r="36" spans="1:17" x14ac:dyDescent="0.3">
      <c r="A36" s="7" t="s">
        <v>1912</v>
      </c>
      <c r="B36" s="7">
        <v>402353</v>
      </c>
      <c r="C36" s="7" t="s">
        <v>1948</v>
      </c>
      <c r="D36" s="7" t="s">
        <v>1921</v>
      </c>
      <c r="E36" s="7" t="s">
        <v>746</v>
      </c>
      <c r="F36" s="7" t="s">
        <v>1919</v>
      </c>
      <c r="G36" s="7" t="s">
        <v>521</v>
      </c>
      <c r="H36" s="36" t="s">
        <v>1926</v>
      </c>
      <c r="I36" s="36" t="s">
        <v>1826</v>
      </c>
      <c r="J36" s="36">
        <v>44417</v>
      </c>
      <c r="K36" s="46"/>
      <c r="L36" s="46" t="s">
        <v>87</v>
      </c>
      <c r="M36" s="46"/>
      <c r="N36" s="46" t="s">
        <v>1824</v>
      </c>
      <c r="O36" s="45"/>
      <c r="P36" s="45" t="s">
        <v>665</v>
      </c>
      <c r="Q36" s="45"/>
    </row>
    <row r="37" spans="1:17" x14ac:dyDescent="0.3">
      <c r="A37" s="7" t="s">
        <v>1912</v>
      </c>
      <c r="B37" s="7">
        <v>382044</v>
      </c>
      <c r="C37" s="7" t="s">
        <v>1949</v>
      </c>
      <c r="D37" s="7" t="s">
        <v>1950</v>
      </c>
      <c r="E37" s="7" t="s">
        <v>746</v>
      </c>
      <c r="F37" s="7" t="s">
        <v>1915</v>
      </c>
      <c r="G37" s="7" t="s">
        <v>505</v>
      </c>
      <c r="H37" s="36" t="s">
        <v>1926</v>
      </c>
      <c r="I37" s="36" t="s">
        <v>1826</v>
      </c>
      <c r="J37" s="36">
        <v>44417</v>
      </c>
      <c r="K37" s="46"/>
      <c r="L37" s="46" t="s">
        <v>132</v>
      </c>
      <c r="M37" s="46"/>
      <c r="N37" s="46" t="s">
        <v>1824</v>
      </c>
      <c r="O37" s="45"/>
      <c r="P37" s="45" t="s">
        <v>665</v>
      </c>
      <c r="Q37" s="45"/>
    </row>
    <row r="38" spans="1:17" x14ac:dyDescent="0.3">
      <c r="A38" s="7" t="s">
        <v>1912</v>
      </c>
      <c r="B38" s="7">
        <v>382069</v>
      </c>
      <c r="C38" s="7" t="s">
        <v>1946</v>
      </c>
      <c r="D38" s="7" t="s">
        <v>1921</v>
      </c>
      <c r="E38" s="7" t="s">
        <v>746</v>
      </c>
      <c r="F38" s="7" t="s">
        <v>1915</v>
      </c>
      <c r="G38" s="7" t="s">
        <v>438</v>
      </c>
      <c r="H38" s="36" t="s">
        <v>1916</v>
      </c>
      <c r="I38" s="36" t="s">
        <v>1826</v>
      </c>
      <c r="J38" s="36">
        <v>44417</v>
      </c>
      <c r="K38" s="46"/>
      <c r="L38" s="46" t="s">
        <v>181</v>
      </c>
      <c r="M38" s="46"/>
      <c r="N38" s="46" t="s">
        <v>1824</v>
      </c>
      <c r="O38" s="45"/>
      <c r="P38" s="45" t="s">
        <v>665</v>
      </c>
      <c r="Q38" s="45"/>
    </row>
    <row r="39" spans="1:17" x14ac:dyDescent="0.3">
      <c r="A39" s="7" t="s">
        <v>1912</v>
      </c>
      <c r="B39" s="7" t="s">
        <v>716</v>
      </c>
      <c r="C39" s="7" t="s">
        <v>1928</v>
      </c>
      <c r="D39" s="7" t="s">
        <v>1914</v>
      </c>
      <c r="E39" s="7" t="s">
        <v>682</v>
      </c>
      <c r="F39" s="7" t="s">
        <v>1929</v>
      </c>
      <c r="G39" s="7" t="s">
        <v>618</v>
      </c>
      <c r="H39" s="36" t="s">
        <v>1916</v>
      </c>
      <c r="I39" s="36" t="s">
        <v>1826</v>
      </c>
      <c r="J39" s="36">
        <v>44418</v>
      </c>
      <c r="K39" s="46"/>
      <c r="L39" s="46" t="s">
        <v>447</v>
      </c>
      <c r="M39" s="46"/>
      <c r="N39" s="46" t="s">
        <v>1824</v>
      </c>
      <c r="O39" s="45"/>
      <c r="P39" s="45" t="s">
        <v>665</v>
      </c>
      <c r="Q39" s="45"/>
    </row>
    <row r="40" spans="1:17" x14ac:dyDescent="0.3">
      <c r="A40" s="7" t="s">
        <v>1912</v>
      </c>
      <c r="B40" s="7">
        <v>415889</v>
      </c>
      <c r="C40" s="7" t="s">
        <v>1924</v>
      </c>
      <c r="D40" s="7" t="s">
        <v>1914</v>
      </c>
      <c r="E40" s="7" t="s">
        <v>711</v>
      </c>
      <c r="F40" s="7" t="s">
        <v>1945</v>
      </c>
      <c r="G40" s="7" t="s">
        <v>150</v>
      </c>
      <c r="H40" s="36" t="s">
        <v>1916</v>
      </c>
      <c r="I40" s="36" t="s">
        <v>1826</v>
      </c>
      <c r="J40" s="36">
        <v>44424</v>
      </c>
      <c r="K40" s="46"/>
      <c r="L40" s="46" t="s">
        <v>366</v>
      </c>
      <c r="M40" s="46"/>
      <c r="N40" s="46" t="s">
        <v>1824</v>
      </c>
      <c r="O40" s="45"/>
      <c r="P40" s="45" t="s">
        <v>665</v>
      </c>
      <c r="Q40" s="45"/>
    </row>
    <row r="41" spans="1:17" x14ac:dyDescent="0.3">
      <c r="A41" s="7" t="s">
        <v>1658</v>
      </c>
      <c r="B41" s="7">
        <v>401450</v>
      </c>
      <c r="C41" s="7" t="s">
        <v>1951</v>
      </c>
      <c r="D41" s="7" t="s">
        <v>1914</v>
      </c>
      <c r="E41" s="7" t="s">
        <v>746</v>
      </c>
      <c r="F41" s="7" t="s">
        <v>1915</v>
      </c>
      <c r="G41" s="7" t="s">
        <v>516</v>
      </c>
      <c r="H41" s="36" t="s">
        <v>1926</v>
      </c>
      <c r="I41" s="36" t="s">
        <v>1826</v>
      </c>
      <c r="J41" s="36">
        <v>44425</v>
      </c>
      <c r="K41" s="46"/>
      <c r="L41" s="46" t="s">
        <v>544</v>
      </c>
      <c r="M41" s="46"/>
      <c r="N41" s="46" t="s">
        <v>1824</v>
      </c>
      <c r="O41" s="45"/>
      <c r="P41" s="45" t="s">
        <v>665</v>
      </c>
      <c r="Q41" s="45"/>
    </row>
    <row r="42" spans="1:17" x14ac:dyDescent="0.3">
      <c r="A42" s="7" t="s">
        <v>1912</v>
      </c>
      <c r="B42" s="7">
        <v>404912</v>
      </c>
      <c r="C42" s="7" t="s">
        <v>1928</v>
      </c>
      <c r="D42" s="7" t="s">
        <v>1914</v>
      </c>
      <c r="E42" s="7" t="s">
        <v>682</v>
      </c>
      <c r="F42" s="7" t="s">
        <v>1929</v>
      </c>
      <c r="G42" s="7" t="s">
        <v>153</v>
      </c>
      <c r="H42" s="36" t="s">
        <v>1916</v>
      </c>
      <c r="I42" s="36" t="s">
        <v>1826</v>
      </c>
      <c r="J42" s="36">
        <v>44432</v>
      </c>
      <c r="K42" s="46"/>
      <c r="L42" s="46" t="s">
        <v>447</v>
      </c>
      <c r="M42" s="46"/>
      <c r="N42" s="46" t="s">
        <v>1824</v>
      </c>
      <c r="O42" s="45"/>
      <c r="P42" s="45" t="s">
        <v>665</v>
      </c>
      <c r="Q42" s="45"/>
    </row>
    <row r="43" spans="1:17" x14ac:dyDescent="0.3">
      <c r="A43" s="7" t="s">
        <v>1912</v>
      </c>
      <c r="B43" s="7">
        <v>404895</v>
      </c>
      <c r="C43" s="7" t="s">
        <v>1937</v>
      </c>
      <c r="D43" s="7" t="s">
        <v>1921</v>
      </c>
      <c r="E43" s="7" t="s">
        <v>682</v>
      </c>
      <c r="F43" s="7" t="s">
        <v>1929</v>
      </c>
      <c r="G43" s="7" t="s">
        <v>271</v>
      </c>
      <c r="H43" s="36" t="s">
        <v>1916</v>
      </c>
      <c r="I43" s="36" t="s">
        <v>1826</v>
      </c>
      <c r="J43" s="36">
        <v>44439</v>
      </c>
      <c r="K43" s="46"/>
      <c r="L43" s="46" t="s">
        <v>565</v>
      </c>
      <c r="M43" s="46"/>
      <c r="N43" s="46" t="s">
        <v>1824</v>
      </c>
      <c r="O43" s="45"/>
      <c r="P43" s="45" t="s">
        <v>665</v>
      </c>
      <c r="Q43" s="45"/>
    </row>
    <row r="44" spans="1:17" x14ac:dyDescent="0.3">
      <c r="A44" s="7" t="s">
        <v>1912</v>
      </c>
      <c r="B44" s="7">
        <v>375693</v>
      </c>
      <c r="C44" s="7" t="s">
        <v>1952</v>
      </c>
      <c r="D44" s="7" t="s">
        <v>1914</v>
      </c>
      <c r="E44" s="7" t="s">
        <v>682</v>
      </c>
      <c r="F44" s="7" t="s">
        <v>1929</v>
      </c>
      <c r="G44" s="7" t="s">
        <v>226</v>
      </c>
      <c r="H44" s="36" t="s">
        <v>1916</v>
      </c>
      <c r="I44" s="36" t="s">
        <v>1826</v>
      </c>
      <c r="J44" s="36">
        <v>44439</v>
      </c>
      <c r="K44" s="46"/>
      <c r="L44" s="46" t="s">
        <v>565</v>
      </c>
      <c r="M44" s="46"/>
      <c r="N44" s="46" t="s">
        <v>1824</v>
      </c>
      <c r="O44" s="45"/>
      <c r="P44" s="45" t="s">
        <v>665</v>
      </c>
      <c r="Q44" s="45"/>
    </row>
    <row r="45" spans="1:17" x14ac:dyDescent="0.3">
      <c r="A45" s="7" t="s">
        <v>1912</v>
      </c>
      <c r="B45" s="7">
        <v>382088</v>
      </c>
      <c r="C45" s="7" t="s">
        <v>1953</v>
      </c>
      <c r="D45" s="7" t="s">
        <v>1914</v>
      </c>
      <c r="E45" s="7" t="s">
        <v>746</v>
      </c>
      <c r="F45" s="7" t="s">
        <v>1919</v>
      </c>
      <c r="G45" s="7" t="s">
        <v>530</v>
      </c>
      <c r="H45" s="36" t="s">
        <v>1916</v>
      </c>
      <c r="I45" s="36" t="s">
        <v>1826</v>
      </c>
      <c r="J45" s="36">
        <v>44440</v>
      </c>
      <c r="K45" s="46"/>
      <c r="L45" s="46" t="s">
        <v>87</v>
      </c>
      <c r="M45" s="46"/>
      <c r="N45" s="46" t="s">
        <v>1824</v>
      </c>
      <c r="O45" s="45"/>
      <c r="P45" s="45" t="s">
        <v>665</v>
      </c>
      <c r="Q45" s="45"/>
    </row>
    <row r="46" spans="1:17" x14ac:dyDescent="0.3">
      <c r="A46" s="7" t="s">
        <v>1912</v>
      </c>
      <c r="B46" s="7">
        <v>385386</v>
      </c>
      <c r="C46" s="7" t="s">
        <v>1937</v>
      </c>
      <c r="D46" s="7" t="s">
        <v>1914</v>
      </c>
      <c r="E46" s="7" t="s">
        <v>746</v>
      </c>
      <c r="F46" s="7" t="s">
        <v>1915</v>
      </c>
      <c r="G46" s="7" t="s">
        <v>410</v>
      </c>
      <c r="H46" s="36" t="s">
        <v>1916</v>
      </c>
      <c r="I46" s="36" t="s">
        <v>1826</v>
      </c>
      <c r="J46" s="36">
        <v>44440</v>
      </c>
      <c r="K46" s="46"/>
      <c r="L46" s="46" t="s">
        <v>154</v>
      </c>
      <c r="M46" s="46"/>
      <c r="N46" s="46" t="s">
        <v>1824</v>
      </c>
      <c r="O46" s="45"/>
      <c r="P46" s="45" t="s">
        <v>665</v>
      </c>
      <c r="Q46" s="45"/>
    </row>
    <row r="47" spans="1:17" x14ac:dyDescent="0.3">
      <c r="A47" s="7" t="s">
        <v>1658</v>
      </c>
      <c r="B47" s="7">
        <v>405708</v>
      </c>
      <c r="C47" s="7" t="s">
        <v>2423</v>
      </c>
      <c r="D47" s="7" t="s">
        <v>1914</v>
      </c>
      <c r="E47" s="7" t="s">
        <v>829</v>
      </c>
      <c r="F47" s="7" t="s">
        <v>829</v>
      </c>
      <c r="G47" s="7" t="s">
        <v>365</v>
      </c>
      <c r="H47" s="36" t="s">
        <v>1916</v>
      </c>
      <c r="I47" s="36" t="s">
        <v>1826</v>
      </c>
      <c r="J47" s="36">
        <v>44440</v>
      </c>
      <c r="K47" s="46"/>
      <c r="L47" s="46" t="s">
        <v>89</v>
      </c>
      <c r="M47" s="46"/>
      <c r="N47" s="46" t="s">
        <v>1824</v>
      </c>
      <c r="O47" s="45"/>
      <c r="P47" s="45" t="s">
        <v>665</v>
      </c>
      <c r="Q47" s="45"/>
    </row>
    <row r="48" spans="1:17" x14ac:dyDescent="0.3">
      <c r="A48" s="7" t="s">
        <v>1912</v>
      </c>
      <c r="B48" s="7">
        <v>404896</v>
      </c>
      <c r="C48" s="7" t="s">
        <v>1953</v>
      </c>
      <c r="D48" s="7" t="s">
        <v>1914</v>
      </c>
      <c r="E48" s="7" t="s">
        <v>682</v>
      </c>
      <c r="F48" s="7" t="s">
        <v>1929</v>
      </c>
      <c r="G48" s="7" t="s">
        <v>623</v>
      </c>
      <c r="H48" s="36" t="s">
        <v>1916</v>
      </c>
      <c r="I48" s="36" t="s">
        <v>1826</v>
      </c>
      <c r="J48" s="36">
        <v>44446</v>
      </c>
      <c r="K48" s="46"/>
      <c r="L48" s="46" t="s">
        <v>565</v>
      </c>
      <c r="M48" s="46"/>
      <c r="N48" s="46" t="s">
        <v>1824</v>
      </c>
      <c r="O48" s="45"/>
      <c r="P48" s="45" t="s">
        <v>665</v>
      </c>
      <c r="Q48" s="45"/>
    </row>
    <row r="49" spans="1:17" x14ac:dyDescent="0.3">
      <c r="A49" s="7" t="s">
        <v>1912</v>
      </c>
      <c r="B49" s="7">
        <v>400892</v>
      </c>
      <c r="C49" s="7" t="s">
        <v>1954</v>
      </c>
      <c r="D49" s="7" t="s">
        <v>1914</v>
      </c>
      <c r="E49" s="7" t="s">
        <v>746</v>
      </c>
      <c r="F49" s="7" t="s">
        <v>1919</v>
      </c>
      <c r="G49" s="7" t="s">
        <v>313</v>
      </c>
      <c r="H49" s="36" t="s">
        <v>1916</v>
      </c>
      <c r="I49" s="36" t="s">
        <v>1826</v>
      </c>
      <c r="J49" s="36">
        <v>44452</v>
      </c>
      <c r="K49" s="46"/>
      <c r="L49" s="46" t="s">
        <v>142</v>
      </c>
      <c r="M49" s="46"/>
      <c r="N49" s="46" t="s">
        <v>1824</v>
      </c>
      <c r="O49" s="45"/>
      <c r="P49" s="45" t="s">
        <v>665</v>
      </c>
      <c r="Q49" s="45"/>
    </row>
    <row r="50" spans="1:17" x14ac:dyDescent="0.3">
      <c r="A50" s="7" t="s">
        <v>1912</v>
      </c>
      <c r="B50" s="7">
        <v>413653</v>
      </c>
      <c r="C50" s="7" t="s">
        <v>1933</v>
      </c>
      <c r="D50" s="7" t="s">
        <v>1914</v>
      </c>
      <c r="E50" s="7" t="s">
        <v>746</v>
      </c>
      <c r="F50" s="7" t="s">
        <v>1915</v>
      </c>
      <c r="G50" s="7" t="s">
        <v>169</v>
      </c>
      <c r="H50" s="36" t="s">
        <v>1926</v>
      </c>
      <c r="I50" s="36" t="s">
        <v>1826</v>
      </c>
      <c r="J50" s="36">
        <v>44459</v>
      </c>
      <c r="K50" s="46"/>
      <c r="L50" s="46" t="s">
        <v>269</v>
      </c>
      <c r="M50" s="46"/>
      <c r="N50" s="46" t="s">
        <v>1824</v>
      </c>
      <c r="O50" s="45"/>
      <c r="P50" s="45" t="s">
        <v>665</v>
      </c>
      <c r="Q50" s="45"/>
    </row>
    <row r="51" spans="1:17" x14ac:dyDescent="0.3">
      <c r="A51" s="7" t="s">
        <v>1912</v>
      </c>
      <c r="B51" s="7">
        <v>383190</v>
      </c>
      <c r="C51" s="7" t="s">
        <v>1955</v>
      </c>
      <c r="D51" s="7" t="s">
        <v>1923</v>
      </c>
      <c r="E51" s="7" t="s">
        <v>746</v>
      </c>
      <c r="F51" s="7" t="s">
        <v>1915</v>
      </c>
      <c r="G51" s="7" t="s">
        <v>154</v>
      </c>
      <c r="H51" s="36" t="s">
        <v>1916</v>
      </c>
      <c r="I51" s="36" t="s">
        <v>1826</v>
      </c>
      <c r="J51" s="36">
        <v>44459</v>
      </c>
      <c r="K51" s="46"/>
      <c r="L51" s="46" t="s">
        <v>366</v>
      </c>
      <c r="M51" s="46"/>
      <c r="N51" s="46" t="s">
        <v>1824</v>
      </c>
      <c r="O51" s="45"/>
      <c r="P51" s="45" t="s">
        <v>665</v>
      </c>
      <c r="Q51" s="45"/>
    </row>
    <row r="52" spans="1:17" x14ac:dyDescent="0.3">
      <c r="A52" s="7" t="s">
        <v>755</v>
      </c>
      <c r="B52" s="7">
        <v>382074</v>
      </c>
      <c r="C52" s="7" t="s">
        <v>1956</v>
      </c>
      <c r="D52" s="7" t="s">
        <v>1921</v>
      </c>
      <c r="E52" s="7" t="s">
        <v>746</v>
      </c>
      <c r="F52" s="7" t="s">
        <v>1915</v>
      </c>
      <c r="G52" s="7" t="s">
        <v>95</v>
      </c>
      <c r="H52" s="36" t="s">
        <v>1926</v>
      </c>
      <c r="I52" s="36" t="s">
        <v>1826</v>
      </c>
      <c r="J52" s="36">
        <v>44416</v>
      </c>
      <c r="K52" s="46"/>
      <c r="L52" s="46" t="s">
        <v>47</v>
      </c>
      <c r="M52" s="46"/>
      <c r="N52" s="46" t="s">
        <v>1824</v>
      </c>
      <c r="O52" s="45"/>
      <c r="P52" s="45" t="s">
        <v>665</v>
      </c>
      <c r="Q52" s="45"/>
    </row>
    <row r="53" spans="1:17" x14ac:dyDescent="0.3">
      <c r="A53" s="7" t="s">
        <v>1912</v>
      </c>
      <c r="B53" s="7">
        <v>404913</v>
      </c>
      <c r="C53" s="7" t="s">
        <v>1928</v>
      </c>
      <c r="D53" s="7" t="s">
        <v>1921</v>
      </c>
      <c r="E53" s="7" t="s">
        <v>682</v>
      </c>
      <c r="F53" s="7" t="s">
        <v>1929</v>
      </c>
      <c r="G53" s="7" t="s">
        <v>200</v>
      </c>
      <c r="H53" s="36" t="s">
        <v>1916</v>
      </c>
      <c r="I53" s="36" t="s">
        <v>1826</v>
      </c>
      <c r="J53" s="36">
        <v>44467</v>
      </c>
      <c r="K53" s="46"/>
      <c r="L53" s="46" t="s">
        <v>447</v>
      </c>
      <c r="M53" s="46"/>
      <c r="N53" s="46" t="s">
        <v>1824</v>
      </c>
      <c r="O53" s="45"/>
      <c r="P53" s="45" t="s">
        <v>665</v>
      </c>
      <c r="Q53" s="45"/>
    </row>
    <row r="54" spans="1:17" x14ac:dyDescent="0.3">
      <c r="A54" s="7" t="s">
        <v>1912</v>
      </c>
      <c r="B54" s="7">
        <v>404908</v>
      </c>
      <c r="C54" s="7" t="s">
        <v>1928</v>
      </c>
      <c r="D54" s="7" t="s">
        <v>1921</v>
      </c>
      <c r="E54" s="7" t="s">
        <v>682</v>
      </c>
      <c r="F54" s="7" t="s">
        <v>1929</v>
      </c>
      <c r="G54" s="7" t="s">
        <v>171</v>
      </c>
      <c r="H54" s="36" t="s">
        <v>1916</v>
      </c>
      <c r="I54" s="36" t="s">
        <v>1826</v>
      </c>
      <c r="J54" s="36">
        <v>44467</v>
      </c>
      <c r="K54" s="46"/>
      <c r="L54" s="46" t="s">
        <v>447</v>
      </c>
      <c r="M54" s="46"/>
      <c r="N54" s="46" t="s">
        <v>1824</v>
      </c>
      <c r="O54" s="45"/>
      <c r="P54" s="45" t="s">
        <v>665</v>
      </c>
      <c r="Q54" s="45"/>
    </row>
    <row r="55" spans="1:17" x14ac:dyDescent="0.3">
      <c r="A55" s="7" t="s">
        <v>1912</v>
      </c>
      <c r="B55" s="7">
        <v>382067</v>
      </c>
      <c r="C55" s="7" t="s">
        <v>1957</v>
      </c>
      <c r="D55" s="7" t="s">
        <v>1950</v>
      </c>
      <c r="E55" s="7" t="s">
        <v>746</v>
      </c>
      <c r="F55" s="7" t="s">
        <v>1915</v>
      </c>
      <c r="G55" s="7" t="s">
        <v>588</v>
      </c>
      <c r="H55" s="36" t="s">
        <v>1926</v>
      </c>
      <c r="I55" s="36" t="s">
        <v>1826</v>
      </c>
      <c r="J55" s="36">
        <v>44473</v>
      </c>
      <c r="K55" s="46"/>
      <c r="L55" s="46" t="s">
        <v>132</v>
      </c>
      <c r="M55" s="46"/>
      <c r="N55" s="46" t="s">
        <v>1824</v>
      </c>
      <c r="O55" s="45"/>
      <c r="P55" s="45" t="s">
        <v>665</v>
      </c>
      <c r="Q55" s="45"/>
    </row>
    <row r="56" spans="1:17" x14ac:dyDescent="0.3">
      <c r="A56" s="7" t="s">
        <v>1912</v>
      </c>
      <c r="B56" s="7">
        <v>404905</v>
      </c>
      <c r="C56" s="7" t="s">
        <v>1928</v>
      </c>
      <c r="D56" s="7" t="s">
        <v>1914</v>
      </c>
      <c r="E56" s="7" t="s">
        <v>682</v>
      </c>
      <c r="F56" s="7" t="s">
        <v>1929</v>
      </c>
      <c r="G56" s="7" t="s">
        <v>624</v>
      </c>
      <c r="H56" s="36" t="s">
        <v>1916</v>
      </c>
      <c r="I56" s="36" t="s">
        <v>1826</v>
      </c>
      <c r="J56" s="36">
        <v>44481</v>
      </c>
      <c r="K56" s="46"/>
      <c r="L56" s="46" t="s">
        <v>447</v>
      </c>
      <c r="M56" s="46"/>
      <c r="N56" s="46" t="s">
        <v>1824</v>
      </c>
      <c r="O56" s="45"/>
      <c r="P56" s="45" t="s">
        <v>665</v>
      </c>
      <c r="Q56" s="45"/>
    </row>
    <row r="57" spans="1:17" x14ac:dyDescent="0.3">
      <c r="A57" s="7" t="s">
        <v>1658</v>
      </c>
      <c r="B57" s="7">
        <v>423666</v>
      </c>
      <c r="C57" s="7" t="s">
        <v>1958</v>
      </c>
      <c r="D57" s="7" t="s">
        <v>1921</v>
      </c>
      <c r="E57" s="7" t="s">
        <v>1584</v>
      </c>
      <c r="F57" s="7" t="s">
        <v>1959</v>
      </c>
      <c r="G57" s="7" t="s">
        <v>254</v>
      </c>
      <c r="H57" s="36" t="s">
        <v>1916</v>
      </c>
      <c r="I57" s="36" t="s">
        <v>1826</v>
      </c>
      <c r="J57" s="36">
        <v>44484</v>
      </c>
      <c r="K57" s="46"/>
      <c r="L57" s="46" t="s">
        <v>48</v>
      </c>
      <c r="M57" s="46"/>
      <c r="N57" s="46" t="s">
        <v>1824</v>
      </c>
      <c r="O57" s="45"/>
      <c r="P57" s="45" t="s">
        <v>665</v>
      </c>
      <c r="Q57" s="45"/>
    </row>
    <row r="58" spans="1:17" x14ac:dyDescent="0.3">
      <c r="A58" s="7" t="s">
        <v>1912</v>
      </c>
      <c r="B58" s="7">
        <v>404897</v>
      </c>
      <c r="C58" s="7" t="s">
        <v>1947</v>
      </c>
      <c r="D58" s="7" t="s">
        <v>1914</v>
      </c>
      <c r="E58" s="7" t="s">
        <v>682</v>
      </c>
      <c r="F58" s="7" t="s">
        <v>1929</v>
      </c>
      <c r="G58" s="7" t="s">
        <v>630</v>
      </c>
      <c r="H58" s="36" t="s">
        <v>1926</v>
      </c>
      <c r="I58" s="36" t="s">
        <v>1826</v>
      </c>
      <c r="J58" s="36">
        <v>44495</v>
      </c>
      <c r="K58" s="46"/>
      <c r="L58" s="46" t="s">
        <v>565</v>
      </c>
      <c r="M58" s="46"/>
      <c r="N58" s="46" t="s">
        <v>1824</v>
      </c>
      <c r="O58" s="45"/>
      <c r="P58" s="45" t="s">
        <v>665</v>
      </c>
      <c r="Q58" s="45"/>
    </row>
    <row r="59" spans="1:17" x14ac:dyDescent="0.3">
      <c r="A59" s="7" t="s">
        <v>1912</v>
      </c>
      <c r="B59" s="7">
        <v>404906</v>
      </c>
      <c r="C59" s="7" t="s">
        <v>1937</v>
      </c>
      <c r="D59" s="7" t="s">
        <v>1921</v>
      </c>
      <c r="E59" s="7" t="s">
        <v>682</v>
      </c>
      <c r="F59" s="7" t="s">
        <v>1929</v>
      </c>
      <c r="G59" s="7" t="s">
        <v>227</v>
      </c>
      <c r="H59" s="36" t="s">
        <v>1916</v>
      </c>
      <c r="I59" s="36" t="s">
        <v>1826</v>
      </c>
      <c r="J59" s="36">
        <v>44495</v>
      </c>
      <c r="K59" s="46"/>
      <c r="L59" s="46" t="s">
        <v>565</v>
      </c>
      <c r="M59" s="46"/>
      <c r="N59" s="46" t="s">
        <v>1824</v>
      </c>
      <c r="O59" s="45"/>
      <c r="P59" s="45" t="s">
        <v>665</v>
      </c>
      <c r="Q59" s="45"/>
    </row>
    <row r="60" spans="1:17" x14ac:dyDescent="0.3">
      <c r="A60" s="7" t="s">
        <v>1658</v>
      </c>
      <c r="B60" s="7" t="s">
        <v>716</v>
      </c>
      <c r="C60" s="7" t="s">
        <v>1960</v>
      </c>
      <c r="D60" s="7" t="s">
        <v>1914</v>
      </c>
      <c r="E60" s="7" t="s">
        <v>746</v>
      </c>
      <c r="F60" s="7" t="s">
        <v>1915</v>
      </c>
      <c r="G60" s="7" t="s">
        <v>458</v>
      </c>
      <c r="H60" s="36" t="s">
        <v>1916</v>
      </c>
      <c r="I60" s="36" t="s">
        <v>1826</v>
      </c>
      <c r="J60" s="36">
        <v>44158</v>
      </c>
      <c r="K60" s="46"/>
      <c r="L60" s="46" t="s">
        <v>89</v>
      </c>
      <c r="M60" s="46"/>
      <c r="N60" s="46" t="s">
        <v>1824</v>
      </c>
      <c r="O60" s="45"/>
      <c r="P60" s="45" t="s">
        <v>665</v>
      </c>
      <c r="Q60" s="45"/>
    </row>
    <row r="61" spans="1:17" x14ac:dyDescent="0.3">
      <c r="A61" s="7" t="s">
        <v>755</v>
      </c>
      <c r="B61" s="7">
        <v>382093</v>
      </c>
      <c r="C61" s="7" t="s">
        <v>1961</v>
      </c>
      <c r="D61" s="7" t="s">
        <v>1921</v>
      </c>
      <c r="E61" s="7" t="s">
        <v>746</v>
      </c>
      <c r="F61" s="7" t="s">
        <v>1915</v>
      </c>
      <c r="G61" s="7" t="s">
        <v>813</v>
      </c>
      <c r="H61" s="36" t="s">
        <v>1916</v>
      </c>
      <c r="I61" s="36" t="s">
        <v>1826</v>
      </c>
      <c r="J61" s="36">
        <v>44508</v>
      </c>
      <c r="K61" s="46"/>
      <c r="L61" s="46" t="s">
        <v>285</v>
      </c>
      <c r="M61" s="46"/>
      <c r="N61" s="46" t="s">
        <v>1824</v>
      </c>
      <c r="O61" s="45"/>
      <c r="P61" s="45" t="s">
        <v>665</v>
      </c>
      <c r="Q61" s="45"/>
    </row>
    <row r="62" spans="1:17" x14ac:dyDescent="0.3">
      <c r="A62" s="7" t="s">
        <v>755</v>
      </c>
      <c r="B62" s="7">
        <v>472943</v>
      </c>
      <c r="C62" s="7" t="s">
        <v>1962</v>
      </c>
      <c r="D62" s="7" t="s">
        <v>1921</v>
      </c>
      <c r="E62" s="7" t="s">
        <v>746</v>
      </c>
      <c r="F62" s="7" t="s">
        <v>1915</v>
      </c>
      <c r="G62" s="7" t="s">
        <v>1289</v>
      </c>
      <c r="H62" s="36" t="s">
        <v>1926</v>
      </c>
      <c r="I62" s="36" t="s">
        <v>1826</v>
      </c>
      <c r="J62" s="36">
        <v>44510</v>
      </c>
      <c r="K62" s="46"/>
      <c r="L62" s="46" t="s">
        <v>633</v>
      </c>
      <c r="M62" s="46"/>
      <c r="N62" s="46" t="s">
        <v>1824</v>
      </c>
      <c r="O62" s="45"/>
      <c r="P62" s="45" t="s">
        <v>665</v>
      </c>
      <c r="Q62" s="45"/>
    </row>
    <row r="63" spans="1:17" x14ac:dyDescent="0.3">
      <c r="A63" s="7" t="s">
        <v>1912</v>
      </c>
      <c r="B63" s="7">
        <v>404901</v>
      </c>
      <c r="C63" s="7" t="s">
        <v>1937</v>
      </c>
      <c r="D63" s="7" t="s">
        <v>1921</v>
      </c>
      <c r="E63" s="7" t="s">
        <v>682</v>
      </c>
      <c r="F63" s="7" t="s">
        <v>1929</v>
      </c>
      <c r="G63" s="7" t="s">
        <v>615</v>
      </c>
      <c r="H63" s="36" t="s">
        <v>1916</v>
      </c>
      <c r="I63" s="36" t="s">
        <v>1826</v>
      </c>
      <c r="J63" s="36">
        <v>44516</v>
      </c>
      <c r="K63" s="46"/>
      <c r="L63" s="46" t="s">
        <v>565</v>
      </c>
      <c r="M63" s="46"/>
      <c r="N63" s="46" t="s">
        <v>1824</v>
      </c>
      <c r="O63" s="45"/>
      <c r="P63" s="45" t="s">
        <v>665</v>
      </c>
      <c r="Q63" s="45"/>
    </row>
    <row r="64" spans="1:17" x14ac:dyDescent="0.3">
      <c r="A64" s="7" t="s">
        <v>1912</v>
      </c>
      <c r="B64" s="7">
        <v>433124</v>
      </c>
      <c r="C64" s="7" t="s">
        <v>1937</v>
      </c>
      <c r="D64" s="7" t="s">
        <v>1921</v>
      </c>
      <c r="E64" s="7" t="s">
        <v>682</v>
      </c>
      <c r="F64" s="7" t="s">
        <v>1929</v>
      </c>
      <c r="G64" s="7" t="s">
        <v>645</v>
      </c>
      <c r="H64" s="36" t="s">
        <v>1916</v>
      </c>
      <c r="I64" s="36" t="s">
        <v>1826</v>
      </c>
      <c r="J64" s="36">
        <v>44516</v>
      </c>
      <c r="K64" s="46"/>
      <c r="L64" s="46" t="s">
        <v>565</v>
      </c>
      <c r="M64" s="46"/>
      <c r="N64" s="46" t="s">
        <v>1824</v>
      </c>
      <c r="O64" s="45"/>
      <c r="P64" s="45" t="s">
        <v>665</v>
      </c>
      <c r="Q64" s="45"/>
    </row>
    <row r="65" spans="1:17" x14ac:dyDescent="0.3">
      <c r="A65" s="7" t="s">
        <v>1912</v>
      </c>
      <c r="B65" s="7">
        <v>404899</v>
      </c>
      <c r="C65" s="7" t="s">
        <v>1963</v>
      </c>
      <c r="D65" s="7" t="s">
        <v>1950</v>
      </c>
      <c r="E65" s="7" t="s">
        <v>682</v>
      </c>
      <c r="F65" s="7" t="s">
        <v>1929</v>
      </c>
      <c r="G65" s="7" t="s">
        <v>619</v>
      </c>
      <c r="H65" s="36" t="s">
        <v>1916</v>
      </c>
      <c r="I65" s="36" t="s">
        <v>1826</v>
      </c>
      <c r="J65" s="36">
        <v>44530</v>
      </c>
      <c r="K65" s="46"/>
      <c r="L65" s="46" t="s">
        <v>565</v>
      </c>
      <c r="M65" s="46"/>
      <c r="N65" s="46" t="s">
        <v>1824</v>
      </c>
      <c r="O65" s="45"/>
      <c r="P65" s="45" t="s">
        <v>665</v>
      </c>
      <c r="Q65" s="45"/>
    </row>
    <row r="66" spans="1:17" x14ac:dyDescent="0.3">
      <c r="A66" s="7" t="s">
        <v>1912</v>
      </c>
      <c r="B66" s="7">
        <v>433531</v>
      </c>
      <c r="C66" s="7" t="s">
        <v>1964</v>
      </c>
      <c r="D66" s="7" t="s">
        <v>1914</v>
      </c>
      <c r="E66" s="7" t="s">
        <v>746</v>
      </c>
      <c r="F66" s="7" t="s">
        <v>1915</v>
      </c>
      <c r="G66" s="7" t="s">
        <v>440</v>
      </c>
      <c r="H66" s="36" t="s">
        <v>1916</v>
      </c>
      <c r="I66" s="36" t="s">
        <v>1826</v>
      </c>
      <c r="J66" s="36">
        <v>44550</v>
      </c>
      <c r="K66" s="46"/>
      <c r="L66" s="46" t="s">
        <v>123</v>
      </c>
      <c r="M66" s="46"/>
      <c r="N66" s="46" t="s">
        <v>1824</v>
      </c>
      <c r="O66" s="45"/>
      <c r="P66" s="45" t="s">
        <v>665</v>
      </c>
      <c r="Q66" s="45"/>
    </row>
    <row r="67" spans="1:17" x14ac:dyDescent="0.3">
      <c r="A67" s="7" t="s">
        <v>1912</v>
      </c>
      <c r="B67" s="7">
        <v>425786</v>
      </c>
      <c r="C67" s="7" t="s">
        <v>1937</v>
      </c>
      <c r="D67" s="7" t="s">
        <v>1921</v>
      </c>
      <c r="E67" s="7" t="s">
        <v>682</v>
      </c>
      <c r="F67" s="7" t="s">
        <v>1929</v>
      </c>
      <c r="G67" s="7" t="s">
        <v>196</v>
      </c>
      <c r="H67" s="36" t="s">
        <v>1916</v>
      </c>
      <c r="I67" s="36" t="s">
        <v>1826</v>
      </c>
      <c r="J67" s="36">
        <v>44551</v>
      </c>
      <c r="K67" s="46"/>
      <c r="L67" s="46" t="s">
        <v>565</v>
      </c>
      <c r="M67" s="46"/>
      <c r="N67" s="46" t="s">
        <v>1824</v>
      </c>
      <c r="O67" s="45"/>
      <c r="P67" s="45" t="s">
        <v>665</v>
      </c>
      <c r="Q67" s="45"/>
    </row>
    <row r="68" spans="1:17" x14ac:dyDescent="0.3">
      <c r="A68" s="7" t="s">
        <v>1912</v>
      </c>
      <c r="B68" s="7">
        <v>420816</v>
      </c>
      <c r="C68" s="7" t="s">
        <v>1948</v>
      </c>
      <c r="D68" s="7" t="s">
        <v>1921</v>
      </c>
      <c r="E68" s="7" t="s">
        <v>746</v>
      </c>
      <c r="F68" s="7" t="s">
        <v>1919</v>
      </c>
      <c r="G68" s="7" t="s">
        <v>599</v>
      </c>
      <c r="H68" s="36" t="s">
        <v>1926</v>
      </c>
      <c r="I68" s="36" t="s">
        <v>1826</v>
      </c>
      <c r="J68" s="36">
        <v>44564</v>
      </c>
      <c r="K68" s="46"/>
      <c r="L68" s="46" t="s">
        <v>87</v>
      </c>
      <c r="M68" s="46"/>
      <c r="N68" s="46" t="s">
        <v>1824</v>
      </c>
      <c r="O68" s="45"/>
      <c r="P68" s="45" t="s">
        <v>665</v>
      </c>
      <c r="Q68" s="45"/>
    </row>
    <row r="69" spans="1:17" x14ac:dyDescent="0.3">
      <c r="A69" s="7" t="s">
        <v>1912</v>
      </c>
      <c r="B69" s="7">
        <v>438277</v>
      </c>
      <c r="C69" s="7" t="s">
        <v>1924</v>
      </c>
      <c r="D69" s="7" t="s">
        <v>1914</v>
      </c>
      <c r="E69" s="7" t="s">
        <v>682</v>
      </c>
      <c r="F69" s="7" t="s">
        <v>1929</v>
      </c>
      <c r="G69" s="7" t="s">
        <v>644</v>
      </c>
      <c r="H69" s="36" t="s">
        <v>1926</v>
      </c>
      <c r="I69" s="36" t="s">
        <v>1826</v>
      </c>
      <c r="J69" s="36">
        <v>44572</v>
      </c>
      <c r="K69" s="46"/>
      <c r="L69" s="46" t="s">
        <v>178</v>
      </c>
      <c r="M69" s="46"/>
      <c r="N69" s="46" t="s">
        <v>1824</v>
      </c>
      <c r="O69" s="45"/>
      <c r="P69" s="45" t="s">
        <v>665</v>
      </c>
      <c r="Q69" s="45"/>
    </row>
    <row r="70" spans="1:17" x14ac:dyDescent="0.3">
      <c r="A70" s="7" t="s">
        <v>755</v>
      </c>
      <c r="B70" s="7">
        <v>428648</v>
      </c>
      <c r="C70" s="7" t="s">
        <v>1913</v>
      </c>
      <c r="D70" s="7" t="s">
        <v>1914</v>
      </c>
      <c r="E70" s="7" t="s">
        <v>746</v>
      </c>
      <c r="F70" s="7" t="s">
        <v>1915</v>
      </c>
      <c r="G70" s="7" t="s">
        <v>633</v>
      </c>
      <c r="H70" s="36" t="s">
        <v>1916</v>
      </c>
      <c r="I70" s="36" t="s">
        <v>1826</v>
      </c>
      <c r="J70" s="36">
        <v>44578</v>
      </c>
      <c r="K70" s="46"/>
      <c r="L70" s="46" t="s">
        <v>1211</v>
      </c>
      <c r="M70" s="46"/>
      <c r="N70" s="46" t="s">
        <v>1824</v>
      </c>
      <c r="O70" s="45"/>
      <c r="P70" s="45" t="s">
        <v>665</v>
      </c>
      <c r="Q70" s="45"/>
    </row>
    <row r="71" spans="1:17" x14ac:dyDescent="0.3">
      <c r="A71" s="7" t="s">
        <v>1912</v>
      </c>
      <c r="B71" s="7">
        <v>433602</v>
      </c>
      <c r="C71" s="7" t="s">
        <v>1964</v>
      </c>
      <c r="D71" s="7" t="s">
        <v>1950</v>
      </c>
      <c r="E71" s="7" t="s">
        <v>746</v>
      </c>
      <c r="F71" s="7" t="s">
        <v>1915</v>
      </c>
      <c r="G71" s="7" t="s">
        <v>539</v>
      </c>
      <c r="H71" s="36" t="s">
        <v>1916</v>
      </c>
      <c r="I71" s="36" t="s">
        <v>1826</v>
      </c>
      <c r="J71" s="36">
        <v>44578</v>
      </c>
      <c r="K71" s="46"/>
      <c r="L71" s="46" t="s">
        <v>278</v>
      </c>
      <c r="M71" s="46"/>
      <c r="N71" s="46" t="s">
        <v>1824</v>
      </c>
      <c r="O71" s="45"/>
      <c r="P71" s="45" t="s">
        <v>665</v>
      </c>
      <c r="Q71" s="45"/>
    </row>
    <row r="72" spans="1:17" x14ac:dyDescent="0.3">
      <c r="A72" s="7" t="s">
        <v>1912</v>
      </c>
      <c r="B72" s="7">
        <v>382072</v>
      </c>
      <c r="C72" s="7" t="s">
        <v>1965</v>
      </c>
      <c r="D72" s="7" t="s">
        <v>1914</v>
      </c>
      <c r="E72" s="7" t="s">
        <v>746</v>
      </c>
      <c r="F72" s="7" t="s">
        <v>1915</v>
      </c>
      <c r="G72" s="7" t="s">
        <v>439</v>
      </c>
      <c r="H72" s="36" t="s">
        <v>1916</v>
      </c>
      <c r="I72" s="36" t="s">
        <v>1826</v>
      </c>
      <c r="J72" s="36">
        <v>44578</v>
      </c>
      <c r="K72" s="46"/>
      <c r="L72" s="46" t="s">
        <v>278</v>
      </c>
      <c r="M72" s="46"/>
      <c r="N72" s="46" t="s">
        <v>1824</v>
      </c>
      <c r="O72" s="45"/>
      <c r="P72" s="45" t="s">
        <v>665</v>
      </c>
      <c r="Q72" s="45"/>
    </row>
    <row r="73" spans="1:17" x14ac:dyDescent="0.3">
      <c r="A73" s="7" t="s">
        <v>1912</v>
      </c>
      <c r="B73" s="7">
        <v>436263</v>
      </c>
      <c r="C73" s="7" t="s">
        <v>1963</v>
      </c>
      <c r="D73" s="7" t="s">
        <v>1921</v>
      </c>
      <c r="E73" s="7" t="s">
        <v>682</v>
      </c>
      <c r="F73" s="7" t="s">
        <v>1929</v>
      </c>
      <c r="G73" s="7" t="s">
        <v>238</v>
      </c>
      <c r="H73" s="36" t="s">
        <v>1916</v>
      </c>
      <c r="I73" s="36" t="s">
        <v>1826</v>
      </c>
      <c r="J73" s="36">
        <v>44579</v>
      </c>
      <c r="K73" s="46"/>
      <c r="L73" s="46" t="s">
        <v>565</v>
      </c>
      <c r="M73" s="46"/>
      <c r="N73" s="46" t="s">
        <v>1824</v>
      </c>
      <c r="O73" s="45"/>
      <c r="P73" s="45" t="s">
        <v>665</v>
      </c>
      <c r="Q73" s="45"/>
    </row>
    <row r="74" spans="1:17" x14ac:dyDescent="0.3">
      <c r="A74" s="7" t="s">
        <v>1658</v>
      </c>
      <c r="B74" s="7">
        <v>429312</v>
      </c>
      <c r="C74" s="7" t="s">
        <v>1938</v>
      </c>
      <c r="D74" s="7" t="s">
        <v>1914</v>
      </c>
      <c r="E74" s="7" t="s">
        <v>682</v>
      </c>
      <c r="F74" s="7" t="s">
        <v>1943</v>
      </c>
      <c r="G74" s="7" t="s">
        <v>197</v>
      </c>
      <c r="H74" s="36" t="s">
        <v>1916</v>
      </c>
      <c r="I74" s="36" t="s">
        <v>1826</v>
      </c>
      <c r="J74" s="36">
        <v>44585</v>
      </c>
      <c r="K74" s="46"/>
      <c r="L74" s="46" t="s">
        <v>217</v>
      </c>
      <c r="M74" s="46"/>
      <c r="N74" s="46" t="s">
        <v>1824</v>
      </c>
      <c r="O74" s="45"/>
      <c r="P74" s="45" t="s">
        <v>665</v>
      </c>
      <c r="Q74" s="45"/>
    </row>
    <row r="75" spans="1:17" x14ac:dyDescent="0.3">
      <c r="A75" s="7" t="s">
        <v>1658</v>
      </c>
      <c r="B75" s="7">
        <v>424750</v>
      </c>
      <c r="C75" s="7" t="s">
        <v>1932</v>
      </c>
      <c r="D75" s="7" t="s">
        <v>1914</v>
      </c>
      <c r="E75" s="7" t="s">
        <v>746</v>
      </c>
      <c r="F75" s="7" t="s">
        <v>1915</v>
      </c>
      <c r="G75" s="7" t="s">
        <v>43</v>
      </c>
      <c r="H75" s="36" t="s">
        <v>1916</v>
      </c>
      <c r="I75" s="36" t="s">
        <v>1826</v>
      </c>
      <c r="J75" s="36">
        <v>44599</v>
      </c>
      <c r="K75" s="46"/>
      <c r="L75" s="46" t="s">
        <v>567</v>
      </c>
      <c r="M75" s="46"/>
      <c r="N75" s="46" t="s">
        <v>1824</v>
      </c>
      <c r="O75" s="45"/>
      <c r="P75" s="45" t="s">
        <v>665</v>
      </c>
      <c r="Q75" s="45"/>
    </row>
    <row r="76" spans="1:17" x14ac:dyDescent="0.3">
      <c r="A76" s="7" t="s">
        <v>1658</v>
      </c>
      <c r="B76" s="7">
        <v>433610</v>
      </c>
      <c r="C76" s="7" t="s">
        <v>1966</v>
      </c>
      <c r="D76" s="7" t="s">
        <v>1921</v>
      </c>
      <c r="E76" s="7" t="s">
        <v>746</v>
      </c>
      <c r="F76" s="7" t="s">
        <v>1915</v>
      </c>
      <c r="G76" s="7" t="s">
        <v>275</v>
      </c>
      <c r="H76" s="36" t="s">
        <v>1916</v>
      </c>
      <c r="I76" s="36" t="s">
        <v>1826</v>
      </c>
      <c r="J76" s="36">
        <v>44606</v>
      </c>
      <c r="K76" s="46"/>
      <c r="L76" s="46" t="s">
        <v>244</v>
      </c>
      <c r="M76" s="46"/>
      <c r="N76" s="46" t="s">
        <v>1824</v>
      </c>
      <c r="O76" s="45"/>
      <c r="P76" s="45" t="s">
        <v>665</v>
      </c>
      <c r="Q76" s="45"/>
    </row>
    <row r="77" spans="1:17" x14ac:dyDescent="0.3">
      <c r="A77" s="7" t="s">
        <v>1912</v>
      </c>
      <c r="B77" s="7">
        <v>433550</v>
      </c>
      <c r="C77" s="7" t="s">
        <v>1967</v>
      </c>
      <c r="D77" s="7" t="s">
        <v>1921</v>
      </c>
      <c r="E77" s="7" t="s">
        <v>746</v>
      </c>
      <c r="F77" s="7" t="s">
        <v>1915</v>
      </c>
      <c r="G77" s="7" t="s">
        <v>210</v>
      </c>
      <c r="H77" s="36" t="s">
        <v>1916</v>
      </c>
      <c r="I77" s="36" t="s">
        <v>1826</v>
      </c>
      <c r="J77" s="36">
        <v>44606</v>
      </c>
      <c r="K77" s="46"/>
      <c r="L77" s="46" t="s">
        <v>550</v>
      </c>
      <c r="M77" s="46"/>
      <c r="N77" s="46" t="s">
        <v>1824</v>
      </c>
      <c r="O77" s="45"/>
      <c r="P77" s="45" t="s">
        <v>665</v>
      </c>
      <c r="Q77" s="45"/>
    </row>
    <row r="78" spans="1:17" x14ac:dyDescent="0.3">
      <c r="A78" s="7" t="s">
        <v>1658</v>
      </c>
      <c r="B78" s="7">
        <v>426252</v>
      </c>
      <c r="C78" s="7" t="s">
        <v>1968</v>
      </c>
      <c r="D78" s="7" t="s">
        <v>1914</v>
      </c>
      <c r="E78" s="7" t="s">
        <v>746</v>
      </c>
      <c r="F78" s="7" t="s">
        <v>1969</v>
      </c>
      <c r="G78" s="7" t="s">
        <v>155</v>
      </c>
      <c r="H78" s="36" t="s">
        <v>1916</v>
      </c>
      <c r="I78" s="36" t="s">
        <v>1826</v>
      </c>
      <c r="J78" s="36">
        <v>44606</v>
      </c>
      <c r="K78" s="46"/>
      <c r="L78" s="46" t="s">
        <v>544</v>
      </c>
      <c r="M78" s="46"/>
      <c r="N78" s="46" t="s">
        <v>1824</v>
      </c>
      <c r="O78" s="45"/>
      <c r="P78" s="45" t="s">
        <v>665</v>
      </c>
      <c r="Q78" s="45"/>
    </row>
    <row r="79" spans="1:17" x14ac:dyDescent="0.3">
      <c r="A79" s="7" t="s">
        <v>1912</v>
      </c>
      <c r="B79" s="7">
        <v>433620</v>
      </c>
      <c r="C79" s="7" t="s">
        <v>1967</v>
      </c>
      <c r="D79" s="7" t="s">
        <v>1950</v>
      </c>
      <c r="E79" s="7" t="s">
        <v>746</v>
      </c>
      <c r="F79" s="7" t="s">
        <v>1915</v>
      </c>
      <c r="G79" s="7" t="s">
        <v>81</v>
      </c>
      <c r="H79" s="36" t="s">
        <v>1916</v>
      </c>
      <c r="I79" s="36" t="s">
        <v>1826</v>
      </c>
      <c r="J79" s="36">
        <v>44606</v>
      </c>
      <c r="K79" s="46"/>
      <c r="L79" s="46" t="s">
        <v>188</v>
      </c>
      <c r="M79" s="46"/>
      <c r="N79" s="46" t="s">
        <v>1824</v>
      </c>
      <c r="O79" s="45"/>
      <c r="P79" s="45" t="s">
        <v>665</v>
      </c>
      <c r="Q79" s="45"/>
    </row>
    <row r="80" spans="1:17" x14ac:dyDescent="0.3">
      <c r="A80" s="7" t="s">
        <v>1912</v>
      </c>
      <c r="B80" s="7">
        <v>382076</v>
      </c>
      <c r="C80" s="7" t="s">
        <v>1946</v>
      </c>
      <c r="D80" s="7" t="s">
        <v>1921</v>
      </c>
      <c r="E80" s="7" t="s">
        <v>746</v>
      </c>
      <c r="F80" s="7" t="s">
        <v>1915</v>
      </c>
      <c r="G80" s="7" t="s">
        <v>600</v>
      </c>
      <c r="H80" s="36" t="s">
        <v>1916</v>
      </c>
      <c r="I80" s="36" t="s">
        <v>1826</v>
      </c>
      <c r="J80" s="36">
        <v>44613</v>
      </c>
      <c r="K80" s="46"/>
      <c r="L80" s="46" t="s">
        <v>49</v>
      </c>
      <c r="M80" s="46"/>
      <c r="N80" s="46" t="s">
        <v>1824</v>
      </c>
      <c r="O80" s="45"/>
      <c r="P80" s="45" t="s">
        <v>665</v>
      </c>
      <c r="Q80" s="45"/>
    </row>
    <row r="81" spans="1:17" x14ac:dyDescent="0.3">
      <c r="A81" s="7" t="s">
        <v>1912</v>
      </c>
      <c r="B81" s="7">
        <v>424297</v>
      </c>
      <c r="C81" s="7" t="s">
        <v>1932</v>
      </c>
      <c r="D81" s="7" t="s">
        <v>1914</v>
      </c>
      <c r="E81" s="7" t="s">
        <v>746</v>
      </c>
      <c r="F81" s="7" t="s">
        <v>1915</v>
      </c>
      <c r="G81" s="7" t="s">
        <v>461</v>
      </c>
      <c r="H81" s="36" t="s">
        <v>1916</v>
      </c>
      <c r="I81" s="36" t="s">
        <v>1826</v>
      </c>
      <c r="J81" s="36">
        <v>44613</v>
      </c>
      <c r="K81" s="46"/>
      <c r="L81" s="46" t="s">
        <v>242</v>
      </c>
      <c r="M81" s="46"/>
      <c r="N81" s="46" t="s">
        <v>1824</v>
      </c>
      <c r="O81" s="45"/>
      <c r="P81" s="45" t="s">
        <v>665</v>
      </c>
      <c r="Q81" s="45"/>
    </row>
    <row r="82" spans="1:17" x14ac:dyDescent="0.3">
      <c r="A82" s="7" t="s">
        <v>1912</v>
      </c>
      <c r="B82" s="7">
        <v>433612</v>
      </c>
      <c r="C82" s="7" t="s">
        <v>1970</v>
      </c>
      <c r="D82" s="7" t="s">
        <v>1950</v>
      </c>
      <c r="E82" s="7" t="s">
        <v>746</v>
      </c>
      <c r="F82" s="7" t="s">
        <v>1915</v>
      </c>
      <c r="G82" s="7" t="s">
        <v>230</v>
      </c>
      <c r="H82" s="36" t="s">
        <v>1916</v>
      </c>
      <c r="I82" s="36" t="s">
        <v>1826</v>
      </c>
      <c r="J82" s="36">
        <v>44613</v>
      </c>
      <c r="K82" s="46"/>
      <c r="L82" s="46" t="s">
        <v>49</v>
      </c>
      <c r="M82" s="46"/>
      <c r="N82" s="46" t="s">
        <v>1824</v>
      </c>
      <c r="O82" s="45"/>
      <c r="P82" s="45" t="s">
        <v>665</v>
      </c>
      <c r="Q82" s="45"/>
    </row>
    <row r="83" spans="1:17" x14ac:dyDescent="0.3">
      <c r="A83" s="7" t="s">
        <v>1912</v>
      </c>
      <c r="B83" s="7">
        <v>428307</v>
      </c>
      <c r="C83" s="7" t="s">
        <v>1928</v>
      </c>
      <c r="D83" s="7" t="s">
        <v>1950</v>
      </c>
      <c r="E83" s="7" t="s">
        <v>682</v>
      </c>
      <c r="F83" s="7" t="s">
        <v>1929</v>
      </c>
      <c r="G83" s="7" t="s">
        <v>135</v>
      </c>
      <c r="H83" s="36" t="s">
        <v>1916</v>
      </c>
      <c r="I83" s="36" t="s">
        <v>1826</v>
      </c>
      <c r="J83" s="36">
        <v>44621</v>
      </c>
      <c r="K83" s="46"/>
      <c r="L83" s="46" t="s">
        <v>447</v>
      </c>
      <c r="M83" s="46"/>
      <c r="N83" s="46" t="s">
        <v>1824</v>
      </c>
      <c r="O83" s="45"/>
      <c r="P83" s="45" t="s">
        <v>665</v>
      </c>
      <c r="Q83" s="45"/>
    </row>
    <row r="84" spans="1:17" x14ac:dyDescent="0.3">
      <c r="A84" s="7" t="s">
        <v>1912</v>
      </c>
      <c r="B84" s="7">
        <v>436260</v>
      </c>
      <c r="C84" s="7" t="s">
        <v>1963</v>
      </c>
      <c r="D84" s="7" t="s">
        <v>1950</v>
      </c>
      <c r="E84" s="7" t="s">
        <v>682</v>
      </c>
      <c r="F84" s="7" t="s">
        <v>1929</v>
      </c>
      <c r="G84" s="7" t="s">
        <v>487</v>
      </c>
      <c r="H84" s="36" t="s">
        <v>1916</v>
      </c>
      <c r="I84" s="36" t="s">
        <v>1826</v>
      </c>
      <c r="J84" s="36">
        <v>44621</v>
      </c>
      <c r="K84" s="46"/>
      <c r="L84" s="46" t="s">
        <v>565</v>
      </c>
      <c r="M84" s="46"/>
      <c r="N84" s="46" t="s">
        <v>1824</v>
      </c>
      <c r="O84" s="45"/>
      <c r="P84" s="45" t="s">
        <v>665</v>
      </c>
      <c r="Q84" s="45"/>
    </row>
    <row r="85" spans="1:17" x14ac:dyDescent="0.3">
      <c r="A85" s="7" t="s">
        <v>1912</v>
      </c>
      <c r="B85" s="7">
        <v>443007</v>
      </c>
      <c r="C85" s="7" t="s">
        <v>1924</v>
      </c>
      <c r="D85" s="7" t="s">
        <v>1923</v>
      </c>
      <c r="E85" s="7" t="s">
        <v>682</v>
      </c>
      <c r="F85" s="7" t="s">
        <v>1929</v>
      </c>
      <c r="G85" s="7" t="s">
        <v>224</v>
      </c>
      <c r="H85" s="36" t="s">
        <v>1916</v>
      </c>
      <c r="I85" s="36" t="s">
        <v>1826</v>
      </c>
      <c r="J85" s="36">
        <v>44621</v>
      </c>
      <c r="K85" s="46"/>
      <c r="L85" s="46" t="s">
        <v>178</v>
      </c>
      <c r="M85" s="46"/>
      <c r="N85" s="46" t="s">
        <v>1824</v>
      </c>
      <c r="O85" s="45"/>
      <c r="P85" s="45" t="s">
        <v>665</v>
      </c>
      <c r="Q85" s="45"/>
    </row>
    <row r="86" spans="1:17" x14ac:dyDescent="0.3">
      <c r="A86" s="7" t="s">
        <v>1912</v>
      </c>
      <c r="B86" s="7">
        <v>430333</v>
      </c>
      <c r="C86" s="7" t="s">
        <v>1928</v>
      </c>
      <c r="D86" s="7" t="s">
        <v>1914</v>
      </c>
      <c r="E86" s="7" t="s">
        <v>682</v>
      </c>
      <c r="F86" s="7" t="s">
        <v>1929</v>
      </c>
      <c r="G86" s="7" t="s">
        <v>141</v>
      </c>
      <c r="H86" s="36" t="s">
        <v>1916</v>
      </c>
      <c r="I86" s="36" t="s">
        <v>1826</v>
      </c>
      <c r="J86" s="36">
        <v>44621</v>
      </c>
      <c r="K86" s="46"/>
      <c r="L86" s="46" t="s">
        <v>447</v>
      </c>
      <c r="M86" s="46"/>
      <c r="N86" s="46" t="s">
        <v>1824</v>
      </c>
      <c r="O86" s="45"/>
      <c r="P86" s="45" t="s">
        <v>665</v>
      </c>
      <c r="Q86" s="45"/>
    </row>
    <row r="87" spans="1:17" x14ac:dyDescent="0.3">
      <c r="A87" s="7" t="s">
        <v>1658</v>
      </c>
      <c r="B87" s="7">
        <v>436071</v>
      </c>
      <c r="C87" s="7" t="s">
        <v>1971</v>
      </c>
      <c r="D87" s="7" t="s">
        <v>1921</v>
      </c>
      <c r="E87" s="7" t="s">
        <v>746</v>
      </c>
      <c r="F87" s="7" t="s">
        <v>1915</v>
      </c>
      <c r="G87" s="7" t="s">
        <v>122</v>
      </c>
      <c r="H87" s="36" t="s">
        <v>1916</v>
      </c>
      <c r="I87" s="36" t="s">
        <v>1826</v>
      </c>
      <c r="J87" s="36">
        <v>44627</v>
      </c>
      <c r="K87" s="46"/>
      <c r="L87" s="46" t="s">
        <v>375</v>
      </c>
      <c r="M87" s="46"/>
      <c r="N87" s="46" t="s">
        <v>1824</v>
      </c>
      <c r="O87" s="45"/>
      <c r="P87" s="45" t="s">
        <v>665</v>
      </c>
      <c r="Q87" s="45"/>
    </row>
    <row r="88" spans="1:17" x14ac:dyDescent="0.3">
      <c r="A88" s="7" t="s">
        <v>1912</v>
      </c>
      <c r="B88" s="7">
        <v>438157</v>
      </c>
      <c r="C88" s="7" t="s">
        <v>1924</v>
      </c>
      <c r="D88" s="7" t="s">
        <v>1914</v>
      </c>
      <c r="E88" s="7" t="s">
        <v>682</v>
      </c>
      <c r="F88" s="7" t="s">
        <v>1929</v>
      </c>
      <c r="G88" s="7" t="s">
        <v>612</v>
      </c>
      <c r="H88" s="36" t="s">
        <v>1916</v>
      </c>
      <c r="I88" s="36" t="s">
        <v>1826</v>
      </c>
      <c r="J88" s="36">
        <v>44628</v>
      </c>
      <c r="K88" s="46"/>
      <c r="L88" s="46" t="s">
        <v>178</v>
      </c>
      <c r="M88" s="46"/>
      <c r="N88" s="46" t="s">
        <v>1824</v>
      </c>
      <c r="O88" s="45"/>
      <c r="P88" s="45" t="s">
        <v>665</v>
      </c>
      <c r="Q88" s="45"/>
    </row>
    <row r="89" spans="1:17" x14ac:dyDescent="0.3">
      <c r="A89" s="7" t="s">
        <v>1912</v>
      </c>
      <c r="B89" s="7">
        <v>435663</v>
      </c>
      <c r="C89" s="7" t="s">
        <v>1928</v>
      </c>
      <c r="D89" s="7" t="s">
        <v>1914</v>
      </c>
      <c r="E89" s="7" t="s">
        <v>682</v>
      </c>
      <c r="F89" s="7" t="s">
        <v>1929</v>
      </c>
      <c r="G89" s="7" t="s">
        <v>199</v>
      </c>
      <c r="H89" s="36" t="s">
        <v>1916</v>
      </c>
      <c r="I89" s="36" t="s">
        <v>1826</v>
      </c>
      <c r="J89" s="36">
        <v>44628</v>
      </c>
      <c r="K89" s="46"/>
      <c r="L89" s="46" t="s">
        <v>447</v>
      </c>
      <c r="M89" s="46"/>
      <c r="N89" s="46" t="s">
        <v>1824</v>
      </c>
      <c r="O89" s="45"/>
      <c r="P89" s="45" t="s">
        <v>665</v>
      </c>
      <c r="Q89" s="45"/>
    </row>
    <row r="90" spans="1:17" x14ac:dyDescent="0.3">
      <c r="A90" s="7" t="s">
        <v>1912</v>
      </c>
      <c r="B90" s="7">
        <v>433520</v>
      </c>
      <c r="C90" s="7" t="s">
        <v>1913</v>
      </c>
      <c r="D90" s="7" t="s">
        <v>1923</v>
      </c>
      <c r="E90" s="7" t="s">
        <v>746</v>
      </c>
      <c r="F90" s="7" t="s">
        <v>1915</v>
      </c>
      <c r="G90" s="7" t="s">
        <v>549</v>
      </c>
      <c r="H90" s="36" t="s">
        <v>1916</v>
      </c>
      <c r="I90" s="36" t="s">
        <v>1826</v>
      </c>
      <c r="J90" s="36">
        <v>44634</v>
      </c>
      <c r="K90" s="46"/>
      <c r="L90" s="46" t="s">
        <v>269</v>
      </c>
      <c r="M90" s="46"/>
      <c r="N90" s="46" t="s">
        <v>1824</v>
      </c>
      <c r="O90" s="45"/>
      <c r="P90" s="45" t="s">
        <v>665</v>
      </c>
      <c r="Q90" s="45"/>
    </row>
    <row r="91" spans="1:17" x14ac:dyDescent="0.3">
      <c r="A91" s="7" t="s">
        <v>1658</v>
      </c>
      <c r="B91" s="7">
        <v>442441</v>
      </c>
      <c r="C91" s="7" t="s">
        <v>1940</v>
      </c>
      <c r="D91" s="7" t="s">
        <v>1921</v>
      </c>
      <c r="E91" s="7" t="s">
        <v>746</v>
      </c>
      <c r="F91" s="7" t="s">
        <v>1915</v>
      </c>
      <c r="G91" s="7" t="s">
        <v>451</v>
      </c>
      <c r="H91" s="36" t="s">
        <v>1916</v>
      </c>
      <c r="I91" s="36" t="s">
        <v>1826</v>
      </c>
      <c r="J91" s="36">
        <v>44634</v>
      </c>
      <c r="K91" s="46"/>
      <c r="L91" s="46" t="s">
        <v>300</v>
      </c>
      <c r="M91" s="46"/>
      <c r="N91" s="46" t="s">
        <v>1824</v>
      </c>
      <c r="O91" s="45"/>
      <c r="P91" s="45" t="s">
        <v>665</v>
      </c>
      <c r="Q91" s="45"/>
    </row>
    <row r="92" spans="1:17" x14ac:dyDescent="0.3">
      <c r="A92" s="7" t="s">
        <v>1912</v>
      </c>
      <c r="B92" s="7">
        <v>430019</v>
      </c>
      <c r="C92" s="7" t="s">
        <v>1972</v>
      </c>
      <c r="D92" s="7" t="s">
        <v>1914</v>
      </c>
      <c r="E92" s="7" t="s">
        <v>711</v>
      </c>
      <c r="F92" s="7" t="s">
        <v>1973</v>
      </c>
      <c r="G92" s="7" t="s">
        <v>334</v>
      </c>
      <c r="H92" s="36" t="s">
        <v>1916</v>
      </c>
      <c r="I92" s="36" t="s">
        <v>1826</v>
      </c>
      <c r="J92" s="36">
        <v>44634</v>
      </c>
      <c r="K92" s="46"/>
      <c r="L92" s="46" t="s">
        <v>366</v>
      </c>
      <c r="M92" s="46"/>
      <c r="N92" s="46" t="s">
        <v>1824</v>
      </c>
      <c r="O92" s="45"/>
      <c r="P92" s="45" t="s">
        <v>665</v>
      </c>
      <c r="Q92" s="45"/>
    </row>
    <row r="93" spans="1:17" x14ac:dyDescent="0.3">
      <c r="A93" s="7" t="s">
        <v>1658</v>
      </c>
      <c r="B93" s="7">
        <v>433607</v>
      </c>
      <c r="C93" s="7" t="s">
        <v>1974</v>
      </c>
      <c r="D93" s="7" t="s">
        <v>1921</v>
      </c>
      <c r="E93" s="7" t="s">
        <v>746</v>
      </c>
      <c r="F93" s="7" t="s">
        <v>1915</v>
      </c>
      <c r="G93" s="7" t="s">
        <v>472</v>
      </c>
      <c r="H93" s="36" t="s">
        <v>1926</v>
      </c>
      <c r="I93" s="36" t="s">
        <v>1826</v>
      </c>
      <c r="J93" s="36">
        <v>44641</v>
      </c>
      <c r="K93" s="46"/>
      <c r="L93" s="46" t="s">
        <v>300</v>
      </c>
      <c r="M93" s="46"/>
      <c r="N93" s="46" t="s">
        <v>1824</v>
      </c>
      <c r="O93" s="45"/>
      <c r="P93" s="45" t="s">
        <v>665</v>
      </c>
      <c r="Q93" s="45"/>
    </row>
    <row r="94" spans="1:17" x14ac:dyDescent="0.3">
      <c r="A94" s="7" t="s">
        <v>1912</v>
      </c>
      <c r="B94" s="7">
        <v>404902</v>
      </c>
      <c r="C94" s="7" t="s">
        <v>1937</v>
      </c>
      <c r="D94" s="7" t="s">
        <v>1921</v>
      </c>
      <c r="E94" s="7" t="s">
        <v>682</v>
      </c>
      <c r="F94" s="7" t="s">
        <v>1929</v>
      </c>
      <c r="G94" s="7" t="s">
        <v>140</v>
      </c>
      <c r="H94" s="36" t="s">
        <v>1916</v>
      </c>
      <c r="I94" s="36" t="s">
        <v>1826</v>
      </c>
      <c r="J94" s="36">
        <v>44642</v>
      </c>
      <c r="K94" s="46"/>
      <c r="L94" s="46" t="s">
        <v>565</v>
      </c>
      <c r="M94" s="46"/>
      <c r="N94" s="46" t="s">
        <v>1824</v>
      </c>
      <c r="O94" s="45"/>
      <c r="P94" s="45" t="s">
        <v>665</v>
      </c>
      <c r="Q94" s="45"/>
    </row>
    <row r="95" spans="1:17" x14ac:dyDescent="0.3">
      <c r="A95" s="7" t="s">
        <v>755</v>
      </c>
      <c r="B95" s="7">
        <v>433530</v>
      </c>
      <c r="C95" s="7" t="s">
        <v>1964</v>
      </c>
      <c r="D95" s="7" t="s">
        <v>1921</v>
      </c>
      <c r="E95" s="7" t="s">
        <v>746</v>
      </c>
      <c r="F95" s="7" t="s">
        <v>1915</v>
      </c>
      <c r="G95" s="7" t="s">
        <v>240</v>
      </c>
      <c r="H95" s="36" t="s">
        <v>1916</v>
      </c>
      <c r="I95" s="36" t="s">
        <v>1826</v>
      </c>
      <c r="J95" s="36">
        <v>44643</v>
      </c>
      <c r="K95" s="46"/>
      <c r="L95" s="46" t="s">
        <v>285</v>
      </c>
      <c r="M95" s="46"/>
      <c r="N95" s="46" t="s">
        <v>1824</v>
      </c>
      <c r="O95" s="45"/>
      <c r="P95" s="45" t="s">
        <v>665</v>
      </c>
      <c r="Q95" s="45"/>
    </row>
    <row r="96" spans="1:17" x14ac:dyDescent="0.3">
      <c r="A96" s="7" t="s">
        <v>1912</v>
      </c>
      <c r="B96" s="7">
        <v>433639</v>
      </c>
      <c r="C96" s="7" t="s">
        <v>1967</v>
      </c>
      <c r="D96" s="7" t="s">
        <v>1950</v>
      </c>
      <c r="E96" s="7" t="s">
        <v>746</v>
      </c>
      <c r="F96" s="7" t="s">
        <v>1915</v>
      </c>
      <c r="G96" s="7" t="s">
        <v>361</v>
      </c>
      <c r="H96" s="36" t="s">
        <v>1926</v>
      </c>
      <c r="I96" s="36" t="s">
        <v>1826</v>
      </c>
      <c r="J96" s="36">
        <v>44644</v>
      </c>
      <c r="K96" s="46"/>
      <c r="L96" s="46" t="s">
        <v>411</v>
      </c>
      <c r="M96" s="46"/>
      <c r="N96" s="46" t="s">
        <v>1824</v>
      </c>
      <c r="O96" s="45"/>
      <c r="P96" s="45" t="s">
        <v>665</v>
      </c>
      <c r="Q96" s="45"/>
    </row>
    <row r="97" spans="1:17" x14ac:dyDescent="0.3">
      <c r="A97" s="7" t="s">
        <v>1912</v>
      </c>
      <c r="B97" s="7">
        <v>404903</v>
      </c>
      <c r="C97" s="7" t="s">
        <v>1937</v>
      </c>
      <c r="D97" s="7" t="s">
        <v>1921</v>
      </c>
      <c r="E97" s="7" t="s">
        <v>682</v>
      </c>
      <c r="F97" s="7" t="s">
        <v>1929</v>
      </c>
      <c r="G97" s="7" t="s">
        <v>229</v>
      </c>
      <c r="H97" s="36" t="s">
        <v>1916</v>
      </c>
      <c r="I97" s="36" t="s">
        <v>1826</v>
      </c>
      <c r="J97" s="36">
        <v>44649</v>
      </c>
      <c r="K97" s="46"/>
      <c r="L97" s="46" t="s">
        <v>565</v>
      </c>
      <c r="M97" s="46"/>
      <c r="N97" s="46" t="s">
        <v>1824</v>
      </c>
      <c r="O97" s="45"/>
      <c r="P97" s="45" t="s">
        <v>665</v>
      </c>
      <c r="Q97" s="45"/>
    </row>
    <row r="98" spans="1:17" x14ac:dyDescent="0.3">
      <c r="A98" s="7" t="s">
        <v>1912</v>
      </c>
      <c r="B98" s="7">
        <v>433534</v>
      </c>
      <c r="C98" s="7" t="s">
        <v>1975</v>
      </c>
      <c r="D98" s="7" t="s">
        <v>1914</v>
      </c>
      <c r="E98" s="7" t="s">
        <v>746</v>
      </c>
      <c r="F98" s="7" t="s">
        <v>1915</v>
      </c>
      <c r="G98" s="7" t="s">
        <v>634</v>
      </c>
      <c r="H98" s="36" t="s">
        <v>1916</v>
      </c>
      <c r="I98" s="36" t="s">
        <v>1826</v>
      </c>
      <c r="J98" s="36">
        <v>44655</v>
      </c>
      <c r="K98" s="46"/>
      <c r="L98" s="46" t="s">
        <v>258</v>
      </c>
      <c r="M98" s="46"/>
      <c r="N98" s="46" t="s">
        <v>1824</v>
      </c>
      <c r="O98" s="45"/>
      <c r="P98" s="45" t="s">
        <v>665</v>
      </c>
      <c r="Q98" s="45"/>
    </row>
    <row r="99" spans="1:17" x14ac:dyDescent="0.3">
      <c r="A99" s="7" t="s">
        <v>1912</v>
      </c>
      <c r="B99" s="7">
        <v>433523</v>
      </c>
      <c r="C99" s="7" t="s">
        <v>1913</v>
      </c>
      <c r="D99" s="7" t="s">
        <v>1914</v>
      </c>
      <c r="E99" s="7" t="s">
        <v>746</v>
      </c>
      <c r="F99" s="7" t="s">
        <v>1915</v>
      </c>
      <c r="G99" s="7" t="s">
        <v>469</v>
      </c>
      <c r="H99" s="36" t="s">
        <v>1916</v>
      </c>
      <c r="I99" s="36" t="s">
        <v>1826</v>
      </c>
      <c r="J99" s="36">
        <v>44655</v>
      </c>
      <c r="K99" s="46"/>
      <c r="L99" s="46" t="s">
        <v>123</v>
      </c>
      <c r="M99" s="46"/>
      <c r="N99" s="46" t="s">
        <v>1824</v>
      </c>
      <c r="O99" s="45"/>
      <c r="P99" s="45" t="s">
        <v>665</v>
      </c>
      <c r="Q99" s="45"/>
    </row>
    <row r="100" spans="1:17" x14ac:dyDescent="0.3">
      <c r="A100" s="7" t="s">
        <v>1658</v>
      </c>
      <c r="B100" s="7">
        <v>433518</v>
      </c>
      <c r="C100" s="7" t="s">
        <v>1976</v>
      </c>
      <c r="D100" s="7" t="s">
        <v>1914</v>
      </c>
      <c r="E100" s="7" t="s">
        <v>746</v>
      </c>
      <c r="F100" s="7" t="s">
        <v>1915</v>
      </c>
      <c r="G100" s="7" t="s">
        <v>413</v>
      </c>
      <c r="H100" s="36" t="s">
        <v>1916</v>
      </c>
      <c r="I100" s="36" t="s">
        <v>1826</v>
      </c>
      <c r="J100" s="36">
        <v>44655</v>
      </c>
      <c r="K100" s="46"/>
      <c r="L100" s="46" t="s">
        <v>639</v>
      </c>
      <c r="M100" s="46"/>
      <c r="N100" s="46" t="s">
        <v>1824</v>
      </c>
      <c r="O100" s="45"/>
      <c r="P100" s="45" t="s">
        <v>665</v>
      </c>
      <c r="Q100" s="45"/>
    </row>
    <row r="101" spans="1:17" x14ac:dyDescent="0.3">
      <c r="A101" s="7" t="s">
        <v>1658</v>
      </c>
      <c r="B101" s="7">
        <v>433589</v>
      </c>
      <c r="C101" s="7" t="s">
        <v>1977</v>
      </c>
      <c r="D101" s="7" t="s">
        <v>1921</v>
      </c>
      <c r="E101" s="7" t="s">
        <v>746</v>
      </c>
      <c r="F101" s="7" t="s">
        <v>1915</v>
      </c>
      <c r="G101" s="7" t="s">
        <v>344</v>
      </c>
      <c r="H101" s="36" t="s">
        <v>1926</v>
      </c>
      <c r="I101" s="36" t="s">
        <v>1826</v>
      </c>
      <c r="J101" s="36">
        <v>44655</v>
      </c>
      <c r="K101" s="46"/>
      <c r="L101" s="46" t="s">
        <v>48</v>
      </c>
      <c r="M101" s="46"/>
      <c r="N101" s="46" t="s">
        <v>1824</v>
      </c>
      <c r="O101" s="45"/>
      <c r="P101" s="45" t="s">
        <v>665</v>
      </c>
      <c r="Q101" s="45"/>
    </row>
    <row r="102" spans="1:17" x14ac:dyDescent="0.3">
      <c r="A102" s="7" t="s">
        <v>1912</v>
      </c>
      <c r="B102" s="7">
        <v>554798</v>
      </c>
      <c r="C102" s="7" t="s">
        <v>1978</v>
      </c>
      <c r="D102" s="7" t="s">
        <v>1923</v>
      </c>
      <c r="E102" s="7" t="s">
        <v>746</v>
      </c>
      <c r="F102" s="7" t="s">
        <v>1915</v>
      </c>
      <c r="G102" s="7" t="s">
        <v>278</v>
      </c>
      <c r="H102" s="36" t="s">
        <v>1916</v>
      </c>
      <c r="I102" s="36" t="s">
        <v>1826</v>
      </c>
      <c r="J102" s="36">
        <v>44655</v>
      </c>
      <c r="K102" s="46"/>
      <c r="L102" s="46" t="s">
        <v>269</v>
      </c>
      <c r="M102" s="46"/>
      <c r="N102" s="46" t="s">
        <v>1824</v>
      </c>
      <c r="O102" s="45"/>
      <c r="P102" s="45" t="s">
        <v>665</v>
      </c>
      <c r="Q102" s="45"/>
    </row>
    <row r="103" spans="1:17" x14ac:dyDescent="0.3">
      <c r="A103" s="7" t="s">
        <v>1658</v>
      </c>
      <c r="B103" s="7">
        <v>433554</v>
      </c>
      <c r="C103" s="7" t="s">
        <v>2033</v>
      </c>
      <c r="D103" s="7" t="s">
        <v>1914</v>
      </c>
      <c r="E103" s="7" t="s">
        <v>746</v>
      </c>
      <c r="F103" s="7" t="s">
        <v>1915</v>
      </c>
      <c r="G103" s="7" t="s">
        <v>165</v>
      </c>
      <c r="H103" s="36" t="s">
        <v>1916</v>
      </c>
      <c r="I103" s="36" t="s">
        <v>1826</v>
      </c>
      <c r="J103" s="36">
        <v>44655</v>
      </c>
      <c r="K103" s="46"/>
      <c r="L103" s="46" t="s">
        <v>300</v>
      </c>
      <c r="M103" s="46"/>
      <c r="N103" s="46" t="s">
        <v>1824</v>
      </c>
      <c r="O103" s="45"/>
      <c r="P103" s="45" t="s">
        <v>665</v>
      </c>
      <c r="Q103" s="45"/>
    </row>
    <row r="104" spans="1:17" x14ac:dyDescent="0.3">
      <c r="A104" s="7" t="s">
        <v>1912</v>
      </c>
      <c r="B104" s="7">
        <v>433599</v>
      </c>
      <c r="C104" s="7" t="s">
        <v>1964</v>
      </c>
      <c r="D104" s="7" t="s">
        <v>1950</v>
      </c>
      <c r="E104" s="7" t="s">
        <v>746</v>
      </c>
      <c r="F104" s="7" t="s">
        <v>1915</v>
      </c>
      <c r="G104" s="7" t="s">
        <v>98</v>
      </c>
      <c r="H104" s="36" t="s">
        <v>1926</v>
      </c>
      <c r="I104" s="36" t="s">
        <v>1826</v>
      </c>
      <c r="J104" s="36">
        <v>44655</v>
      </c>
      <c r="K104" s="46"/>
      <c r="L104" s="46" t="s">
        <v>549</v>
      </c>
      <c r="M104" s="46"/>
      <c r="N104" s="46" t="s">
        <v>1824</v>
      </c>
      <c r="O104" s="45"/>
      <c r="P104" s="45" t="s">
        <v>665</v>
      </c>
      <c r="Q104" s="45"/>
    </row>
    <row r="105" spans="1:17" x14ac:dyDescent="0.3">
      <c r="A105" s="7" t="s">
        <v>1912</v>
      </c>
      <c r="B105" s="7">
        <v>437232</v>
      </c>
      <c r="C105" s="7" t="s">
        <v>1979</v>
      </c>
      <c r="D105" s="7" t="s">
        <v>1950</v>
      </c>
      <c r="E105" s="7" t="s">
        <v>746</v>
      </c>
      <c r="F105" s="7" t="s">
        <v>1915</v>
      </c>
      <c r="G105" s="7" t="s">
        <v>100</v>
      </c>
      <c r="H105" s="36" t="s">
        <v>1916</v>
      </c>
      <c r="I105" s="36" t="s">
        <v>1826</v>
      </c>
      <c r="J105" s="36">
        <v>44658</v>
      </c>
      <c r="K105" s="46"/>
      <c r="L105" s="46" t="s">
        <v>411</v>
      </c>
      <c r="M105" s="46"/>
      <c r="N105" s="46" t="s">
        <v>1824</v>
      </c>
      <c r="O105" s="45"/>
      <c r="P105" s="45" t="s">
        <v>665</v>
      </c>
      <c r="Q105" s="45"/>
    </row>
    <row r="106" spans="1:17" x14ac:dyDescent="0.3">
      <c r="A106" s="7" t="s">
        <v>1912</v>
      </c>
      <c r="B106" s="7">
        <v>433606</v>
      </c>
      <c r="C106" s="7" t="s">
        <v>1975</v>
      </c>
      <c r="D106" s="7" t="s">
        <v>1921</v>
      </c>
      <c r="E106" s="7" t="s">
        <v>746</v>
      </c>
      <c r="F106" s="7" t="s">
        <v>1915</v>
      </c>
      <c r="G106" s="7" t="s">
        <v>650</v>
      </c>
      <c r="H106" s="36" t="s">
        <v>1926</v>
      </c>
      <c r="I106" s="36" t="s">
        <v>1826</v>
      </c>
      <c r="J106" s="36">
        <v>44662</v>
      </c>
      <c r="K106" s="46"/>
      <c r="L106" s="46" t="s">
        <v>258</v>
      </c>
      <c r="M106" s="46"/>
      <c r="N106" s="46" t="s">
        <v>1824</v>
      </c>
      <c r="O106" s="45"/>
      <c r="P106" s="45" t="s">
        <v>665</v>
      </c>
      <c r="Q106" s="45"/>
    </row>
    <row r="107" spans="1:17" x14ac:dyDescent="0.3">
      <c r="A107" s="7" t="s">
        <v>1912</v>
      </c>
      <c r="B107" s="7">
        <v>433544</v>
      </c>
      <c r="C107" s="7" t="s">
        <v>1980</v>
      </c>
      <c r="D107" s="7" t="s">
        <v>1921</v>
      </c>
      <c r="E107" s="7" t="s">
        <v>746</v>
      </c>
      <c r="F107" s="7" t="s">
        <v>1915</v>
      </c>
      <c r="G107" s="7" t="s">
        <v>460</v>
      </c>
      <c r="H107" s="36" t="s">
        <v>1916</v>
      </c>
      <c r="I107" s="36" t="s">
        <v>1826</v>
      </c>
      <c r="J107" s="36">
        <v>44662</v>
      </c>
      <c r="K107" s="46"/>
      <c r="L107" s="46" t="s">
        <v>49</v>
      </c>
      <c r="M107" s="46"/>
      <c r="N107" s="46" t="s">
        <v>1824</v>
      </c>
      <c r="O107" s="45"/>
      <c r="P107" s="45" t="s">
        <v>665</v>
      </c>
      <c r="Q107" s="45"/>
    </row>
    <row r="108" spans="1:17" x14ac:dyDescent="0.3">
      <c r="A108" s="7" t="s">
        <v>1912</v>
      </c>
      <c r="B108" s="7">
        <v>433578</v>
      </c>
      <c r="C108" s="7" t="s">
        <v>1981</v>
      </c>
      <c r="D108" s="7" t="s">
        <v>1921</v>
      </c>
      <c r="E108" s="7" t="s">
        <v>746</v>
      </c>
      <c r="F108" s="7" t="s">
        <v>1915</v>
      </c>
      <c r="G108" s="7" t="s">
        <v>257</v>
      </c>
      <c r="H108" s="36" t="s">
        <v>1916</v>
      </c>
      <c r="I108" s="36" t="s">
        <v>1826</v>
      </c>
      <c r="J108" s="36">
        <v>44662</v>
      </c>
      <c r="K108" s="46"/>
      <c r="L108" s="46" t="s">
        <v>154</v>
      </c>
      <c r="M108" s="46"/>
      <c r="N108" s="46" t="s">
        <v>1824</v>
      </c>
      <c r="O108" s="45"/>
      <c r="P108" s="45" t="s">
        <v>665</v>
      </c>
      <c r="Q108" s="45"/>
    </row>
    <row r="109" spans="1:17" x14ac:dyDescent="0.3">
      <c r="A109" s="7" t="s">
        <v>1912</v>
      </c>
      <c r="B109" s="7">
        <v>440840</v>
      </c>
      <c r="C109" s="7" t="s">
        <v>1928</v>
      </c>
      <c r="D109" s="7" t="s">
        <v>1914</v>
      </c>
      <c r="E109" s="7" t="s">
        <v>682</v>
      </c>
      <c r="F109" s="7" t="s">
        <v>1929</v>
      </c>
      <c r="G109" s="7" t="s">
        <v>627</v>
      </c>
      <c r="H109" s="36" t="s">
        <v>1916</v>
      </c>
      <c r="I109" s="36" t="s">
        <v>1826</v>
      </c>
      <c r="J109" s="36">
        <v>44663</v>
      </c>
      <c r="K109" s="46"/>
      <c r="L109" s="46" t="s">
        <v>447</v>
      </c>
      <c r="M109" s="46"/>
      <c r="N109" s="46" t="s">
        <v>1824</v>
      </c>
      <c r="O109" s="45"/>
      <c r="P109" s="45" t="s">
        <v>665</v>
      </c>
      <c r="Q109" s="45"/>
    </row>
    <row r="110" spans="1:17" x14ac:dyDescent="0.3">
      <c r="A110" s="7" t="s">
        <v>1912</v>
      </c>
      <c r="B110" s="7">
        <v>433581</v>
      </c>
      <c r="C110" s="7" t="s">
        <v>1962</v>
      </c>
      <c r="D110" s="7" t="s">
        <v>1914</v>
      </c>
      <c r="E110" s="7" t="s">
        <v>746</v>
      </c>
      <c r="F110" s="7" t="s">
        <v>1915</v>
      </c>
      <c r="G110" s="7" t="s">
        <v>214</v>
      </c>
      <c r="H110" s="36" t="s">
        <v>1916</v>
      </c>
      <c r="I110" s="36" t="s">
        <v>1826</v>
      </c>
      <c r="J110" s="36">
        <v>44669</v>
      </c>
      <c r="K110" s="46"/>
      <c r="L110" s="46" t="s">
        <v>269</v>
      </c>
      <c r="M110" s="46"/>
      <c r="N110" s="46" t="s">
        <v>1824</v>
      </c>
      <c r="O110" s="45"/>
      <c r="P110" s="45" t="s">
        <v>665</v>
      </c>
      <c r="Q110" s="45"/>
    </row>
    <row r="111" spans="1:17" x14ac:dyDescent="0.3">
      <c r="A111" s="7" t="s">
        <v>1912</v>
      </c>
      <c r="B111" s="7">
        <v>433529</v>
      </c>
      <c r="C111" s="7" t="s">
        <v>1964</v>
      </c>
      <c r="D111" s="7" t="s">
        <v>1914</v>
      </c>
      <c r="E111" s="7" t="s">
        <v>746</v>
      </c>
      <c r="F111" s="7" t="s">
        <v>1915</v>
      </c>
      <c r="G111" s="7" t="s">
        <v>161</v>
      </c>
      <c r="H111" s="36" t="s">
        <v>1916</v>
      </c>
      <c r="I111" s="36" t="s">
        <v>1826</v>
      </c>
      <c r="J111" s="36">
        <v>44669</v>
      </c>
      <c r="K111" s="46"/>
      <c r="L111" s="46" t="s">
        <v>549</v>
      </c>
      <c r="M111" s="46"/>
      <c r="N111" s="46" t="s">
        <v>1824</v>
      </c>
      <c r="O111" s="45"/>
      <c r="P111" s="45" t="s">
        <v>665</v>
      </c>
      <c r="Q111" s="45"/>
    </row>
    <row r="112" spans="1:17" x14ac:dyDescent="0.3">
      <c r="A112" s="7" t="s">
        <v>1912</v>
      </c>
      <c r="B112" s="7">
        <v>436266</v>
      </c>
      <c r="C112" s="7" t="s">
        <v>1937</v>
      </c>
      <c r="D112" s="7" t="s">
        <v>1921</v>
      </c>
      <c r="E112" s="7" t="s">
        <v>682</v>
      </c>
      <c r="F112" s="7" t="s">
        <v>1929</v>
      </c>
      <c r="G112" s="7" t="s">
        <v>648</v>
      </c>
      <c r="H112" s="36" t="s">
        <v>1926</v>
      </c>
      <c r="I112" s="36" t="s">
        <v>1826</v>
      </c>
      <c r="J112" s="36">
        <v>44670</v>
      </c>
      <c r="K112" s="46"/>
      <c r="L112" s="46" t="s">
        <v>565</v>
      </c>
      <c r="M112" s="46"/>
      <c r="N112" s="46" t="s">
        <v>1824</v>
      </c>
      <c r="O112" s="45"/>
      <c r="P112" s="45" t="s">
        <v>665</v>
      </c>
      <c r="Q112" s="45"/>
    </row>
    <row r="113" spans="1:17" x14ac:dyDescent="0.3">
      <c r="A113" s="7" t="s">
        <v>1912</v>
      </c>
      <c r="B113" s="7">
        <v>454755</v>
      </c>
      <c r="C113" s="7" t="s">
        <v>1928</v>
      </c>
      <c r="D113" s="7" t="s">
        <v>1921</v>
      </c>
      <c r="E113" s="7" t="s">
        <v>682</v>
      </c>
      <c r="F113" s="7" t="s">
        <v>1929</v>
      </c>
      <c r="G113" s="7" t="s">
        <v>616</v>
      </c>
      <c r="H113" s="36" t="s">
        <v>1926</v>
      </c>
      <c r="I113" s="36" t="s">
        <v>1826</v>
      </c>
      <c r="J113" s="36">
        <v>44677</v>
      </c>
      <c r="K113" s="46"/>
      <c r="L113" s="46" t="s">
        <v>447</v>
      </c>
      <c r="M113" s="46"/>
      <c r="N113" s="46" t="s">
        <v>1824</v>
      </c>
      <c r="O113" s="45"/>
      <c r="P113" s="45" t="s">
        <v>665</v>
      </c>
      <c r="Q113" s="45"/>
    </row>
    <row r="114" spans="1:17" x14ac:dyDescent="0.3">
      <c r="A114" s="7" t="s">
        <v>1912</v>
      </c>
      <c r="B114" s="7">
        <v>438274</v>
      </c>
      <c r="C114" s="7" t="s">
        <v>1924</v>
      </c>
      <c r="D114" s="7" t="s">
        <v>1914</v>
      </c>
      <c r="E114" s="7" t="s">
        <v>682</v>
      </c>
      <c r="F114" s="7" t="s">
        <v>1929</v>
      </c>
      <c r="G114" s="7" t="s">
        <v>211</v>
      </c>
      <c r="H114" s="36" t="s">
        <v>1916</v>
      </c>
      <c r="I114" s="36" t="s">
        <v>1826</v>
      </c>
      <c r="J114" s="36">
        <v>44677</v>
      </c>
      <c r="K114" s="46"/>
      <c r="L114" s="46" t="s">
        <v>178</v>
      </c>
      <c r="M114" s="46"/>
      <c r="N114" s="46" t="s">
        <v>1824</v>
      </c>
      <c r="O114" s="45"/>
      <c r="P114" s="45" t="s">
        <v>665</v>
      </c>
      <c r="Q114" s="45"/>
    </row>
    <row r="115" spans="1:17" x14ac:dyDescent="0.3">
      <c r="A115" s="7" t="s">
        <v>1912</v>
      </c>
      <c r="B115" s="7" t="s">
        <v>716</v>
      </c>
      <c r="C115" s="7" t="s">
        <v>1937</v>
      </c>
      <c r="D115" s="7" t="s">
        <v>1921</v>
      </c>
      <c r="E115" s="7" t="s">
        <v>682</v>
      </c>
      <c r="F115" s="7" t="s">
        <v>1929</v>
      </c>
      <c r="G115" s="7" t="s">
        <v>625</v>
      </c>
      <c r="H115" s="36" t="s">
        <v>1926</v>
      </c>
      <c r="I115" s="36" t="s">
        <v>1826</v>
      </c>
      <c r="J115" s="36">
        <v>44677</v>
      </c>
      <c r="K115" s="46"/>
      <c r="L115" s="46" t="s">
        <v>565</v>
      </c>
      <c r="M115" s="46"/>
      <c r="N115" s="46" t="s">
        <v>1824</v>
      </c>
      <c r="O115" s="45"/>
      <c r="P115" s="45" t="s">
        <v>665</v>
      </c>
      <c r="Q115" s="45"/>
    </row>
    <row r="116" spans="1:17" x14ac:dyDescent="0.3">
      <c r="A116" s="7" t="s">
        <v>1912</v>
      </c>
      <c r="B116" s="7" t="s">
        <v>716</v>
      </c>
      <c r="C116" s="7" t="s">
        <v>1928</v>
      </c>
      <c r="D116" s="7" t="s">
        <v>1921</v>
      </c>
      <c r="E116" s="7" t="s">
        <v>682</v>
      </c>
      <c r="F116" s="7" t="s">
        <v>1929</v>
      </c>
      <c r="G116" s="7" t="s">
        <v>225</v>
      </c>
      <c r="H116" s="36" t="s">
        <v>1916</v>
      </c>
      <c r="I116" s="36" t="s">
        <v>1826</v>
      </c>
      <c r="J116" s="36">
        <v>44677</v>
      </c>
      <c r="K116" s="46"/>
      <c r="L116" s="46" t="s">
        <v>447</v>
      </c>
      <c r="M116" s="46"/>
      <c r="N116" s="46" t="s">
        <v>1824</v>
      </c>
      <c r="O116" s="45"/>
      <c r="P116" s="45" t="s">
        <v>665</v>
      </c>
      <c r="Q116" s="45"/>
    </row>
    <row r="117" spans="1:17" x14ac:dyDescent="0.3">
      <c r="A117" s="7" t="s">
        <v>1658</v>
      </c>
      <c r="B117" s="7">
        <v>433566</v>
      </c>
      <c r="C117" s="7" t="s">
        <v>1948</v>
      </c>
      <c r="D117" s="7" t="s">
        <v>1921</v>
      </c>
      <c r="E117" s="7" t="s">
        <v>746</v>
      </c>
      <c r="F117" s="7" t="s">
        <v>1915</v>
      </c>
      <c r="G117" s="7" t="s">
        <v>78</v>
      </c>
      <c r="H117" s="36" t="s">
        <v>1916</v>
      </c>
      <c r="I117" s="36" t="s">
        <v>1826</v>
      </c>
      <c r="J117" s="36">
        <v>44683</v>
      </c>
      <c r="K117" s="46"/>
      <c r="L117" s="46" t="s">
        <v>300</v>
      </c>
      <c r="M117" s="46"/>
      <c r="N117" s="46" t="s">
        <v>1824</v>
      </c>
      <c r="O117" s="45"/>
      <c r="P117" s="45" t="s">
        <v>665</v>
      </c>
      <c r="Q117" s="45"/>
    </row>
    <row r="118" spans="1:17" x14ac:dyDescent="0.3">
      <c r="A118" s="7" t="s">
        <v>1658</v>
      </c>
      <c r="B118" s="7">
        <v>430304</v>
      </c>
      <c r="C118" s="7" t="s">
        <v>1982</v>
      </c>
      <c r="D118" s="7" t="s">
        <v>1923</v>
      </c>
      <c r="E118" s="7" t="s">
        <v>1584</v>
      </c>
      <c r="F118" s="7" t="s">
        <v>1959</v>
      </c>
      <c r="G118" s="7" t="s">
        <v>48</v>
      </c>
      <c r="H118" s="36" t="s">
        <v>1916</v>
      </c>
      <c r="I118" s="36" t="s">
        <v>1826</v>
      </c>
      <c r="J118" s="36">
        <v>44683</v>
      </c>
      <c r="K118" s="46"/>
      <c r="L118" s="46" t="s">
        <v>567</v>
      </c>
      <c r="M118" s="46"/>
      <c r="N118" s="46" t="s">
        <v>1824</v>
      </c>
      <c r="O118" s="45"/>
      <c r="P118" s="45" t="s">
        <v>665</v>
      </c>
      <c r="Q118" s="45"/>
    </row>
    <row r="119" spans="1:17" x14ac:dyDescent="0.3">
      <c r="A119" s="7" t="s">
        <v>1912</v>
      </c>
      <c r="B119" s="7" t="s">
        <v>716</v>
      </c>
      <c r="C119" s="7" t="s">
        <v>1928</v>
      </c>
      <c r="D119" s="7" t="s">
        <v>1921</v>
      </c>
      <c r="E119" s="7" t="s">
        <v>682</v>
      </c>
      <c r="F119" s="7" t="s">
        <v>1929</v>
      </c>
      <c r="G119" s="7" t="s">
        <v>222</v>
      </c>
      <c r="H119" s="36" t="s">
        <v>1916</v>
      </c>
      <c r="I119" s="36" t="s">
        <v>1826</v>
      </c>
      <c r="J119" s="36">
        <v>44686</v>
      </c>
      <c r="K119" s="46"/>
      <c r="L119" s="46" t="s">
        <v>447</v>
      </c>
      <c r="M119" s="46"/>
      <c r="N119" s="46" t="s">
        <v>1824</v>
      </c>
      <c r="O119" s="45"/>
      <c r="P119" s="45" t="s">
        <v>665</v>
      </c>
      <c r="Q119" s="45"/>
    </row>
    <row r="120" spans="1:17" x14ac:dyDescent="0.3">
      <c r="A120" s="7" t="s">
        <v>1658</v>
      </c>
      <c r="B120" s="7">
        <v>441369</v>
      </c>
      <c r="C120" s="7" t="s">
        <v>1938</v>
      </c>
      <c r="D120" s="7" t="s">
        <v>1914</v>
      </c>
      <c r="E120" s="7" t="s">
        <v>682</v>
      </c>
      <c r="F120" s="7" t="s">
        <v>1929</v>
      </c>
      <c r="G120" s="7" t="s">
        <v>249</v>
      </c>
      <c r="H120" s="36" t="s">
        <v>1916</v>
      </c>
      <c r="I120" s="36" t="s">
        <v>1826</v>
      </c>
      <c r="J120" s="36">
        <v>44686</v>
      </c>
      <c r="K120" s="46"/>
      <c r="L120" s="46" t="s">
        <v>217</v>
      </c>
      <c r="M120" s="46"/>
      <c r="N120" s="46" t="s">
        <v>1824</v>
      </c>
      <c r="O120" s="45"/>
      <c r="P120" s="45" t="s">
        <v>665</v>
      </c>
      <c r="Q120" s="45"/>
    </row>
    <row r="121" spans="1:17" x14ac:dyDescent="0.3">
      <c r="A121" s="7" t="s">
        <v>1658</v>
      </c>
      <c r="B121" s="7">
        <v>441366</v>
      </c>
      <c r="C121" s="7" t="s">
        <v>1983</v>
      </c>
      <c r="D121" s="7" t="s">
        <v>1914</v>
      </c>
      <c r="E121" s="7" t="s">
        <v>682</v>
      </c>
      <c r="F121" s="7" t="s">
        <v>1929</v>
      </c>
      <c r="G121" s="7" t="s">
        <v>176</v>
      </c>
      <c r="H121" s="36" t="s">
        <v>1926</v>
      </c>
      <c r="I121" s="36" t="s">
        <v>1826</v>
      </c>
      <c r="J121" s="36">
        <v>44686</v>
      </c>
      <c r="K121" s="46"/>
      <c r="L121" s="46" t="s">
        <v>217</v>
      </c>
      <c r="M121" s="46"/>
      <c r="N121" s="46" t="s">
        <v>1824</v>
      </c>
      <c r="O121" s="45"/>
      <c r="P121" s="45" t="s">
        <v>665</v>
      </c>
      <c r="Q121" s="45"/>
    </row>
    <row r="122" spans="1:17" x14ac:dyDescent="0.3">
      <c r="A122" s="7" t="s">
        <v>1658</v>
      </c>
      <c r="B122" s="7">
        <v>441402</v>
      </c>
      <c r="C122" s="7" t="s">
        <v>1984</v>
      </c>
      <c r="D122" s="7" t="s">
        <v>1914</v>
      </c>
      <c r="E122" s="7" t="s">
        <v>746</v>
      </c>
      <c r="F122" s="7" t="s">
        <v>1915</v>
      </c>
      <c r="G122" s="7" t="s">
        <v>512</v>
      </c>
      <c r="H122" s="36" t="s">
        <v>1926</v>
      </c>
      <c r="I122" s="36" t="s">
        <v>1826</v>
      </c>
      <c r="J122" s="36">
        <v>44690</v>
      </c>
      <c r="K122" s="46"/>
      <c r="L122" s="46" t="s">
        <v>458</v>
      </c>
      <c r="M122" s="46"/>
      <c r="N122" s="46" t="s">
        <v>1824</v>
      </c>
      <c r="O122" s="45"/>
      <c r="P122" s="45" t="s">
        <v>665</v>
      </c>
      <c r="Q122" s="45"/>
    </row>
    <row r="123" spans="1:17" x14ac:dyDescent="0.3">
      <c r="A123" s="7" t="s">
        <v>1912</v>
      </c>
      <c r="B123" s="7">
        <v>433659</v>
      </c>
      <c r="C123" s="7" t="s">
        <v>1985</v>
      </c>
      <c r="D123" s="7" t="s">
        <v>1921</v>
      </c>
      <c r="E123" s="7" t="s">
        <v>746</v>
      </c>
      <c r="F123" s="7" t="s">
        <v>1915</v>
      </c>
      <c r="G123" s="7" t="s">
        <v>476</v>
      </c>
      <c r="H123" s="36" t="s">
        <v>1916</v>
      </c>
      <c r="I123" s="36" t="s">
        <v>1826</v>
      </c>
      <c r="J123" s="36">
        <v>44690</v>
      </c>
      <c r="K123" s="46"/>
      <c r="L123" s="46" t="s">
        <v>84</v>
      </c>
      <c r="M123" s="46"/>
      <c r="N123" s="46" t="s">
        <v>1824</v>
      </c>
      <c r="O123" s="45"/>
      <c r="P123" s="45" t="s">
        <v>665</v>
      </c>
      <c r="Q123" s="45"/>
    </row>
    <row r="124" spans="1:17" x14ac:dyDescent="0.3">
      <c r="A124" s="7" t="s">
        <v>1658</v>
      </c>
      <c r="B124" s="7">
        <v>433601</v>
      </c>
      <c r="C124" s="7" t="s">
        <v>1964</v>
      </c>
      <c r="D124" s="7" t="s">
        <v>1921</v>
      </c>
      <c r="E124" s="7" t="s">
        <v>746</v>
      </c>
      <c r="F124" s="7" t="s">
        <v>1915</v>
      </c>
      <c r="G124" s="7" t="s">
        <v>444</v>
      </c>
      <c r="H124" s="36" t="s">
        <v>1916</v>
      </c>
      <c r="I124" s="36" t="s">
        <v>1826</v>
      </c>
      <c r="J124" s="36">
        <v>44690</v>
      </c>
      <c r="K124" s="46"/>
      <c r="L124" s="46" t="s">
        <v>48</v>
      </c>
      <c r="M124" s="46"/>
      <c r="N124" s="46" t="s">
        <v>1824</v>
      </c>
      <c r="O124" s="45"/>
      <c r="P124" s="45" t="s">
        <v>665</v>
      </c>
      <c r="Q124" s="45"/>
    </row>
    <row r="125" spans="1:17" x14ac:dyDescent="0.3">
      <c r="A125" s="7" t="s">
        <v>1912</v>
      </c>
      <c r="B125" s="7">
        <v>433637</v>
      </c>
      <c r="C125" s="7" t="s">
        <v>1967</v>
      </c>
      <c r="D125" s="7" t="s">
        <v>1921</v>
      </c>
      <c r="E125" s="7" t="s">
        <v>746</v>
      </c>
      <c r="F125" s="7" t="s">
        <v>1915</v>
      </c>
      <c r="G125" s="7" t="s">
        <v>353</v>
      </c>
      <c r="H125" s="36" t="s">
        <v>1926</v>
      </c>
      <c r="I125" s="36" t="s">
        <v>1826</v>
      </c>
      <c r="J125" s="36">
        <v>44690</v>
      </c>
      <c r="K125" s="46"/>
      <c r="L125" s="46" t="s">
        <v>550</v>
      </c>
      <c r="M125" s="46"/>
      <c r="N125" s="46" t="s">
        <v>1824</v>
      </c>
      <c r="O125" s="45"/>
      <c r="P125" s="45" t="s">
        <v>665</v>
      </c>
      <c r="Q125" s="45"/>
    </row>
    <row r="126" spans="1:17" x14ac:dyDescent="0.3">
      <c r="A126" s="7" t="s">
        <v>755</v>
      </c>
      <c r="B126" s="7">
        <v>433553</v>
      </c>
      <c r="C126" s="7" t="s">
        <v>1967</v>
      </c>
      <c r="D126" s="7" t="s">
        <v>1914</v>
      </c>
      <c r="E126" s="7" t="s">
        <v>746</v>
      </c>
      <c r="F126" s="7" t="s">
        <v>1915</v>
      </c>
      <c r="G126" s="7" t="s">
        <v>337</v>
      </c>
      <c r="H126" s="36" t="s">
        <v>1916</v>
      </c>
      <c r="I126" s="36" t="s">
        <v>1826</v>
      </c>
      <c r="J126" s="36">
        <v>44690</v>
      </c>
      <c r="K126" s="46"/>
      <c r="L126" s="46" t="s">
        <v>293</v>
      </c>
      <c r="M126" s="46"/>
      <c r="N126" s="46" t="s">
        <v>1824</v>
      </c>
      <c r="O126" s="45"/>
      <c r="P126" s="45" t="s">
        <v>665</v>
      </c>
      <c r="Q126" s="45"/>
    </row>
    <row r="127" spans="1:17" x14ac:dyDescent="0.3">
      <c r="A127" s="7" t="s">
        <v>1912</v>
      </c>
      <c r="B127" s="7">
        <v>433626</v>
      </c>
      <c r="C127" s="7" t="s">
        <v>1986</v>
      </c>
      <c r="D127" s="7" t="s">
        <v>1950</v>
      </c>
      <c r="E127" s="7" t="s">
        <v>746</v>
      </c>
      <c r="F127" s="7" t="s">
        <v>1915</v>
      </c>
      <c r="G127" s="7" t="s">
        <v>301</v>
      </c>
      <c r="H127" s="36" t="s">
        <v>1926</v>
      </c>
      <c r="I127" s="36" t="s">
        <v>1826</v>
      </c>
      <c r="J127" s="36">
        <v>44690</v>
      </c>
      <c r="K127" s="46"/>
      <c r="L127" s="46" t="s">
        <v>84</v>
      </c>
      <c r="M127" s="46"/>
      <c r="N127" s="46" t="s">
        <v>1824</v>
      </c>
      <c r="O127" s="45"/>
      <c r="P127" s="45" t="s">
        <v>665</v>
      </c>
      <c r="Q127" s="45"/>
    </row>
    <row r="128" spans="1:17" x14ac:dyDescent="0.3">
      <c r="A128" s="7" t="s">
        <v>1912</v>
      </c>
      <c r="B128" s="7">
        <v>443538</v>
      </c>
      <c r="C128" s="7" t="s">
        <v>1987</v>
      </c>
      <c r="D128" s="7" t="s">
        <v>1921</v>
      </c>
      <c r="E128" s="7" t="s">
        <v>682</v>
      </c>
      <c r="F128" s="7" t="s">
        <v>1929</v>
      </c>
      <c r="G128" s="7" t="s">
        <v>626</v>
      </c>
      <c r="H128" s="36" t="s">
        <v>1916</v>
      </c>
      <c r="I128" s="36" t="s">
        <v>1826</v>
      </c>
      <c r="J128" s="36">
        <v>44691</v>
      </c>
      <c r="K128" s="46"/>
      <c r="L128" s="46" t="s">
        <v>447</v>
      </c>
      <c r="M128" s="46"/>
      <c r="N128" s="46" t="s">
        <v>1824</v>
      </c>
      <c r="O128" s="45"/>
      <c r="P128" s="45" t="s">
        <v>665</v>
      </c>
      <c r="Q128" s="45"/>
    </row>
    <row r="129" spans="1:17" x14ac:dyDescent="0.3">
      <c r="A129" s="7" t="s">
        <v>1912</v>
      </c>
      <c r="B129" s="7">
        <v>433634</v>
      </c>
      <c r="C129" s="7" t="s">
        <v>1967</v>
      </c>
      <c r="D129" s="7" t="s">
        <v>1950</v>
      </c>
      <c r="E129" s="7" t="s">
        <v>746</v>
      </c>
      <c r="F129" s="7" t="s">
        <v>1915</v>
      </c>
      <c r="G129" s="7" t="s">
        <v>32</v>
      </c>
      <c r="H129" s="36" t="s">
        <v>1916</v>
      </c>
      <c r="I129" s="36" t="s">
        <v>1826</v>
      </c>
      <c r="J129" s="36">
        <v>44697</v>
      </c>
      <c r="K129" s="46"/>
      <c r="L129" s="46" t="s">
        <v>549</v>
      </c>
      <c r="M129" s="46"/>
      <c r="N129" s="46" t="s">
        <v>1824</v>
      </c>
      <c r="O129" s="45"/>
      <c r="P129" s="45" t="s">
        <v>665</v>
      </c>
      <c r="Q129" s="45"/>
    </row>
    <row r="130" spans="1:17" x14ac:dyDescent="0.3">
      <c r="A130" s="7" t="s">
        <v>1912</v>
      </c>
      <c r="B130" s="7">
        <v>433504</v>
      </c>
      <c r="C130" s="7" t="s">
        <v>1988</v>
      </c>
      <c r="D130" s="7" t="s">
        <v>1914</v>
      </c>
      <c r="E130" s="7" t="s">
        <v>746</v>
      </c>
      <c r="F130" s="7" t="s">
        <v>1915</v>
      </c>
      <c r="G130" s="7" t="s">
        <v>407</v>
      </c>
      <c r="H130" s="36" t="s">
        <v>1916</v>
      </c>
      <c r="I130" s="36" t="s">
        <v>1826</v>
      </c>
      <c r="J130" s="36">
        <v>44697</v>
      </c>
      <c r="K130" s="46"/>
      <c r="L130" s="46" t="s">
        <v>278</v>
      </c>
      <c r="M130" s="46"/>
      <c r="N130" s="46" t="s">
        <v>1824</v>
      </c>
      <c r="O130" s="45"/>
      <c r="P130" s="45" t="s">
        <v>665</v>
      </c>
      <c r="Q130" s="45"/>
    </row>
    <row r="131" spans="1:17" x14ac:dyDescent="0.3">
      <c r="A131" s="7" t="s">
        <v>755</v>
      </c>
      <c r="B131" s="7">
        <v>433526</v>
      </c>
      <c r="C131" s="7" t="s">
        <v>1977</v>
      </c>
      <c r="D131" s="7" t="s">
        <v>1921</v>
      </c>
      <c r="E131" s="7" t="s">
        <v>746</v>
      </c>
      <c r="F131" s="7" t="s">
        <v>1915</v>
      </c>
      <c r="G131" s="7" t="s">
        <v>308</v>
      </c>
      <c r="H131" s="36" t="s">
        <v>1916</v>
      </c>
      <c r="I131" s="36" t="s">
        <v>1826</v>
      </c>
      <c r="J131" s="36">
        <v>44697</v>
      </c>
      <c r="K131" s="46"/>
      <c r="L131" s="46" t="s">
        <v>47</v>
      </c>
      <c r="M131" s="46"/>
      <c r="N131" s="46" t="s">
        <v>1824</v>
      </c>
      <c r="O131" s="45"/>
      <c r="P131" s="45" t="s">
        <v>665</v>
      </c>
      <c r="Q131" s="45"/>
    </row>
    <row r="132" spans="1:17" x14ac:dyDescent="0.3">
      <c r="A132" s="7" t="s">
        <v>755</v>
      </c>
      <c r="B132" s="7">
        <v>433658</v>
      </c>
      <c r="C132" s="7" t="s">
        <v>2424</v>
      </c>
      <c r="D132" s="7" t="s">
        <v>1950</v>
      </c>
      <c r="E132" s="7" t="s">
        <v>746</v>
      </c>
      <c r="F132" s="7" t="s">
        <v>1915</v>
      </c>
      <c r="G132" s="7" t="s">
        <v>44</v>
      </c>
      <c r="H132" s="36" t="s">
        <v>1916</v>
      </c>
      <c r="I132" s="36" t="s">
        <v>1826</v>
      </c>
      <c r="J132" s="36">
        <v>44697</v>
      </c>
      <c r="K132" s="46"/>
      <c r="L132" s="46" t="s">
        <v>293</v>
      </c>
      <c r="M132" s="46"/>
      <c r="N132" s="46" t="s">
        <v>1824</v>
      </c>
      <c r="O132" s="45"/>
      <c r="P132" s="45" t="s">
        <v>665</v>
      </c>
      <c r="Q132" s="45"/>
    </row>
    <row r="133" spans="1:17" x14ac:dyDescent="0.3">
      <c r="A133" s="7" t="s">
        <v>1658</v>
      </c>
      <c r="B133" s="7">
        <v>433533</v>
      </c>
      <c r="C133" s="7" t="s">
        <v>1966</v>
      </c>
      <c r="D133" s="7" t="s">
        <v>1921</v>
      </c>
      <c r="E133" s="7" t="s">
        <v>746</v>
      </c>
      <c r="F133" s="7" t="s">
        <v>1915</v>
      </c>
      <c r="G133" s="7" t="s">
        <v>369</v>
      </c>
      <c r="H133" s="36" t="s">
        <v>1926</v>
      </c>
      <c r="I133" s="36" t="s">
        <v>1826</v>
      </c>
      <c r="J133" s="36">
        <v>44704</v>
      </c>
      <c r="K133" s="46"/>
      <c r="L133" s="46" t="s">
        <v>244</v>
      </c>
      <c r="M133" s="46"/>
      <c r="N133" s="46" t="s">
        <v>1824</v>
      </c>
      <c r="O133" s="45"/>
      <c r="P133" s="45" t="s">
        <v>665</v>
      </c>
      <c r="Q133" s="45"/>
    </row>
    <row r="134" spans="1:17" x14ac:dyDescent="0.3">
      <c r="A134" s="7" t="s">
        <v>1658</v>
      </c>
      <c r="B134" s="7">
        <v>433594</v>
      </c>
      <c r="C134" s="7" t="s">
        <v>1977</v>
      </c>
      <c r="D134" s="7" t="s">
        <v>1921</v>
      </c>
      <c r="E134" s="7" t="s">
        <v>746</v>
      </c>
      <c r="F134" s="7" t="s">
        <v>1915</v>
      </c>
      <c r="G134" s="7" t="s">
        <v>349</v>
      </c>
      <c r="H134" s="36" t="s">
        <v>1926</v>
      </c>
      <c r="I134" s="36" t="s">
        <v>1826</v>
      </c>
      <c r="J134" s="36">
        <v>44704</v>
      </c>
      <c r="K134" s="46"/>
      <c r="L134" s="46" t="s">
        <v>48</v>
      </c>
      <c r="M134" s="46"/>
      <c r="N134" s="46" t="s">
        <v>1824</v>
      </c>
      <c r="O134" s="45"/>
      <c r="P134" s="45" t="s">
        <v>665</v>
      </c>
      <c r="Q134" s="45"/>
    </row>
    <row r="135" spans="1:17" x14ac:dyDescent="0.3">
      <c r="A135" s="7" t="s">
        <v>1658</v>
      </c>
      <c r="B135" s="7">
        <v>433552</v>
      </c>
      <c r="C135" s="7" t="s">
        <v>1976</v>
      </c>
      <c r="D135" s="7" t="s">
        <v>1914</v>
      </c>
      <c r="E135" s="7" t="s">
        <v>746</v>
      </c>
      <c r="F135" s="7" t="s">
        <v>1915</v>
      </c>
      <c r="G135" s="7" t="s">
        <v>259</v>
      </c>
      <c r="H135" s="36" t="s">
        <v>1926</v>
      </c>
      <c r="I135" s="36" t="s">
        <v>1826</v>
      </c>
      <c r="J135" s="36">
        <v>44704</v>
      </c>
      <c r="K135" s="46"/>
      <c r="L135" s="46" t="s">
        <v>639</v>
      </c>
      <c r="M135" s="46"/>
      <c r="N135" s="46" t="s">
        <v>1824</v>
      </c>
      <c r="O135" s="45"/>
      <c r="P135" s="45" t="s">
        <v>665</v>
      </c>
      <c r="Q135" s="45"/>
    </row>
    <row r="136" spans="1:17" x14ac:dyDescent="0.3">
      <c r="A136" s="7" t="s">
        <v>1912</v>
      </c>
      <c r="B136" s="7">
        <v>438275</v>
      </c>
      <c r="C136" s="7" t="s">
        <v>1990</v>
      </c>
      <c r="D136" s="7" t="s">
        <v>1914</v>
      </c>
      <c r="E136" s="7" t="s">
        <v>682</v>
      </c>
      <c r="F136" s="7" t="s">
        <v>1929</v>
      </c>
      <c r="G136" s="7" t="s">
        <v>474</v>
      </c>
      <c r="H136" s="36" t="s">
        <v>1926</v>
      </c>
      <c r="I136" s="36" t="s">
        <v>1826</v>
      </c>
      <c r="J136" s="36">
        <v>44705</v>
      </c>
      <c r="K136" s="46"/>
      <c r="L136" s="46" t="s">
        <v>178</v>
      </c>
      <c r="M136" s="46"/>
      <c r="N136" s="46" t="s">
        <v>1824</v>
      </c>
      <c r="O136" s="45"/>
      <c r="P136" s="45" t="s">
        <v>665</v>
      </c>
      <c r="Q136" s="45"/>
    </row>
    <row r="137" spans="1:17" x14ac:dyDescent="0.3">
      <c r="A137" s="7" t="s">
        <v>755</v>
      </c>
      <c r="B137" s="7">
        <v>433496</v>
      </c>
      <c r="C137" s="7" t="s">
        <v>1991</v>
      </c>
      <c r="D137" s="7" t="s">
        <v>1923</v>
      </c>
      <c r="E137" s="7" t="s">
        <v>1584</v>
      </c>
      <c r="F137" s="7" t="s">
        <v>1992</v>
      </c>
      <c r="G137" s="7" t="s">
        <v>463</v>
      </c>
      <c r="H137" s="36" t="s">
        <v>1916</v>
      </c>
      <c r="I137" s="36" t="s">
        <v>1826</v>
      </c>
      <c r="J137" s="36">
        <v>44708</v>
      </c>
      <c r="K137" s="46"/>
      <c r="L137" s="46" t="s">
        <v>1211</v>
      </c>
      <c r="M137" s="46"/>
      <c r="N137" s="46" t="s">
        <v>1824</v>
      </c>
      <c r="O137" s="45"/>
      <c r="P137" s="45" t="s">
        <v>665</v>
      </c>
      <c r="Q137" s="45"/>
    </row>
    <row r="138" spans="1:17" x14ac:dyDescent="0.3">
      <c r="A138" s="7" t="s">
        <v>1912</v>
      </c>
      <c r="B138" s="7">
        <v>433558</v>
      </c>
      <c r="C138" s="7" t="s">
        <v>1993</v>
      </c>
      <c r="D138" s="7" t="s">
        <v>1914</v>
      </c>
      <c r="E138" s="7" t="s">
        <v>746</v>
      </c>
      <c r="F138" s="7" t="s">
        <v>1915</v>
      </c>
      <c r="G138" s="7" t="s">
        <v>496</v>
      </c>
      <c r="H138" s="36" t="s">
        <v>1916</v>
      </c>
      <c r="I138" s="36" t="s">
        <v>1826</v>
      </c>
      <c r="J138" s="36">
        <v>44713</v>
      </c>
      <c r="K138" s="46"/>
      <c r="L138" s="46" t="s">
        <v>132</v>
      </c>
      <c r="M138" s="46"/>
      <c r="N138" s="46" t="s">
        <v>1824</v>
      </c>
      <c r="O138" s="45"/>
      <c r="P138" s="45" t="s">
        <v>665</v>
      </c>
      <c r="Q138" s="45"/>
    </row>
    <row r="139" spans="1:17" x14ac:dyDescent="0.3">
      <c r="A139" s="7" t="s">
        <v>1912</v>
      </c>
      <c r="B139" s="7">
        <v>433512</v>
      </c>
      <c r="C139" s="7" t="s">
        <v>1994</v>
      </c>
      <c r="D139" s="7" t="s">
        <v>1923</v>
      </c>
      <c r="E139" s="7" t="s">
        <v>746</v>
      </c>
      <c r="F139" s="7" t="s">
        <v>1915</v>
      </c>
      <c r="G139" s="7" t="s">
        <v>242</v>
      </c>
      <c r="H139" s="36" t="s">
        <v>1916</v>
      </c>
      <c r="I139" s="36" t="s">
        <v>1826</v>
      </c>
      <c r="J139" s="36">
        <v>44713</v>
      </c>
      <c r="K139" s="46"/>
      <c r="L139" s="46" t="s">
        <v>269</v>
      </c>
      <c r="M139" s="46"/>
      <c r="N139" s="46" t="s">
        <v>1824</v>
      </c>
      <c r="O139" s="45"/>
      <c r="P139" s="45" t="s">
        <v>665</v>
      </c>
      <c r="Q139" s="45"/>
    </row>
    <row r="140" spans="1:17" x14ac:dyDescent="0.3">
      <c r="A140" s="7" t="s">
        <v>1912</v>
      </c>
      <c r="B140" s="7">
        <v>433540</v>
      </c>
      <c r="C140" s="7" t="s">
        <v>1980</v>
      </c>
      <c r="D140" s="7" t="s">
        <v>1914</v>
      </c>
      <c r="E140" s="7" t="s">
        <v>746</v>
      </c>
      <c r="F140" s="7" t="s">
        <v>1915</v>
      </c>
      <c r="G140" s="7" t="s">
        <v>166</v>
      </c>
      <c r="H140" s="36" t="s">
        <v>1916</v>
      </c>
      <c r="I140" s="36" t="s">
        <v>1826</v>
      </c>
      <c r="J140" s="36">
        <v>44713</v>
      </c>
      <c r="K140" s="46"/>
      <c r="L140" s="46" t="s">
        <v>278</v>
      </c>
      <c r="M140" s="46"/>
      <c r="N140" s="46" t="s">
        <v>1824</v>
      </c>
      <c r="O140" s="45"/>
      <c r="P140" s="45" t="s">
        <v>665</v>
      </c>
      <c r="Q140" s="45"/>
    </row>
    <row r="141" spans="1:17" x14ac:dyDescent="0.3">
      <c r="A141" s="7" t="s">
        <v>1658</v>
      </c>
      <c r="B141" s="7">
        <v>433617</v>
      </c>
      <c r="C141" s="7" t="s">
        <v>1970</v>
      </c>
      <c r="D141" s="7" t="s">
        <v>1950</v>
      </c>
      <c r="E141" s="7" t="s">
        <v>746</v>
      </c>
      <c r="F141" s="7" t="s">
        <v>1915</v>
      </c>
      <c r="G141" s="7" t="s">
        <v>145</v>
      </c>
      <c r="H141" s="36" t="s">
        <v>1916</v>
      </c>
      <c r="I141" s="36" t="s">
        <v>1826</v>
      </c>
      <c r="J141" s="36">
        <v>44713</v>
      </c>
      <c r="K141" s="46"/>
      <c r="L141" s="46" t="s">
        <v>449</v>
      </c>
      <c r="M141" s="46"/>
      <c r="N141" s="46" t="s">
        <v>1824</v>
      </c>
      <c r="O141" s="45"/>
      <c r="P141" s="45" t="s">
        <v>665</v>
      </c>
      <c r="Q141" s="45"/>
    </row>
    <row r="142" spans="1:17" x14ac:dyDescent="0.3">
      <c r="A142" s="7" t="s">
        <v>1658</v>
      </c>
      <c r="B142" s="7">
        <v>432954</v>
      </c>
      <c r="C142" s="7" t="s">
        <v>1940</v>
      </c>
      <c r="D142" s="7" t="s">
        <v>1921</v>
      </c>
      <c r="E142" s="7" t="s">
        <v>746</v>
      </c>
      <c r="F142" s="7" t="s">
        <v>1915</v>
      </c>
      <c r="G142" s="7" t="s">
        <v>490</v>
      </c>
      <c r="H142" s="36" t="s">
        <v>1916</v>
      </c>
      <c r="I142" s="36" t="s">
        <v>1826</v>
      </c>
      <c r="J142" s="36">
        <v>44718</v>
      </c>
      <c r="K142" s="46"/>
      <c r="L142" s="46" t="s">
        <v>471</v>
      </c>
      <c r="M142" s="46"/>
      <c r="N142" s="46" t="s">
        <v>1824</v>
      </c>
      <c r="O142" s="45"/>
      <c r="P142" s="45" t="s">
        <v>665</v>
      </c>
      <c r="Q142" s="45"/>
    </row>
    <row r="143" spans="1:17" x14ac:dyDescent="0.3">
      <c r="A143" s="7" t="s">
        <v>1658</v>
      </c>
      <c r="B143" s="7">
        <v>446344</v>
      </c>
      <c r="C143" s="7" t="s">
        <v>1995</v>
      </c>
      <c r="D143" s="7" t="s">
        <v>1914</v>
      </c>
      <c r="E143" s="7" t="s">
        <v>746</v>
      </c>
      <c r="F143" s="7" t="s">
        <v>1915</v>
      </c>
      <c r="G143" s="7" t="s">
        <v>471</v>
      </c>
      <c r="H143" s="36" t="s">
        <v>1916</v>
      </c>
      <c r="I143" s="36" t="s">
        <v>1826</v>
      </c>
      <c r="J143" s="36">
        <v>44718</v>
      </c>
      <c r="K143" s="46"/>
      <c r="L143" s="46" t="s">
        <v>470</v>
      </c>
      <c r="M143" s="46"/>
      <c r="N143" s="46" t="s">
        <v>1824</v>
      </c>
      <c r="O143" s="45"/>
      <c r="P143" s="45" t="s">
        <v>665</v>
      </c>
      <c r="Q143" s="45"/>
    </row>
    <row r="144" spans="1:17" x14ac:dyDescent="0.3">
      <c r="A144" s="7" t="s">
        <v>755</v>
      </c>
      <c r="B144" s="7">
        <v>433500</v>
      </c>
      <c r="C144" s="7" t="s">
        <v>1988</v>
      </c>
      <c r="D144" s="7" t="s">
        <v>1914</v>
      </c>
      <c r="E144" s="7" t="s">
        <v>746</v>
      </c>
      <c r="F144" s="7" t="s">
        <v>1915</v>
      </c>
      <c r="G144" s="7" t="s">
        <v>293</v>
      </c>
      <c r="H144" s="36" t="s">
        <v>1916</v>
      </c>
      <c r="I144" s="36" t="s">
        <v>1826</v>
      </c>
      <c r="J144" s="36">
        <v>44720</v>
      </c>
      <c r="K144" s="46"/>
      <c r="L144" s="46" t="s">
        <v>1211</v>
      </c>
      <c r="M144" s="46"/>
      <c r="N144" s="46" t="s">
        <v>1824</v>
      </c>
      <c r="O144" s="45"/>
      <c r="P144" s="45" t="s">
        <v>665</v>
      </c>
      <c r="Q144" s="45"/>
    </row>
    <row r="145" spans="1:17" x14ac:dyDescent="0.3">
      <c r="A145" s="7" t="s">
        <v>755</v>
      </c>
      <c r="B145" s="7">
        <v>433633</v>
      </c>
      <c r="C145" s="7" t="s">
        <v>2425</v>
      </c>
      <c r="D145" s="7" t="s">
        <v>1950</v>
      </c>
      <c r="E145" s="7" t="s">
        <v>746</v>
      </c>
      <c r="F145" s="7" t="s">
        <v>1915</v>
      </c>
      <c r="G145" s="7" t="s">
        <v>455</v>
      </c>
      <c r="H145" s="36" t="s">
        <v>1926</v>
      </c>
      <c r="I145" s="36" t="s">
        <v>1826</v>
      </c>
      <c r="J145" s="36">
        <v>44725</v>
      </c>
      <c r="K145" s="46"/>
      <c r="L145" s="46" t="s">
        <v>293</v>
      </c>
      <c r="M145" s="46"/>
      <c r="N145" s="46" t="s">
        <v>1824</v>
      </c>
      <c r="O145" s="45"/>
      <c r="P145" s="45" t="s">
        <v>665</v>
      </c>
      <c r="Q145" s="45"/>
    </row>
    <row r="146" spans="1:17" x14ac:dyDescent="0.3">
      <c r="A146" s="7" t="s">
        <v>1658</v>
      </c>
      <c r="B146" s="7">
        <v>433525</v>
      </c>
      <c r="C146" s="7" t="s">
        <v>1996</v>
      </c>
      <c r="D146" s="7" t="s">
        <v>1921</v>
      </c>
      <c r="E146" s="7" t="s">
        <v>746</v>
      </c>
      <c r="F146" s="7" t="s">
        <v>1915</v>
      </c>
      <c r="G146" s="7" t="s">
        <v>281</v>
      </c>
      <c r="H146" s="36" t="s">
        <v>1916</v>
      </c>
      <c r="I146" s="36" t="s">
        <v>1826</v>
      </c>
      <c r="J146" s="36">
        <v>44725</v>
      </c>
      <c r="K146" s="46"/>
      <c r="L146" s="46" t="s">
        <v>516</v>
      </c>
      <c r="M146" s="46"/>
      <c r="N146" s="46" t="s">
        <v>1824</v>
      </c>
      <c r="O146" s="45"/>
      <c r="P146" s="45" t="s">
        <v>665</v>
      </c>
      <c r="Q146" s="45"/>
    </row>
    <row r="147" spans="1:17" x14ac:dyDescent="0.3">
      <c r="A147" s="7" t="s">
        <v>755</v>
      </c>
      <c r="B147" s="7">
        <v>451465</v>
      </c>
      <c r="C147" s="7" t="s">
        <v>1997</v>
      </c>
      <c r="D147" s="7" t="s">
        <v>1914</v>
      </c>
      <c r="E147" s="7" t="s">
        <v>746</v>
      </c>
      <c r="F147" s="7" t="s">
        <v>1915</v>
      </c>
      <c r="G147" s="7" t="s">
        <v>119</v>
      </c>
      <c r="H147" s="36" t="s">
        <v>1916</v>
      </c>
      <c r="I147" s="36" t="s">
        <v>1826</v>
      </c>
      <c r="J147" s="36">
        <v>44725</v>
      </c>
      <c r="K147" s="46"/>
      <c r="L147" s="46" t="s">
        <v>285</v>
      </c>
      <c r="M147" s="46"/>
      <c r="N147" s="46" t="s">
        <v>1824</v>
      </c>
      <c r="O147" s="45"/>
      <c r="P147" s="45" t="s">
        <v>665</v>
      </c>
      <c r="Q147" s="45"/>
    </row>
    <row r="148" spans="1:17" x14ac:dyDescent="0.3">
      <c r="A148" s="7" t="s">
        <v>1912</v>
      </c>
      <c r="B148" s="7" t="s">
        <v>716</v>
      </c>
      <c r="C148" s="7" t="s">
        <v>1937</v>
      </c>
      <c r="D148" s="7" t="s">
        <v>1921</v>
      </c>
      <c r="E148" s="7" t="s">
        <v>682</v>
      </c>
      <c r="F148" s="7" t="s">
        <v>1929</v>
      </c>
      <c r="G148" s="7" t="s">
        <v>198</v>
      </c>
      <c r="H148" s="36" t="s">
        <v>1916</v>
      </c>
      <c r="I148" s="36" t="s">
        <v>1826</v>
      </c>
      <c r="J148" s="36">
        <v>44726</v>
      </c>
      <c r="K148" s="46"/>
      <c r="L148" s="46" t="s">
        <v>565</v>
      </c>
      <c r="M148" s="46"/>
      <c r="N148" s="46" t="s">
        <v>1824</v>
      </c>
      <c r="O148" s="45"/>
      <c r="P148" s="45" t="s">
        <v>665</v>
      </c>
      <c r="Q148" s="45"/>
    </row>
    <row r="149" spans="1:17" x14ac:dyDescent="0.3">
      <c r="A149" s="7" t="s">
        <v>1912</v>
      </c>
      <c r="B149" s="7">
        <v>429084</v>
      </c>
      <c r="C149" s="7" t="s">
        <v>1998</v>
      </c>
      <c r="D149" s="7" t="s">
        <v>1921</v>
      </c>
      <c r="E149" s="7" t="s">
        <v>746</v>
      </c>
      <c r="F149" s="7" t="s">
        <v>1915</v>
      </c>
      <c r="G149" s="7" t="s">
        <v>335</v>
      </c>
      <c r="H149" s="36" t="s">
        <v>1916</v>
      </c>
      <c r="I149" s="36" t="s">
        <v>1826</v>
      </c>
      <c r="J149" s="36">
        <v>44728</v>
      </c>
      <c r="K149" s="46"/>
      <c r="L149" s="46" t="s">
        <v>87</v>
      </c>
      <c r="M149" s="46"/>
      <c r="N149" s="46" t="s">
        <v>1824</v>
      </c>
      <c r="O149" s="45"/>
      <c r="P149" s="45" t="s">
        <v>665</v>
      </c>
      <c r="Q149" s="45"/>
    </row>
    <row r="150" spans="1:17" x14ac:dyDescent="0.3">
      <c r="A150" s="7" t="s">
        <v>1658</v>
      </c>
      <c r="B150" s="7">
        <v>577034</v>
      </c>
      <c r="C150" s="7" t="s">
        <v>1999</v>
      </c>
      <c r="D150" s="7" t="s">
        <v>1921</v>
      </c>
      <c r="E150" s="7" t="s">
        <v>746</v>
      </c>
      <c r="F150" s="7" t="s">
        <v>1915</v>
      </c>
      <c r="G150" s="7" t="s">
        <v>2000</v>
      </c>
      <c r="H150" s="36" t="s">
        <v>1926</v>
      </c>
      <c r="I150" s="36" t="s">
        <v>1826</v>
      </c>
      <c r="J150" s="36">
        <v>44732</v>
      </c>
      <c r="K150" s="46"/>
      <c r="L150" s="46" t="s">
        <v>333</v>
      </c>
      <c r="M150" s="46"/>
      <c r="N150" s="46" t="s">
        <v>1824</v>
      </c>
      <c r="O150" s="45"/>
      <c r="P150" s="45" t="s">
        <v>665</v>
      </c>
      <c r="Q150" s="45"/>
    </row>
    <row r="151" spans="1:17" x14ac:dyDescent="0.3">
      <c r="A151" s="7" t="s">
        <v>1912</v>
      </c>
      <c r="B151" s="7">
        <v>433619</v>
      </c>
      <c r="C151" s="7" t="s">
        <v>1970</v>
      </c>
      <c r="D151" s="7" t="s">
        <v>1921</v>
      </c>
      <c r="E151" s="7" t="s">
        <v>746</v>
      </c>
      <c r="F151" s="7" t="s">
        <v>1915</v>
      </c>
      <c r="G151" s="7" t="s">
        <v>507</v>
      </c>
      <c r="H151" s="36" t="s">
        <v>1916</v>
      </c>
      <c r="I151" s="36" t="s">
        <v>1826</v>
      </c>
      <c r="J151" s="36">
        <v>44732</v>
      </c>
      <c r="K151" s="46"/>
      <c r="L151" s="46" t="s">
        <v>549</v>
      </c>
      <c r="M151" s="46"/>
      <c r="N151" s="46" t="s">
        <v>1824</v>
      </c>
      <c r="O151" s="45"/>
      <c r="P151" s="45" t="s">
        <v>665</v>
      </c>
      <c r="Q151" s="45"/>
    </row>
    <row r="152" spans="1:17" x14ac:dyDescent="0.3">
      <c r="A152" s="7" t="s">
        <v>755</v>
      </c>
      <c r="B152" s="7">
        <v>433616</v>
      </c>
      <c r="C152" s="7" t="s">
        <v>2001</v>
      </c>
      <c r="D152" s="7" t="s">
        <v>1921</v>
      </c>
      <c r="E152" s="7" t="s">
        <v>746</v>
      </c>
      <c r="F152" s="7" t="s">
        <v>1915</v>
      </c>
      <c r="G152" s="7" t="s">
        <v>394</v>
      </c>
      <c r="H152" s="36" t="s">
        <v>1916</v>
      </c>
      <c r="I152" s="36" t="s">
        <v>1826</v>
      </c>
      <c r="J152" s="36">
        <v>44732</v>
      </c>
      <c r="K152" s="46"/>
      <c r="L152" s="46" t="s">
        <v>47</v>
      </c>
      <c r="M152" s="46"/>
      <c r="N152" s="46" t="s">
        <v>1824</v>
      </c>
      <c r="O152" s="45"/>
      <c r="P152" s="45" t="s">
        <v>665</v>
      </c>
      <c r="Q152" s="45"/>
    </row>
    <row r="153" spans="1:17" x14ac:dyDescent="0.3">
      <c r="A153" s="7" t="s">
        <v>755</v>
      </c>
      <c r="B153" s="7">
        <v>433548</v>
      </c>
      <c r="C153" s="7" t="s">
        <v>2002</v>
      </c>
      <c r="D153" s="7" t="s">
        <v>1921</v>
      </c>
      <c r="E153" s="7" t="s">
        <v>746</v>
      </c>
      <c r="F153" s="7" t="s">
        <v>1915</v>
      </c>
      <c r="G153" s="7" t="s">
        <v>231</v>
      </c>
      <c r="H153" s="36" t="s">
        <v>1916</v>
      </c>
      <c r="I153" s="36" t="s">
        <v>1826</v>
      </c>
      <c r="J153" s="36">
        <v>44732</v>
      </c>
      <c r="K153" s="46"/>
      <c r="L153" s="46" t="s">
        <v>285</v>
      </c>
      <c r="M153" s="46"/>
      <c r="N153" s="46" t="s">
        <v>1824</v>
      </c>
      <c r="O153" s="45"/>
      <c r="P153" s="45" t="s">
        <v>665</v>
      </c>
      <c r="Q153" s="45"/>
    </row>
    <row r="154" spans="1:17" x14ac:dyDescent="0.3">
      <c r="A154" s="7" t="s">
        <v>1912</v>
      </c>
      <c r="B154" s="7" t="s">
        <v>716</v>
      </c>
      <c r="C154" s="7" t="s">
        <v>2003</v>
      </c>
      <c r="D154" s="7" t="s">
        <v>1921</v>
      </c>
      <c r="E154" s="7" t="s">
        <v>682</v>
      </c>
      <c r="F154" s="7" t="s">
        <v>1929</v>
      </c>
      <c r="G154" s="7" t="s">
        <v>622</v>
      </c>
      <c r="H154" s="36" t="s">
        <v>1926</v>
      </c>
      <c r="I154" s="36" t="s">
        <v>1826</v>
      </c>
      <c r="J154" s="36">
        <v>44733</v>
      </c>
      <c r="K154" s="46"/>
      <c r="L154" s="46" t="s">
        <v>447</v>
      </c>
      <c r="M154" s="46"/>
      <c r="N154" s="46" t="s">
        <v>1824</v>
      </c>
      <c r="O154" s="45"/>
      <c r="P154" s="45" t="s">
        <v>665</v>
      </c>
      <c r="Q154" s="45"/>
    </row>
    <row r="155" spans="1:17" x14ac:dyDescent="0.3">
      <c r="A155" s="7" t="s">
        <v>1912</v>
      </c>
      <c r="B155" s="7">
        <v>433613</v>
      </c>
      <c r="C155" s="7" t="s">
        <v>1970</v>
      </c>
      <c r="D155" s="7" t="s">
        <v>1950</v>
      </c>
      <c r="E155" s="7" t="s">
        <v>746</v>
      </c>
      <c r="F155" s="7" t="s">
        <v>1915</v>
      </c>
      <c r="G155" s="7" t="s">
        <v>560</v>
      </c>
      <c r="H155" s="36" t="s">
        <v>1916</v>
      </c>
      <c r="I155" s="36" t="s">
        <v>1826</v>
      </c>
      <c r="J155" s="36">
        <v>44734</v>
      </c>
      <c r="K155" s="46"/>
      <c r="L155" s="46" t="s">
        <v>411</v>
      </c>
      <c r="M155" s="46"/>
      <c r="N155" s="46" t="s">
        <v>1824</v>
      </c>
      <c r="O155" s="45"/>
      <c r="P155" s="45" t="s">
        <v>665</v>
      </c>
      <c r="Q155" s="45"/>
    </row>
    <row r="156" spans="1:17" x14ac:dyDescent="0.3">
      <c r="A156" s="7" t="s">
        <v>1912</v>
      </c>
      <c r="B156" s="7">
        <v>433650</v>
      </c>
      <c r="C156" s="7" t="s">
        <v>1980</v>
      </c>
      <c r="D156" s="7" t="s">
        <v>1950</v>
      </c>
      <c r="E156" s="7" t="s">
        <v>746</v>
      </c>
      <c r="F156" s="7" t="s">
        <v>1915</v>
      </c>
      <c r="G156" s="7" t="s">
        <v>493</v>
      </c>
      <c r="H156" s="36" t="s">
        <v>1916</v>
      </c>
      <c r="I156" s="36" t="s">
        <v>1826</v>
      </c>
      <c r="J156" s="36">
        <v>44734</v>
      </c>
      <c r="K156" s="46"/>
      <c r="L156" s="46" t="s">
        <v>411</v>
      </c>
      <c r="M156" s="46"/>
      <c r="N156" s="46" t="s">
        <v>1824</v>
      </c>
      <c r="O156" s="45"/>
      <c r="P156" s="45" t="s">
        <v>665</v>
      </c>
      <c r="Q156" s="45"/>
    </row>
    <row r="157" spans="1:17" x14ac:dyDescent="0.3">
      <c r="A157" s="7" t="s">
        <v>1912</v>
      </c>
      <c r="B157" s="7">
        <v>433573</v>
      </c>
      <c r="C157" s="7" t="s">
        <v>2004</v>
      </c>
      <c r="D157" s="7" t="s">
        <v>1914</v>
      </c>
      <c r="E157" s="7" t="s">
        <v>746</v>
      </c>
      <c r="F157" s="7" t="s">
        <v>1915</v>
      </c>
      <c r="G157" s="7" t="s">
        <v>388</v>
      </c>
      <c r="H157" s="36" t="s">
        <v>1916</v>
      </c>
      <c r="I157" s="36" t="s">
        <v>1826</v>
      </c>
      <c r="J157" s="36">
        <v>44734</v>
      </c>
      <c r="K157" s="46"/>
      <c r="L157" s="46" t="s">
        <v>549</v>
      </c>
      <c r="M157" s="46"/>
      <c r="N157" s="46" t="s">
        <v>1824</v>
      </c>
      <c r="O157" s="45"/>
      <c r="P157" s="45" t="s">
        <v>665</v>
      </c>
      <c r="Q157" s="45"/>
    </row>
    <row r="158" spans="1:17" x14ac:dyDescent="0.3">
      <c r="A158" s="7" t="s">
        <v>755</v>
      </c>
      <c r="B158" s="7">
        <v>433618</v>
      </c>
      <c r="C158" s="7" t="s">
        <v>1970</v>
      </c>
      <c r="D158" s="7" t="s">
        <v>1921</v>
      </c>
      <c r="E158" s="7" t="s">
        <v>746</v>
      </c>
      <c r="F158" s="7" t="s">
        <v>1915</v>
      </c>
      <c r="G158" s="7" t="s">
        <v>436</v>
      </c>
      <c r="H158" s="36" t="s">
        <v>1916</v>
      </c>
      <c r="I158" s="36" t="s">
        <v>1826</v>
      </c>
      <c r="J158" s="36">
        <v>44743</v>
      </c>
      <c r="K158" s="46"/>
      <c r="L158" s="46" t="s">
        <v>293</v>
      </c>
      <c r="M158" s="46"/>
      <c r="N158" s="46" t="s">
        <v>1824</v>
      </c>
      <c r="O158" s="45"/>
      <c r="P158" s="45" t="s">
        <v>665</v>
      </c>
      <c r="Q158" s="45"/>
    </row>
    <row r="159" spans="1:17" x14ac:dyDescent="0.3">
      <c r="A159" s="7" t="s">
        <v>755</v>
      </c>
      <c r="B159" s="7">
        <v>433627</v>
      </c>
      <c r="C159" s="7" t="s">
        <v>2425</v>
      </c>
      <c r="D159" s="7" t="s">
        <v>1950</v>
      </c>
      <c r="E159" s="7" t="s">
        <v>746</v>
      </c>
      <c r="F159" s="7" t="s">
        <v>1915</v>
      </c>
      <c r="G159" s="7" t="s">
        <v>555</v>
      </c>
      <c r="H159" s="36" t="s">
        <v>1926</v>
      </c>
      <c r="I159" s="36" t="s">
        <v>1826</v>
      </c>
      <c r="J159" s="36">
        <v>44746</v>
      </c>
      <c r="K159" s="46"/>
      <c r="L159" s="46" t="s">
        <v>293</v>
      </c>
      <c r="M159" s="46"/>
      <c r="N159" s="46" t="s">
        <v>1824</v>
      </c>
      <c r="O159" s="45"/>
      <c r="P159" s="45" t="s">
        <v>665</v>
      </c>
      <c r="Q159" s="45"/>
    </row>
    <row r="160" spans="1:17" x14ac:dyDescent="0.3">
      <c r="A160" s="7" t="s">
        <v>1912</v>
      </c>
      <c r="B160" s="7">
        <v>433595</v>
      </c>
      <c r="C160" s="7" t="s">
        <v>1977</v>
      </c>
      <c r="D160" s="7" t="s">
        <v>1921</v>
      </c>
      <c r="E160" s="7" t="s">
        <v>746</v>
      </c>
      <c r="F160" s="7" t="s">
        <v>1915</v>
      </c>
      <c r="G160" s="7" t="s">
        <v>339</v>
      </c>
      <c r="H160" s="36" t="s">
        <v>1926</v>
      </c>
      <c r="I160" s="36" t="s">
        <v>1826</v>
      </c>
      <c r="J160" s="36">
        <v>44746</v>
      </c>
      <c r="K160" s="46"/>
      <c r="L160" s="46" t="s">
        <v>258</v>
      </c>
      <c r="M160" s="46"/>
      <c r="N160" s="46" t="s">
        <v>1824</v>
      </c>
      <c r="O160" s="45"/>
      <c r="P160" s="45" t="s">
        <v>665</v>
      </c>
      <c r="Q160" s="45"/>
    </row>
    <row r="161" spans="1:17" x14ac:dyDescent="0.3">
      <c r="A161" s="7" t="s">
        <v>1658</v>
      </c>
      <c r="B161" s="7">
        <v>429540</v>
      </c>
      <c r="C161" s="7" t="s">
        <v>1932</v>
      </c>
      <c r="D161" s="7" t="s">
        <v>1921</v>
      </c>
      <c r="E161" s="7" t="s">
        <v>746</v>
      </c>
      <c r="F161" s="7" t="s">
        <v>1915</v>
      </c>
      <c r="G161" s="7" t="s">
        <v>94</v>
      </c>
      <c r="H161" s="36" t="s">
        <v>1926</v>
      </c>
      <c r="I161" s="36" t="s">
        <v>1826</v>
      </c>
      <c r="J161" s="36">
        <v>44746</v>
      </c>
      <c r="K161" s="46"/>
      <c r="L161" s="46" t="s">
        <v>213</v>
      </c>
      <c r="M161" s="46"/>
      <c r="N161" s="46" t="s">
        <v>1824</v>
      </c>
      <c r="O161" s="45"/>
      <c r="P161" s="45" t="s">
        <v>665</v>
      </c>
      <c r="Q161" s="45"/>
    </row>
    <row r="162" spans="1:17" x14ac:dyDescent="0.3">
      <c r="A162" s="7" t="s">
        <v>1912</v>
      </c>
      <c r="B162" s="7" t="s">
        <v>716</v>
      </c>
      <c r="C162" s="7" t="s">
        <v>1963</v>
      </c>
      <c r="D162" s="7" t="s">
        <v>1921</v>
      </c>
      <c r="E162" s="7" t="s">
        <v>682</v>
      </c>
      <c r="F162" s="7" t="s">
        <v>1929</v>
      </c>
      <c r="G162" s="7" t="s">
        <v>175</v>
      </c>
      <c r="H162" s="36" t="s">
        <v>1926</v>
      </c>
      <c r="I162" s="36" t="s">
        <v>1826</v>
      </c>
      <c r="J162" s="36">
        <v>44747</v>
      </c>
      <c r="K162" s="46"/>
      <c r="L162" s="46" t="s">
        <v>565</v>
      </c>
      <c r="M162" s="46"/>
      <c r="N162" s="46" t="s">
        <v>1824</v>
      </c>
      <c r="O162" s="45"/>
      <c r="P162" s="45" t="s">
        <v>665</v>
      </c>
      <c r="Q162" s="45"/>
    </row>
    <row r="163" spans="1:17" x14ac:dyDescent="0.3">
      <c r="A163" s="7" t="s">
        <v>1912</v>
      </c>
      <c r="B163" s="7">
        <v>433653</v>
      </c>
      <c r="C163" s="7" t="s">
        <v>2005</v>
      </c>
      <c r="D163" s="7" t="s">
        <v>1950</v>
      </c>
      <c r="E163" s="7" t="s">
        <v>746</v>
      </c>
      <c r="F163" s="7" t="s">
        <v>1915</v>
      </c>
      <c r="G163" s="7" t="s">
        <v>287</v>
      </c>
      <c r="H163" s="36" t="s">
        <v>1926</v>
      </c>
      <c r="I163" s="36" t="s">
        <v>1826</v>
      </c>
      <c r="J163" s="36">
        <v>44753</v>
      </c>
      <c r="K163" s="46"/>
      <c r="L163" s="46" t="s">
        <v>411</v>
      </c>
      <c r="M163" s="46"/>
      <c r="N163" s="46" t="s">
        <v>1824</v>
      </c>
      <c r="O163" s="45"/>
      <c r="P163" s="45" t="s">
        <v>665</v>
      </c>
      <c r="Q163" s="45"/>
    </row>
    <row r="164" spans="1:17" x14ac:dyDescent="0.3">
      <c r="A164" s="7" t="s">
        <v>1658</v>
      </c>
      <c r="B164" s="7">
        <v>442873</v>
      </c>
      <c r="C164" s="7" t="s">
        <v>2426</v>
      </c>
      <c r="D164" s="7" t="s">
        <v>1914</v>
      </c>
      <c r="E164" s="7" t="s">
        <v>746</v>
      </c>
      <c r="F164" s="7" t="s">
        <v>1919</v>
      </c>
      <c r="G164" s="7" t="s">
        <v>246</v>
      </c>
      <c r="H164" s="36" t="s">
        <v>1926</v>
      </c>
      <c r="I164" s="36" t="s">
        <v>1826</v>
      </c>
      <c r="J164" s="36">
        <v>44757</v>
      </c>
      <c r="K164" s="46"/>
      <c r="L164" s="46" t="s">
        <v>300</v>
      </c>
      <c r="M164" s="46"/>
      <c r="N164" s="46" t="s">
        <v>1824</v>
      </c>
      <c r="O164" s="45"/>
      <c r="P164" s="45" t="s">
        <v>665</v>
      </c>
      <c r="Q164" s="45"/>
    </row>
    <row r="165" spans="1:17" x14ac:dyDescent="0.3">
      <c r="A165" s="7" t="s">
        <v>1912</v>
      </c>
      <c r="B165" s="7">
        <v>431395</v>
      </c>
      <c r="C165" s="7" t="s">
        <v>2006</v>
      </c>
      <c r="D165" s="7" t="s">
        <v>1921</v>
      </c>
      <c r="E165" s="7" t="s">
        <v>746</v>
      </c>
      <c r="F165" s="7" t="s">
        <v>1919</v>
      </c>
      <c r="G165" s="7" t="s">
        <v>136</v>
      </c>
      <c r="H165" s="36" t="s">
        <v>1916</v>
      </c>
      <c r="I165" s="36" t="s">
        <v>1826</v>
      </c>
      <c r="J165" s="36">
        <v>44762</v>
      </c>
      <c r="K165" s="46"/>
      <c r="L165" s="46" t="s">
        <v>267</v>
      </c>
      <c r="M165" s="46"/>
      <c r="N165" s="46" t="s">
        <v>1824</v>
      </c>
      <c r="O165" s="45"/>
      <c r="P165" s="45" t="s">
        <v>665</v>
      </c>
      <c r="Q165" s="45"/>
    </row>
    <row r="166" spans="1:17" x14ac:dyDescent="0.3">
      <c r="A166" s="7" t="s">
        <v>1658</v>
      </c>
      <c r="B166" s="7">
        <v>441401</v>
      </c>
      <c r="C166" s="7" t="s">
        <v>2007</v>
      </c>
      <c r="D166" s="7" t="s">
        <v>1914</v>
      </c>
      <c r="E166" s="7" t="s">
        <v>682</v>
      </c>
      <c r="F166" s="7" t="s">
        <v>1929</v>
      </c>
      <c r="G166" s="7" t="s">
        <v>41</v>
      </c>
      <c r="H166" s="36" t="s">
        <v>1916</v>
      </c>
      <c r="I166" s="36" t="s">
        <v>1826</v>
      </c>
      <c r="J166" s="36">
        <v>44768</v>
      </c>
      <c r="K166" s="46"/>
      <c r="L166" s="46" t="s">
        <v>217</v>
      </c>
      <c r="M166" s="46"/>
      <c r="N166" s="46" t="s">
        <v>1824</v>
      </c>
      <c r="O166" s="45"/>
      <c r="P166" s="45" t="s">
        <v>665</v>
      </c>
      <c r="Q166" s="45"/>
    </row>
    <row r="167" spans="1:17" x14ac:dyDescent="0.3">
      <c r="A167" s="7" t="s">
        <v>755</v>
      </c>
      <c r="B167" s="7">
        <v>433624</v>
      </c>
      <c r="C167" s="7" t="s">
        <v>1967</v>
      </c>
      <c r="D167" s="7" t="s">
        <v>1921</v>
      </c>
      <c r="E167" s="7" t="s">
        <v>746</v>
      </c>
      <c r="F167" s="7" t="s">
        <v>1915</v>
      </c>
      <c r="G167" s="7" t="s">
        <v>379</v>
      </c>
      <c r="H167" s="36" t="s">
        <v>1916</v>
      </c>
      <c r="I167" s="36" t="s">
        <v>1826</v>
      </c>
      <c r="J167" s="36">
        <v>44774</v>
      </c>
      <c r="K167" s="46"/>
      <c r="L167" s="46" t="s">
        <v>293</v>
      </c>
      <c r="M167" s="46"/>
      <c r="N167" s="46" t="s">
        <v>1824</v>
      </c>
      <c r="O167" s="45"/>
      <c r="P167" s="45" t="s">
        <v>665</v>
      </c>
      <c r="Q167" s="45"/>
    </row>
    <row r="168" spans="1:17" x14ac:dyDescent="0.3">
      <c r="A168" s="7" t="s">
        <v>1658</v>
      </c>
      <c r="B168" s="7">
        <v>434576</v>
      </c>
      <c r="C168" s="7" t="s">
        <v>2008</v>
      </c>
      <c r="D168" s="7" t="s">
        <v>1914</v>
      </c>
      <c r="E168" s="7" t="s">
        <v>746</v>
      </c>
      <c r="F168" s="7" t="s">
        <v>1915</v>
      </c>
      <c r="G168" s="7" t="s">
        <v>286</v>
      </c>
      <c r="H168" s="36" t="s">
        <v>1916</v>
      </c>
      <c r="I168" s="36" t="s">
        <v>1826</v>
      </c>
      <c r="J168" s="36">
        <v>44774</v>
      </c>
      <c r="K168" s="46"/>
      <c r="L168" s="46" t="s">
        <v>544</v>
      </c>
      <c r="M168" s="46"/>
      <c r="N168" s="46" t="s">
        <v>1824</v>
      </c>
      <c r="O168" s="45"/>
      <c r="P168" s="45" t="s">
        <v>665</v>
      </c>
      <c r="Q168" s="45"/>
    </row>
    <row r="169" spans="1:17" x14ac:dyDescent="0.3">
      <c r="A169" s="7" t="s">
        <v>1912</v>
      </c>
      <c r="B169" s="7">
        <v>422127</v>
      </c>
      <c r="C169" s="7" t="s">
        <v>1954</v>
      </c>
      <c r="D169" s="7" t="s">
        <v>1914</v>
      </c>
      <c r="E169" s="7" t="s">
        <v>746</v>
      </c>
      <c r="F169" s="7" t="s">
        <v>1919</v>
      </c>
      <c r="G169" s="7" t="s">
        <v>46</v>
      </c>
      <c r="H169" s="36" t="s">
        <v>1916</v>
      </c>
      <c r="I169" s="36" t="s">
        <v>1826</v>
      </c>
      <c r="J169" s="36">
        <v>44774</v>
      </c>
      <c r="K169" s="46"/>
      <c r="L169" s="46" t="s">
        <v>142</v>
      </c>
      <c r="M169" s="46"/>
      <c r="N169" s="46" t="s">
        <v>1824</v>
      </c>
      <c r="O169" s="45"/>
      <c r="P169" s="45" t="s">
        <v>665</v>
      </c>
      <c r="Q169" s="45"/>
    </row>
    <row r="170" spans="1:17" x14ac:dyDescent="0.3">
      <c r="A170" s="7" t="s">
        <v>1912</v>
      </c>
      <c r="B170" s="7">
        <v>467929</v>
      </c>
      <c r="C170" s="7" t="s">
        <v>2009</v>
      </c>
      <c r="D170" s="7" t="s">
        <v>1921</v>
      </c>
      <c r="E170" s="7" t="s">
        <v>682</v>
      </c>
      <c r="F170" s="7" t="s">
        <v>1929</v>
      </c>
      <c r="G170" s="7" t="s">
        <v>237</v>
      </c>
      <c r="H170" s="36" t="s">
        <v>1916</v>
      </c>
      <c r="I170" s="36" t="s">
        <v>1826</v>
      </c>
      <c r="J170" s="36">
        <v>44775</v>
      </c>
      <c r="K170" s="46"/>
      <c r="L170" s="46" t="s">
        <v>565</v>
      </c>
      <c r="M170" s="46"/>
      <c r="N170" s="46" t="s">
        <v>1824</v>
      </c>
      <c r="O170" s="45"/>
      <c r="P170" s="45" t="s">
        <v>665</v>
      </c>
      <c r="Q170" s="45"/>
    </row>
    <row r="171" spans="1:17" x14ac:dyDescent="0.3">
      <c r="A171" s="7" t="s">
        <v>1912</v>
      </c>
      <c r="B171" s="7">
        <v>433569</v>
      </c>
      <c r="C171" s="7" t="s">
        <v>1989</v>
      </c>
      <c r="D171" s="7" t="s">
        <v>1921</v>
      </c>
      <c r="E171" s="7" t="s">
        <v>746</v>
      </c>
      <c r="F171" s="7" t="s">
        <v>1915</v>
      </c>
      <c r="G171" s="7" t="s">
        <v>478</v>
      </c>
      <c r="H171" s="36" t="s">
        <v>1916</v>
      </c>
      <c r="I171" s="36" t="s">
        <v>1826</v>
      </c>
      <c r="J171" s="36">
        <v>44776</v>
      </c>
      <c r="K171" s="46"/>
      <c r="L171" s="46" t="s">
        <v>550</v>
      </c>
      <c r="M171" s="46"/>
      <c r="N171" s="46" t="s">
        <v>1824</v>
      </c>
      <c r="O171" s="45"/>
      <c r="P171" s="45" t="s">
        <v>665</v>
      </c>
      <c r="Q171" s="45"/>
    </row>
    <row r="172" spans="1:17" x14ac:dyDescent="0.3">
      <c r="A172" s="7" t="s">
        <v>755</v>
      </c>
      <c r="B172" s="7">
        <v>433681</v>
      </c>
      <c r="C172" s="7" t="s">
        <v>2010</v>
      </c>
      <c r="D172" s="7" t="s">
        <v>1950</v>
      </c>
      <c r="E172" s="7" t="s">
        <v>746</v>
      </c>
      <c r="F172" s="7" t="s">
        <v>1915</v>
      </c>
      <c r="G172" s="7" t="s">
        <v>593</v>
      </c>
      <c r="H172" s="36" t="s">
        <v>1916</v>
      </c>
      <c r="I172" s="36" t="s">
        <v>1826</v>
      </c>
      <c r="J172" s="36">
        <v>44789</v>
      </c>
      <c r="K172" s="46"/>
      <c r="L172" s="46" t="s">
        <v>293</v>
      </c>
      <c r="M172" s="46"/>
      <c r="N172" s="46" t="s">
        <v>1824</v>
      </c>
      <c r="O172" s="45"/>
      <c r="P172" s="45" t="s">
        <v>665</v>
      </c>
      <c r="Q172" s="45"/>
    </row>
    <row r="173" spans="1:17" x14ac:dyDescent="0.3">
      <c r="A173" s="7" t="s">
        <v>1912</v>
      </c>
      <c r="B173" s="7">
        <v>433575</v>
      </c>
      <c r="C173" s="7" t="s">
        <v>1958</v>
      </c>
      <c r="D173" s="7" t="s">
        <v>1923</v>
      </c>
      <c r="E173" s="7" t="s">
        <v>746</v>
      </c>
      <c r="F173" s="7" t="s">
        <v>1915</v>
      </c>
      <c r="G173" s="7" t="s">
        <v>584</v>
      </c>
      <c r="H173" s="36" t="s">
        <v>1916</v>
      </c>
      <c r="I173" s="36" t="s">
        <v>1826</v>
      </c>
      <c r="J173" s="36">
        <v>44789</v>
      </c>
      <c r="K173" s="46"/>
      <c r="L173" s="46" t="s">
        <v>154</v>
      </c>
      <c r="M173" s="46"/>
      <c r="N173" s="46" t="s">
        <v>1824</v>
      </c>
      <c r="O173" s="45"/>
      <c r="P173" s="45" t="s">
        <v>665</v>
      </c>
      <c r="Q173" s="45"/>
    </row>
    <row r="174" spans="1:17" x14ac:dyDescent="0.3">
      <c r="A174" s="7" t="s">
        <v>1658</v>
      </c>
      <c r="B174" s="7">
        <v>433673</v>
      </c>
      <c r="C174" s="7" t="s">
        <v>2098</v>
      </c>
      <c r="D174" s="7" t="s">
        <v>1950</v>
      </c>
      <c r="E174" s="7" t="s">
        <v>746</v>
      </c>
      <c r="F174" s="7" t="s">
        <v>1915</v>
      </c>
      <c r="G174" s="7" t="s">
        <v>580</v>
      </c>
      <c r="H174" s="36" t="s">
        <v>1926</v>
      </c>
      <c r="I174" s="36" t="s">
        <v>1826</v>
      </c>
      <c r="J174" s="36">
        <v>44789</v>
      </c>
      <c r="K174" s="46"/>
      <c r="L174" s="46" t="s">
        <v>639</v>
      </c>
      <c r="M174" s="46"/>
      <c r="N174" s="46" t="s">
        <v>1824</v>
      </c>
      <c r="O174" s="45"/>
      <c r="P174" s="45" t="s">
        <v>665</v>
      </c>
      <c r="Q174" s="45"/>
    </row>
    <row r="175" spans="1:17" x14ac:dyDescent="0.3">
      <c r="A175" s="7" t="s">
        <v>1912</v>
      </c>
      <c r="B175" s="7">
        <v>433657</v>
      </c>
      <c r="C175" s="7" t="s">
        <v>1989</v>
      </c>
      <c r="D175" s="7" t="s">
        <v>1950</v>
      </c>
      <c r="E175" s="7" t="s">
        <v>746</v>
      </c>
      <c r="F175" s="7" t="s">
        <v>1915</v>
      </c>
      <c r="G175" s="7" t="s">
        <v>575</v>
      </c>
      <c r="H175" s="36" t="s">
        <v>1926</v>
      </c>
      <c r="I175" s="36" t="s">
        <v>1826</v>
      </c>
      <c r="J175" s="36">
        <v>44789</v>
      </c>
      <c r="K175" s="46"/>
      <c r="L175" s="46" t="s">
        <v>188</v>
      </c>
      <c r="M175" s="46"/>
      <c r="N175" s="46" t="s">
        <v>1824</v>
      </c>
      <c r="O175" s="45"/>
      <c r="P175" s="45" t="s">
        <v>665</v>
      </c>
      <c r="Q175" s="45"/>
    </row>
    <row r="176" spans="1:17" x14ac:dyDescent="0.3">
      <c r="A176" s="7" t="s">
        <v>755</v>
      </c>
      <c r="B176" s="7">
        <v>433687</v>
      </c>
      <c r="C176" s="7" t="s">
        <v>2427</v>
      </c>
      <c r="D176" s="7" t="s">
        <v>1921</v>
      </c>
      <c r="E176" s="7" t="s">
        <v>746</v>
      </c>
      <c r="F176" s="7" t="s">
        <v>1915</v>
      </c>
      <c r="G176" s="7" t="s">
        <v>568</v>
      </c>
      <c r="H176" s="36" t="s">
        <v>1926</v>
      </c>
      <c r="I176" s="36" t="s">
        <v>1826</v>
      </c>
      <c r="J176" s="36">
        <v>44789</v>
      </c>
      <c r="K176" s="46"/>
      <c r="L176" s="46" t="s">
        <v>293</v>
      </c>
      <c r="M176" s="46"/>
      <c r="N176" s="46" t="s">
        <v>1824</v>
      </c>
      <c r="O176" s="45"/>
      <c r="P176" s="45" t="s">
        <v>665</v>
      </c>
      <c r="Q176" s="45"/>
    </row>
    <row r="177" spans="1:17" x14ac:dyDescent="0.3">
      <c r="A177" s="7" t="s">
        <v>1658</v>
      </c>
      <c r="B177" s="7">
        <v>433625</v>
      </c>
      <c r="C177" s="7" t="s">
        <v>1951</v>
      </c>
      <c r="D177" s="7" t="s">
        <v>1921</v>
      </c>
      <c r="E177" s="7" t="s">
        <v>746</v>
      </c>
      <c r="F177" s="7" t="s">
        <v>1915</v>
      </c>
      <c r="G177" s="7" t="s">
        <v>497</v>
      </c>
      <c r="H177" s="36" t="s">
        <v>1926</v>
      </c>
      <c r="I177" s="36" t="s">
        <v>1826</v>
      </c>
      <c r="J177" s="36">
        <v>44789</v>
      </c>
      <c r="K177" s="46"/>
      <c r="L177" s="46" t="s">
        <v>155</v>
      </c>
      <c r="M177" s="46"/>
      <c r="N177" s="46" t="s">
        <v>1824</v>
      </c>
      <c r="O177" s="45"/>
      <c r="P177" s="45" t="s">
        <v>665</v>
      </c>
      <c r="Q177" s="45"/>
    </row>
    <row r="178" spans="1:17" x14ac:dyDescent="0.3">
      <c r="A178" s="7" t="s">
        <v>1658</v>
      </c>
      <c r="B178" s="7">
        <v>433690</v>
      </c>
      <c r="C178" s="7" t="s">
        <v>2011</v>
      </c>
      <c r="D178" s="7" t="s">
        <v>1950</v>
      </c>
      <c r="E178" s="7" t="s">
        <v>746</v>
      </c>
      <c r="F178" s="7" t="s">
        <v>1915</v>
      </c>
      <c r="G178" s="7" t="s">
        <v>370</v>
      </c>
      <c r="H178" s="36" t="s">
        <v>1926</v>
      </c>
      <c r="I178" s="36" t="s">
        <v>1826</v>
      </c>
      <c r="J178" s="36">
        <v>44789</v>
      </c>
      <c r="K178" s="46"/>
      <c r="L178" s="46" t="s">
        <v>471</v>
      </c>
      <c r="M178" s="46"/>
      <c r="N178" s="46" t="s">
        <v>1824</v>
      </c>
      <c r="O178" s="45"/>
      <c r="P178" s="45" t="s">
        <v>665</v>
      </c>
      <c r="Q178" s="45"/>
    </row>
    <row r="179" spans="1:17" x14ac:dyDescent="0.3">
      <c r="A179" s="7" t="s">
        <v>1912</v>
      </c>
      <c r="B179" s="7">
        <v>433669</v>
      </c>
      <c r="C179" s="7" t="s">
        <v>2012</v>
      </c>
      <c r="D179" s="7" t="s">
        <v>1950</v>
      </c>
      <c r="E179" s="7" t="s">
        <v>746</v>
      </c>
      <c r="F179" s="7" t="s">
        <v>1915</v>
      </c>
      <c r="G179" s="7" t="s">
        <v>162</v>
      </c>
      <c r="H179" s="36" t="s">
        <v>1926</v>
      </c>
      <c r="I179" s="36" t="s">
        <v>1826</v>
      </c>
      <c r="J179" s="36">
        <v>44789</v>
      </c>
      <c r="K179" s="46"/>
      <c r="L179" s="46" t="s">
        <v>188</v>
      </c>
      <c r="M179" s="46"/>
      <c r="N179" s="46" t="s">
        <v>1824</v>
      </c>
      <c r="O179" s="45"/>
      <c r="P179" s="45" t="s">
        <v>665</v>
      </c>
      <c r="Q179" s="45"/>
    </row>
    <row r="180" spans="1:17" x14ac:dyDescent="0.3">
      <c r="A180" s="7" t="s">
        <v>1912</v>
      </c>
      <c r="B180" s="7">
        <v>433671</v>
      </c>
      <c r="C180" s="7" t="s">
        <v>2013</v>
      </c>
      <c r="D180" s="7" t="s">
        <v>1950</v>
      </c>
      <c r="E180" s="7" t="s">
        <v>746</v>
      </c>
      <c r="F180" s="7" t="s">
        <v>1915</v>
      </c>
      <c r="G180" s="7" t="s">
        <v>114</v>
      </c>
      <c r="H180" s="36" t="s">
        <v>1926</v>
      </c>
      <c r="I180" s="36" t="s">
        <v>1826</v>
      </c>
      <c r="J180" s="36">
        <v>44789</v>
      </c>
      <c r="K180" s="46"/>
      <c r="L180" s="46" t="s">
        <v>188</v>
      </c>
      <c r="M180" s="46"/>
      <c r="N180" s="46" t="s">
        <v>1824</v>
      </c>
      <c r="O180" s="45"/>
      <c r="P180" s="45" t="s">
        <v>665</v>
      </c>
      <c r="Q180" s="45"/>
    </row>
    <row r="181" spans="1:17" x14ac:dyDescent="0.3">
      <c r="A181" s="7" t="s">
        <v>755</v>
      </c>
      <c r="B181" s="7">
        <v>433691</v>
      </c>
      <c r="C181" s="7" t="s">
        <v>2014</v>
      </c>
      <c r="D181" s="7" t="s">
        <v>1950</v>
      </c>
      <c r="E181" s="7" t="s">
        <v>746</v>
      </c>
      <c r="F181" s="7" t="s">
        <v>1915</v>
      </c>
      <c r="G181" s="7" t="s">
        <v>40</v>
      </c>
      <c r="H181" s="36" t="s">
        <v>1916</v>
      </c>
      <c r="I181" s="36" t="s">
        <v>1826</v>
      </c>
      <c r="J181" s="36">
        <v>44791</v>
      </c>
      <c r="K181" s="46"/>
      <c r="L181" s="46" t="s">
        <v>47</v>
      </c>
      <c r="M181" s="46"/>
      <c r="N181" s="46" t="s">
        <v>1824</v>
      </c>
      <c r="O181" s="45"/>
      <c r="P181" s="45" t="s">
        <v>665</v>
      </c>
      <c r="Q181" s="45"/>
    </row>
    <row r="182" spans="1:17" x14ac:dyDescent="0.3">
      <c r="A182" s="7" t="s">
        <v>1912</v>
      </c>
      <c r="B182" s="7">
        <v>452380</v>
      </c>
      <c r="C182" s="7" t="s">
        <v>2015</v>
      </c>
      <c r="D182" s="7" t="s">
        <v>1950</v>
      </c>
      <c r="E182" s="7" t="s">
        <v>746</v>
      </c>
      <c r="F182" s="7" t="s">
        <v>1915</v>
      </c>
      <c r="G182" s="7" t="s">
        <v>551</v>
      </c>
      <c r="H182" s="36" t="s">
        <v>1916</v>
      </c>
      <c r="I182" s="36" t="s">
        <v>1826</v>
      </c>
      <c r="J182" s="36">
        <v>44790</v>
      </c>
      <c r="K182" s="46"/>
      <c r="L182" s="46" t="s">
        <v>278</v>
      </c>
      <c r="M182" s="46"/>
      <c r="N182" s="46" t="s">
        <v>1824</v>
      </c>
      <c r="O182" s="45"/>
      <c r="P182" s="45" t="s">
        <v>665</v>
      </c>
      <c r="Q182" s="45"/>
    </row>
    <row r="183" spans="1:17" x14ac:dyDescent="0.3">
      <c r="A183" s="7" t="s">
        <v>1912</v>
      </c>
      <c r="B183" s="7">
        <v>433502</v>
      </c>
      <c r="C183" s="7" t="s">
        <v>1988</v>
      </c>
      <c r="D183" s="7" t="s">
        <v>1914</v>
      </c>
      <c r="E183" s="7" t="s">
        <v>746</v>
      </c>
      <c r="F183" s="7" t="s">
        <v>1915</v>
      </c>
      <c r="G183" s="7" t="s">
        <v>49</v>
      </c>
      <c r="H183" s="36" t="s">
        <v>1916</v>
      </c>
      <c r="I183" s="36" t="s">
        <v>1826</v>
      </c>
      <c r="J183" s="36">
        <v>44790</v>
      </c>
      <c r="K183" s="46"/>
      <c r="L183" s="46" t="s">
        <v>549</v>
      </c>
      <c r="M183" s="46"/>
      <c r="N183" s="46" t="s">
        <v>1824</v>
      </c>
      <c r="O183" s="45"/>
      <c r="P183" s="45" t="s">
        <v>665</v>
      </c>
      <c r="Q183" s="45"/>
    </row>
    <row r="184" spans="1:17" x14ac:dyDescent="0.3">
      <c r="A184" s="7" t="s">
        <v>755</v>
      </c>
      <c r="B184" s="7">
        <v>433630</v>
      </c>
      <c r="C184" s="7" t="s">
        <v>1993</v>
      </c>
      <c r="D184" s="7" t="s">
        <v>1921</v>
      </c>
      <c r="E184" s="7" t="s">
        <v>746</v>
      </c>
      <c r="F184" s="7" t="s">
        <v>1915</v>
      </c>
      <c r="G184" s="7" t="s">
        <v>58</v>
      </c>
      <c r="H184" s="36" t="s">
        <v>1926</v>
      </c>
      <c r="I184" s="36" t="s">
        <v>1826</v>
      </c>
      <c r="J184" s="36">
        <v>44790</v>
      </c>
      <c r="K184" s="46"/>
      <c r="L184" s="46" t="s">
        <v>293</v>
      </c>
      <c r="M184" s="46"/>
      <c r="N184" s="46" t="s">
        <v>1824</v>
      </c>
      <c r="O184" s="45"/>
      <c r="P184" s="45" t="s">
        <v>665</v>
      </c>
      <c r="Q184" s="45"/>
    </row>
    <row r="185" spans="1:17" x14ac:dyDescent="0.3">
      <c r="A185" s="7" t="s">
        <v>1658</v>
      </c>
      <c r="B185" s="7">
        <v>433562</v>
      </c>
      <c r="C185" s="7" t="s">
        <v>1948</v>
      </c>
      <c r="D185" s="7" t="s">
        <v>1914</v>
      </c>
      <c r="E185" s="7" t="s">
        <v>746</v>
      </c>
      <c r="F185" s="7" t="s">
        <v>1915</v>
      </c>
      <c r="G185" s="7" t="s">
        <v>283</v>
      </c>
      <c r="H185" s="36" t="s">
        <v>1916</v>
      </c>
      <c r="I185" s="36" t="s">
        <v>1826</v>
      </c>
      <c r="J185" s="36">
        <v>44791</v>
      </c>
      <c r="K185" s="46"/>
      <c r="L185" s="46" t="s">
        <v>155</v>
      </c>
      <c r="M185" s="46"/>
      <c r="N185" s="46" t="s">
        <v>1824</v>
      </c>
      <c r="O185" s="45"/>
      <c r="P185" s="45" t="s">
        <v>665</v>
      </c>
      <c r="Q185" s="45"/>
    </row>
    <row r="186" spans="1:17" x14ac:dyDescent="0.3">
      <c r="A186" s="7" t="s">
        <v>1912</v>
      </c>
      <c r="B186" s="7">
        <v>463810</v>
      </c>
      <c r="C186" s="7" t="s">
        <v>2016</v>
      </c>
      <c r="D186" s="7" t="s">
        <v>1950</v>
      </c>
      <c r="E186" s="7" t="s">
        <v>746</v>
      </c>
      <c r="F186" s="7" t="s">
        <v>1915</v>
      </c>
      <c r="G186" s="7" t="s">
        <v>520</v>
      </c>
      <c r="H186" s="36" t="s">
        <v>1916</v>
      </c>
      <c r="I186" s="36" t="s">
        <v>1826</v>
      </c>
      <c r="J186" s="36">
        <v>44809</v>
      </c>
      <c r="K186" s="46"/>
      <c r="L186" s="46" t="s">
        <v>278</v>
      </c>
      <c r="M186" s="46"/>
      <c r="N186" s="46" t="s">
        <v>1824</v>
      </c>
      <c r="O186" s="45"/>
      <c r="P186" s="45" t="s">
        <v>665</v>
      </c>
      <c r="Q186" s="45"/>
    </row>
    <row r="187" spans="1:17" x14ac:dyDescent="0.3">
      <c r="A187" s="7" t="s">
        <v>1912</v>
      </c>
      <c r="B187" s="7">
        <v>433615</v>
      </c>
      <c r="C187" s="7" t="s">
        <v>2017</v>
      </c>
      <c r="D187" s="7" t="s">
        <v>1950</v>
      </c>
      <c r="E187" s="7" t="s">
        <v>746</v>
      </c>
      <c r="F187" s="7" t="s">
        <v>1915</v>
      </c>
      <c r="G187" s="7" t="s">
        <v>77</v>
      </c>
      <c r="H187" s="36" t="s">
        <v>1916</v>
      </c>
      <c r="I187" s="36" t="s">
        <v>1826</v>
      </c>
      <c r="J187" s="36">
        <v>44809</v>
      </c>
      <c r="K187" s="46"/>
      <c r="L187" s="46" t="s">
        <v>188</v>
      </c>
      <c r="M187" s="46"/>
      <c r="N187" s="46" t="s">
        <v>1824</v>
      </c>
      <c r="O187" s="45"/>
      <c r="P187" s="45" t="s">
        <v>665</v>
      </c>
      <c r="Q187" s="45"/>
    </row>
    <row r="188" spans="1:17" x14ac:dyDescent="0.3">
      <c r="A188" s="7" t="s">
        <v>1912</v>
      </c>
      <c r="B188" s="7">
        <v>433536</v>
      </c>
      <c r="C188" s="7" t="s">
        <v>2018</v>
      </c>
      <c r="D188" s="7" t="s">
        <v>1921</v>
      </c>
      <c r="E188" s="7" t="s">
        <v>746</v>
      </c>
      <c r="F188" s="7" t="s">
        <v>1915</v>
      </c>
      <c r="G188" s="7" t="s">
        <v>316</v>
      </c>
      <c r="H188" s="36" t="s">
        <v>1916</v>
      </c>
      <c r="I188" s="36" t="s">
        <v>1826</v>
      </c>
      <c r="J188" s="36">
        <v>44816</v>
      </c>
      <c r="K188" s="46"/>
      <c r="L188" s="46" t="s">
        <v>87</v>
      </c>
      <c r="M188" s="46"/>
      <c r="N188" s="46" t="s">
        <v>1824</v>
      </c>
      <c r="O188" s="45"/>
      <c r="P188" s="45" t="s">
        <v>665</v>
      </c>
      <c r="Q188" s="45"/>
    </row>
    <row r="189" spans="1:17" x14ac:dyDescent="0.3">
      <c r="A189" s="7" t="s">
        <v>1912</v>
      </c>
      <c r="B189" s="7">
        <v>458326</v>
      </c>
      <c r="C189" s="7" t="s">
        <v>1928</v>
      </c>
      <c r="D189" s="7" t="s">
        <v>1921</v>
      </c>
      <c r="E189" s="7" t="s">
        <v>682</v>
      </c>
      <c r="F189" s="7" t="s">
        <v>1929</v>
      </c>
      <c r="G189" s="7" t="s">
        <v>614</v>
      </c>
      <c r="H189" s="36" t="s">
        <v>1916</v>
      </c>
      <c r="I189" s="36" t="s">
        <v>1826</v>
      </c>
      <c r="J189" s="36">
        <v>44817</v>
      </c>
      <c r="K189" s="46"/>
      <c r="L189" s="46" t="s">
        <v>447</v>
      </c>
      <c r="M189" s="46"/>
      <c r="N189" s="46" t="s">
        <v>1824</v>
      </c>
      <c r="O189" s="45"/>
      <c r="P189" s="45" t="s">
        <v>665</v>
      </c>
      <c r="Q189" s="45"/>
    </row>
    <row r="190" spans="1:17" x14ac:dyDescent="0.3">
      <c r="A190" s="7" t="s">
        <v>1912</v>
      </c>
      <c r="B190" s="7">
        <v>461842</v>
      </c>
      <c r="C190" s="7" t="s">
        <v>1946</v>
      </c>
      <c r="D190" s="7" t="s">
        <v>1921</v>
      </c>
      <c r="E190" s="7" t="s">
        <v>746</v>
      </c>
      <c r="F190" s="7" t="s">
        <v>1915</v>
      </c>
      <c r="G190" s="7" t="s">
        <v>494</v>
      </c>
      <c r="H190" s="36" t="s">
        <v>1916</v>
      </c>
      <c r="I190" s="36" t="s">
        <v>1826</v>
      </c>
      <c r="J190" s="36">
        <v>44823</v>
      </c>
      <c r="K190" s="46"/>
      <c r="L190" s="46" t="s">
        <v>123</v>
      </c>
      <c r="M190" s="46"/>
      <c r="N190" s="46" t="s">
        <v>1824</v>
      </c>
      <c r="O190" s="45"/>
      <c r="P190" s="45" t="s">
        <v>665</v>
      </c>
      <c r="Q190" s="45"/>
    </row>
    <row r="191" spans="1:17" x14ac:dyDescent="0.3">
      <c r="A191" s="7" t="s">
        <v>755</v>
      </c>
      <c r="B191" s="7">
        <v>433564</v>
      </c>
      <c r="C191" s="7" t="s">
        <v>2428</v>
      </c>
      <c r="D191" s="7" t="s">
        <v>1914</v>
      </c>
      <c r="E191" s="7" t="s">
        <v>746</v>
      </c>
      <c r="F191" s="7" t="s">
        <v>1915</v>
      </c>
      <c r="G191" s="7" t="s">
        <v>389</v>
      </c>
      <c r="H191" s="36" t="s">
        <v>1916</v>
      </c>
      <c r="I191" s="36" t="s">
        <v>1826</v>
      </c>
      <c r="J191" s="36">
        <v>44825</v>
      </c>
      <c r="K191" s="46"/>
      <c r="L191" s="46" t="s">
        <v>293</v>
      </c>
      <c r="M191" s="46"/>
      <c r="N191" s="46" t="s">
        <v>1824</v>
      </c>
      <c r="O191" s="45"/>
      <c r="P191" s="45" t="s">
        <v>665</v>
      </c>
      <c r="Q191" s="45"/>
    </row>
    <row r="192" spans="1:17" x14ac:dyDescent="0.3">
      <c r="A192" s="7" t="s">
        <v>1658</v>
      </c>
      <c r="B192" s="7">
        <v>433524</v>
      </c>
      <c r="C192" s="7" t="s">
        <v>1976</v>
      </c>
      <c r="D192" s="7" t="s">
        <v>1914</v>
      </c>
      <c r="E192" s="7" t="s">
        <v>746</v>
      </c>
      <c r="F192" s="7" t="s">
        <v>1915</v>
      </c>
      <c r="G192" s="7" t="s">
        <v>319</v>
      </c>
      <c r="H192" s="36" t="s">
        <v>1926</v>
      </c>
      <c r="I192" s="36" t="s">
        <v>1826</v>
      </c>
      <c r="J192" s="36">
        <v>44830</v>
      </c>
      <c r="K192" s="46"/>
      <c r="L192" s="46" t="s">
        <v>639</v>
      </c>
      <c r="M192" s="46"/>
      <c r="N192" s="46" t="s">
        <v>1824</v>
      </c>
      <c r="O192" s="45"/>
      <c r="P192" s="45" t="s">
        <v>665</v>
      </c>
      <c r="Q192" s="45"/>
    </row>
    <row r="193" spans="1:17" x14ac:dyDescent="0.3">
      <c r="A193" s="7" t="s">
        <v>1912</v>
      </c>
      <c r="B193" s="7">
        <v>458328</v>
      </c>
      <c r="C193" s="7" t="s">
        <v>1928</v>
      </c>
      <c r="D193" s="7" t="s">
        <v>1921</v>
      </c>
      <c r="E193" s="7" t="s">
        <v>682</v>
      </c>
      <c r="F193" s="7" t="s">
        <v>1929</v>
      </c>
      <c r="G193" s="7" t="s">
        <v>236</v>
      </c>
      <c r="H193" s="36" t="s">
        <v>1916</v>
      </c>
      <c r="I193" s="36" t="s">
        <v>1826</v>
      </c>
      <c r="J193" s="36">
        <v>44831</v>
      </c>
      <c r="K193" s="46"/>
      <c r="L193" s="46" t="s">
        <v>447</v>
      </c>
      <c r="M193" s="46"/>
      <c r="N193" s="46" t="s">
        <v>1824</v>
      </c>
      <c r="O193" s="45"/>
      <c r="P193" s="45" t="s">
        <v>665</v>
      </c>
      <c r="Q193" s="45"/>
    </row>
    <row r="194" spans="1:17" x14ac:dyDescent="0.3">
      <c r="A194" s="7" t="s">
        <v>1658</v>
      </c>
      <c r="B194" s="7">
        <v>433636</v>
      </c>
      <c r="C194" s="7" t="s">
        <v>2098</v>
      </c>
      <c r="D194" s="7" t="s">
        <v>1921</v>
      </c>
      <c r="E194" s="7" t="s">
        <v>746</v>
      </c>
      <c r="F194" s="7" t="s">
        <v>1915</v>
      </c>
      <c r="G194" s="7" t="s">
        <v>546</v>
      </c>
      <c r="H194" s="36" t="s">
        <v>1926</v>
      </c>
      <c r="I194" s="36" t="s">
        <v>1826</v>
      </c>
      <c r="J194" s="36">
        <v>44835</v>
      </c>
      <c r="K194" s="46"/>
      <c r="L194" s="46" t="s">
        <v>639</v>
      </c>
      <c r="M194" s="46"/>
      <c r="N194" s="46" t="s">
        <v>1824</v>
      </c>
      <c r="O194" s="45"/>
      <c r="P194" s="45" t="s">
        <v>665</v>
      </c>
      <c r="Q194" s="45"/>
    </row>
    <row r="195" spans="1:17" x14ac:dyDescent="0.3">
      <c r="A195" s="7" t="s">
        <v>1912</v>
      </c>
      <c r="B195" s="7">
        <v>433514</v>
      </c>
      <c r="C195" s="7" t="s">
        <v>2020</v>
      </c>
      <c r="D195" s="7" t="s">
        <v>1914</v>
      </c>
      <c r="E195" s="7" t="s">
        <v>746</v>
      </c>
      <c r="F195" s="7" t="s">
        <v>1915</v>
      </c>
      <c r="G195" s="7" t="s">
        <v>101</v>
      </c>
      <c r="H195" s="36" t="s">
        <v>1916</v>
      </c>
      <c r="I195" s="36" t="s">
        <v>1826</v>
      </c>
      <c r="J195" s="36">
        <v>44835</v>
      </c>
      <c r="K195" s="46"/>
      <c r="L195" s="46" t="s">
        <v>87</v>
      </c>
      <c r="M195" s="46"/>
      <c r="N195" s="46" t="s">
        <v>1824</v>
      </c>
      <c r="O195" s="45"/>
      <c r="P195" s="45" t="s">
        <v>665</v>
      </c>
      <c r="Q195" s="45"/>
    </row>
    <row r="196" spans="1:17" x14ac:dyDescent="0.3">
      <c r="A196" s="7" t="s">
        <v>755</v>
      </c>
      <c r="B196" s="7">
        <v>433628</v>
      </c>
      <c r="C196" s="7" t="s">
        <v>2429</v>
      </c>
      <c r="D196" s="7" t="s">
        <v>1950</v>
      </c>
      <c r="E196" s="7" t="s">
        <v>746</v>
      </c>
      <c r="F196" s="7" t="s">
        <v>1915</v>
      </c>
      <c r="G196" s="7" t="s">
        <v>595</v>
      </c>
      <c r="H196" s="36" t="s">
        <v>1916</v>
      </c>
      <c r="I196" s="36" t="s">
        <v>1826</v>
      </c>
      <c r="J196" s="36">
        <v>44837</v>
      </c>
      <c r="K196" s="46"/>
      <c r="L196" s="46" t="s">
        <v>293</v>
      </c>
      <c r="M196" s="46"/>
      <c r="N196" s="46" t="s">
        <v>1824</v>
      </c>
      <c r="O196" s="45"/>
      <c r="P196" s="45" t="s">
        <v>665</v>
      </c>
      <c r="Q196" s="45"/>
    </row>
    <row r="197" spans="1:17" x14ac:dyDescent="0.3">
      <c r="A197" s="7" t="s">
        <v>755</v>
      </c>
      <c r="B197" s="7">
        <v>433649</v>
      </c>
      <c r="C197" s="7" t="s">
        <v>2429</v>
      </c>
      <c r="D197" s="7" t="s">
        <v>1950</v>
      </c>
      <c r="E197" s="7" t="s">
        <v>746</v>
      </c>
      <c r="F197" s="7" t="s">
        <v>1915</v>
      </c>
      <c r="G197" s="7" t="s">
        <v>545</v>
      </c>
      <c r="H197" s="36" t="s">
        <v>1926</v>
      </c>
      <c r="I197" s="36" t="s">
        <v>1826</v>
      </c>
      <c r="J197" s="36">
        <v>44837</v>
      </c>
      <c r="K197" s="46"/>
      <c r="L197" s="46" t="s">
        <v>293</v>
      </c>
      <c r="M197" s="46"/>
      <c r="N197" s="46" t="s">
        <v>1824</v>
      </c>
      <c r="O197" s="45"/>
      <c r="P197" s="45" t="s">
        <v>665</v>
      </c>
      <c r="Q197" s="45"/>
    </row>
    <row r="198" spans="1:17" x14ac:dyDescent="0.3">
      <c r="A198" s="7" t="s">
        <v>755</v>
      </c>
      <c r="B198" s="7">
        <v>472942</v>
      </c>
      <c r="C198" s="7" t="s">
        <v>1932</v>
      </c>
      <c r="D198" s="7" t="s">
        <v>1921</v>
      </c>
      <c r="E198" s="7" t="s">
        <v>746</v>
      </c>
      <c r="F198" s="7" t="s">
        <v>1915</v>
      </c>
      <c r="G198" s="7" t="s">
        <v>571</v>
      </c>
      <c r="H198" s="36" t="s">
        <v>1916</v>
      </c>
      <c r="I198" s="36" t="s">
        <v>1826</v>
      </c>
      <c r="J198" s="36">
        <v>44851</v>
      </c>
      <c r="K198" s="46"/>
      <c r="L198" s="46" t="s">
        <v>34</v>
      </c>
      <c r="M198" s="46"/>
      <c r="N198" s="46" t="s">
        <v>1824</v>
      </c>
      <c r="O198" s="45"/>
      <c r="P198" s="45" t="s">
        <v>665</v>
      </c>
      <c r="Q198" s="45"/>
    </row>
    <row r="199" spans="1:17" x14ac:dyDescent="0.3">
      <c r="A199" s="7" t="s">
        <v>1912</v>
      </c>
      <c r="B199" s="7">
        <v>458329</v>
      </c>
      <c r="C199" s="7" t="s">
        <v>1928</v>
      </c>
      <c r="D199" s="7" t="s">
        <v>1921</v>
      </c>
      <c r="E199" s="7" t="s">
        <v>682</v>
      </c>
      <c r="F199" s="7" t="s">
        <v>1929</v>
      </c>
      <c r="G199" s="7" t="s">
        <v>621</v>
      </c>
      <c r="H199" s="36" t="s">
        <v>1926</v>
      </c>
      <c r="I199" s="36" t="s">
        <v>1826</v>
      </c>
      <c r="J199" s="36">
        <v>44852</v>
      </c>
      <c r="K199" s="46"/>
      <c r="L199" s="46" t="s">
        <v>447</v>
      </c>
      <c r="M199" s="46"/>
      <c r="N199" s="46" t="s">
        <v>1824</v>
      </c>
      <c r="O199" s="45"/>
      <c r="P199" s="45" t="s">
        <v>665</v>
      </c>
      <c r="Q199" s="45"/>
    </row>
    <row r="200" spans="1:17" x14ac:dyDescent="0.3">
      <c r="A200" s="7" t="s">
        <v>755</v>
      </c>
      <c r="B200" s="7">
        <v>433565</v>
      </c>
      <c r="C200" s="7" t="s">
        <v>2018</v>
      </c>
      <c r="D200" s="7" t="s">
        <v>1921</v>
      </c>
      <c r="E200" s="7" t="s">
        <v>746</v>
      </c>
      <c r="F200" s="7" t="s">
        <v>1915</v>
      </c>
      <c r="G200" s="7" t="s">
        <v>420</v>
      </c>
      <c r="H200" s="36" t="s">
        <v>1916</v>
      </c>
      <c r="I200" s="36" t="s">
        <v>1826</v>
      </c>
      <c r="J200" s="36">
        <v>44853</v>
      </c>
      <c r="K200" s="46"/>
      <c r="L200" s="46" t="s">
        <v>293</v>
      </c>
      <c r="M200" s="46"/>
      <c r="N200" s="46" t="s">
        <v>1824</v>
      </c>
      <c r="O200" s="45"/>
      <c r="P200" s="45" t="s">
        <v>665</v>
      </c>
      <c r="Q200" s="45"/>
    </row>
    <row r="201" spans="1:17" x14ac:dyDescent="0.3">
      <c r="A201" s="7" t="s">
        <v>1912</v>
      </c>
      <c r="B201" s="7">
        <v>433563</v>
      </c>
      <c r="C201" s="7" t="s">
        <v>2019</v>
      </c>
      <c r="D201" s="7" t="s">
        <v>1914</v>
      </c>
      <c r="E201" s="7" t="s">
        <v>746</v>
      </c>
      <c r="F201" s="7" t="s">
        <v>1915</v>
      </c>
      <c r="G201" s="7" t="s">
        <v>188</v>
      </c>
      <c r="H201" s="36" t="s">
        <v>1926</v>
      </c>
      <c r="I201" s="36" t="s">
        <v>1826</v>
      </c>
      <c r="J201" s="36">
        <v>44855</v>
      </c>
      <c r="K201" s="46"/>
      <c r="L201" s="46" t="s">
        <v>549</v>
      </c>
      <c r="M201" s="46"/>
      <c r="N201" s="46" t="s">
        <v>1824</v>
      </c>
      <c r="O201" s="45"/>
      <c r="P201" s="45" t="s">
        <v>665</v>
      </c>
      <c r="Q201" s="45"/>
    </row>
    <row r="202" spans="1:17" x14ac:dyDescent="0.3">
      <c r="A202" s="7" t="s">
        <v>1658</v>
      </c>
      <c r="B202" s="7">
        <v>433495</v>
      </c>
      <c r="C202" s="7" t="s">
        <v>2021</v>
      </c>
      <c r="D202" s="7" t="s">
        <v>1918</v>
      </c>
      <c r="E202" s="7" t="s">
        <v>746</v>
      </c>
      <c r="F202" s="7" t="s">
        <v>1915</v>
      </c>
      <c r="G202" s="7" t="s">
        <v>470</v>
      </c>
      <c r="H202" s="36" t="s">
        <v>1916</v>
      </c>
      <c r="I202" s="36" t="s">
        <v>1826</v>
      </c>
      <c r="J202" s="36">
        <v>44866</v>
      </c>
      <c r="K202" s="46"/>
      <c r="L202" s="46" t="s">
        <v>567</v>
      </c>
      <c r="M202" s="46"/>
      <c r="N202" s="46" t="s">
        <v>1824</v>
      </c>
      <c r="O202" s="45"/>
      <c r="P202" s="45" t="s">
        <v>665</v>
      </c>
      <c r="Q202" s="45"/>
    </row>
    <row r="203" spans="1:17" x14ac:dyDescent="0.3">
      <c r="A203" s="7" t="s">
        <v>1912</v>
      </c>
      <c r="B203" s="7">
        <v>473071</v>
      </c>
      <c r="C203" s="7" t="s">
        <v>1948</v>
      </c>
      <c r="D203" s="7" t="s">
        <v>1921</v>
      </c>
      <c r="E203" s="7" t="s">
        <v>746</v>
      </c>
      <c r="F203" s="7" t="s">
        <v>1915</v>
      </c>
      <c r="G203" s="7" t="s">
        <v>513</v>
      </c>
      <c r="H203" s="36" t="s">
        <v>1926</v>
      </c>
      <c r="I203" s="36" t="s">
        <v>1826</v>
      </c>
      <c r="J203" s="36">
        <v>44867</v>
      </c>
      <c r="K203" s="46"/>
      <c r="L203" s="46" t="s">
        <v>411</v>
      </c>
      <c r="M203" s="46"/>
      <c r="N203" s="46" t="s">
        <v>1824</v>
      </c>
      <c r="O203" s="45"/>
      <c r="P203" s="45" t="s">
        <v>665</v>
      </c>
      <c r="Q203" s="45"/>
    </row>
    <row r="204" spans="1:17" x14ac:dyDescent="0.3">
      <c r="A204" s="7" t="s">
        <v>1912</v>
      </c>
      <c r="B204" s="7">
        <v>433647</v>
      </c>
      <c r="C204" s="7" t="s">
        <v>2018</v>
      </c>
      <c r="D204" s="7" t="s">
        <v>1950</v>
      </c>
      <c r="E204" s="7" t="s">
        <v>746</v>
      </c>
      <c r="F204" s="7" t="s">
        <v>1915</v>
      </c>
      <c r="G204" s="7" t="s">
        <v>378</v>
      </c>
      <c r="H204" s="36" t="s">
        <v>1926</v>
      </c>
      <c r="I204" s="36" t="s">
        <v>1826</v>
      </c>
      <c r="J204" s="36">
        <v>44867</v>
      </c>
      <c r="K204" s="46"/>
      <c r="L204" s="46" t="s">
        <v>188</v>
      </c>
      <c r="M204" s="46"/>
      <c r="N204" s="46" t="s">
        <v>1824</v>
      </c>
      <c r="O204" s="45"/>
      <c r="P204" s="45" t="s">
        <v>665</v>
      </c>
      <c r="Q204" s="45"/>
    </row>
    <row r="205" spans="1:17" x14ac:dyDescent="0.3">
      <c r="A205" s="7" t="s">
        <v>1912</v>
      </c>
      <c r="B205" s="7">
        <v>433513</v>
      </c>
      <c r="C205" s="7" t="s">
        <v>2020</v>
      </c>
      <c r="D205" s="7" t="s">
        <v>1914</v>
      </c>
      <c r="E205" s="7" t="s">
        <v>746</v>
      </c>
      <c r="F205" s="7" t="s">
        <v>1915</v>
      </c>
      <c r="G205" s="7" t="s">
        <v>535</v>
      </c>
      <c r="H205" s="36" t="s">
        <v>1916</v>
      </c>
      <c r="I205" s="36" t="s">
        <v>1826</v>
      </c>
      <c r="J205" s="36">
        <v>44879</v>
      </c>
      <c r="K205" s="46"/>
      <c r="L205" s="46" t="s">
        <v>154</v>
      </c>
      <c r="M205" s="46"/>
      <c r="N205" s="46" t="s">
        <v>1824</v>
      </c>
      <c r="O205" s="45"/>
      <c r="P205" s="45" t="s">
        <v>665</v>
      </c>
      <c r="Q205" s="45"/>
    </row>
    <row r="206" spans="1:17" x14ac:dyDescent="0.3">
      <c r="A206" s="7" t="s">
        <v>1658</v>
      </c>
      <c r="B206" s="7">
        <v>433522</v>
      </c>
      <c r="C206" s="7" t="s">
        <v>2022</v>
      </c>
      <c r="D206" s="7" t="s">
        <v>1914</v>
      </c>
      <c r="E206" s="7" t="s">
        <v>746</v>
      </c>
      <c r="F206" s="7" t="s">
        <v>1915</v>
      </c>
      <c r="G206" s="7" t="s">
        <v>83</v>
      </c>
      <c r="H206" s="36" t="s">
        <v>1916</v>
      </c>
      <c r="I206" s="36" t="s">
        <v>1826</v>
      </c>
      <c r="J206" s="36">
        <v>44879</v>
      </c>
      <c r="K206" s="46"/>
      <c r="L206" s="46" t="s">
        <v>470</v>
      </c>
      <c r="M206" s="46"/>
      <c r="N206" s="46" t="s">
        <v>1824</v>
      </c>
      <c r="O206" s="45"/>
      <c r="P206" s="45" t="s">
        <v>665</v>
      </c>
      <c r="Q206" s="45"/>
    </row>
    <row r="207" spans="1:17" x14ac:dyDescent="0.3">
      <c r="A207" s="7" t="s">
        <v>1658</v>
      </c>
      <c r="B207" s="7">
        <v>442948</v>
      </c>
      <c r="C207" s="7" t="s">
        <v>1932</v>
      </c>
      <c r="D207" s="7" t="s">
        <v>1914</v>
      </c>
      <c r="E207" s="7" t="s">
        <v>746</v>
      </c>
      <c r="F207" s="7" t="s">
        <v>1915</v>
      </c>
      <c r="G207" s="7" t="s">
        <v>346</v>
      </c>
      <c r="H207" s="36" t="s">
        <v>1916</v>
      </c>
      <c r="I207" s="36" t="s">
        <v>1826</v>
      </c>
      <c r="J207" s="36">
        <v>44914</v>
      </c>
      <c r="K207" s="46"/>
      <c r="L207" s="46" t="s">
        <v>300</v>
      </c>
      <c r="M207" s="46"/>
      <c r="N207" s="46" t="s">
        <v>1824</v>
      </c>
      <c r="O207" s="45"/>
      <c r="P207" s="45" t="s">
        <v>665</v>
      </c>
      <c r="Q207" s="45"/>
    </row>
    <row r="208" spans="1:17" x14ac:dyDescent="0.3">
      <c r="A208" s="7" t="s">
        <v>1658</v>
      </c>
      <c r="B208" s="7">
        <v>449637</v>
      </c>
      <c r="C208" s="7" t="s">
        <v>1932</v>
      </c>
      <c r="D208" s="7" t="s">
        <v>1921</v>
      </c>
      <c r="E208" s="7" t="s">
        <v>746</v>
      </c>
      <c r="F208" s="7" t="s">
        <v>1915</v>
      </c>
      <c r="G208" s="7" t="s">
        <v>514</v>
      </c>
      <c r="H208" s="36" t="s">
        <v>1916</v>
      </c>
      <c r="I208" s="36" t="s">
        <v>1826</v>
      </c>
      <c r="J208" s="36">
        <v>44930</v>
      </c>
      <c r="K208" s="46"/>
      <c r="L208" s="46" t="s">
        <v>213</v>
      </c>
      <c r="M208" s="46"/>
      <c r="N208" s="46" t="s">
        <v>1824</v>
      </c>
      <c r="O208" s="45"/>
      <c r="P208" s="45" t="s">
        <v>665</v>
      </c>
      <c r="Q208" s="45"/>
    </row>
    <row r="209" spans="1:17" x14ac:dyDescent="0.3">
      <c r="A209" s="7" t="s">
        <v>1912</v>
      </c>
      <c r="B209" s="7">
        <v>433655</v>
      </c>
      <c r="C209" s="7" t="s">
        <v>1989</v>
      </c>
      <c r="D209" s="7" t="s">
        <v>1950</v>
      </c>
      <c r="E209" s="7" t="s">
        <v>746</v>
      </c>
      <c r="F209" s="7" t="s">
        <v>1915</v>
      </c>
      <c r="G209" s="7" t="s">
        <v>508</v>
      </c>
      <c r="H209" s="36" t="s">
        <v>1926</v>
      </c>
      <c r="I209" s="36" t="s">
        <v>1826</v>
      </c>
      <c r="J209" s="36">
        <v>44935</v>
      </c>
      <c r="K209" s="46"/>
      <c r="L209" s="46" t="s">
        <v>132</v>
      </c>
      <c r="M209" s="46"/>
      <c r="N209" s="46" t="s">
        <v>1824</v>
      </c>
      <c r="O209" s="45"/>
      <c r="P209" s="45" t="s">
        <v>665</v>
      </c>
      <c r="Q209" s="45"/>
    </row>
    <row r="210" spans="1:17" x14ac:dyDescent="0.3">
      <c r="A210" s="7" t="s">
        <v>1658</v>
      </c>
      <c r="B210" s="7">
        <v>584216</v>
      </c>
      <c r="C210" s="7" t="s">
        <v>2023</v>
      </c>
      <c r="D210" s="7" t="s">
        <v>1923</v>
      </c>
      <c r="E210" s="7" t="s">
        <v>746</v>
      </c>
      <c r="F210" s="7" t="s">
        <v>1915</v>
      </c>
      <c r="G210" s="7" t="s">
        <v>449</v>
      </c>
      <c r="H210" s="36" t="s">
        <v>1916</v>
      </c>
      <c r="I210" s="36" t="s">
        <v>1826</v>
      </c>
      <c r="J210" s="36">
        <v>44935</v>
      </c>
      <c r="K210" s="46"/>
      <c r="L210" s="46" t="s">
        <v>470</v>
      </c>
      <c r="M210" s="46"/>
      <c r="N210" s="46" t="s">
        <v>1824</v>
      </c>
      <c r="O210" s="45"/>
      <c r="P210" s="45" t="s">
        <v>665</v>
      </c>
      <c r="Q210" s="45"/>
    </row>
    <row r="211" spans="1:17" x14ac:dyDescent="0.3">
      <c r="A211" s="7" t="s">
        <v>1658</v>
      </c>
      <c r="B211" s="7">
        <v>433654</v>
      </c>
      <c r="C211" s="7" t="s">
        <v>1966</v>
      </c>
      <c r="D211" s="7" t="s">
        <v>1921</v>
      </c>
      <c r="E211" s="7" t="s">
        <v>746</v>
      </c>
      <c r="F211" s="7" t="s">
        <v>1915</v>
      </c>
      <c r="G211" s="7" t="s">
        <v>205</v>
      </c>
      <c r="H211" s="36" t="s">
        <v>1916</v>
      </c>
      <c r="I211" s="36" t="s">
        <v>1826</v>
      </c>
      <c r="J211" s="36">
        <v>44942</v>
      </c>
      <c r="K211" s="46"/>
      <c r="L211" s="46" t="s">
        <v>244</v>
      </c>
      <c r="M211" s="46"/>
      <c r="N211" s="46" t="s">
        <v>1824</v>
      </c>
      <c r="O211" s="45"/>
      <c r="P211" s="45" t="s">
        <v>665</v>
      </c>
      <c r="Q211" s="45"/>
    </row>
    <row r="212" spans="1:17" x14ac:dyDescent="0.3">
      <c r="A212" s="7" t="s">
        <v>1658</v>
      </c>
      <c r="B212" s="7">
        <v>382049</v>
      </c>
      <c r="C212" s="7" t="s">
        <v>2024</v>
      </c>
      <c r="D212" s="7" t="s">
        <v>1921</v>
      </c>
      <c r="E212" s="7" t="s">
        <v>746</v>
      </c>
      <c r="F212" s="7" t="s">
        <v>1915</v>
      </c>
      <c r="G212" s="7" t="s">
        <v>454</v>
      </c>
      <c r="H212" s="36" t="s">
        <v>1916</v>
      </c>
      <c r="I212" s="36" t="s">
        <v>1826</v>
      </c>
      <c r="J212" s="36">
        <v>45020</v>
      </c>
      <c r="K212" s="46"/>
      <c r="L212" s="46" t="s">
        <v>300</v>
      </c>
      <c r="M212" s="46"/>
      <c r="N212" s="46" t="s">
        <v>1824</v>
      </c>
      <c r="O212" s="45"/>
      <c r="P212" s="45" t="s">
        <v>665</v>
      </c>
      <c r="Q212" s="45"/>
    </row>
    <row r="213" spans="1:17" x14ac:dyDescent="0.3">
      <c r="A213" s="7" t="s">
        <v>1658</v>
      </c>
      <c r="B213" s="7">
        <v>382057</v>
      </c>
      <c r="C213" s="7" t="s">
        <v>1946</v>
      </c>
      <c r="D213" s="7" t="s">
        <v>1921</v>
      </c>
      <c r="E213" s="7" t="s">
        <v>746</v>
      </c>
      <c r="F213" s="7" t="s">
        <v>1915</v>
      </c>
      <c r="G213" s="7" t="s">
        <v>381</v>
      </c>
      <c r="H213" s="36" t="s">
        <v>1916</v>
      </c>
      <c r="I213" s="36" t="s">
        <v>1826</v>
      </c>
      <c r="J213" s="36">
        <v>45028</v>
      </c>
      <c r="K213" s="46"/>
      <c r="L213" s="46" t="s">
        <v>300</v>
      </c>
      <c r="M213" s="46"/>
      <c r="N213" s="46" t="s">
        <v>1824</v>
      </c>
      <c r="O213" s="45"/>
      <c r="P213" s="45" t="s">
        <v>665</v>
      </c>
      <c r="Q213" s="45"/>
    </row>
    <row r="214" spans="1:17" x14ac:dyDescent="0.3">
      <c r="A214" s="7" t="s">
        <v>755</v>
      </c>
      <c r="B214" s="7">
        <v>491797</v>
      </c>
      <c r="C214" s="7" t="s">
        <v>2025</v>
      </c>
      <c r="D214" s="7" t="s">
        <v>1950</v>
      </c>
      <c r="E214" s="7" t="s">
        <v>746</v>
      </c>
      <c r="F214" s="7" t="s">
        <v>1915</v>
      </c>
      <c r="G214" s="7" t="s">
        <v>562</v>
      </c>
      <c r="H214" s="36" t="s">
        <v>1926</v>
      </c>
      <c r="I214" s="36" t="s">
        <v>1826</v>
      </c>
      <c r="J214" s="36">
        <v>45138</v>
      </c>
      <c r="K214" s="46"/>
      <c r="L214" s="46" t="s">
        <v>293</v>
      </c>
      <c r="M214" s="46"/>
      <c r="N214" s="46" t="s">
        <v>1824</v>
      </c>
      <c r="O214" s="45"/>
      <c r="P214" s="45" t="s">
        <v>665</v>
      </c>
      <c r="Q214" s="45"/>
    </row>
    <row r="215" spans="1:17" x14ac:dyDescent="0.3">
      <c r="A215" s="7" t="s">
        <v>1658</v>
      </c>
      <c r="B215" s="7">
        <v>493130</v>
      </c>
      <c r="C215" s="7" t="s">
        <v>2026</v>
      </c>
      <c r="D215" s="7" t="s">
        <v>1921</v>
      </c>
      <c r="E215" s="7" t="s">
        <v>746</v>
      </c>
      <c r="F215" s="7" t="s">
        <v>1915</v>
      </c>
      <c r="G215" s="7" t="s">
        <v>606</v>
      </c>
      <c r="H215" s="36" t="s">
        <v>1916</v>
      </c>
      <c r="I215" s="36" t="s">
        <v>1826</v>
      </c>
      <c r="J215" s="36">
        <v>45159</v>
      </c>
      <c r="K215" s="46"/>
      <c r="L215" s="46" t="s">
        <v>449</v>
      </c>
      <c r="M215" s="46"/>
      <c r="N215" s="46" t="s">
        <v>1824</v>
      </c>
      <c r="O215" s="45"/>
      <c r="P215" s="45" t="s">
        <v>665</v>
      </c>
      <c r="Q215" s="45"/>
    </row>
    <row r="216" spans="1:17" x14ac:dyDescent="0.3">
      <c r="A216" s="7" t="s">
        <v>1658</v>
      </c>
      <c r="B216" s="7">
        <v>493133</v>
      </c>
      <c r="C216" s="7" t="s">
        <v>2027</v>
      </c>
      <c r="D216" s="7" t="s">
        <v>1914</v>
      </c>
      <c r="E216" s="7" t="s">
        <v>746</v>
      </c>
      <c r="F216" s="7" t="s">
        <v>1915</v>
      </c>
      <c r="G216" s="7" t="s">
        <v>168</v>
      </c>
      <c r="H216" s="36" t="s">
        <v>1916</v>
      </c>
      <c r="I216" s="36" t="s">
        <v>1826</v>
      </c>
      <c r="J216" s="36">
        <v>45170</v>
      </c>
      <c r="K216" s="46"/>
      <c r="L216" s="46" t="s">
        <v>470</v>
      </c>
      <c r="M216" s="46"/>
      <c r="N216" s="46" t="s">
        <v>1824</v>
      </c>
      <c r="O216" s="45"/>
      <c r="P216" s="45" t="s">
        <v>665</v>
      </c>
      <c r="Q216" s="45"/>
    </row>
    <row r="217" spans="1:17" x14ac:dyDescent="0.3">
      <c r="A217" s="7" t="s">
        <v>1912</v>
      </c>
      <c r="B217" s="7">
        <v>491794</v>
      </c>
      <c r="C217" s="7" t="s">
        <v>2028</v>
      </c>
      <c r="D217" s="7" t="s">
        <v>1921</v>
      </c>
      <c r="E217" s="7" t="s">
        <v>746</v>
      </c>
      <c r="F217" s="7" t="s">
        <v>1915</v>
      </c>
      <c r="G217" s="7" t="s">
        <v>468</v>
      </c>
      <c r="H217" s="36" t="s">
        <v>1916</v>
      </c>
      <c r="I217" s="36" t="s">
        <v>1826</v>
      </c>
      <c r="J217" s="36">
        <v>45180</v>
      </c>
      <c r="K217" s="46"/>
      <c r="L217" s="46" t="s">
        <v>132</v>
      </c>
      <c r="M217" s="46"/>
      <c r="N217" s="46" t="s">
        <v>1824</v>
      </c>
      <c r="O217" s="45"/>
      <c r="P217" s="45" t="s">
        <v>665</v>
      </c>
      <c r="Q217" s="45"/>
    </row>
    <row r="218" spans="1:17" x14ac:dyDescent="0.3">
      <c r="A218" s="7" t="s">
        <v>755</v>
      </c>
      <c r="B218" s="7">
        <v>491796</v>
      </c>
      <c r="C218" s="7" t="s">
        <v>2029</v>
      </c>
      <c r="D218" s="7" t="s">
        <v>1950</v>
      </c>
      <c r="E218" s="7" t="s">
        <v>746</v>
      </c>
      <c r="F218" s="7" t="s">
        <v>1915</v>
      </c>
      <c r="G218" s="7" t="s">
        <v>532</v>
      </c>
      <c r="H218" s="36" t="s">
        <v>1926</v>
      </c>
      <c r="I218" s="36" t="s">
        <v>1826</v>
      </c>
      <c r="J218" s="36">
        <v>45188</v>
      </c>
      <c r="K218" s="46"/>
      <c r="L218" s="46" t="s">
        <v>293</v>
      </c>
      <c r="M218" s="46"/>
      <c r="N218" s="46" t="s">
        <v>1824</v>
      </c>
      <c r="O218" s="45"/>
      <c r="P218" s="45" t="s">
        <v>665</v>
      </c>
      <c r="Q218" s="45"/>
    </row>
    <row r="219" spans="1:17" x14ac:dyDescent="0.3">
      <c r="A219" s="7" t="s">
        <v>1658</v>
      </c>
      <c r="B219" s="7">
        <v>493122</v>
      </c>
      <c r="C219" s="7" t="s">
        <v>2030</v>
      </c>
      <c r="D219" s="7" t="s">
        <v>1921</v>
      </c>
      <c r="E219" s="7" t="s">
        <v>746</v>
      </c>
      <c r="F219" s="7" t="s">
        <v>1915</v>
      </c>
      <c r="G219" s="7" t="s">
        <v>602</v>
      </c>
      <c r="H219" s="36" t="s">
        <v>1916</v>
      </c>
      <c r="I219" s="36" t="s">
        <v>1826</v>
      </c>
      <c r="J219" s="36">
        <v>45200</v>
      </c>
      <c r="K219" s="46"/>
      <c r="L219" s="46" t="s">
        <v>333</v>
      </c>
      <c r="M219" s="46"/>
      <c r="N219" s="46" t="s">
        <v>1824</v>
      </c>
      <c r="O219" s="45"/>
      <c r="P219" s="45" t="s">
        <v>665</v>
      </c>
      <c r="Q219" s="45"/>
    </row>
    <row r="220" spans="1:17" x14ac:dyDescent="0.3">
      <c r="A220" s="7" t="s">
        <v>1658</v>
      </c>
      <c r="B220" s="7">
        <v>493136</v>
      </c>
      <c r="C220" s="7" t="s">
        <v>2031</v>
      </c>
      <c r="D220" s="7" t="s">
        <v>1914</v>
      </c>
      <c r="E220" s="7" t="s">
        <v>746</v>
      </c>
      <c r="F220" s="7" t="s">
        <v>1915</v>
      </c>
      <c r="G220" s="7" t="s">
        <v>331</v>
      </c>
      <c r="H220" s="36" t="s">
        <v>1916</v>
      </c>
      <c r="I220" s="36" t="s">
        <v>1826</v>
      </c>
      <c r="J220" s="36">
        <v>45200</v>
      </c>
      <c r="K220" s="46"/>
      <c r="L220" s="46" t="s">
        <v>470</v>
      </c>
      <c r="M220" s="46"/>
      <c r="N220" s="46" t="s">
        <v>1824</v>
      </c>
      <c r="O220" s="45"/>
      <c r="P220" s="45" t="s">
        <v>665</v>
      </c>
      <c r="Q220" s="45"/>
    </row>
    <row r="221" spans="1:17" x14ac:dyDescent="0.3">
      <c r="A221" s="7" t="s">
        <v>1912</v>
      </c>
      <c r="B221" s="7">
        <v>494722</v>
      </c>
      <c r="C221" s="7" t="s">
        <v>2032</v>
      </c>
      <c r="D221" s="7" t="s">
        <v>1950</v>
      </c>
      <c r="E221" s="7" t="s">
        <v>746</v>
      </c>
      <c r="F221" s="7" t="s">
        <v>1915</v>
      </c>
      <c r="G221" s="7" t="s">
        <v>163</v>
      </c>
      <c r="H221" s="36" t="s">
        <v>1926</v>
      </c>
      <c r="I221" s="36" t="s">
        <v>1826</v>
      </c>
      <c r="J221" s="36">
        <v>45204</v>
      </c>
      <c r="K221" s="46"/>
      <c r="L221" s="46" t="s">
        <v>549</v>
      </c>
      <c r="M221" s="46"/>
      <c r="N221" s="46" t="s">
        <v>1824</v>
      </c>
      <c r="O221" s="45"/>
      <c r="P221" s="45" t="s">
        <v>665</v>
      </c>
      <c r="Q221" s="45"/>
    </row>
    <row r="222" spans="1:17" x14ac:dyDescent="0.3">
      <c r="A222" s="7" t="s">
        <v>1912</v>
      </c>
      <c r="B222" s="7">
        <v>495195</v>
      </c>
      <c r="C222" s="7" t="s">
        <v>2033</v>
      </c>
      <c r="D222" s="7" t="s">
        <v>1914</v>
      </c>
      <c r="E222" s="7" t="s">
        <v>746</v>
      </c>
      <c r="F222" s="7" t="s">
        <v>1915</v>
      </c>
      <c r="G222" s="7" t="s">
        <v>340</v>
      </c>
      <c r="H222" s="36" t="s">
        <v>1916</v>
      </c>
      <c r="I222" s="36" t="s">
        <v>1826</v>
      </c>
      <c r="J222" s="36">
        <v>45231</v>
      </c>
      <c r="K222" s="46"/>
      <c r="L222" s="46" t="s">
        <v>181</v>
      </c>
      <c r="M222" s="46"/>
      <c r="N222" s="46" t="s">
        <v>1824</v>
      </c>
      <c r="O222" s="45"/>
      <c r="P222" s="45" t="s">
        <v>665</v>
      </c>
      <c r="Q222" s="45"/>
    </row>
    <row r="223" spans="1:17" x14ac:dyDescent="0.3">
      <c r="A223" s="7" t="s">
        <v>1658</v>
      </c>
      <c r="B223" s="7">
        <v>493124</v>
      </c>
      <c r="C223" s="7" t="s">
        <v>2030</v>
      </c>
      <c r="D223" s="7" t="s">
        <v>1921</v>
      </c>
      <c r="E223" s="7" t="s">
        <v>746</v>
      </c>
      <c r="F223" s="7" t="s">
        <v>1915</v>
      </c>
      <c r="G223" s="7" t="s">
        <v>31</v>
      </c>
      <c r="H223" s="36" t="s">
        <v>1916</v>
      </c>
      <c r="I223" s="36" t="s">
        <v>1826</v>
      </c>
      <c r="J223" s="36">
        <v>45236</v>
      </c>
      <c r="K223" s="46"/>
      <c r="L223" s="46" t="s">
        <v>333</v>
      </c>
      <c r="M223" s="46"/>
      <c r="N223" s="46" t="s">
        <v>1824</v>
      </c>
      <c r="O223" s="45"/>
      <c r="P223" s="45" t="s">
        <v>665</v>
      </c>
      <c r="Q223" s="45"/>
    </row>
    <row r="224" spans="1:17" x14ac:dyDescent="0.3">
      <c r="A224" s="7" t="s">
        <v>1912</v>
      </c>
      <c r="B224" s="7">
        <v>495696</v>
      </c>
      <c r="C224" s="7" t="s">
        <v>2034</v>
      </c>
      <c r="D224" s="7" t="s">
        <v>1950</v>
      </c>
      <c r="E224" s="7" t="s">
        <v>746</v>
      </c>
      <c r="F224" s="7" t="s">
        <v>1915</v>
      </c>
      <c r="G224" s="7" t="s">
        <v>540</v>
      </c>
      <c r="H224" s="36" t="s">
        <v>1916</v>
      </c>
      <c r="I224" s="36" t="s">
        <v>1826</v>
      </c>
      <c r="J224" s="36">
        <v>45239</v>
      </c>
      <c r="K224" s="46"/>
      <c r="L224" s="46" t="s">
        <v>123</v>
      </c>
      <c r="M224" s="46"/>
      <c r="N224" s="46" t="s">
        <v>1824</v>
      </c>
      <c r="O224" s="45"/>
      <c r="P224" s="45" t="s">
        <v>665</v>
      </c>
      <c r="Q224" s="45"/>
    </row>
    <row r="225" spans="1:17" x14ac:dyDescent="0.3">
      <c r="A225" s="7" t="s">
        <v>755</v>
      </c>
      <c r="B225" s="7">
        <v>495453</v>
      </c>
      <c r="C225" s="7" t="s">
        <v>2035</v>
      </c>
      <c r="D225" s="7" t="s">
        <v>1921</v>
      </c>
      <c r="E225" s="7" t="s">
        <v>746</v>
      </c>
      <c r="F225" s="7" t="s">
        <v>1915</v>
      </c>
      <c r="G225" s="7" t="s">
        <v>314</v>
      </c>
      <c r="H225" s="36" t="s">
        <v>1916</v>
      </c>
      <c r="I225" s="36" t="s">
        <v>1826</v>
      </c>
      <c r="J225" s="36">
        <v>45243</v>
      </c>
      <c r="K225" s="46"/>
      <c r="L225" s="46" t="s">
        <v>285</v>
      </c>
      <c r="M225" s="46"/>
      <c r="N225" s="46" t="s">
        <v>1824</v>
      </c>
      <c r="O225" s="45"/>
      <c r="P225" s="45" t="s">
        <v>665</v>
      </c>
      <c r="Q225" s="45"/>
    </row>
    <row r="226" spans="1:17" x14ac:dyDescent="0.3">
      <c r="A226" s="7" t="s">
        <v>1912</v>
      </c>
      <c r="B226" s="7">
        <v>495198</v>
      </c>
      <c r="C226" s="7" t="s">
        <v>2033</v>
      </c>
      <c r="D226" s="7" t="s">
        <v>1921</v>
      </c>
      <c r="E226" s="7" t="s">
        <v>746</v>
      </c>
      <c r="F226" s="7" t="s">
        <v>1915</v>
      </c>
      <c r="G226" s="7" t="s">
        <v>426</v>
      </c>
      <c r="H226" s="36" t="s">
        <v>1916</v>
      </c>
      <c r="I226" s="36" t="s">
        <v>1826</v>
      </c>
      <c r="J226" s="36">
        <v>45261</v>
      </c>
      <c r="K226" s="46"/>
      <c r="L226" s="46" t="s">
        <v>181</v>
      </c>
      <c r="M226" s="46"/>
      <c r="N226" s="46" t="s">
        <v>1824</v>
      </c>
      <c r="O226" s="45"/>
      <c r="P226" s="45" t="s">
        <v>665</v>
      </c>
      <c r="Q226" s="45"/>
    </row>
    <row r="227" spans="1:17" x14ac:dyDescent="0.3">
      <c r="A227" s="7" t="s">
        <v>1658</v>
      </c>
      <c r="B227" s="7">
        <v>500956</v>
      </c>
      <c r="C227" s="7" t="s">
        <v>1940</v>
      </c>
      <c r="D227" s="7" t="s">
        <v>1921</v>
      </c>
      <c r="E227" s="7" t="s">
        <v>746</v>
      </c>
      <c r="F227" s="7" t="s">
        <v>1915</v>
      </c>
      <c r="G227" s="7" t="s">
        <v>325</v>
      </c>
      <c r="H227" s="36" t="s">
        <v>1916</v>
      </c>
      <c r="I227" s="36" t="s">
        <v>1826</v>
      </c>
      <c r="J227" s="36">
        <v>45293</v>
      </c>
      <c r="K227" s="46"/>
      <c r="L227" s="46" t="s">
        <v>471</v>
      </c>
      <c r="M227" s="46"/>
      <c r="N227" s="46" t="s">
        <v>1824</v>
      </c>
      <c r="O227" s="45"/>
      <c r="P227" s="45" t="s">
        <v>665</v>
      </c>
      <c r="Q227" s="45"/>
    </row>
    <row r="228" spans="1:17" x14ac:dyDescent="0.3">
      <c r="A228" s="7" t="s">
        <v>1912</v>
      </c>
      <c r="B228" s="7">
        <v>495563</v>
      </c>
      <c r="C228" s="7" t="s">
        <v>2011</v>
      </c>
      <c r="D228" s="7" t="s">
        <v>1950</v>
      </c>
      <c r="E228" s="7" t="s">
        <v>746</v>
      </c>
      <c r="F228" s="7" t="s">
        <v>1915</v>
      </c>
      <c r="G228" s="7" t="s">
        <v>430</v>
      </c>
      <c r="H228" s="36" t="s">
        <v>1916</v>
      </c>
      <c r="I228" s="36" t="s">
        <v>1826</v>
      </c>
      <c r="J228" s="36">
        <v>45295</v>
      </c>
      <c r="K228" s="46"/>
      <c r="L228" s="46" t="s">
        <v>123</v>
      </c>
      <c r="M228" s="46"/>
      <c r="N228" s="46" t="s">
        <v>1824</v>
      </c>
      <c r="O228" s="45"/>
      <c r="P228" s="45" t="s">
        <v>665</v>
      </c>
      <c r="Q228" s="45"/>
    </row>
    <row r="229" spans="1:17" x14ac:dyDescent="0.3">
      <c r="A229" s="7" t="s">
        <v>1912</v>
      </c>
      <c r="B229" s="7">
        <v>495721</v>
      </c>
      <c r="C229" s="7" t="s">
        <v>1948</v>
      </c>
      <c r="D229" s="7" t="s">
        <v>1921</v>
      </c>
      <c r="E229" s="7" t="s">
        <v>746</v>
      </c>
      <c r="F229" s="7" t="s">
        <v>1915</v>
      </c>
      <c r="G229" s="7" t="s">
        <v>104</v>
      </c>
      <c r="H229" s="36" t="s">
        <v>1916</v>
      </c>
      <c r="I229" s="36" t="s">
        <v>1826</v>
      </c>
      <c r="J229" s="36">
        <v>45295</v>
      </c>
      <c r="K229" s="46"/>
      <c r="L229" s="46" t="s">
        <v>550</v>
      </c>
      <c r="M229" s="46"/>
      <c r="N229" s="46" t="s">
        <v>1824</v>
      </c>
      <c r="O229" s="45"/>
      <c r="P229" s="45" t="s">
        <v>665</v>
      </c>
      <c r="Q229" s="45"/>
    </row>
    <row r="230" spans="1:17" x14ac:dyDescent="0.3">
      <c r="A230" s="7" t="s">
        <v>1658</v>
      </c>
      <c r="B230" s="7">
        <v>501800</v>
      </c>
      <c r="C230" s="7" t="s">
        <v>1984</v>
      </c>
      <c r="D230" s="7" t="s">
        <v>1950</v>
      </c>
      <c r="E230" s="7" t="s">
        <v>746</v>
      </c>
      <c r="F230" s="7" t="s">
        <v>1915</v>
      </c>
      <c r="G230" s="7" t="s">
        <v>62</v>
      </c>
      <c r="H230" s="36" t="s">
        <v>1916</v>
      </c>
      <c r="I230" s="36" t="s">
        <v>1826</v>
      </c>
      <c r="J230" s="36">
        <v>45295</v>
      </c>
      <c r="K230" s="46"/>
      <c r="L230" s="46" t="s">
        <v>458</v>
      </c>
      <c r="M230" s="46"/>
      <c r="N230" s="46" t="s">
        <v>1824</v>
      </c>
      <c r="O230" s="45"/>
      <c r="P230" s="45" t="s">
        <v>665</v>
      </c>
      <c r="Q230" s="45"/>
    </row>
    <row r="231" spans="1:17" x14ac:dyDescent="0.3">
      <c r="A231" s="7" t="s">
        <v>1912</v>
      </c>
      <c r="B231" s="7">
        <v>503048</v>
      </c>
      <c r="C231" s="7" t="s">
        <v>2036</v>
      </c>
      <c r="D231" s="7" t="s">
        <v>1914</v>
      </c>
      <c r="E231" s="7" t="s">
        <v>711</v>
      </c>
      <c r="F231" s="7" t="s">
        <v>2037</v>
      </c>
      <c r="G231" s="7" t="s">
        <v>75</v>
      </c>
      <c r="H231" s="36" t="s">
        <v>1916</v>
      </c>
      <c r="I231" s="36" t="s">
        <v>1826</v>
      </c>
      <c r="J231" s="36">
        <v>45306</v>
      </c>
      <c r="K231" s="46"/>
      <c r="L231" s="46" t="s">
        <v>528</v>
      </c>
      <c r="M231" s="46"/>
      <c r="N231" s="46" t="s">
        <v>1824</v>
      </c>
      <c r="O231" s="45"/>
      <c r="P231" s="45" t="s">
        <v>665</v>
      </c>
      <c r="Q231" s="45"/>
    </row>
    <row r="232" spans="1:17" x14ac:dyDescent="0.3">
      <c r="A232" s="7" t="s">
        <v>1912</v>
      </c>
      <c r="B232" s="7">
        <v>499003</v>
      </c>
      <c r="C232" s="7" t="s">
        <v>2038</v>
      </c>
      <c r="D232" s="7" t="s">
        <v>1921</v>
      </c>
      <c r="E232" s="7" t="s">
        <v>746</v>
      </c>
      <c r="F232" s="7" t="s">
        <v>1915</v>
      </c>
      <c r="G232" s="7" t="s">
        <v>328</v>
      </c>
      <c r="H232" s="36" t="s">
        <v>1916</v>
      </c>
      <c r="I232" s="36" t="s">
        <v>1826</v>
      </c>
      <c r="J232" s="36">
        <v>45313</v>
      </c>
      <c r="K232" s="46"/>
      <c r="L232" s="46" t="s">
        <v>87</v>
      </c>
      <c r="M232" s="46"/>
      <c r="N232" s="46" t="s">
        <v>1824</v>
      </c>
      <c r="O232" s="45"/>
      <c r="P232" s="45" t="s">
        <v>665</v>
      </c>
      <c r="Q232" s="45"/>
    </row>
    <row r="233" spans="1:17" x14ac:dyDescent="0.3">
      <c r="A233" s="7" t="s">
        <v>1912</v>
      </c>
      <c r="B233" s="7">
        <v>495110</v>
      </c>
      <c r="C233" s="7" t="s">
        <v>1940</v>
      </c>
      <c r="D233" s="7" t="s">
        <v>1921</v>
      </c>
      <c r="E233" s="7" t="s">
        <v>746</v>
      </c>
      <c r="F233" s="7" t="s">
        <v>1915</v>
      </c>
      <c r="G233" s="7" t="s">
        <v>317</v>
      </c>
      <c r="H233" s="36" t="s">
        <v>1916</v>
      </c>
      <c r="I233" s="36" t="s">
        <v>1826</v>
      </c>
      <c r="J233" s="36">
        <v>45313</v>
      </c>
      <c r="K233" s="46"/>
      <c r="L233" s="46" t="s">
        <v>87</v>
      </c>
      <c r="M233" s="46"/>
      <c r="N233" s="46" t="s">
        <v>1824</v>
      </c>
      <c r="O233" s="45"/>
      <c r="P233" s="45" t="s">
        <v>665</v>
      </c>
      <c r="Q233" s="45"/>
    </row>
    <row r="234" spans="1:17" x14ac:dyDescent="0.3">
      <c r="A234" s="7" t="s">
        <v>755</v>
      </c>
      <c r="B234" s="7">
        <v>494913</v>
      </c>
      <c r="C234" s="7" t="s">
        <v>1932</v>
      </c>
      <c r="D234" s="7" t="s">
        <v>1921</v>
      </c>
      <c r="E234" s="7" t="s">
        <v>746</v>
      </c>
      <c r="F234" s="7" t="s">
        <v>1915</v>
      </c>
      <c r="G234" s="7" t="s">
        <v>63</v>
      </c>
      <c r="H234" s="36" t="s">
        <v>1916</v>
      </c>
      <c r="I234" s="36" t="s">
        <v>1826</v>
      </c>
      <c r="J234" s="36">
        <v>45323</v>
      </c>
      <c r="K234" s="46"/>
      <c r="L234" s="46" t="s">
        <v>34</v>
      </c>
      <c r="M234" s="46"/>
      <c r="N234" s="46" t="s">
        <v>1824</v>
      </c>
      <c r="O234" s="45"/>
      <c r="P234" s="45" t="s">
        <v>665</v>
      </c>
      <c r="Q234" s="45"/>
    </row>
    <row r="235" spans="1:17" x14ac:dyDescent="0.3">
      <c r="A235" s="7" t="s">
        <v>1912</v>
      </c>
      <c r="B235" s="7">
        <v>498047</v>
      </c>
      <c r="C235" s="7" t="s">
        <v>1928</v>
      </c>
      <c r="D235" s="7" t="s">
        <v>1921</v>
      </c>
      <c r="E235" s="7" t="s">
        <v>746</v>
      </c>
      <c r="F235" s="7" t="s">
        <v>1919</v>
      </c>
      <c r="G235" s="7" t="s">
        <v>477</v>
      </c>
      <c r="H235" s="36" t="s">
        <v>1916</v>
      </c>
      <c r="I235" s="36" t="s">
        <v>1826</v>
      </c>
      <c r="J235" s="36">
        <v>45327</v>
      </c>
      <c r="K235" s="46"/>
      <c r="L235" s="46" t="s">
        <v>87</v>
      </c>
      <c r="M235" s="46"/>
      <c r="N235" s="46" t="s">
        <v>1824</v>
      </c>
      <c r="O235" s="45"/>
      <c r="P235" s="45" t="s">
        <v>665</v>
      </c>
      <c r="Q235" s="45"/>
    </row>
    <row r="236" spans="1:17" x14ac:dyDescent="0.3">
      <c r="A236" s="7" t="s">
        <v>1912</v>
      </c>
      <c r="B236" s="7">
        <v>498649</v>
      </c>
      <c r="C236" s="7" t="s">
        <v>2039</v>
      </c>
      <c r="D236" s="7" t="s">
        <v>1921</v>
      </c>
      <c r="E236" s="7" t="s">
        <v>746</v>
      </c>
      <c r="F236" s="7" t="s">
        <v>1919</v>
      </c>
      <c r="G236" s="7" t="s">
        <v>576</v>
      </c>
      <c r="H236" s="36" t="s">
        <v>1916</v>
      </c>
      <c r="I236" s="36" t="s">
        <v>1826</v>
      </c>
      <c r="J236" s="36">
        <v>45327</v>
      </c>
      <c r="K236" s="46"/>
      <c r="L236" s="46" t="s">
        <v>396</v>
      </c>
      <c r="M236" s="46"/>
      <c r="N236" s="46" t="s">
        <v>1824</v>
      </c>
      <c r="O236" s="45"/>
      <c r="P236" s="45" t="s">
        <v>665</v>
      </c>
      <c r="Q236" s="45"/>
    </row>
    <row r="237" spans="1:17" x14ac:dyDescent="0.3">
      <c r="A237" s="7" t="s">
        <v>755</v>
      </c>
      <c r="B237" s="7">
        <v>502782</v>
      </c>
      <c r="C237" s="7" t="s">
        <v>2040</v>
      </c>
      <c r="D237" s="7" t="s">
        <v>1923</v>
      </c>
      <c r="E237" s="7" t="s">
        <v>746</v>
      </c>
      <c r="F237" s="7" t="s">
        <v>1915</v>
      </c>
      <c r="G237" s="7" t="s">
        <v>45</v>
      </c>
      <c r="H237" s="36" t="s">
        <v>1916</v>
      </c>
      <c r="I237" s="36" t="s">
        <v>1826</v>
      </c>
      <c r="J237" s="36">
        <v>45327</v>
      </c>
      <c r="K237" s="46"/>
      <c r="L237" s="46" t="s">
        <v>1211</v>
      </c>
      <c r="M237" s="46"/>
      <c r="N237" s="46" t="s">
        <v>1824</v>
      </c>
      <c r="O237" s="45"/>
      <c r="P237" s="45" t="s">
        <v>665</v>
      </c>
      <c r="Q237" s="45"/>
    </row>
    <row r="238" spans="1:17" x14ac:dyDescent="0.3">
      <c r="A238" s="7" t="s">
        <v>1912</v>
      </c>
      <c r="B238" s="7">
        <v>495444</v>
      </c>
      <c r="C238" s="7" t="s">
        <v>2041</v>
      </c>
      <c r="D238" s="7" t="s">
        <v>1921</v>
      </c>
      <c r="E238" s="7" t="s">
        <v>746</v>
      </c>
      <c r="F238" s="7" t="s">
        <v>1915</v>
      </c>
      <c r="G238" s="7" t="s">
        <v>61</v>
      </c>
      <c r="H238" s="36" t="s">
        <v>1916</v>
      </c>
      <c r="I238" s="36" t="s">
        <v>1826</v>
      </c>
      <c r="J238" s="36">
        <v>45343</v>
      </c>
      <c r="K238" s="46"/>
      <c r="L238" s="46" t="s">
        <v>278</v>
      </c>
      <c r="M238" s="46"/>
      <c r="N238" s="46" t="s">
        <v>1824</v>
      </c>
      <c r="O238" s="45"/>
      <c r="P238" s="45" t="s">
        <v>665</v>
      </c>
      <c r="Q238" s="45"/>
    </row>
    <row r="239" spans="1:17" x14ac:dyDescent="0.3">
      <c r="A239" s="7" t="s">
        <v>1912</v>
      </c>
      <c r="B239" s="7">
        <v>511283</v>
      </c>
      <c r="C239" s="7" t="s">
        <v>2042</v>
      </c>
      <c r="D239" s="7" t="s">
        <v>1914</v>
      </c>
      <c r="E239" s="7" t="s">
        <v>711</v>
      </c>
      <c r="F239" s="7" t="s">
        <v>1973</v>
      </c>
      <c r="G239" s="7" t="s">
        <v>216</v>
      </c>
      <c r="H239" s="36" t="s">
        <v>1916</v>
      </c>
      <c r="I239" s="36" t="s">
        <v>1826</v>
      </c>
      <c r="J239" s="36">
        <v>45369</v>
      </c>
      <c r="K239" s="46"/>
      <c r="L239" s="46" t="s">
        <v>366</v>
      </c>
      <c r="M239" s="46"/>
      <c r="N239" s="46" t="s">
        <v>1824</v>
      </c>
      <c r="O239" s="45"/>
      <c r="P239" s="45" t="s">
        <v>665</v>
      </c>
      <c r="Q239" s="45"/>
    </row>
    <row r="240" spans="1:17" x14ac:dyDescent="0.3">
      <c r="A240" s="7" t="s">
        <v>1912</v>
      </c>
      <c r="B240" s="7">
        <v>515977</v>
      </c>
      <c r="C240" s="7" t="s">
        <v>2043</v>
      </c>
      <c r="D240" s="7" t="s">
        <v>2044</v>
      </c>
      <c r="E240" s="7" t="s">
        <v>682</v>
      </c>
      <c r="F240" s="7" t="s">
        <v>1929</v>
      </c>
      <c r="G240" s="7" t="s">
        <v>310</v>
      </c>
      <c r="H240" s="36" t="s">
        <v>1926</v>
      </c>
      <c r="I240" s="36" t="s">
        <v>1826</v>
      </c>
      <c r="J240" s="36">
        <v>45377</v>
      </c>
      <c r="K240" s="46"/>
      <c r="L240" s="46" t="s">
        <v>447</v>
      </c>
      <c r="M240" s="46"/>
      <c r="N240" s="46" t="s">
        <v>1824</v>
      </c>
      <c r="O240" s="45"/>
      <c r="P240" s="45" t="s">
        <v>665</v>
      </c>
      <c r="Q240" s="45"/>
    </row>
    <row r="241" spans="1:17" x14ac:dyDescent="0.3">
      <c r="A241" s="7" t="s">
        <v>1912</v>
      </c>
      <c r="B241" s="7">
        <v>497558</v>
      </c>
      <c r="C241" s="7" t="s">
        <v>1932</v>
      </c>
      <c r="D241" s="7" t="s">
        <v>1914</v>
      </c>
      <c r="E241" s="7" t="s">
        <v>746</v>
      </c>
      <c r="F241" s="7" t="s">
        <v>1915</v>
      </c>
      <c r="G241" s="7" t="s">
        <v>218</v>
      </c>
      <c r="H241" s="36" t="s">
        <v>1916</v>
      </c>
      <c r="I241" s="36" t="s">
        <v>1826</v>
      </c>
      <c r="J241" s="36">
        <v>45383</v>
      </c>
      <c r="K241" s="46"/>
      <c r="L241" s="46" t="s">
        <v>396</v>
      </c>
      <c r="M241" s="46"/>
      <c r="N241" s="46" t="s">
        <v>1824</v>
      </c>
      <c r="O241" s="45"/>
      <c r="P241" s="45" t="s">
        <v>665</v>
      </c>
      <c r="Q241" s="45"/>
    </row>
    <row r="242" spans="1:17" x14ac:dyDescent="0.3">
      <c r="A242" s="7" t="s">
        <v>1912</v>
      </c>
      <c r="B242" s="7">
        <v>506473</v>
      </c>
      <c r="C242" s="7" t="s">
        <v>2045</v>
      </c>
      <c r="D242" s="7" t="s">
        <v>1923</v>
      </c>
      <c r="E242" s="7" t="s">
        <v>746</v>
      </c>
      <c r="F242" s="7" t="s">
        <v>1915</v>
      </c>
      <c r="G242" s="7" t="s">
        <v>132</v>
      </c>
      <c r="H242" s="36" t="s">
        <v>1916</v>
      </c>
      <c r="I242" s="36" t="s">
        <v>1826</v>
      </c>
      <c r="J242" s="36">
        <v>45383</v>
      </c>
      <c r="K242" s="46"/>
      <c r="L242" s="46" t="s">
        <v>269</v>
      </c>
      <c r="M242" s="46"/>
      <c r="N242" s="46" t="s">
        <v>1824</v>
      </c>
      <c r="O242" s="45"/>
      <c r="P242" s="45" t="s">
        <v>665</v>
      </c>
      <c r="Q242" s="45"/>
    </row>
    <row r="243" spans="1:17" x14ac:dyDescent="0.3">
      <c r="A243" s="7" t="s">
        <v>1912</v>
      </c>
      <c r="B243" s="7">
        <v>498980</v>
      </c>
      <c r="C243" s="7" t="s">
        <v>2046</v>
      </c>
      <c r="D243" s="7" t="s">
        <v>1921</v>
      </c>
      <c r="E243" s="7" t="s">
        <v>746</v>
      </c>
      <c r="F243" s="7" t="s">
        <v>1919</v>
      </c>
      <c r="G243" s="7" t="s">
        <v>2047</v>
      </c>
      <c r="H243" s="36" t="s">
        <v>1916</v>
      </c>
      <c r="I243" s="36" t="s">
        <v>1826</v>
      </c>
      <c r="J243" s="36">
        <v>45397</v>
      </c>
      <c r="K243" s="46"/>
      <c r="L243" s="46" t="s">
        <v>396</v>
      </c>
      <c r="M243" s="46"/>
      <c r="N243" s="46" t="s">
        <v>1824</v>
      </c>
      <c r="O243" s="45"/>
      <c r="P243" s="45" t="s">
        <v>665</v>
      </c>
      <c r="Q243" s="45"/>
    </row>
    <row r="244" spans="1:17" x14ac:dyDescent="0.3">
      <c r="A244" s="7" t="s">
        <v>1658</v>
      </c>
      <c r="B244" s="7">
        <v>507692</v>
      </c>
      <c r="C244" s="7" t="s">
        <v>2098</v>
      </c>
      <c r="D244" s="7" t="s">
        <v>1921</v>
      </c>
      <c r="E244" s="7" t="s">
        <v>746</v>
      </c>
      <c r="F244" s="7" t="s">
        <v>1915</v>
      </c>
      <c r="G244" s="7" t="s">
        <v>327</v>
      </c>
      <c r="H244" s="36" t="s">
        <v>1926</v>
      </c>
      <c r="I244" s="36" t="s">
        <v>1826</v>
      </c>
      <c r="J244" s="36">
        <v>45397</v>
      </c>
      <c r="K244" s="46"/>
      <c r="L244" s="46" t="s">
        <v>639</v>
      </c>
      <c r="M244" s="46"/>
      <c r="N244" s="46" t="s">
        <v>1824</v>
      </c>
      <c r="O244" s="45"/>
      <c r="P244" s="45" t="s">
        <v>665</v>
      </c>
      <c r="Q244" s="45"/>
    </row>
    <row r="245" spans="1:17" x14ac:dyDescent="0.3">
      <c r="A245" s="7" t="s">
        <v>1658</v>
      </c>
      <c r="B245" s="7">
        <v>513982</v>
      </c>
      <c r="C245" s="7" t="s">
        <v>1932</v>
      </c>
      <c r="D245" s="7" t="s">
        <v>1921</v>
      </c>
      <c r="E245" s="7" t="s">
        <v>746</v>
      </c>
      <c r="F245" s="7" t="s">
        <v>1915</v>
      </c>
      <c r="G245" s="7" t="s">
        <v>219</v>
      </c>
      <c r="H245" s="36" t="s">
        <v>1916</v>
      </c>
      <c r="I245" s="36" t="s">
        <v>1826</v>
      </c>
      <c r="J245" s="36">
        <v>45397</v>
      </c>
      <c r="K245" s="46"/>
      <c r="L245" s="46" t="s">
        <v>567</v>
      </c>
      <c r="M245" s="46"/>
      <c r="N245" s="46" t="s">
        <v>1824</v>
      </c>
      <c r="O245" s="45"/>
      <c r="P245" s="45" t="s">
        <v>665</v>
      </c>
      <c r="Q245" s="45"/>
    </row>
    <row r="246" spans="1:17" x14ac:dyDescent="0.3">
      <c r="A246" s="7" t="s">
        <v>755</v>
      </c>
      <c r="B246" s="7">
        <v>495194</v>
      </c>
      <c r="C246" s="7" t="s">
        <v>1932</v>
      </c>
      <c r="D246" s="7" t="s">
        <v>1921</v>
      </c>
      <c r="E246" s="7" t="s">
        <v>746</v>
      </c>
      <c r="F246" s="7" t="s">
        <v>1915</v>
      </c>
      <c r="G246" s="7" t="s">
        <v>391</v>
      </c>
      <c r="H246" s="36" t="s">
        <v>1926</v>
      </c>
      <c r="I246" s="36" t="s">
        <v>1826</v>
      </c>
      <c r="J246" s="36">
        <v>45399</v>
      </c>
      <c r="K246" s="46"/>
      <c r="L246" s="46" t="s">
        <v>1602</v>
      </c>
      <c r="M246" s="46"/>
      <c r="N246" s="46" t="s">
        <v>1824</v>
      </c>
      <c r="O246" s="45"/>
      <c r="P246" s="45" t="s">
        <v>665</v>
      </c>
      <c r="Q246" s="45"/>
    </row>
    <row r="247" spans="1:17" x14ac:dyDescent="0.3">
      <c r="A247" s="7" t="s">
        <v>1912</v>
      </c>
      <c r="B247" s="7">
        <v>502779</v>
      </c>
      <c r="C247" s="7" t="s">
        <v>2048</v>
      </c>
      <c r="D247" s="7" t="s">
        <v>1923</v>
      </c>
      <c r="E247" s="7" t="s">
        <v>746</v>
      </c>
      <c r="F247" s="7" t="s">
        <v>1915</v>
      </c>
      <c r="G247" s="7" t="s">
        <v>123</v>
      </c>
      <c r="H247" s="36" t="s">
        <v>1916</v>
      </c>
      <c r="I247" s="36" t="s">
        <v>1826</v>
      </c>
      <c r="J247" s="36">
        <v>45399</v>
      </c>
      <c r="K247" s="46"/>
      <c r="L247" s="46" t="s">
        <v>269</v>
      </c>
      <c r="M247" s="46"/>
      <c r="N247" s="46" t="s">
        <v>1824</v>
      </c>
      <c r="O247" s="45"/>
      <c r="P247" s="45" t="s">
        <v>665</v>
      </c>
      <c r="Q247" s="45"/>
    </row>
    <row r="248" spans="1:17" x14ac:dyDescent="0.3">
      <c r="A248" s="7" t="s">
        <v>755</v>
      </c>
      <c r="B248" s="7">
        <v>494914</v>
      </c>
      <c r="C248" s="7" t="s">
        <v>1932</v>
      </c>
      <c r="D248" s="7" t="s">
        <v>1914</v>
      </c>
      <c r="E248" s="7" t="s">
        <v>746</v>
      </c>
      <c r="F248" s="7" t="s">
        <v>1915</v>
      </c>
      <c r="G248" s="7" t="s">
        <v>601</v>
      </c>
      <c r="H248" s="36" t="s">
        <v>1916</v>
      </c>
      <c r="I248" s="36" t="s">
        <v>1826</v>
      </c>
      <c r="J248" s="36">
        <v>45414</v>
      </c>
      <c r="K248" s="46"/>
      <c r="L248" s="46" t="s">
        <v>34</v>
      </c>
      <c r="M248" s="46"/>
      <c r="N248" s="46" t="s">
        <v>1824</v>
      </c>
      <c r="O248" s="45"/>
      <c r="P248" s="45" t="s">
        <v>665</v>
      </c>
      <c r="Q248" s="45"/>
    </row>
    <row r="249" spans="1:17" x14ac:dyDescent="0.3">
      <c r="A249" s="7" t="s">
        <v>1658</v>
      </c>
      <c r="B249" s="7">
        <v>522024</v>
      </c>
      <c r="C249" s="7" t="s">
        <v>2049</v>
      </c>
      <c r="D249" s="7" t="s">
        <v>1950</v>
      </c>
      <c r="E249" s="7" t="s">
        <v>746</v>
      </c>
      <c r="F249" s="7" t="s">
        <v>1915</v>
      </c>
      <c r="G249" s="7" t="s">
        <v>368</v>
      </c>
      <c r="H249" s="36" t="s">
        <v>1926</v>
      </c>
      <c r="I249" s="36" t="s">
        <v>1826</v>
      </c>
      <c r="J249" s="36">
        <v>45418</v>
      </c>
      <c r="K249" s="46"/>
      <c r="L249" s="46" t="s">
        <v>375</v>
      </c>
      <c r="M249" s="46"/>
      <c r="N249" s="46" t="s">
        <v>1824</v>
      </c>
      <c r="O249" s="45"/>
      <c r="P249" s="45" t="s">
        <v>665</v>
      </c>
      <c r="Q249" s="45"/>
    </row>
    <row r="250" spans="1:17" x14ac:dyDescent="0.3">
      <c r="A250" s="7" t="s">
        <v>1658</v>
      </c>
      <c r="B250" s="7">
        <v>512766</v>
      </c>
      <c r="C250" s="7" t="s">
        <v>1932</v>
      </c>
      <c r="D250" s="7" t="s">
        <v>1914</v>
      </c>
      <c r="E250" s="7" t="s">
        <v>746</v>
      </c>
      <c r="F250" s="7" t="s">
        <v>1915</v>
      </c>
      <c r="G250" s="7" t="s">
        <v>324</v>
      </c>
      <c r="H250" s="36" t="s">
        <v>1926</v>
      </c>
      <c r="I250" s="36" t="s">
        <v>1826</v>
      </c>
      <c r="J250" s="36">
        <v>45418</v>
      </c>
      <c r="K250" s="46"/>
      <c r="L250" s="46" t="s">
        <v>470</v>
      </c>
      <c r="M250" s="46"/>
      <c r="N250" s="46" t="s">
        <v>1824</v>
      </c>
      <c r="O250" s="45"/>
      <c r="P250" s="45" t="s">
        <v>665</v>
      </c>
      <c r="Q250" s="45"/>
    </row>
    <row r="251" spans="1:17" x14ac:dyDescent="0.3">
      <c r="A251" s="7" t="s">
        <v>1912</v>
      </c>
      <c r="B251" s="7">
        <v>526310</v>
      </c>
      <c r="C251" s="7" t="s">
        <v>2050</v>
      </c>
      <c r="D251" s="7" t="s">
        <v>1950</v>
      </c>
      <c r="E251" s="7" t="s">
        <v>746</v>
      </c>
      <c r="F251" s="7" t="s">
        <v>1915</v>
      </c>
      <c r="G251" s="7" t="s">
        <v>499</v>
      </c>
      <c r="H251" s="36" t="s">
        <v>1926</v>
      </c>
      <c r="I251" s="36" t="s">
        <v>1826</v>
      </c>
      <c r="J251" s="36">
        <v>45420</v>
      </c>
      <c r="K251" s="46"/>
      <c r="L251" s="46" t="s">
        <v>123</v>
      </c>
      <c r="M251" s="46"/>
      <c r="N251" s="46" t="s">
        <v>1824</v>
      </c>
      <c r="O251" s="45"/>
      <c r="P251" s="45" t="s">
        <v>665</v>
      </c>
      <c r="Q251" s="45"/>
    </row>
    <row r="252" spans="1:17" x14ac:dyDescent="0.3">
      <c r="A252" s="7" t="s">
        <v>1658</v>
      </c>
      <c r="B252" s="7">
        <v>520631</v>
      </c>
      <c r="C252" s="7" t="s">
        <v>2051</v>
      </c>
      <c r="D252" s="7" t="s">
        <v>2044</v>
      </c>
      <c r="E252" s="7" t="s">
        <v>746</v>
      </c>
      <c r="F252" s="7" t="s">
        <v>1919</v>
      </c>
      <c r="G252" s="7" t="s">
        <v>305</v>
      </c>
      <c r="H252" s="36" t="s">
        <v>1926</v>
      </c>
      <c r="I252" s="36" t="s">
        <v>1826</v>
      </c>
      <c r="J252" s="36">
        <v>45420</v>
      </c>
      <c r="K252" s="46"/>
      <c r="L252" s="46" t="s">
        <v>544</v>
      </c>
      <c r="M252" s="46"/>
      <c r="N252" s="46" t="s">
        <v>1824</v>
      </c>
      <c r="O252" s="45"/>
      <c r="P252" s="45" t="s">
        <v>665</v>
      </c>
      <c r="Q252" s="45"/>
    </row>
    <row r="253" spans="1:17" x14ac:dyDescent="0.3">
      <c r="A253" s="7" t="s">
        <v>1912</v>
      </c>
      <c r="B253" s="7">
        <v>528666</v>
      </c>
      <c r="C253" s="7" t="s">
        <v>2052</v>
      </c>
      <c r="D253" s="7" t="s">
        <v>1950</v>
      </c>
      <c r="E253" s="7" t="s">
        <v>746</v>
      </c>
      <c r="F253" s="7" t="s">
        <v>1915</v>
      </c>
      <c r="G253" s="7" t="s">
        <v>80</v>
      </c>
      <c r="H253" s="36" t="s">
        <v>1916</v>
      </c>
      <c r="I253" s="36" t="s">
        <v>1826</v>
      </c>
      <c r="J253" s="36">
        <v>45420</v>
      </c>
      <c r="K253" s="46"/>
      <c r="L253" s="46" t="s">
        <v>258</v>
      </c>
      <c r="M253" s="46"/>
      <c r="N253" s="46" t="s">
        <v>1824</v>
      </c>
      <c r="O253" s="45"/>
      <c r="P253" s="45" t="s">
        <v>665</v>
      </c>
      <c r="Q253" s="45"/>
    </row>
    <row r="254" spans="1:17" x14ac:dyDescent="0.3">
      <c r="A254" s="7" t="s">
        <v>1912</v>
      </c>
      <c r="B254" s="7">
        <v>521640</v>
      </c>
      <c r="C254" s="7" t="s">
        <v>2009</v>
      </c>
      <c r="D254" s="7" t="s">
        <v>1921</v>
      </c>
      <c r="E254" s="7" t="s">
        <v>682</v>
      </c>
      <c r="F254" s="7" t="s">
        <v>1929</v>
      </c>
      <c r="G254" s="7" t="s">
        <v>646</v>
      </c>
      <c r="H254" s="36" t="s">
        <v>1916</v>
      </c>
      <c r="I254" s="36" t="s">
        <v>1826</v>
      </c>
      <c r="J254" s="36">
        <v>45426</v>
      </c>
      <c r="K254" s="46"/>
      <c r="L254" s="46" t="s">
        <v>565</v>
      </c>
      <c r="M254" s="46"/>
      <c r="N254" s="46" t="s">
        <v>1824</v>
      </c>
      <c r="O254" s="45"/>
      <c r="P254" s="45" t="s">
        <v>665</v>
      </c>
      <c r="Q254" s="45"/>
    </row>
    <row r="255" spans="1:17" x14ac:dyDescent="0.3">
      <c r="A255" s="7" t="s">
        <v>1658</v>
      </c>
      <c r="B255" s="7">
        <v>497686</v>
      </c>
      <c r="C255" s="7" t="s">
        <v>2029</v>
      </c>
      <c r="D255" s="7" t="s">
        <v>1921</v>
      </c>
      <c r="E255" s="7" t="s">
        <v>746</v>
      </c>
      <c r="F255" s="7" t="s">
        <v>1915</v>
      </c>
      <c r="G255" s="7" t="s">
        <v>582</v>
      </c>
      <c r="H255" s="36" t="s">
        <v>1916</v>
      </c>
      <c r="I255" s="36" t="s">
        <v>1826</v>
      </c>
      <c r="J255" s="36">
        <v>45427</v>
      </c>
      <c r="K255" s="46"/>
      <c r="L255" s="46" t="s">
        <v>244</v>
      </c>
      <c r="M255" s="46"/>
      <c r="N255" s="46" t="s">
        <v>1824</v>
      </c>
      <c r="O255" s="45"/>
      <c r="P255" s="45" t="s">
        <v>665</v>
      </c>
      <c r="Q255" s="45"/>
    </row>
    <row r="256" spans="1:17" x14ac:dyDescent="0.3">
      <c r="A256" s="7" t="s">
        <v>755</v>
      </c>
      <c r="B256" s="7">
        <v>522101</v>
      </c>
      <c r="C256" s="7" t="s">
        <v>1940</v>
      </c>
      <c r="D256" s="7" t="s">
        <v>1921</v>
      </c>
      <c r="E256" s="7" t="s">
        <v>746</v>
      </c>
      <c r="F256" s="7" t="s">
        <v>1915</v>
      </c>
      <c r="G256" s="7" t="s">
        <v>284</v>
      </c>
      <c r="H256" s="36" t="s">
        <v>1916</v>
      </c>
      <c r="I256" s="36" t="s">
        <v>1826</v>
      </c>
      <c r="J256" s="36">
        <v>45427</v>
      </c>
      <c r="K256" s="46"/>
      <c r="L256" s="46" t="s">
        <v>47</v>
      </c>
      <c r="M256" s="46"/>
      <c r="N256" s="46" t="s">
        <v>1824</v>
      </c>
      <c r="O256" s="45"/>
      <c r="P256" s="45" t="s">
        <v>665</v>
      </c>
      <c r="Q256" s="45"/>
    </row>
    <row r="257" spans="1:17" x14ac:dyDescent="0.3">
      <c r="A257" s="7" t="s">
        <v>1658</v>
      </c>
      <c r="B257" s="7">
        <v>513986</v>
      </c>
      <c r="C257" s="7" t="s">
        <v>1932</v>
      </c>
      <c r="D257" s="7" t="s">
        <v>1921</v>
      </c>
      <c r="E257" s="7" t="s">
        <v>746</v>
      </c>
      <c r="F257" s="7" t="s">
        <v>1915</v>
      </c>
      <c r="G257" s="7" t="s">
        <v>459</v>
      </c>
      <c r="H257" s="36" t="s">
        <v>1926</v>
      </c>
      <c r="I257" s="36" t="s">
        <v>1826</v>
      </c>
      <c r="J257" s="36">
        <v>45432</v>
      </c>
      <c r="K257" s="46"/>
      <c r="L257" s="46" t="s">
        <v>567</v>
      </c>
      <c r="M257" s="46"/>
      <c r="N257" s="46" t="s">
        <v>1824</v>
      </c>
      <c r="O257" s="45"/>
      <c r="P257" s="45" t="s">
        <v>665</v>
      </c>
      <c r="Q257" s="45"/>
    </row>
    <row r="258" spans="1:17" x14ac:dyDescent="0.3">
      <c r="A258" s="7" t="s">
        <v>1658</v>
      </c>
      <c r="B258" s="7">
        <v>513999</v>
      </c>
      <c r="C258" s="7" t="s">
        <v>1932</v>
      </c>
      <c r="D258" s="7" t="s">
        <v>1921</v>
      </c>
      <c r="E258" s="7" t="s">
        <v>746</v>
      </c>
      <c r="F258" s="7" t="s">
        <v>1915</v>
      </c>
      <c r="G258" s="7" t="s">
        <v>429</v>
      </c>
      <c r="H258" s="36" t="s">
        <v>1916</v>
      </c>
      <c r="I258" s="36" t="s">
        <v>1826</v>
      </c>
      <c r="J258" s="36">
        <v>45432</v>
      </c>
      <c r="K258" s="46"/>
      <c r="L258" s="46" t="s">
        <v>213</v>
      </c>
      <c r="M258" s="46"/>
      <c r="N258" s="46" t="s">
        <v>1824</v>
      </c>
      <c r="O258" s="45"/>
      <c r="P258" s="45" t="s">
        <v>665</v>
      </c>
      <c r="Q258" s="45"/>
    </row>
    <row r="259" spans="1:17" x14ac:dyDescent="0.3">
      <c r="A259" s="7" t="s">
        <v>1658</v>
      </c>
      <c r="B259" s="7">
        <v>507021</v>
      </c>
      <c r="C259" s="7" t="s">
        <v>2053</v>
      </c>
      <c r="D259" s="7" t="s">
        <v>1921</v>
      </c>
      <c r="E259" s="7" t="s">
        <v>746</v>
      </c>
      <c r="F259" s="7" t="s">
        <v>1915</v>
      </c>
      <c r="G259" s="7" t="s">
        <v>450</v>
      </c>
      <c r="H259" s="36" t="s">
        <v>1916</v>
      </c>
      <c r="I259" s="36" t="s">
        <v>1826</v>
      </c>
      <c r="J259" s="36">
        <v>45434</v>
      </c>
      <c r="K259" s="46"/>
      <c r="L259" s="46" t="s">
        <v>1519</v>
      </c>
      <c r="M259" s="46"/>
      <c r="N259" s="46" t="s">
        <v>1824</v>
      </c>
      <c r="O259" s="45"/>
      <c r="P259" s="45" t="s">
        <v>665</v>
      </c>
      <c r="Q259" s="45"/>
    </row>
    <row r="260" spans="1:17" x14ac:dyDescent="0.3">
      <c r="A260" s="7" t="s">
        <v>1658</v>
      </c>
      <c r="B260" s="7">
        <v>507695</v>
      </c>
      <c r="C260" s="7" t="s">
        <v>2098</v>
      </c>
      <c r="D260" s="7" t="s">
        <v>1921</v>
      </c>
      <c r="E260" s="7" t="s">
        <v>746</v>
      </c>
      <c r="F260" s="7" t="s">
        <v>1915</v>
      </c>
      <c r="G260" s="7" t="s">
        <v>405</v>
      </c>
      <c r="H260" s="36" t="s">
        <v>1916</v>
      </c>
      <c r="I260" s="36" t="s">
        <v>1826</v>
      </c>
      <c r="J260" s="36">
        <v>45446</v>
      </c>
      <c r="K260" s="46"/>
      <c r="L260" s="46" t="s">
        <v>639</v>
      </c>
      <c r="M260" s="46"/>
      <c r="N260" s="46" t="s">
        <v>1824</v>
      </c>
      <c r="O260" s="45"/>
      <c r="P260" s="45" t="s">
        <v>665</v>
      </c>
      <c r="Q260" s="45"/>
    </row>
    <row r="261" spans="1:17" x14ac:dyDescent="0.3">
      <c r="A261" s="7" t="s">
        <v>1658</v>
      </c>
      <c r="B261" s="7">
        <v>521237</v>
      </c>
      <c r="C261" s="7" t="s">
        <v>1932</v>
      </c>
      <c r="D261" s="7" t="s">
        <v>1921</v>
      </c>
      <c r="E261" s="7" t="s">
        <v>746</v>
      </c>
      <c r="F261" s="7" t="s">
        <v>1915</v>
      </c>
      <c r="G261" s="7" t="s">
        <v>148</v>
      </c>
      <c r="H261" s="36" t="s">
        <v>1916</v>
      </c>
      <c r="I261" s="36" t="s">
        <v>1826</v>
      </c>
      <c r="J261" s="36">
        <v>45446</v>
      </c>
      <c r="K261" s="46"/>
      <c r="L261" s="46" t="s">
        <v>213</v>
      </c>
      <c r="M261" s="46"/>
      <c r="N261" s="46" t="s">
        <v>1824</v>
      </c>
      <c r="O261" s="45"/>
      <c r="P261" s="45" t="s">
        <v>665</v>
      </c>
      <c r="Q261" s="45"/>
    </row>
    <row r="262" spans="1:17" x14ac:dyDescent="0.3">
      <c r="A262" s="7" t="s">
        <v>755</v>
      </c>
      <c r="B262" s="7">
        <v>506213</v>
      </c>
      <c r="C262" s="7" t="s">
        <v>2051</v>
      </c>
      <c r="D262" s="7" t="s">
        <v>1950</v>
      </c>
      <c r="E262" s="7" t="s">
        <v>746</v>
      </c>
      <c r="F262" s="7" t="s">
        <v>1915</v>
      </c>
      <c r="G262" s="7" t="s">
        <v>1389</v>
      </c>
      <c r="H262" s="36" t="s">
        <v>1916</v>
      </c>
      <c r="I262" s="36" t="s">
        <v>1826</v>
      </c>
      <c r="J262" s="36">
        <v>45447</v>
      </c>
      <c r="K262" s="46"/>
      <c r="L262" s="46" t="s">
        <v>309</v>
      </c>
      <c r="M262" s="46"/>
      <c r="N262" s="46" t="s">
        <v>1824</v>
      </c>
      <c r="O262" s="45"/>
      <c r="P262" s="45" t="s">
        <v>665</v>
      </c>
      <c r="Q262" s="45"/>
    </row>
    <row r="263" spans="1:17" x14ac:dyDescent="0.3">
      <c r="A263" s="7" t="s">
        <v>1658</v>
      </c>
      <c r="B263" s="7">
        <v>515610</v>
      </c>
      <c r="C263" s="7" t="s">
        <v>1938</v>
      </c>
      <c r="D263" s="7" t="s">
        <v>1914</v>
      </c>
      <c r="E263" s="7" t="s">
        <v>682</v>
      </c>
      <c r="F263" s="7" t="s">
        <v>1929</v>
      </c>
      <c r="G263" s="7" t="s">
        <v>177</v>
      </c>
      <c r="H263" s="36" t="s">
        <v>1916</v>
      </c>
      <c r="I263" s="36" t="s">
        <v>1826</v>
      </c>
      <c r="J263" s="36">
        <v>45447</v>
      </c>
      <c r="K263" s="46"/>
      <c r="L263" s="46" t="s">
        <v>217</v>
      </c>
      <c r="M263" s="46"/>
      <c r="N263" s="46" t="s">
        <v>1824</v>
      </c>
      <c r="O263" s="45"/>
      <c r="P263" s="45" t="s">
        <v>665</v>
      </c>
      <c r="Q263" s="45"/>
    </row>
    <row r="264" spans="1:17" x14ac:dyDescent="0.3">
      <c r="A264" s="7" t="s">
        <v>1658</v>
      </c>
      <c r="B264" s="7">
        <v>501797</v>
      </c>
      <c r="C264" s="7" t="s">
        <v>1984</v>
      </c>
      <c r="D264" s="7" t="s">
        <v>1921</v>
      </c>
      <c r="E264" s="7" t="s">
        <v>746</v>
      </c>
      <c r="F264" s="7" t="s">
        <v>1915</v>
      </c>
      <c r="G264" s="7" t="s">
        <v>412</v>
      </c>
      <c r="H264" s="36" t="s">
        <v>1916</v>
      </c>
      <c r="I264" s="36" t="s">
        <v>1826</v>
      </c>
      <c r="J264" s="36">
        <v>45453</v>
      </c>
      <c r="K264" s="46"/>
      <c r="L264" s="46" t="s">
        <v>458</v>
      </c>
      <c r="M264" s="46"/>
      <c r="N264" s="46" t="s">
        <v>1824</v>
      </c>
      <c r="O264" s="45"/>
      <c r="P264" s="45" t="s">
        <v>665</v>
      </c>
      <c r="Q264" s="45"/>
    </row>
    <row r="265" spans="1:17" x14ac:dyDescent="0.3">
      <c r="A265" s="7" t="s">
        <v>1658</v>
      </c>
      <c r="B265" s="7">
        <v>499332</v>
      </c>
      <c r="C265" s="7" t="s">
        <v>2054</v>
      </c>
      <c r="D265" s="7" t="s">
        <v>1914</v>
      </c>
      <c r="E265" s="7" t="s">
        <v>746</v>
      </c>
      <c r="F265" s="7" t="s">
        <v>1915</v>
      </c>
      <c r="G265" s="7" t="s">
        <v>322</v>
      </c>
      <c r="H265" s="36" t="s">
        <v>1916</v>
      </c>
      <c r="I265" s="36" t="s">
        <v>1826</v>
      </c>
      <c r="J265" s="36">
        <v>45453</v>
      </c>
      <c r="K265" s="46"/>
      <c r="L265" s="46" t="s">
        <v>48</v>
      </c>
      <c r="M265" s="46"/>
      <c r="N265" s="46" t="s">
        <v>1824</v>
      </c>
      <c r="O265" s="45"/>
      <c r="P265" s="45" t="s">
        <v>665</v>
      </c>
      <c r="Q265" s="45"/>
    </row>
    <row r="266" spans="1:17" x14ac:dyDescent="0.3">
      <c r="A266" s="7" t="s">
        <v>1912</v>
      </c>
      <c r="B266" s="7">
        <v>524823</v>
      </c>
      <c r="C266" s="7" t="s">
        <v>1932</v>
      </c>
      <c r="D266" s="7" t="s">
        <v>1921</v>
      </c>
      <c r="E266" s="7" t="s">
        <v>746</v>
      </c>
      <c r="F266" s="7" t="s">
        <v>1915</v>
      </c>
      <c r="G266" s="7" t="s">
        <v>125</v>
      </c>
      <c r="H266" s="36" t="s">
        <v>1916</v>
      </c>
      <c r="I266" s="36" t="s">
        <v>1826</v>
      </c>
      <c r="J266" s="36">
        <v>45453</v>
      </c>
      <c r="K266" s="46"/>
      <c r="L266" s="46" t="s">
        <v>87</v>
      </c>
      <c r="M266" s="46"/>
      <c r="N266" s="46" t="s">
        <v>1824</v>
      </c>
      <c r="O266" s="45"/>
      <c r="P266" s="45" t="s">
        <v>665</v>
      </c>
      <c r="Q266" s="45"/>
    </row>
    <row r="267" spans="1:17" x14ac:dyDescent="0.3">
      <c r="A267" s="7" t="s">
        <v>1658</v>
      </c>
      <c r="B267" s="7">
        <v>523149</v>
      </c>
      <c r="C267" s="7" t="s">
        <v>1932</v>
      </c>
      <c r="D267" s="7" t="s">
        <v>1921</v>
      </c>
      <c r="E267" s="7" t="s">
        <v>746</v>
      </c>
      <c r="F267" s="7" t="s">
        <v>1915</v>
      </c>
      <c r="G267" s="7" t="s">
        <v>635</v>
      </c>
      <c r="H267" s="36" t="s">
        <v>1916</v>
      </c>
      <c r="I267" s="36" t="s">
        <v>1826</v>
      </c>
      <c r="J267" s="36">
        <v>45460</v>
      </c>
      <c r="K267" s="46"/>
      <c r="L267" s="46" t="s">
        <v>324</v>
      </c>
      <c r="M267" s="46"/>
      <c r="N267" s="46" t="s">
        <v>1824</v>
      </c>
      <c r="O267" s="45"/>
      <c r="P267" s="45" t="s">
        <v>665</v>
      </c>
      <c r="Q267" s="45"/>
    </row>
    <row r="268" spans="1:17" x14ac:dyDescent="0.3">
      <c r="A268" s="7" t="s">
        <v>1658</v>
      </c>
      <c r="B268" s="7">
        <v>519704</v>
      </c>
      <c r="C268" s="7" t="s">
        <v>2055</v>
      </c>
      <c r="D268" s="7" t="s">
        <v>1950</v>
      </c>
      <c r="E268" s="7" t="s">
        <v>746</v>
      </c>
      <c r="F268" s="7" t="s">
        <v>1915</v>
      </c>
      <c r="G268" s="7" t="s">
        <v>538</v>
      </c>
      <c r="H268" s="36" t="s">
        <v>1926</v>
      </c>
      <c r="I268" s="36" t="s">
        <v>1826</v>
      </c>
      <c r="J268" s="36">
        <v>45460</v>
      </c>
      <c r="K268" s="46"/>
      <c r="L268" s="46" t="s">
        <v>244</v>
      </c>
      <c r="M268" s="46"/>
      <c r="N268" s="46" t="s">
        <v>1824</v>
      </c>
      <c r="O268" s="45"/>
      <c r="P268" s="45" t="s">
        <v>665</v>
      </c>
      <c r="Q268" s="45"/>
    </row>
    <row r="269" spans="1:17" x14ac:dyDescent="0.3">
      <c r="A269" s="7" t="s">
        <v>1658</v>
      </c>
      <c r="B269" s="7">
        <v>515658</v>
      </c>
      <c r="C269" s="7" t="s">
        <v>2028</v>
      </c>
      <c r="D269" s="7" t="s">
        <v>1921</v>
      </c>
      <c r="E269" s="7" t="s">
        <v>746</v>
      </c>
      <c r="F269" s="7" t="s">
        <v>1915</v>
      </c>
      <c r="G269" s="7" t="s">
        <v>112</v>
      </c>
      <c r="H269" s="36" t="s">
        <v>1916</v>
      </c>
      <c r="I269" s="36" t="s">
        <v>1826</v>
      </c>
      <c r="J269" s="36">
        <v>45460</v>
      </c>
      <c r="K269" s="46"/>
      <c r="L269" s="46" t="s">
        <v>449</v>
      </c>
      <c r="M269" s="46"/>
      <c r="N269" s="46" t="s">
        <v>1824</v>
      </c>
      <c r="O269" s="45"/>
      <c r="P269" s="45" t="s">
        <v>665</v>
      </c>
      <c r="Q269" s="45"/>
    </row>
    <row r="270" spans="1:17" x14ac:dyDescent="0.3">
      <c r="A270" s="7" t="s">
        <v>755</v>
      </c>
      <c r="B270" s="7">
        <v>514504</v>
      </c>
      <c r="C270" s="7" t="s">
        <v>1946</v>
      </c>
      <c r="D270" s="7" t="s">
        <v>1921</v>
      </c>
      <c r="E270" s="7" t="s">
        <v>746</v>
      </c>
      <c r="F270" s="7" t="s">
        <v>1915</v>
      </c>
      <c r="G270" s="7" t="s">
        <v>605</v>
      </c>
      <c r="H270" s="36" t="s">
        <v>1916</v>
      </c>
      <c r="I270" s="36" t="s">
        <v>1826</v>
      </c>
      <c r="J270" s="36">
        <v>45474</v>
      </c>
      <c r="K270" s="46"/>
      <c r="L270" s="46" t="s">
        <v>309</v>
      </c>
      <c r="M270" s="46"/>
      <c r="N270" s="46" t="s">
        <v>1824</v>
      </c>
      <c r="O270" s="45"/>
      <c r="P270" s="45" t="s">
        <v>665</v>
      </c>
      <c r="Q270" s="45"/>
    </row>
    <row r="271" spans="1:17" x14ac:dyDescent="0.3">
      <c r="A271" s="7" t="s">
        <v>755</v>
      </c>
      <c r="B271" s="7">
        <v>517265</v>
      </c>
      <c r="C271" s="7" t="s">
        <v>1962</v>
      </c>
      <c r="D271" s="7" t="s">
        <v>1914</v>
      </c>
      <c r="E271" s="7" t="s">
        <v>746</v>
      </c>
      <c r="F271" s="7" t="s">
        <v>1915</v>
      </c>
      <c r="G271" s="7" t="s">
        <v>298</v>
      </c>
      <c r="H271" s="36" t="s">
        <v>1916</v>
      </c>
      <c r="I271" s="36" t="s">
        <v>1826</v>
      </c>
      <c r="J271" s="36">
        <v>45474</v>
      </c>
      <c r="K271" s="46"/>
      <c r="L271" s="46" t="s">
        <v>34</v>
      </c>
      <c r="M271" s="46"/>
      <c r="N271" s="46" t="s">
        <v>1824</v>
      </c>
      <c r="O271" s="45"/>
      <c r="P271" s="45" t="s">
        <v>665</v>
      </c>
      <c r="Q271" s="45"/>
    </row>
    <row r="272" spans="1:17" x14ac:dyDescent="0.3">
      <c r="A272" s="7" t="s">
        <v>1912</v>
      </c>
      <c r="B272" s="7">
        <v>506213</v>
      </c>
      <c r="C272" s="7" t="s">
        <v>2056</v>
      </c>
      <c r="D272" s="7" t="s">
        <v>1950</v>
      </c>
      <c r="E272" s="7" t="s">
        <v>746</v>
      </c>
      <c r="F272" s="7" t="s">
        <v>1915</v>
      </c>
      <c r="G272" s="7" t="s">
        <v>492</v>
      </c>
      <c r="H272" s="36" t="s">
        <v>1916</v>
      </c>
      <c r="I272" s="36" t="s">
        <v>1826</v>
      </c>
      <c r="J272" s="36">
        <v>45475</v>
      </c>
      <c r="K272" s="46"/>
      <c r="L272" s="46" t="s">
        <v>258</v>
      </c>
      <c r="M272" s="46"/>
      <c r="N272" s="46" t="s">
        <v>1824</v>
      </c>
      <c r="O272" s="45"/>
      <c r="P272" s="45" t="s">
        <v>665</v>
      </c>
      <c r="Q272" s="45"/>
    </row>
    <row r="273" spans="1:17" x14ac:dyDescent="0.3">
      <c r="A273" s="7" t="s">
        <v>755</v>
      </c>
      <c r="B273" s="7">
        <v>506213</v>
      </c>
      <c r="C273" s="7" t="s">
        <v>2051</v>
      </c>
      <c r="D273" s="7" t="s">
        <v>1950</v>
      </c>
      <c r="E273" s="7" t="s">
        <v>746</v>
      </c>
      <c r="F273" s="7" t="s">
        <v>1915</v>
      </c>
      <c r="G273" s="7" t="s">
        <v>1171</v>
      </c>
      <c r="H273" s="36" t="s">
        <v>1926</v>
      </c>
      <c r="I273" s="36" t="s">
        <v>1826</v>
      </c>
      <c r="J273" s="36">
        <v>45475</v>
      </c>
      <c r="K273" s="46"/>
      <c r="L273" s="46" t="s">
        <v>34</v>
      </c>
      <c r="M273" s="46"/>
      <c r="N273" s="46" t="s">
        <v>1824</v>
      </c>
      <c r="O273" s="45"/>
      <c r="P273" s="45" t="s">
        <v>665</v>
      </c>
      <c r="Q273" s="45"/>
    </row>
    <row r="274" spans="1:17" x14ac:dyDescent="0.3">
      <c r="A274" s="7" t="s">
        <v>755</v>
      </c>
      <c r="B274" s="7">
        <v>506213</v>
      </c>
      <c r="C274" s="7" t="s">
        <v>2056</v>
      </c>
      <c r="D274" s="7" t="s">
        <v>1950</v>
      </c>
      <c r="E274" s="7" t="s">
        <v>746</v>
      </c>
      <c r="F274" s="7" t="s">
        <v>1915</v>
      </c>
      <c r="G274" s="7" t="s">
        <v>38</v>
      </c>
      <c r="H274" s="36" t="s">
        <v>1916</v>
      </c>
      <c r="I274" s="36" t="s">
        <v>1826</v>
      </c>
      <c r="J274" s="36">
        <v>45475</v>
      </c>
      <c r="K274" s="46"/>
      <c r="L274" s="46" t="s">
        <v>309</v>
      </c>
      <c r="M274" s="46"/>
      <c r="N274" s="46" t="s">
        <v>1824</v>
      </c>
      <c r="O274" s="45"/>
      <c r="P274" s="45" t="s">
        <v>665</v>
      </c>
      <c r="Q274" s="45"/>
    </row>
    <row r="275" spans="1:17" x14ac:dyDescent="0.3">
      <c r="A275" s="7" t="s">
        <v>1912</v>
      </c>
      <c r="B275" s="7">
        <v>500544</v>
      </c>
      <c r="C275" s="7" t="s">
        <v>2057</v>
      </c>
      <c r="D275" s="7" t="s">
        <v>1921</v>
      </c>
      <c r="E275" s="7" t="s">
        <v>746</v>
      </c>
      <c r="F275" s="7" t="s">
        <v>1915</v>
      </c>
      <c r="G275" s="7" t="s">
        <v>347</v>
      </c>
      <c r="H275" s="36" t="s">
        <v>1916</v>
      </c>
      <c r="I275" s="36" t="s">
        <v>1826</v>
      </c>
      <c r="J275" s="36">
        <v>45481</v>
      </c>
      <c r="K275" s="46"/>
      <c r="L275" s="46" t="s">
        <v>123</v>
      </c>
      <c r="M275" s="46"/>
      <c r="N275" s="46" t="s">
        <v>1824</v>
      </c>
      <c r="O275" s="45"/>
      <c r="P275" s="45" t="s">
        <v>665</v>
      </c>
      <c r="Q275" s="45"/>
    </row>
    <row r="276" spans="1:17" x14ac:dyDescent="0.3">
      <c r="A276" s="7" t="s">
        <v>1658</v>
      </c>
      <c r="B276" s="7">
        <v>508419</v>
      </c>
      <c r="C276" s="7" t="s">
        <v>2058</v>
      </c>
      <c r="D276" s="7" t="s">
        <v>1921</v>
      </c>
      <c r="E276" s="7" t="s">
        <v>746</v>
      </c>
      <c r="F276" s="7" t="s">
        <v>1915</v>
      </c>
      <c r="G276" s="7" t="s">
        <v>303</v>
      </c>
      <c r="H276" s="36" t="s">
        <v>1916</v>
      </c>
      <c r="I276" s="36" t="s">
        <v>1826</v>
      </c>
      <c r="J276" s="36">
        <v>45481</v>
      </c>
      <c r="K276" s="46"/>
      <c r="L276" s="46" t="s">
        <v>544</v>
      </c>
      <c r="M276" s="46"/>
      <c r="N276" s="46" t="s">
        <v>1824</v>
      </c>
      <c r="O276" s="45"/>
      <c r="P276" s="45" t="s">
        <v>665</v>
      </c>
      <c r="Q276" s="45"/>
    </row>
    <row r="277" spans="1:17" x14ac:dyDescent="0.3">
      <c r="A277" s="7" t="s">
        <v>1658</v>
      </c>
      <c r="B277" s="7">
        <v>520533</v>
      </c>
      <c r="C277" s="7" t="s">
        <v>1984</v>
      </c>
      <c r="D277" s="7" t="s">
        <v>1921</v>
      </c>
      <c r="E277" s="7" t="s">
        <v>746</v>
      </c>
      <c r="F277" s="7" t="s">
        <v>1915</v>
      </c>
      <c r="G277" s="7" t="s">
        <v>637</v>
      </c>
      <c r="H277" s="36" t="s">
        <v>1916</v>
      </c>
      <c r="I277" s="36" t="s">
        <v>1826</v>
      </c>
      <c r="J277" s="36">
        <v>45488</v>
      </c>
      <c r="K277" s="46"/>
      <c r="L277" s="46" t="s">
        <v>458</v>
      </c>
      <c r="M277" s="46"/>
      <c r="N277" s="46" t="s">
        <v>1824</v>
      </c>
      <c r="O277" s="45"/>
      <c r="P277" s="45" t="s">
        <v>665</v>
      </c>
      <c r="Q277" s="45"/>
    </row>
    <row r="278" spans="1:17" x14ac:dyDescent="0.3">
      <c r="A278" s="7" t="s">
        <v>1658</v>
      </c>
      <c r="B278" s="7">
        <v>521794</v>
      </c>
      <c r="C278" s="7" t="s">
        <v>1932</v>
      </c>
      <c r="D278" s="7" t="s">
        <v>1921</v>
      </c>
      <c r="E278" s="7" t="s">
        <v>746</v>
      </c>
      <c r="F278" s="7" t="s">
        <v>1915</v>
      </c>
      <c r="G278" s="7" t="s">
        <v>352</v>
      </c>
      <c r="H278" s="36" t="s">
        <v>1916</v>
      </c>
      <c r="I278" s="36" t="s">
        <v>1826</v>
      </c>
      <c r="J278" s="36">
        <v>45488</v>
      </c>
      <c r="K278" s="46"/>
      <c r="L278" s="46" t="s">
        <v>300</v>
      </c>
      <c r="M278" s="46"/>
      <c r="N278" s="46" t="s">
        <v>1824</v>
      </c>
      <c r="O278" s="45"/>
      <c r="P278" s="45" t="s">
        <v>665</v>
      </c>
      <c r="Q278" s="45"/>
    </row>
    <row r="279" spans="1:17" x14ac:dyDescent="0.3">
      <c r="A279" s="7" t="s">
        <v>1912</v>
      </c>
      <c r="B279" s="7">
        <v>523483</v>
      </c>
      <c r="C279" s="7" t="s">
        <v>1948</v>
      </c>
      <c r="D279" s="7" t="s">
        <v>1921</v>
      </c>
      <c r="E279" s="7" t="s">
        <v>746</v>
      </c>
      <c r="F279" s="7" t="s">
        <v>1915</v>
      </c>
      <c r="G279" s="7" t="s">
        <v>183</v>
      </c>
      <c r="H279" s="36" t="s">
        <v>1916</v>
      </c>
      <c r="I279" s="36" t="s">
        <v>1826</v>
      </c>
      <c r="J279" s="36">
        <v>45488</v>
      </c>
      <c r="K279" s="46"/>
      <c r="L279" s="46" t="s">
        <v>267</v>
      </c>
      <c r="M279" s="46"/>
      <c r="N279" s="46" t="s">
        <v>1824</v>
      </c>
      <c r="O279" s="45"/>
      <c r="P279" s="45" t="s">
        <v>665</v>
      </c>
      <c r="Q279" s="45"/>
    </row>
    <row r="280" spans="1:17" x14ac:dyDescent="0.3">
      <c r="A280" s="7" t="s">
        <v>755</v>
      </c>
      <c r="B280" s="7">
        <v>506241</v>
      </c>
      <c r="C280" s="7" t="s">
        <v>1951</v>
      </c>
      <c r="D280" s="7" t="s">
        <v>1950</v>
      </c>
      <c r="E280" s="7" t="s">
        <v>746</v>
      </c>
      <c r="F280" s="7" t="s">
        <v>1915</v>
      </c>
      <c r="G280" s="7" t="s">
        <v>481</v>
      </c>
      <c r="H280" s="36" t="s">
        <v>1926</v>
      </c>
      <c r="I280" s="36" t="s">
        <v>1826</v>
      </c>
      <c r="J280" s="36">
        <v>45488</v>
      </c>
      <c r="K280" s="46"/>
      <c r="L280" s="46" t="s">
        <v>47</v>
      </c>
      <c r="M280" s="46"/>
      <c r="N280" s="46" t="s">
        <v>1824</v>
      </c>
      <c r="O280" s="45"/>
      <c r="P280" s="45" t="s">
        <v>665</v>
      </c>
      <c r="Q280" s="45"/>
    </row>
    <row r="281" spans="1:17" x14ac:dyDescent="0.3">
      <c r="A281" s="7" t="s">
        <v>755</v>
      </c>
      <c r="B281" s="7">
        <v>517244</v>
      </c>
      <c r="C281" s="7" t="s">
        <v>1962</v>
      </c>
      <c r="D281" s="7" t="s">
        <v>1921</v>
      </c>
      <c r="E281" s="7" t="s">
        <v>746</v>
      </c>
      <c r="F281" s="7" t="s">
        <v>1915</v>
      </c>
      <c r="G281" s="7" t="s">
        <v>1301</v>
      </c>
      <c r="H281" s="36" t="s">
        <v>1926</v>
      </c>
      <c r="I281" s="36" t="s">
        <v>1826</v>
      </c>
      <c r="J281" s="36">
        <v>45505</v>
      </c>
      <c r="K281" s="46"/>
      <c r="L281" s="46" t="s">
        <v>633</v>
      </c>
      <c r="M281" s="46"/>
      <c r="N281" s="46" t="s">
        <v>1824</v>
      </c>
      <c r="O281" s="45"/>
      <c r="P281" s="45" t="s">
        <v>665</v>
      </c>
      <c r="Q281" s="45"/>
    </row>
    <row r="282" spans="1:17" x14ac:dyDescent="0.3">
      <c r="A282" s="7" t="s">
        <v>755</v>
      </c>
      <c r="B282" s="7">
        <v>506241</v>
      </c>
      <c r="C282" s="7" t="s">
        <v>2059</v>
      </c>
      <c r="D282" s="7" t="s">
        <v>1950</v>
      </c>
      <c r="E282" s="7" t="s">
        <v>746</v>
      </c>
      <c r="F282" s="7" t="s">
        <v>1915</v>
      </c>
      <c r="G282" s="7" t="s">
        <v>425</v>
      </c>
      <c r="H282" s="36" t="s">
        <v>1916</v>
      </c>
      <c r="I282" s="36" t="s">
        <v>1826</v>
      </c>
      <c r="J282" s="36">
        <v>45505</v>
      </c>
      <c r="K282" s="46"/>
      <c r="L282" s="46" t="s">
        <v>753</v>
      </c>
      <c r="M282" s="46"/>
      <c r="N282" s="46" t="s">
        <v>1824</v>
      </c>
      <c r="O282" s="45"/>
      <c r="P282" s="45" t="s">
        <v>665</v>
      </c>
      <c r="Q282" s="45"/>
    </row>
    <row r="283" spans="1:17" x14ac:dyDescent="0.3">
      <c r="A283" s="7" t="s">
        <v>755</v>
      </c>
      <c r="B283" s="7">
        <v>506213</v>
      </c>
      <c r="C283" s="7" t="s">
        <v>2051</v>
      </c>
      <c r="D283" s="7" t="s">
        <v>1950</v>
      </c>
      <c r="E283" s="7" t="s">
        <v>746</v>
      </c>
      <c r="F283" s="7" t="s">
        <v>1915</v>
      </c>
      <c r="G283" s="7" t="s">
        <v>1296</v>
      </c>
      <c r="H283" s="36" t="s">
        <v>1916</v>
      </c>
      <c r="I283" s="36" t="s">
        <v>1826</v>
      </c>
      <c r="J283" s="36">
        <v>45505</v>
      </c>
      <c r="K283" s="46"/>
      <c r="L283" s="46" t="s">
        <v>633</v>
      </c>
      <c r="M283" s="46"/>
      <c r="N283" s="46" t="s">
        <v>1824</v>
      </c>
      <c r="O283" s="45"/>
      <c r="P283" s="45" t="s">
        <v>665</v>
      </c>
      <c r="Q283" s="45"/>
    </row>
    <row r="284" spans="1:17" x14ac:dyDescent="0.3">
      <c r="A284" s="7" t="s">
        <v>755</v>
      </c>
      <c r="B284" s="7">
        <v>506241</v>
      </c>
      <c r="C284" s="7" t="s">
        <v>2059</v>
      </c>
      <c r="D284" s="7" t="s">
        <v>1950</v>
      </c>
      <c r="E284" s="7" t="s">
        <v>746</v>
      </c>
      <c r="F284" s="7" t="s">
        <v>1915</v>
      </c>
      <c r="G284" s="7" t="s">
        <v>42</v>
      </c>
      <c r="H284" s="36" t="s">
        <v>1916</v>
      </c>
      <c r="I284" s="36" t="s">
        <v>1826</v>
      </c>
      <c r="J284" s="36">
        <v>45505</v>
      </c>
      <c r="K284" s="46"/>
      <c r="L284" s="46" t="s">
        <v>293</v>
      </c>
      <c r="M284" s="46"/>
      <c r="N284" s="46" t="s">
        <v>1824</v>
      </c>
      <c r="O284" s="45"/>
      <c r="P284" s="45" t="s">
        <v>665</v>
      </c>
      <c r="Q284" s="45"/>
    </row>
    <row r="285" spans="1:17" x14ac:dyDescent="0.3">
      <c r="A285" s="7" t="s">
        <v>1912</v>
      </c>
      <c r="B285" s="7">
        <v>529803</v>
      </c>
      <c r="C285" s="7" t="s">
        <v>2050</v>
      </c>
      <c r="D285" s="7" t="s">
        <v>1950</v>
      </c>
      <c r="E285" s="7" t="s">
        <v>746</v>
      </c>
      <c r="F285" s="7" t="s">
        <v>1915</v>
      </c>
      <c r="G285" s="7" t="s">
        <v>85</v>
      </c>
      <c r="H285" s="36" t="s">
        <v>1916</v>
      </c>
      <c r="I285" s="36" t="s">
        <v>1826</v>
      </c>
      <c r="J285" s="36">
        <v>45509</v>
      </c>
      <c r="K285" s="46"/>
      <c r="L285" s="46" t="s">
        <v>123</v>
      </c>
      <c r="M285" s="46"/>
      <c r="N285" s="46" t="s">
        <v>1824</v>
      </c>
      <c r="O285" s="45"/>
      <c r="P285" s="45" t="s">
        <v>665</v>
      </c>
      <c r="Q285" s="45"/>
    </row>
    <row r="286" spans="1:17" x14ac:dyDescent="0.3">
      <c r="A286" s="7" t="s">
        <v>1658</v>
      </c>
      <c r="B286" s="7">
        <v>524015</v>
      </c>
      <c r="C286" s="7" t="s">
        <v>2060</v>
      </c>
      <c r="D286" s="7" t="s">
        <v>1921</v>
      </c>
      <c r="E286" s="7" t="s">
        <v>746</v>
      </c>
      <c r="F286" s="7" t="s">
        <v>1915</v>
      </c>
      <c r="G286" s="7" t="s">
        <v>636</v>
      </c>
      <c r="H286" s="36" t="s">
        <v>1916</v>
      </c>
      <c r="I286" s="36" t="s">
        <v>1826</v>
      </c>
      <c r="J286" s="36">
        <v>45513</v>
      </c>
      <c r="K286" s="46"/>
      <c r="L286" s="46" t="s">
        <v>333</v>
      </c>
      <c r="M286" s="46"/>
      <c r="N286" s="46" t="s">
        <v>1824</v>
      </c>
      <c r="O286" s="45"/>
      <c r="P286" s="45" t="s">
        <v>665</v>
      </c>
      <c r="Q286" s="45"/>
    </row>
    <row r="287" spans="1:17" x14ac:dyDescent="0.3">
      <c r="A287" s="7" t="s">
        <v>1912</v>
      </c>
      <c r="B287" s="7">
        <v>521083</v>
      </c>
      <c r="C287" s="7" t="s">
        <v>1920</v>
      </c>
      <c r="D287" s="7" t="s">
        <v>1921</v>
      </c>
      <c r="E287" s="7" t="s">
        <v>746</v>
      </c>
      <c r="F287" s="7" t="s">
        <v>1919</v>
      </c>
      <c r="G287" s="7" t="s">
        <v>117</v>
      </c>
      <c r="H287" s="36" t="s">
        <v>1916</v>
      </c>
      <c r="I287" s="36" t="s">
        <v>1826</v>
      </c>
      <c r="J287" s="36">
        <v>45518</v>
      </c>
      <c r="K287" s="46"/>
      <c r="L287" s="46" t="s">
        <v>396</v>
      </c>
      <c r="M287" s="46"/>
      <c r="N287" s="46" t="s">
        <v>1824</v>
      </c>
      <c r="O287" s="45"/>
      <c r="P287" s="45" t="s">
        <v>665</v>
      </c>
      <c r="Q287" s="45"/>
    </row>
    <row r="288" spans="1:17" x14ac:dyDescent="0.3">
      <c r="A288" s="7" t="s">
        <v>755</v>
      </c>
      <c r="B288" s="7">
        <v>506241</v>
      </c>
      <c r="C288" s="7" t="s">
        <v>1951</v>
      </c>
      <c r="D288" s="7" t="s">
        <v>1950</v>
      </c>
      <c r="E288" s="7" t="s">
        <v>746</v>
      </c>
      <c r="F288" s="7" t="s">
        <v>1915</v>
      </c>
      <c r="G288" s="7" t="s">
        <v>329</v>
      </c>
      <c r="H288" s="36" t="s">
        <v>1916</v>
      </c>
      <c r="I288" s="36" t="s">
        <v>1826</v>
      </c>
      <c r="J288" s="36">
        <v>45523</v>
      </c>
      <c r="K288" s="46"/>
      <c r="L288" s="46" t="s">
        <v>47</v>
      </c>
      <c r="M288" s="46"/>
      <c r="N288" s="46" t="s">
        <v>1824</v>
      </c>
      <c r="O288" s="45"/>
      <c r="P288" s="45" t="s">
        <v>665</v>
      </c>
      <c r="Q288" s="45"/>
    </row>
    <row r="289" spans="1:17" x14ac:dyDescent="0.3">
      <c r="A289" s="7" t="s">
        <v>1912</v>
      </c>
      <c r="B289" s="7">
        <v>527414</v>
      </c>
      <c r="C289" s="7" t="s">
        <v>2029</v>
      </c>
      <c r="D289" s="7" t="s">
        <v>1914</v>
      </c>
      <c r="E289" s="7" t="s">
        <v>682</v>
      </c>
      <c r="F289" s="7" t="s">
        <v>1929</v>
      </c>
      <c r="G289" s="7" t="s">
        <v>485</v>
      </c>
      <c r="H289" s="36" t="s">
        <v>1926</v>
      </c>
      <c r="I289" s="36" t="s">
        <v>1826</v>
      </c>
      <c r="J289" s="36">
        <v>45524</v>
      </c>
      <c r="K289" s="46"/>
      <c r="L289" s="46" t="s">
        <v>565</v>
      </c>
      <c r="M289" s="46"/>
      <c r="N289" s="46" t="s">
        <v>1824</v>
      </c>
      <c r="O289" s="45"/>
      <c r="P289" s="45" t="s">
        <v>665</v>
      </c>
      <c r="Q289" s="45"/>
    </row>
    <row r="290" spans="1:17" x14ac:dyDescent="0.3">
      <c r="A290" s="7" t="s">
        <v>1912</v>
      </c>
      <c r="B290" s="7">
        <v>527415</v>
      </c>
      <c r="C290" s="7" t="s">
        <v>2003</v>
      </c>
      <c r="D290" s="7" t="s">
        <v>1921</v>
      </c>
      <c r="E290" s="7" t="s">
        <v>682</v>
      </c>
      <c r="F290" s="7" t="s">
        <v>1929</v>
      </c>
      <c r="G290" s="7" t="s">
        <v>304</v>
      </c>
      <c r="H290" s="36" t="s">
        <v>1916</v>
      </c>
      <c r="I290" s="36" t="s">
        <v>1826</v>
      </c>
      <c r="J290" s="36">
        <v>45524</v>
      </c>
      <c r="K290" s="46"/>
      <c r="L290" s="46" t="s">
        <v>447</v>
      </c>
      <c r="M290" s="46"/>
      <c r="N290" s="46" t="s">
        <v>1824</v>
      </c>
      <c r="O290" s="45"/>
      <c r="P290" s="45" t="s">
        <v>665</v>
      </c>
      <c r="Q290" s="45"/>
    </row>
    <row r="291" spans="1:17" x14ac:dyDescent="0.3">
      <c r="A291" s="7" t="s">
        <v>1912</v>
      </c>
      <c r="B291" s="7">
        <v>527410</v>
      </c>
      <c r="C291" s="7" t="s">
        <v>2009</v>
      </c>
      <c r="D291" s="7" t="s">
        <v>1921</v>
      </c>
      <c r="E291" s="7" t="s">
        <v>682</v>
      </c>
      <c r="F291" s="7" t="s">
        <v>1929</v>
      </c>
      <c r="G291" s="7" t="s">
        <v>233</v>
      </c>
      <c r="H291" s="36" t="s">
        <v>1916</v>
      </c>
      <c r="I291" s="36" t="s">
        <v>1826</v>
      </c>
      <c r="J291" s="36">
        <v>45524</v>
      </c>
      <c r="K291" s="46"/>
      <c r="L291" s="46" t="s">
        <v>565</v>
      </c>
      <c r="M291" s="46"/>
      <c r="N291" s="46" t="s">
        <v>1824</v>
      </c>
      <c r="O291" s="45"/>
      <c r="P291" s="45" t="s">
        <v>665</v>
      </c>
      <c r="Q291" s="45"/>
    </row>
    <row r="292" spans="1:17" x14ac:dyDescent="0.3">
      <c r="A292" s="7" t="s">
        <v>755</v>
      </c>
      <c r="B292" s="7">
        <v>522223</v>
      </c>
      <c r="C292" s="7" t="s">
        <v>1933</v>
      </c>
      <c r="D292" s="7" t="s">
        <v>1921</v>
      </c>
      <c r="E292" s="7" t="s">
        <v>746</v>
      </c>
      <c r="F292" s="7" t="s">
        <v>1915</v>
      </c>
      <c r="G292" s="7" t="s">
        <v>1390</v>
      </c>
      <c r="H292" s="36" t="s">
        <v>1926</v>
      </c>
      <c r="I292" s="36" t="s">
        <v>1826</v>
      </c>
      <c r="J292" s="36">
        <v>45537</v>
      </c>
      <c r="K292" s="46"/>
      <c r="L292" s="46" t="s">
        <v>309</v>
      </c>
      <c r="M292" s="46"/>
      <c r="N292" s="46" t="s">
        <v>1824</v>
      </c>
      <c r="O292" s="45"/>
      <c r="P292" s="45" t="s">
        <v>665</v>
      </c>
      <c r="Q292" s="45"/>
    </row>
    <row r="293" spans="1:17" x14ac:dyDescent="0.3">
      <c r="A293" s="7" t="s">
        <v>1658</v>
      </c>
      <c r="B293" s="7">
        <v>524890</v>
      </c>
      <c r="C293" s="7" t="s">
        <v>2061</v>
      </c>
      <c r="D293" s="7" t="s">
        <v>1921</v>
      </c>
      <c r="E293" s="7" t="s">
        <v>746</v>
      </c>
      <c r="F293" s="7" t="s">
        <v>1915</v>
      </c>
      <c r="G293" s="7" t="s">
        <v>35</v>
      </c>
      <c r="H293" s="36" t="s">
        <v>1916</v>
      </c>
      <c r="I293" s="36" t="s">
        <v>1826</v>
      </c>
      <c r="J293" s="36">
        <v>45537</v>
      </c>
      <c r="K293" s="46"/>
      <c r="L293" s="46" t="s">
        <v>458</v>
      </c>
      <c r="M293" s="46"/>
      <c r="N293" s="46" t="s">
        <v>1824</v>
      </c>
      <c r="O293" s="45"/>
      <c r="P293" s="45" t="s">
        <v>665</v>
      </c>
      <c r="Q293" s="45"/>
    </row>
    <row r="294" spans="1:17" x14ac:dyDescent="0.3">
      <c r="A294" s="7" t="s">
        <v>1658</v>
      </c>
      <c r="B294" s="7">
        <v>531894</v>
      </c>
      <c r="C294" s="7" t="s">
        <v>2033</v>
      </c>
      <c r="D294" s="7" t="s">
        <v>1921</v>
      </c>
      <c r="E294" s="7" t="s">
        <v>746</v>
      </c>
      <c r="F294" s="7" t="s">
        <v>1915</v>
      </c>
      <c r="G294" s="7" t="s">
        <v>398</v>
      </c>
      <c r="H294" s="36" t="s">
        <v>1916</v>
      </c>
      <c r="I294" s="36" t="s">
        <v>1826</v>
      </c>
      <c r="J294" s="36">
        <v>45537</v>
      </c>
      <c r="K294" s="46"/>
      <c r="L294" s="46" t="s">
        <v>213</v>
      </c>
      <c r="M294" s="46"/>
      <c r="N294" s="46" t="s">
        <v>1824</v>
      </c>
      <c r="O294" s="45"/>
      <c r="P294" s="45" t="s">
        <v>665</v>
      </c>
      <c r="Q294" s="45"/>
    </row>
    <row r="295" spans="1:17" x14ac:dyDescent="0.3">
      <c r="A295" s="7" t="s">
        <v>755</v>
      </c>
      <c r="B295" s="7">
        <v>522089</v>
      </c>
      <c r="C295" s="7" t="s">
        <v>2062</v>
      </c>
      <c r="D295" s="7" t="s">
        <v>1921</v>
      </c>
      <c r="E295" s="7" t="s">
        <v>746</v>
      </c>
      <c r="F295" s="7" t="s">
        <v>1915</v>
      </c>
      <c r="G295" s="7" t="s">
        <v>143</v>
      </c>
      <c r="H295" s="36" t="s">
        <v>1916</v>
      </c>
      <c r="I295" s="36" t="s">
        <v>1826</v>
      </c>
      <c r="J295" s="36">
        <v>45537</v>
      </c>
      <c r="K295" s="46"/>
      <c r="L295" s="46" t="s">
        <v>47</v>
      </c>
      <c r="M295" s="46"/>
      <c r="N295" s="46" t="s">
        <v>1824</v>
      </c>
      <c r="O295" s="45"/>
      <c r="P295" s="45" t="s">
        <v>665</v>
      </c>
      <c r="Q295" s="45"/>
    </row>
    <row r="296" spans="1:17" x14ac:dyDescent="0.3">
      <c r="A296" s="7" t="s">
        <v>755</v>
      </c>
      <c r="B296" s="7">
        <v>527402</v>
      </c>
      <c r="C296" s="7" t="s">
        <v>1933</v>
      </c>
      <c r="D296" s="7" t="s">
        <v>1950</v>
      </c>
      <c r="E296" s="7" t="s">
        <v>746</v>
      </c>
      <c r="F296" s="7" t="s">
        <v>1915</v>
      </c>
      <c r="G296" s="7" t="s">
        <v>628</v>
      </c>
      <c r="H296" s="36" t="s">
        <v>1916</v>
      </c>
      <c r="I296" s="36" t="s">
        <v>1826</v>
      </c>
      <c r="J296" s="36">
        <v>45538</v>
      </c>
      <c r="K296" s="46"/>
      <c r="L296" s="46" t="s">
        <v>34</v>
      </c>
      <c r="M296" s="46"/>
      <c r="N296" s="46" t="s">
        <v>1824</v>
      </c>
      <c r="O296" s="45"/>
      <c r="P296" s="45" t="s">
        <v>665</v>
      </c>
      <c r="Q296" s="45"/>
    </row>
    <row r="297" spans="1:17" x14ac:dyDescent="0.3">
      <c r="A297" s="7" t="s">
        <v>755</v>
      </c>
      <c r="B297" s="7">
        <v>506213</v>
      </c>
      <c r="C297" s="7" t="s">
        <v>2051</v>
      </c>
      <c r="D297" s="7" t="s">
        <v>1950</v>
      </c>
      <c r="E297" s="7" t="s">
        <v>746</v>
      </c>
      <c r="F297" s="7" t="s">
        <v>1915</v>
      </c>
      <c r="G297" s="7" t="s">
        <v>1313</v>
      </c>
      <c r="H297" s="36" t="s">
        <v>1916</v>
      </c>
      <c r="I297" s="36" t="s">
        <v>1826</v>
      </c>
      <c r="J297" s="36">
        <v>45538</v>
      </c>
      <c r="K297" s="46"/>
      <c r="L297" s="46" t="s">
        <v>633</v>
      </c>
      <c r="M297" s="46"/>
      <c r="N297" s="46" t="s">
        <v>1824</v>
      </c>
      <c r="O297" s="45"/>
      <c r="P297" s="45" t="s">
        <v>665</v>
      </c>
      <c r="Q297" s="45"/>
    </row>
    <row r="298" spans="1:17" x14ac:dyDescent="0.3">
      <c r="A298" s="7" t="s">
        <v>1912</v>
      </c>
      <c r="B298" s="7">
        <v>528627</v>
      </c>
      <c r="C298" s="7" t="s">
        <v>1928</v>
      </c>
      <c r="D298" s="7" t="s">
        <v>1950</v>
      </c>
      <c r="E298" s="7" t="s">
        <v>746</v>
      </c>
      <c r="F298" s="7" t="s">
        <v>1915</v>
      </c>
      <c r="G298" s="7" t="s">
        <v>320</v>
      </c>
      <c r="H298" s="36" t="s">
        <v>1926</v>
      </c>
      <c r="I298" s="36" t="s">
        <v>1826</v>
      </c>
      <c r="J298" s="36">
        <v>45538</v>
      </c>
      <c r="K298" s="46"/>
      <c r="L298" s="46" t="s">
        <v>549</v>
      </c>
      <c r="M298" s="46"/>
      <c r="N298" s="46" t="s">
        <v>1824</v>
      </c>
      <c r="O298" s="45"/>
      <c r="P298" s="45" t="s">
        <v>665</v>
      </c>
      <c r="Q298" s="45"/>
    </row>
    <row r="299" spans="1:17" x14ac:dyDescent="0.3">
      <c r="A299" s="7" t="s">
        <v>1658</v>
      </c>
      <c r="B299" s="7">
        <v>506213</v>
      </c>
      <c r="C299" s="7" t="s">
        <v>1951</v>
      </c>
      <c r="D299" s="7" t="s">
        <v>1950</v>
      </c>
      <c r="E299" s="7" t="s">
        <v>746</v>
      </c>
      <c r="F299" s="7" t="s">
        <v>1915</v>
      </c>
      <c r="G299" s="7" t="s">
        <v>288</v>
      </c>
      <c r="H299" s="36" t="s">
        <v>1926</v>
      </c>
      <c r="I299" s="36" t="s">
        <v>1826</v>
      </c>
      <c r="J299" s="36">
        <v>45538</v>
      </c>
      <c r="K299" s="46"/>
      <c r="L299" s="46" t="s">
        <v>155</v>
      </c>
      <c r="M299" s="46"/>
      <c r="N299" s="46" t="s">
        <v>1824</v>
      </c>
      <c r="O299" s="45"/>
      <c r="P299" s="45" t="s">
        <v>665</v>
      </c>
      <c r="Q299" s="45"/>
    </row>
    <row r="300" spans="1:17" x14ac:dyDescent="0.3">
      <c r="A300" s="7" t="s">
        <v>1912</v>
      </c>
      <c r="B300" s="7">
        <v>510224891</v>
      </c>
      <c r="C300" s="7" t="s">
        <v>2056</v>
      </c>
      <c r="D300" s="7" t="s">
        <v>1950</v>
      </c>
      <c r="E300" s="7" t="s">
        <v>746</v>
      </c>
      <c r="F300" s="7" t="s">
        <v>1915</v>
      </c>
      <c r="G300" s="7" t="s">
        <v>250</v>
      </c>
      <c r="H300" s="36" t="s">
        <v>1916</v>
      </c>
      <c r="I300" s="36" t="s">
        <v>1826</v>
      </c>
      <c r="J300" s="36">
        <v>45538</v>
      </c>
      <c r="K300" s="46"/>
      <c r="L300" s="46" t="s">
        <v>258</v>
      </c>
      <c r="M300" s="46"/>
      <c r="N300" s="46" t="s">
        <v>1824</v>
      </c>
      <c r="O300" s="45"/>
      <c r="P300" s="45" t="s">
        <v>665</v>
      </c>
      <c r="Q300" s="45"/>
    </row>
    <row r="301" spans="1:17" x14ac:dyDescent="0.3">
      <c r="A301" s="7" t="s">
        <v>1658</v>
      </c>
      <c r="B301" s="7">
        <v>531892</v>
      </c>
      <c r="C301" s="7" t="s">
        <v>2033</v>
      </c>
      <c r="D301" s="7" t="s">
        <v>1950</v>
      </c>
      <c r="E301" s="7" t="s">
        <v>746</v>
      </c>
      <c r="F301" s="7" t="s">
        <v>1915</v>
      </c>
      <c r="G301" s="7" t="s">
        <v>251</v>
      </c>
      <c r="H301" s="36" t="s">
        <v>1916</v>
      </c>
      <c r="I301" s="36" t="s">
        <v>1826</v>
      </c>
      <c r="J301" s="36">
        <v>45538</v>
      </c>
      <c r="K301" s="46"/>
      <c r="L301" s="46" t="s">
        <v>213</v>
      </c>
      <c r="M301" s="46"/>
      <c r="N301" s="46" t="s">
        <v>1824</v>
      </c>
      <c r="O301" s="45"/>
      <c r="P301" s="45" t="s">
        <v>665</v>
      </c>
      <c r="Q301" s="45"/>
    </row>
    <row r="302" spans="1:17" x14ac:dyDescent="0.3">
      <c r="A302" s="7" t="s">
        <v>1912</v>
      </c>
      <c r="B302" s="7">
        <v>506213</v>
      </c>
      <c r="C302" s="7" t="s">
        <v>2059</v>
      </c>
      <c r="D302" s="7" t="s">
        <v>1950</v>
      </c>
      <c r="E302" s="7" t="s">
        <v>746</v>
      </c>
      <c r="F302" s="7" t="s">
        <v>1915</v>
      </c>
      <c r="G302" s="7" t="s">
        <v>39</v>
      </c>
      <c r="H302" s="36" t="s">
        <v>1926</v>
      </c>
      <c r="I302" s="36" t="s">
        <v>1826</v>
      </c>
      <c r="J302" s="36">
        <v>45538</v>
      </c>
      <c r="K302" s="46"/>
      <c r="L302" s="46" t="s">
        <v>84</v>
      </c>
      <c r="M302" s="46"/>
      <c r="N302" s="46" t="s">
        <v>1824</v>
      </c>
      <c r="O302" s="45"/>
      <c r="P302" s="45" t="s">
        <v>665</v>
      </c>
      <c r="Q302" s="45"/>
    </row>
    <row r="303" spans="1:17" x14ac:dyDescent="0.3">
      <c r="A303" s="7" t="s">
        <v>755</v>
      </c>
      <c r="B303" s="7" t="s">
        <v>716</v>
      </c>
      <c r="C303" s="7" t="s">
        <v>2063</v>
      </c>
      <c r="D303" s="7" t="s">
        <v>1950</v>
      </c>
      <c r="E303" s="7" t="s">
        <v>746</v>
      </c>
      <c r="F303" s="7" t="s">
        <v>1915</v>
      </c>
      <c r="G303" s="7" t="s">
        <v>184</v>
      </c>
      <c r="H303" s="36" t="s">
        <v>1916</v>
      </c>
      <c r="I303" s="36" t="s">
        <v>1826</v>
      </c>
      <c r="J303" s="36">
        <v>45538</v>
      </c>
      <c r="K303" s="46"/>
      <c r="L303" s="46" t="s">
        <v>285</v>
      </c>
      <c r="M303" s="46"/>
      <c r="N303" s="46" t="s">
        <v>1824</v>
      </c>
      <c r="O303" s="45"/>
      <c r="P303" s="45" t="s">
        <v>665</v>
      </c>
      <c r="Q303" s="45"/>
    </row>
    <row r="304" spans="1:17" x14ac:dyDescent="0.3">
      <c r="A304" s="7" t="s">
        <v>1912</v>
      </c>
      <c r="B304" s="7">
        <v>506213</v>
      </c>
      <c r="C304" s="7" t="s">
        <v>2056</v>
      </c>
      <c r="D304" s="7" t="s">
        <v>1950</v>
      </c>
      <c r="E304" s="7" t="s">
        <v>746</v>
      </c>
      <c r="F304" s="7" t="s">
        <v>1915</v>
      </c>
      <c r="G304" s="7" t="s">
        <v>174</v>
      </c>
      <c r="H304" s="36" t="s">
        <v>1926</v>
      </c>
      <c r="I304" s="36" t="s">
        <v>1826</v>
      </c>
      <c r="J304" s="36">
        <v>45538</v>
      </c>
      <c r="K304" s="46"/>
      <c r="L304" s="46" t="s">
        <v>278</v>
      </c>
      <c r="M304" s="46"/>
      <c r="N304" s="46" t="s">
        <v>1824</v>
      </c>
      <c r="O304" s="45"/>
      <c r="P304" s="45" t="s">
        <v>665</v>
      </c>
      <c r="Q304" s="45"/>
    </row>
    <row r="305" spans="1:17" x14ac:dyDescent="0.3">
      <c r="A305" s="7" t="s">
        <v>755</v>
      </c>
      <c r="B305" s="7">
        <v>526233</v>
      </c>
      <c r="C305" s="7" t="s">
        <v>2064</v>
      </c>
      <c r="D305" s="7" t="s">
        <v>1950</v>
      </c>
      <c r="E305" s="7" t="s">
        <v>746</v>
      </c>
      <c r="F305" s="7" t="s">
        <v>1915</v>
      </c>
      <c r="G305" s="7" t="s">
        <v>91</v>
      </c>
      <c r="H305" s="36" t="s">
        <v>1916</v>
      </c>
      <c r="I305" s="36" t="s">
        <v>1826</v>
      </c>
      <c r="J305" s="36">
        <v>45538</v>
      </c>
      <c r="K305" s="46"/>
      <c r="L305" s="46" t="s">
        <v>293</v>
      </c>
      <c r="M305" s="46"/>
      <c r="N305" s="46" t="s">
        <v>1824</v>
      </c>
      <c r="O305" s="45"/>
      <c r="P305" s="45" t="s">
        <v>665</v>
      </c>
      <c r="Q305" s="45"/>
    </row>
    <row r="306" spans="1:17" x14ac:dyDescent="0.3">
      <c r="A306" s="7" t="s">
        <v>755</v>
      </c>
      <c r="B306" s="7">
        <v>506241</v>
      </c>
      <c r="C306" s="7" t="s">
        <v>2014</v>
      </c>
      <c r="D306" s="7" t="s">
        <v>1950</v>
      </c>
      <c r="E306" s="7" t="s">
        <v>746</v>
      </c>
      <c r="F306" s="7" t="s">
        <v>1915</v>
      </c>
      <c r="G306" s="7" t="s">
        <v>29</v>
      </c>
      <c r="H306" s="36" t="s">
        <v>1926</v>
      </c>
      <c r="I306" s="36" t="s">
        <v>1826</v>
      </c>
      <c r="J306" s="36">
        <v>45538</v>
      </c>
      <c r="K306" s="46"/>
      <c r="L306" s="46" t="s">
        <v>285</v>
      </c>
      <c r="M306" s="46"/>
      <c r="N306" s="46" t="s">
        <v>1824</v>
      </c>
      <c r="O306" s="45"/>
      <c r="P306" s="45" t="s">
        <v>665</v>
      </c>
      <c r="Q306" s="45"/>
    </row>
    <row r="307" spans="1:17" x14ac:dyDescent="0.3">
      <c r="A307" s="7" t="s">
        <v>1912</v>
      </c>
      <c r="B307" s="7">
        <v>506241</v>
      </c>
      <c r="C307" s="7" t="s">
        <v>2059</v>
      </c>
      <c r="D307" s="7" t="s">
        <v>1950</v>
      </c>
      <c r="E307" s="7" t="s">
        <v>746</v>
      </c>
      <c r="F307" s="7" t="s">
        <v>1915</v>
      </c>
      <c r="G307" s="7" t="s">
        <v>27</v>
      </c>
      <c r="H307" s="36" t="s">
        <v>1926</v>
      </c>
      <c r="I307" s="36" t="s">
        <v>1826</v>
      </c>
      <c r="J307" s="36">
        <v>45538</v>
      </c>
      <c r="K307" s="46"/>
      <c r="L307" s="46" t="s">
        <v>132</v>
      </c>
      <c r="M307" s="46"/>
      <c r="N307" s="46" t="s">
        <v>1824</v>
      </c>
      <c r="O307" s="45"/>
      <c r="P307" s="45" t="s">
        <v>665</v>
      </c>
      <c r="Q307" s="45"/>
    </row>
    <row r="308" spans="1:17" x14ac:dyDescent="0.3">
      <c r="A308" s="7" t="s">
        <v>1658</v>
      </c>
      <c r="B308" s="7">
        <v>531370</v>
      </c>
      <c r="C308" s="7" t="s">
        <v>1940</v>
      </c>
      <c r="D308" s="7" t="s">
        <v>1921</v>
      </c>
      <c r="E308" s="7" t="s">
        <v>746</v>
      </c>
      <c r="F308" s="7" t="s">
        <v>1915</v>
      </c>
      <c r="G308" s="7" t="s">
        <v>376</v>
      </c>
      <c r="H308" s="36" t="s">
        <v>1916</v>
      </c>
      <c r="I308" s="36" t="s">
        <v>1826</v>
      </c>
      <c r="J308" s="36">
        <v>45544</v>
      </c>
      <c r="K308" s="46"/>
      <c r="L308" s="46" t="s">
        <v>1519</v>
      </c>
      <c r="M308" s="46"/>
      <c r="N308" s="46" t="s">
        <v>1824</v>
      </c>
      <c r="O308" s="45"/>
      <c r="P308" s="45" t="s">
        <v>665</v>
      </c>
      <c r="Q308" s="45"/>
    </row>
    <row r="309" spans="1:17" x14ac:dyDescent="0.3">
      <c r="A309" s="7" t="s">
        <v>1658</v>
      </c>
      <c r="B309" s="7">
        <v>520155</v>
      </c>
      <c r="C309" s="7" t="s">
        <v>2065</v>
      </c>
      <c r="D309" s="7" t="s">
        <v>1921</v>
      </c>
      <c r="E309" s="7" t="s">
        <v>746</v>
      </c>
      <c r="F309" s="7" t="s">
        <v>1915</v>
      </c>
      <c r="G309" s="7" t="s">
        <v>280</v>
      </c>
      <c r="H309" s="36" t="s">
        <v>1926</v>
      </c>
      <c r="I309" s="36" t="s">
        <v>1826</v>
      </c>
      <c r="J309" s="36">
        <v>45544</v>
      </c>
      <c r="K309" s="46"/>
      <c r="L309" s="46" t="s">
        <v>639</v>
      </c>
      <c r="M309" s="46"/>
      <c r="N309" s="46" t="s">
        <v>1824</v>
      </c>
      <c r="O309" s="45"/>
      <c r="P309" s="45" t="s">
        <v>665</v>
      </c>
      <c r="Q309" s="45"/>
    </row>
    <row r="310" spans="1:17" x14ac:dyDescent="0.3">
      <c r="A310" s="7" t="s">
        <v>1912</v>
      </c>
      <c r="B310" s="7">
        <v>524167</v>
      </c>
      <c r="C310" s="7" t="s">
        <v>1928</v>
      </c>
      <c r="D310" s="7" t="s">
        <v>1914</v>
      </c>
      <c r="E310" s="7" t="s">
        <v>746</v>
      </c>
      <c r="F310" s="7" t="s">
        <v>1919</v>
      </c>
      <c r="G310" s="7" t="s">
        <v>596</v>
      </c>
      <c r="H310" s="36" t="s">
        <v>1916</v>
      </c>
      <c r="I310" s="36" t="s">
        <v>1826</v>
      </c>
      <c r="J310" s="36">
        <v>45551</v>
      </c>
      <c r="K310" s="46"/>
      <c r="L310" s="46" t="s">
        <v>142</v>
      </c>
      <c r="M310" s="46"/>
      <c r="N310" s="46" t="s">
        <v>1824</v>
      </c>
      <c r="O310" s="45"/>
      <c r="P310" s="45" t="s">
        <v>665</v>
      </c>
      <c r="Q310" s="45"/>
    </row>
    <row r="311" spans="1:17" x14ac:dyDescent="0.3">
      <c r="A311" s="7" t="s">
        <v>755</v>
      </c>
      <c r="B311" s="7">
        <v>527815</v>
      </c>
      <c r="C311" s="7" t="s">
        <v>1962</v>
      </c>
      <c r="D311" s="7" t="s">
        <v>1921</v>
      </c>
      <c r="E311" s="7" t="s">
        <v>746</v>
      </c>
      <c r="F311" s="7" t="s">
        <v>1915</v>
      </c>
      <c r="G311" s="7" t="s">
        <v>973</v>
      </c>
      <c r="H311" s="36" t="s">
        <v>1926</v>
      </c>
      <c r="I311" s="36" t="s">
        <v>1826</v>
      </c>
      <c r="J311" s="36">
        <v>45551</v>
      </c>
      <c r="K311" s="46"/>
      <c r="L311" s="46" t="s">
        <v>753</v>
      </c>
      <c r="M311" s="46"/>
      <c r="N311" s="46" t="s">
        <v>1824</v>
      </c>
      <c r="O311" s="45"/>
      <c r="P311" s="45" t="s">
        <v>665</v>
      </c>
      <c r="Q311" s="45"/>
    </row>
    <row r="312" spans="1:17" x14ac:dyDescent="0.3">
      <c r="A312" s="7" t="s">
        <v>755</v>
      </c>
      <c r="B312" s="7">
        <v>522093</v>
      </c>
      <c r="C312" s="7" t="s">
        <v>2066</v>
      </c>
      <c r="D312" s="7" t="s">
        <v>1914</v>
      </c>
      <c r="E312" s="7" t="s">
        <v>746</v>
      </c>
      <c r="F312" s="7" t="s">
        <v>1915</v>
      </c>
      <c r="G312" s="7" t="s">
        <v>79</v>
      </c>
      <c r="H312" s="36" t="s">
        <v>1916</v>
      </c>
      <c r="I312" s="36" t="s">
        <v>1827</v>
      </c>
      <c r="J312" s="36">
        <v>45551</v>
      </c>
      <c r="K312" s="46">
        <v>46120</v>
      </c>
      <c r="L312" s="46" t="s">
        <v>760</v>
      </c>
      <c r="M312" s="46"/>
      <c r="N312" s="46" t="s">
        <v>1822</v>
      </c>
      <c r="O312" s="45"/>
      <c r="P312" s="45" t="s">
        <v>665</v>
      </c>
      <c r="Q312" s="45"/>
    </row>
    <row r="313" spans="1:17" x14ac:dyDescent="0.3">
      <c r="A313" s="7" t="s">
        <v>1912</v>
      </c>
      <c r="B313" s="7">
        <v>533538</v>
      </c>
      <c r="C313" s="7" t="s">
        <v>2067</v>
      </c>
      <c r="D313" s="7" t="s">
        <v>1950</v>
      </c>
      <c r="E313" s="7" t="s">
        <v>746</v>
      </c>
      <c r="F313" s="7" t="s">
        <v>1915</v>
      </c>
      <c r="G313" s="7" t="s">
        <v>552</v>
      </c>
      <c r="H313" s="36" t="s">
        <v>1916</v>
      </c>
      <c r="I313" s="36" t="s">
        <v>1826</v>
      </c>
      <c r="J313" s="36">
        <v>45558</v>
      </c>
      <c r="K313" s="46"/>
      <c r="L313" s="46" t="s">
        <v>411</v>
      </c>
      <c r="M313" s="46"/>
      <c r="N313" s="46" t="s">
        <v>1824</v>
      </c>
      <c r="O313" s="45"/>
      <c r="P313" s="45" t="s">
        <v>665</v>
      </c>
      <c r="Q313" s="45"/>
    </row>
    <row r="314" spans="1:17" x14ac:dyDescent="0.3">
      <c r="A314" s="7" t="s">
        <v>1912</v>
      </c>
      <c r="B314" s="38">
        <v>532812</v>
      </c>
      <c r="C314" s="38" t="s">
        <v>2068</v>
      </c>
      <c r="D314" s="38" t="s">
        <v>1950</v>
      </c>
      <c r="E314" s="38" t="s">
        <v>746</v>
      </c>
      <c r="F314" s="38" t="s">
        <v>1915</v>
      </c>
      <c r="G314" s="39" t="s">
        <v>489</v>
      </c>
      <c r="H314" s="36" t="s">
        <v>1916</v>
      </c>
      <c r="I314" s="36" t="s">
        <v>1826</v>
      </c>
      <c r="J314" s="36">
        <v>45558</v>
      </c>
      <c r="K314" s="46"/>
      <c r="L314" s="46" t="s">
        <v>411</v>
      </c>
      <c r="M314" s="46"/>
      <c r="N314" s="46" t="s">
        <v>1824</v>
      </c>
      <c r="O314" s="45"/>
      <c r="P314" s="45" t="s">
        <v>665</v>
      </c>
      <c r="Q314" s="45"/>
    </row>
    <row r="315" spans="1:17" x14ac:dyDescent="0.3">
      <c r="A315" s="7" t="s">
        <v>1658</v>
      </c>
      <c r="B315" s="7">
        <v>506941</v>
      </c>
      <c r="C315" s="7" t="s">
        <v>2027</v>
      </c>
      <c r="D315" s="7" t="s">
        <v>1921</v>
      </c>
      <c r="E315" s="7" t="s">
        <v>746</v>
      </c>
      <c r="F315" s="7" t="s">
        <v>1915</v>
      </c>
      <c r="G315" s="7" t="s">
        <v>392</v>
      </c>
      <c r="H315" s="36" t="s">
        <v>1926</v>
      </c>
      <c r="I315" s="36" t="s">
        <v>1826</v>
      </c>
      <c r="J315" s="36">
        <v>45558</v>
      </c>
      <c r="K315" s="46"/>
      <c r="L315" s="46" t="s">
        <v>470</v>
      </c>
      <c r="M315" s="46"/>
      <c r="N315" s="46" t="s">
        <v>1824</v>
      </c>
      <c r="O315" s="45"/>
      <c r="P315" s="45" t="s">
        <v>665</v>
      </c>
      <c r="Q315" s="45"/>
    </row>
    <row r="316" spans="1:17" x14ac:dyDescent="0.3">
      <c r="A316" s="7" t="s">
        <v>1658</v>
      </c>
      <c r="B316" s="7">
        <v>525851</v>
      </c>
      <c r="C316" s="7" t="s">
        <v>1984</v>
      </c>
      <c r="D316" s="7" t="s">
        <v>1921</v>
      </c>
      <c r="E316" s="7" t="s">
        <v>746</v>
      </c>
      <c r="F316" s="7" t="s">
        <v>1915</v>
      </c>
      <c r="G316" s="7" t="s">
        <v>37</v>
      </c>
      <c r="H316" s="36" t="s">
        <v>1916</v>
      </c>
      <c r="I316" s="36" t="s">
        <v>1826</v>
      </c>
      <c r="J316" s="36">
        <v>45558</v>
      </c>
      <c r="K316" s="46"/>
      <c r="L316" s="46" t="s">
        <v>458</v>
      </c>
      <c r="M316" s="46"/>
      <c r="N316" s="46" t="s">
        <v>1824</v>
      </c>
      <c r="O316" s="45"/>
      <c r="P316" s="45" t="s">
        <v>665</v>
      </c>
      <c r="Q316" s="45"/>
    </row>
    <row r="317" spans="1:17" x14ac:dyDescent="0.3">
      <c r="A317" s="7" t="s">
        <v>1658</v>
      </c>
      <c r="B317" s="7">
        <v>519698</v>
      </c>
      <c r="C317" s="7" t="s">
        <v>2008</v>
      </c>
      <c r="D317" s="7" t="s">
        <v>1914</v>
      </c>
      <c r="E317" s="7" t="s">
        <v>746</v>
      </c>
      <c r="F317" s="7" t="s">
        <v>1915</v>
      </c>
      <c r="G317" s="7" t="s">
        <v>134</v>
      </c>
      <c r="H317" s="36" t="s">
        <v>1916</v>
      </c>
      <c r="I317" s="36" t="s">
        <v>1826</v>
      </c>
      <c r="J317" s="36">
        <v>45558</v>
      </c>
      <c r="K317" s="46"/>
      <c r="L317" s="46" t="s">
        <v>544</v>
      </c>
      <c r="M317" s="46"/>
      <c r="N317" s="46" t="s">
        <v>1824</v>
      </c>
      <c r="O317" s="45"/>
      <c r="P317" s="45" t="s">
        <v>665</v>
      </c>
      <c r="Q317" s="45"/>
    </row>
    <row r="318" spans="1:17" x14ac:dyDescent="0.3">
      <c r="A318" s="7" t="s">
        <v>1912</v>
      </c>
      <c r="B318" s="7">
        <v>529885</v>
      </c>
      <c r="C318" s="7" t="s">
        <v>2009</v>
      </c>
      <c r="D318" s="7" t="s">
        <v>1921</v>
      </c>
      <c r="E318" s="7" t="s">
        <v>682</v>
      </c>
      <c r="F318" s="7" t="s">
        <v>1929</v>
      </c>
      <c r="G318" s="7" t="s">
        <v>488</v>
      </c>
      <c r="H318" s="36" t="s">
        <v>1916</v>
      </c>
      <c r="I318" s="36" t="s">
        <v>1826</v>
      </c>
      <c r="J318" s="36">
        <v>45559</v>
      </c>
      <c r="K318" s="46"/>
      <c r="L318" s="46" t="s">
        <v>565</v>
      </c>
      <c r="M318" s="46"/>
      <c r="N318" s="46" t="s">
        <v>1824</v>
      </c>
      <c r="O318" s="45"/>
      <c r="P318" s="45" t="s">
        <v>665</v>
      </c>
      <c r="Q318" s="45"/>
    </row>
    <row r="319" spans="1:17" x14ac:dyDescent="0.3">
      <c r="A319" s="7" t="s">
        <v>1912</v>
      </c>
      <c r="B319" s="7">
        <v>523246</v>
      </c>
      <c r="C319" s="7" t="s">
        <v>1935</v>
      </c>
      <c r="D319" s="7" t="s">
        <v>1914</v>
      </c>
      <c r="E319" s="7" t="s">
        <v>746</v>
      </c>
      <c r="F319" s="7" t="s">
        <v>1915</v>
      </c>
      <c r="G319" s="7" t="s">
        <v>411</v>
      </c>
      <c r="H319" s="36" t="s">
        <v>1926</v>
      </c>
      <c r="I319" s="36" t="s">
        <v>1826</v>
      </c>
      <c r="J319" s="36">
        <v>45566</v>
      </c>
      <c r="K319" s="46"/>
      <c r="L319" s="46" t="s">
        <v>123</v>
      </c>
      <c r="M319" s="46"/>
      <c r="N319" s="46" t="s">
        <v>1824</v>
      </c>
      <c r="O319" s="45"/>
      <c r="P319" s="45" t="s">
        <v>665</v>
      </c>
      <c r="Q319" s="45"/>
    </row>
    <row r="320" spans="1:17" x14ac:dyDescent="0.3">
      <c r="A320" s="7" t="s">
        <v>755</v>
      </c>
      <c r="B320" s="7">
        <v>522109</v>
      </c>
      <c r="C320" s="7" t="s">
        <v>1967</v>
      </c>
      <c r="D320" s="7" t="s">
        <v>1921</v>
      </c>
      <c r="E320" s="7" t="s">
        <v>746</v>
      </c>
      <c r="F320" s="7" t="s">
        <v>1915</v>
      </c>
      <c r="G320" s="7" t="s">
        <v>209</v>
      </c>
      <c r="H320" s="36" t="s">
        <v>1916</v>
      </c>
      <c r="I320" s="36" t="s">
        <v>1826</v>
      </c>
      <c r="J320" s="36">
        <v>45566</v>
      </c>
      <c r="K320" s="46"/>
      <c r="L320" s="46" t="s">
        <v>293</v>
      </c>
      <c r="M320" s="46"/>
      <c r="N320" s="46" t="s">
        <v>1824</v>
      </c>
      <c r="O320" s="45"/>
      <c r="P320" s="45" t="s">
        <v>665</v>
      </c>
      <c r="Q320" s="45"/>
    </row>
    <row r="321" spans="1:17" x14ac:dyDescent="0.3">
      <c r="A321" s="7" t="s">
        <v>1912</v>
      </c>
      <c r="B321" s="7">
        <v>515790</v>
      </c>
      <c r="C321" s="7" t="s">
        <v>2069</v>
      </c>
      <c r="D321" s="7" t="s">
        <v>1921</v>
      </c>
      <c r="E321" s="7" t="s">
        <v>746</v>
      </c>
      <c r="F321" s="7" t="s">
        <v>1915</v>
      </c>
      <c r="G321" s="7" t="s">
        <v>54</v>
      </c>
      <c r="H321" s="36" t="s">
        <v>1916</v>
      </c>
      <c r="I321" s="36" t="s">
        <v>1826</v>
      </c>
      <c r="J321" s="36">
        <v>45568</v>
      </c>
      <c r="K321" s="46"/>
      <c r="L321" s="46" t="s">
        <v>258</v>
      </c>
      <c r="M321" s="46"/>
      <c r="N321" s="46" t="s">
        <v>1824</v>
      </c>
      <c r="O321" s="45"/>
      <c r="P321" s="45" t="s">
        <v>665</v>
      </c>
      <c r="Q321" s="45"/>
    </row>
    <row r="322" spans="1:17" x14ac:dyDescent="0.3">
      <c r="A322" s="7" t="s">
        <v>1658</v>
      </c>
      <c r="B322" s="7">
        <v>522788</v>
      </c>
      <c r="C322" s="7" t="s">
        <v>2070</v>
      </c>
      <c r="D322" s="7" t="s">
        <v>1921</v>
      </c>
      <c r="E322" s="7" t="s">
        <v>746</v>
      </c>
      <c r="F322" s="7" t="s">
        <v>1915</v>
      </c>
      <c r="G322" s="7" t="s">
        <v>529</v>
      </c>
      <c r="H322" s="36" t="s">
        <v>1916</v>
      </c>
      <c r="I322" s="36" t="s">
        <v>1826</v>
      </c>
      <c r="J322" s="36">
        <v>45572</v>
      </c>
      <c r="K322" s="46"/>
      <c r="L322" s="46" t="s">
        <v>516</v>
      </c>
      <c r="M322" s="46"/>
      <c r="N322" s="46" t="s">
        <v>1824</v>
      </c>
      <c r="O322" s="45"/>
      <c r="P322" s="45" t="s">
        <v>665</v>
      </c>
      <c r="Q322" s="45"/>
    </row>
    <row r="323" spans="1:17" x14ac:dyDescent="0.3">
      <c r="A323" s="7" t="s">
        <v>1658</v>
      </c>
      <c r="B323" s="7">
        <v>520521</v>
      </c>
      <c r="C323" s="7" t="s">
        <v>2033</v>
      </c>
      <c r="D323" s="7" t="s">
        <v>1921</v>
      </c>
      <c r="E323" s="7" t="s">
        <v>746</v>
      </c>
      <c r="F323" s="7" t="s">
        <v>1915</v>
      </c>
      <c r="G323" s="7" t="s">
        <v>291</v>
      </c>
      <c r="H323" s="36" t="s">
        <v>1916</v>
      </c>
      <c r="I323" s="36" t="s">
        <v>1826</v>
      </c>
      <c r="J323" s="36">
        <v>45572</v>
      </c>
      <c r="K323" s="46"/>
      <c r="L323" s="46" t="s">
        <v>213</v>
      </c>
      <c r="M323" s="46"/>
      <c r="N323" s="46" t="s">
        <v>1824</v>
      </c>
      <c r="O323" s="45"/>
      <c r="P323" s="45" t="s">
        <v>665</v>
      </c>
      <c r="Q323" s="45"/>
    </row>
    <row r="324" spans="1:17" x14ac:dyDescent="0.3">
      <c r="A324" s="7" t="s">
        <v>1658</v>
      </c>
      <c r="B324" s="7">
        <v>532367</v>
      </c>
      <c r="C324" s="7" t="s">
        <v>2071</v>
      </c>
      <c r="D324" s="7" t="s">
        <v>1921</v>
      </c>
      <c r="E324" s="7" t="s">
        <v>746</v>
      </c>
      <c r="F324" s="7" t="s">
        <v>1915</v>
      </c>
      <c r="G324" s="7" t="s">
        <v>130</v>
      </c>
      <c r="H324" s="36" t="s">
        <v>1926</v>
      </c>
      <c r="I324" s="36" t="s">
        <v>1826</v>
      </c>
      <c r="J324" s="36">
        <v>45572</v>
      </c>
      <c r="K324" s="46"/>
      <c r="L324" s="46" t="s">
        <v>449</v>
      </c>
      <c r="M324" s="46"/>
      <c r="N324" s="46" t="s">
        <v>1824</v>
      </c>
      <c r="O324" s="45"/>
      <c r="P324" s="45" t="s">
        <v>665</v>
      </c>
      <c r="Q324" s="45"/>
    </row>
    <row r="325" spans="1:17" x14ac:dyDescent="0.3">
      <c r="A325" s="7" t="s">
        <v>1658</v>
      </c>
      <c r="B325" s="7">
        <v>531371</v>
      </c>
      <c r="C325" s="7" t="s">
        <v>1940</v>
      </c>
      <c r="D325" s="7" t="s">
        <v>1921</v>
      </c>
      <c r="E325" s="7" t="s">
        <v>746</v>
      </c>
      <c r="F325" s="7" t="s">
        <v>1915</v>
      </c>
      <c r="G325" s="7" t="s">
        <v>515</v>
      </c>
      <c r="H325" s="36" t="s">
        <v>1926</v>
      </c>
      <c r="I325" s="36" t="s">
        <v>1826</v>
      </c>
      <c r="J325" s="36">
        <v>45579</v>
      </c>
      <c r="K325" s="46"/>
      <c r="L325" s="46" t="s">
        <v>471</v>
      </c>
      <c r="M325" s="46"/>
      <c r="N325" s="46" t="s">
        <v>1824</v>
      </c>
      <c r="O325" s="45"/>
      <c r="P325" s="45" t="s">
        <v>665</v>
      </c>
      <c r="Q325" s="45"/>
    </row>
    <row r="326" spans="1:17" x14ac:dyDescent="0.3">
      <c r="A326" s="7" t="s">
        <v>1658</v>
      </c>
      <c r="B326" s="7">
        <v>529405</v>
      </c>
      <c r="C326" s="7" t="s">
        <v>2030</v>
      </c>
      <c r="D326" s="7" t="s">
        <v>1921</v>
      </c>
      <c r="E326" s="7" t="s">
        <v>746</v>
      </c>
      <c r="F326" s="7" t="s">
        <v>1915</v>
      </c>
      <c r="G326" s="7" t="s">
        <v>371</v>
      </c>
      <c r="H326" s="36" t="s">
        <v>1926</v>
      </c>
      <c r="I326" s="36" t="s">
        <v>1826</v>
      </c>
      <c r="J326" s="36">
        <v>45579</v>
      </c>
      <c r="K326" s="46"/>
      <c r="L326" s="46" t="s">
        <v>333</v>
      </c>
      <c r="M326" s="46"/>
      <c r="N326" s="46" t="s">
        <v>1824</v>
      </c>
      <c r="O326" s="45"/>
      <c r="P326" s="45" t="s">
        <v>665</v>
      </c>
      <c r="Q326" s="45"/>
    </row>
    <row r="327" spans="1:17" x14ac:dyDescent="0.3">
      <c r="A327" s="7" t="s">
        <v>755</v>
      </c>
      <c r="B327" s="7">
        <v>523774</v>
      </c>
      <c r="C327" s="7" t="s">
        <v>1946</v>
      </c>
      <c r="D327" s="7" t="s">
        <v>1921</v>
      </c>
      <c r="E327" s="7" t="s">
        <v>746</v>
      </c>
      <c r="F327" s="7" t="s">
        <v>1915</v>
      </c>
      <c r="G327" s="7" t="s">
        <v>355</v>
      </c>
      <c r="H327" s="36" t="s">
        <v>1916</v>
      </c>
      <c r="I327" s="36" t="s">
        <v>1826</v>
      </c>
      <c r="J327" s="36">
        <v>45588</v>
      </c>
      <c r="K327" s="46"/>
      <c r="L327" s="46" t="s">
        <v>309</v>
      </c>
      <c r="M327" s="46"/>
      <c r="N327" s="46" t="s">
        <v>1824</v>
      </c>
      <c r="O327" s="45"/>
      <c r="P327" s="45" t="s">
        <v>665</v>
      </c>
      <c r="Q327" s="45"/>
    </row>
    <row r="328" spans="1:17" x14ac:dyDescent="0.3">
      <c r="A328" s="7" t="s">
        <v>1658</v>
      </c>
      <c r="B328" s="7">
        <v>534308</v>
      </c>
      <c r="C328" s="7" t="s">
        <v>2072</v>
      </c>
      <c r="D328" s="7" t="s">
        <v>1923</v>
      </c>
      <c r="E328" s="7" t="s">
        <v>746</v>
      </c>
      <c r="F328" s="7" t="s">
        <v>1915</v>
      </c>
      <c r="G328" s="7" t="s">
        <v>300</v>
      </c>
      <c r="H328" s="36" t="s">
        <v>1916</v>
      </c>
      <c r="I328" s="36" t="s">
        <v>1826</v>
      </c>
      <c r="J328" s="36">
        <v>45597</v>
      </c>
      <c r="K328" s="46"/>
      <c r="L328" s="46" t="s">
        <v>567</v>
      </c>
      <c r="M328" s="46"/>
      <c r="N328" s="46" t="s">
        <v>1824</v>
      </c>
      <c r="O328" s="45"/>
      <c r="P328" s="45" t="s">
        <v>665</v>
      </c>
      <c r="Q328" s="45"/>
    </row>
    <row r="329" spans="1:17" x14ac:dyDescent="0.3">
      <c r="A329" s="7" t="s">
        <v>1912</v>
      </c>
      <c r="B329" s="7">
        <v>532711</v>
      </c>
      <c r="C329" s="7" t="s">
        <v>2073</v>
      </c>
      <c r="D329" s="7" t="s">
        <v>1914</v>
      </c>
      <c r="E329" s="7" t="s">
        <v>746</v>
      </c>
      <c r="F329" s="7" t="s">
        <v>1919</v>
      </c>
      <c r="G329" s="7" t="s">
        <v>295</v>
      </c>
      <c r="H329" s="36" t="s">
        <v>1916</v>
      </c>
      <c r="I329" s="36" t="s">
        <v>1826</v>
      </c>
      <c r="J329" s="36">
        <v>45602</v>
      </c>
      <c r="K329" s="46"/>
      <c r="L329" s="46" t="s">
        <v>396</v>
      </c>
      <c r="M329" s="46"/>
      <c r="N329" s="46" t="s">
        <v>1824</v>
      </c>
      <c r="O329" s="45"/>
      <c r="P329" s="45" t="s">
        <v>665</v>
      </c>
      <c r="Q329" s="45"/>
    </row>
    <row r="330" spans="1:17" x14ac:dyDescent="0.3">
      <c r="A330" s="7" t="s">
        <v>1912</v>
      </c>
      <c r="B330" s="7" t="s">
        <v>716</v>
      </c>
      <c r="C330" s="7" t="s">
        <v>2074</v>
      </c>
      <c r="D330" s="7" t="s">
        <v>1950</v>
      </c>
      <c r="E330" s="7" t="s">
        <v>746</v>
      </c>
      <c r="F330" s="7" t="s">
        <v>1915</v>
      </c>
      <c r="G330" s="7" t="s">
        <v>53</v>
      </c>
      <c r="H330" s="36" t="s">
        <v>1916</v>
      </c>
      <c r="I330" s="36" t="s">
        <v>1826</v>
      </c>
      <c r="J330" s="36">
        <v>45614</v>
      </c>
      <c r="K330" s="46"/>
      <c r="L330" s="46" t="s">
        <v>49</v>
      </c>
      <c r="M330" s="46"/>
      <c r="N330" s="46" t="s">
        <v>1824</v>
      </c>
      <c r="O330" s="45"/>
      <c r="P330" s="45" t="s">
        <v>665</v>
      </c>
      <c r="Q330" s="45"/>
    </row>
    <row r="331" spans="1:17" x14ac:dyDescent="0.3">
      <c r="A331" s="7" t="s">
        <v>1658</v>
      </c>
      <c r="B331" s="7">
        <v>531889</v>
      </c>
      <c r="C331" s="7" t="s">
        <v>1984</v>
      </c>
      <c r="D331" s="7" t="s">
        <v>1921</v>
      </c>
      <c r="E331" s="7" t="s">
        <v>746</v>
      </c>
      <c r="F331" s="7" t="s">
        <v>1915</v>
      </c>
      <c r="G331" s="7" t="s">
        <v>207</v>
      </c>
      <c r="H331" s="36" t="s">
        <v>1916</v>
      </c>
      <c r="I331" s="36" t="s">
        <v>1826</v>
      </c>
      <c r="J331" s="36">
        <v>45614</v>
      </c>
      <c r="K331" s="46"/>
      <c r="L331" s="46" t="s">
        <v>458</v>
      </c>
      <c r="M331" s="46"/>
      <c r="N331" s="46" t="s">
        <v>1824</v>
      </c>
      <c r="O331" s="45"/>
      <c r="P331" s="45" t="s">
        <v>665</v>
      </c>
      <c r="Q331" s="45"/>
    </row>
    <row r="332" spans="1:17" x14ac:dyDescent="0.3">
      <c r="A332" s="7" t="s">
        <v>1912</v>
      </c>
      <c r="B332" s="7">
        <v>533722</v>
      </c>
      <c r="C332" s="7" t="s">
        <v>2075</v>
      </c>
      <c r="D332" s="7" t="s">
        <v>1921</v>
      </c>
      <c r="E332" s="7" t="s">
        <v>746</v>
      </c>
      <c r="F332" s="7" t="s">
        <v>1915</v>
      </c>
      <c r="G332" s="7" t="s">
        <v>113</v>
      </c>
      <c r="H332" s="36" t="s">
        <v>1926</v>
      </c>
      <c r="I332" s="36" t="s">
        <v>1826</v>
      </c>
      <c r="J332" s="36">
        <v>45614</v>
      </c>
      <c r="K332" s="46"/>
      <c r="L332" s="46" t="s">
        <v>132</v>
      </c>
      <c r="M332" s="46"/>
      <c r="N332" s="46" t="s">
        <v>1824</v>
      </c>
      <c r="O332" s="45"/>
      <c r="P332" s="45" t="s">
        <v>665</v>
      </c>
      <c r="Q332" s="45"/>
    </row>
    <row r="333" spans="1:17" x14ac:dyDescent="0.3">
      <c r="A333" s="7" t="s">
        <v>1912</v>
      </c>
      <c r="B333" s="7">
        <v>523227</v>
      </c>
      <c r="C333" s="7" t="s">
        <v>2076</v>
      </c>
      <c r="D333" s="7" t="s">
        <v>1921</v>
      </c>
      <c r="E333" s="7" t="s">
        <v>746</v>
      </c>
      <c r="F333" s="7" t="s">
        <v>1915</v>
      </c>
      <c r="G333" s="7" t="s">
        <v>107</v>
      </c>
      <c r="H333" s="36" t="s">
        <v>1916</v>
      </c>
      <c r="I333" s="36" t="s">
        <v>1826</v>
      </c>
      <c r="J333" s="36">
        <v>45614</v>
      </c>
      <c r="K333" s="46"/>
      <c r="L333" s="46" t="s">
        <v>49</v>
      </c>
      <c r="M333" s="46"/>
      <c r="N333" s="46" t="s">
        <v>1824</v>
      </c>
      <c r="O333" s="45"/>
      <c r="P333" s="45" t="s">
        <v>665</v>
      </c>
      <c r="Q333" s="45"/>
    </row>
    <row r="334" spans="1:17" x14ac:dyDescent="0.3">
      <c r="A334" s="7" t="s">
        <v>1912</v>
      </c>
      <c r="B334" s="7">
        <v>526406</v>
      </c>
      <c r="C334" s="7" t="s">
        <v>1940</v>
      </c>
      <c r="D334" s="7" t="s">
        <v>1921</v>
      </c>
      <c r="E334" s="7" t="s">
        <v>746</v>
      </c>
      <c r="F334" s="7" t="s">
        <v>1915</v>
      </c>
      <c r="G334" s="7" t="s">
        <v>120</v>
      </c>
      <c r="H334" s="36" t="s">
        <v>1916</v>
      </c>
      <c r="I334" s="36" t="s">
        <v>1826</v>
      </c>
      <c r="J334" s="36">
        <v>45621</v>
      </c>
      <c r="K334" s="46"/>
      <c r="L334" s="46" t="s">
        <v>123</v>
      </c>
      <c r="M334" s="46"/>
      <c r="N334" s="46" t="s">
        <v>1824</v>
      </c>
      <c r="O334" s="45"/>
      <c r="P334" s="45" t="s">
        <v>665</v>
      </c>
      <c r="Q334" s="45"/>
    </row>
    <row r="335" spans="1:17" x14ac:dyDescent="0.3">
      <c r="A335" s="7" t="s">
        <v>1912</v>
      </c>
      <c r="B335" s="7">
        <v>528657</v>
      </c>
      <c r="C335" s="7" t="s">
        <v>2077</v>
      </c>
      <c r="D335" s="7" t="s">
        <v>1950</v>
      </c>
      <c r="E335" s="7" t="s">
        <v>746</v>
      </c>
      <c r="F335" s="7" t="s">
        <v>1915</v>
      </c>
      <c r="G335" s="7" t="s">
        <v>632</v>
      </c>
      <c r="H335" s="36" t="s">
        <v>1916</v>
      </c>
      <c r="I335" s="36" t="s">
        <v>1826</v>
      </c>
      <c r="J335" s="36">
        <v>45628</v>
      </c>
      <c r="K335" s="46"/>
      <c r="L335" s="46" t="s">
        <v>549</v>
      </c>
      <c r="M335" s="46"/>
      <c r="N335" s="46" t="s">
        <v>1824</v>
      </c>
      <c r="O335" s="45"/>
      <c r="P335" s="45" t="s">
        <v>665</v>
      </c>
      <c r="Q335" s="45"/>
    </row>
    <row r="336" spans="1:17" x14ac:dyDescent="0.3">
      <c r="A336" s="7" t="s">
        <v>1912</v>
      </c>
      <c r="B336" s="7">
        <v>528651</v>
      </c>
      <c r="C336" s="7" t="s">
        <v>2077</v>
      </c>
      <c r="D336" s="7" t="s">
        <v>1950</v>
      </c>
      <c r="E336" s="7" t="s">
        <v>746</v>
      </c>
      <c r="F336" s="7" t="s">
        <v>1915</v>
      </c>
      <c r="G336" s="7" t="s">
        <v>558</v>
      </c>
      <c r="H336" s="36" t="s">
        <v>1926</v>
      </c>
      <c r="I336" s="36" t="s">
        <v>1826</v>
      </c>
      <c r="J336" s="36">
        <v>45628</v>
      </c>
      <c r="K336" s="46"/>
      <c r="L336" s="46" t="s">
        <v>550</v>
      </c>
      <c r="M336" s="46"/>
      <c r="N336" s="46" t="s">
        <v>1824</v>
      </c>
      <c r="O336" s="45"/>
      <c r="P336" s="45" t="s">
        <v>665</v>
      </c>
      <c r="Q336" s="45"/>
    </row>
    <row r="337" spans="1:17" x14ac:dyDescent="0.3">
      <c r="A337" s="7" t="s">
        <v>1658</v>
      </c>
      <c r="B337" s="7">
        <v>531897</v>
      </c>
      <c r="C337" s="7" t="s">
        <v>1938</v>
      </c>
      <c r="D337" s="7" t="s">
        <v>1914</v>
      </c>
      <c r="E337" s="7" t="s">
        <v>746</v>
      </c>
      <c r="F337" s="7" t="s">
        <v>1915</v>
      </c>
      <c r="G337" s="7" t="s">
        <v>462</v>
      </c>
      <c r="H337" s="36" t="s">
        <v>1916</v>
      </c>
      <c r="I337" s="36" t="s">
        <v>1826</v>
      </c>
      <c r="J337" s="36">
        <v>45635</v>
      </c>
      <c r="K337" s="46"/>
      <c r="L337" s="46" t="s">
        <v>89</v>
      </c>
      <c r="M337" s="46"/>
      <c r="N337" s="46" t="s">
        <v>1824</v>
      </c>
      <c r="O337" s="45"/>
      <c r="P337" s="45" t="s">
        <v>665</v>
      </c>
      <c r="Q337" s="45"/>
    </row>
    <row r="338" spans="1:17" x14ac:dyDescent="0.3">
      <c r="A338" s="7" t="s">
        <v>755</v>
      </c>
      <c r="B338" s="7">
        <v>525927</v>
      </c>
      <c r="C338" s="7" t="s">
        <v>2011</v>
      </c>
      <c r="D338" s="7" t="s">
        <v>1950</v>
      </c>
      <c r="E338" s="7" t="s">
        <v>746</v>
      </c>
      <c r="F338" s="7" t="s">
        <v>1915</v>
      </c>
      <c r="G338" s="7" t="s">
        <v>336</v>
      </c>
      <c r="H338" s="36" t="s">
        <v>1916</v>
      </c>
      <c r="I338" s="36" t="s">
        <v>1826</v>
      </c>
      <c r="J338" s="36">
        <v>45547</v>
      </c>
      <c r="K338" s="46"/>
      <c r="L338" s="46" t="s">
        <v>47</v>
      </c>
      <c r="M338" s="46"/>
      <c r="N338" s="46" t="s">
        <v>1824</v>
      </c>
      <c r="O338" s="45"/>
      <c r="P338" s="45" t="s">
        <v>665</v>
      </c>
      <c r="Q338" s="45"/>
    </row>
    <row r="339" spans="1:17" x14ac:dyDescent="0.3">
      <c r="A339" s="7" t="s">
        <v>755</v>
      </c>
      <c r="B339" s="7">
        <v>527401</v>
      </c>
      <c r="C339" s="7" t="s">
        <v>1932</v>
      </c>
      <c r="D339" s="7" t="s">
        <v>1921</v>
      </c>
      <c r="E339" s="7" t="s">
        <v>746</v>
      </c>
      <c r="F339" s="7" t="s">
        <v>1915</v>
      </c>
      <c r="G339" s="7" t="s">
        <v>1166</v>
      </c>
      <c r="H339" s="36" t="s">
        <v>1916</v>
      </c>
      <c r="I339" s="36" t="s">
        <v>1826</v>
      </c>
      <c r="J339" s="36">
        <v>45635</v>
      </c>
      <c r="K339" s="46"/>
      <c r="L339" s="46" t="s">
        <v>34</v>
      </c>
      <c r="M339" s="46"/>
      <c r="N339" s="46" t="s">
        <v>1824</v>
      </c>
      <c r="O339" s="45"/>
      <c r="P339" s="45" t="s">
        <v>665</v>
      </c>
      <c r="Q339" s="45"/>
    </row>
    <row r="340" spans="1:17" x14ac:dyDescent="0.3">
      <c r="A340" s="7" t="s">
        <v>1912</v>
      </c>
      <c r="B340" s="7">
        <v>515856</v>
      </c>
      <c r="C340" s="7" t="s">
        <v>1948</v>
      </c>
      <c r="D340" s="7" t="s">
        <v>1921</v>
      </c>
      <c r="E340" s="7" t="s">
        <v>746</v>
      </c>
      <c r="F340" s="7" t="s">
        <v>1919</v>
      </c>
      <c r="G340" s="7" t="s">
        <v>419</v>
      </c>
      <c r="H340" s="36" t="s">
        <v>1926</v>
      </c>
      <c r="I340" s="36" t="s">
        <v>1826</v>
      </c>
      <c r="J340" s="36">
        <v>45641</v>
      </c>
      <c r="K340" s="46"/>
      <c r="L340" s="46" t="s">
        <v>87</v>
      </c>
      <c r="M340" s="46"/>
      <c r="N340" s="46" t="s">
        <v>1824</v>
      </c>
      <c r="O340" s="45"/>
      <c r="P340" s="45" t="s">
        <v>665</v>
      </c>
      <c r="Q340" s="45"/>
    </row>
    <row r="341" spans="1:17" x14ac:dyDescent="0.3">
      <c r="A341" s="7" t="s">
        <v>1912</v>
      </c>
      <c r="B341" s="7">
        <v>532810</v>
      </c>
      <c r="C341" s="7" t="s">
        <v>2068</v>
      </c>
      <c r="D341" s="7" t="s">
        <v>1950</v>
      </c>
      <c r="E341" s="7" t="s">
        <v>746</v>
      </c>
      <c r="F341" s="7" t="s">
        <v>1915</v>
      </c>
      <c r="G341" s="7" t="s">
        <v>220</v>
      </c>
      <c r="H341" s="36" t="s">
        <v>1916</v>
      </c>
      <c r="I341" s="36" t="s">
        <v>1826</v>
      </c>
      <c r="J341" s="36">
        <v>45642</v>
      </c>
      <c r="K341" s="46"/>
      <c r="L341" s="46" t="s">
        <v>188</v>
      </c>
      <c r="M341" s="46"/>
      <c r="N341" s="46" t="s">
        <v>1824</v>
      </c>
      <c r="O341" s="45"/>
      <c r="P341" s="45" t="s">
        <v>665</v>
      </c>
      <c r="Q341" s="45"/>
    </row>
    <row r="342" spans="1:17" x14ac:dyDescent="0.3">
      <c r="A342" s="7" t="s">
        <v>1912</v>
      </c>
      <c r="B342" s="7">
        <v>531977</v>
      </c>
      <c r="C342" s="7" t="s">
        <v>2067</v>
      </c>
      <c r="D342" s="7" t="s">
        <v>1950</v>
      </c>
      <c r="E342" s="7" t="s">
        <v>746</v>
      </c>
      <c r="F342" s="7" t="s">
        <v>1915</v>
      </c>
      <c r="G342" s="7" t="s">
        <v>72</v>
      </c>
      <c r="H342" s="36" t="s">
        <v>1916</v>
      </c>
      <c r="I342" s="36" t="s">
        <v>1826</v>
      </c>
      <c r="J342" s="36">
        <v>45642</v>
      </c>
      <c r="K342" s="46"/>
      <c r="L342" s="46" t="s">
        <v>411</v>
      </c>
      <c r="M342" s="46"/>
      <c r="N342" s="46" t="s">
        <v>1824</v>
      </c>
      <c r="O342" s="45"/>
      <c r="P342" s="45" t="s">
        <v>665</v>
      </c>
      <c r="Q342" s="45"/>
    </row>
    <row r="343" spans="1:17" x14ac:dyDescent="0.3">
      <c r="A343" s="7" t="s">
        <v>1658</v>
      </c>
      <c r="B343" s="7">
        <v>531982</v>
      </c>
      <c r="C343" s="7" t="s">
        <v>1940</v>
      </c>
      <c r="D343" s="7" t="s">
        <v>1921</v>
      </c>
      <c r="E343" s="7" t="s">
        <v>746</v>
      </c>
      <c r="F343" s="7" t="s">
        <v>1915</v>
      </c>
      <c r="G343" s="7" t="s">
        <v>524</v>
      </c>
      <c r="H343" s="36" t="s">
        <v>1916</v>
      </c>
      <c r="I343" s="36" t="s">
        <v>1826</v>
      </c>
      <c r="J343" s="36">
        <v>45644</v>
      </c>
      <c r="K343" s="46"/>
      <c r="L343" s="46" t="s">
        <v>471</v>
      </c>
      <c r="M343" s="46"/>
      <c r="N343" s="46" t="s">
        <v>1824</v>
      </c>
      <c r="O343" s="45"/>
      <c r="P343" s="45" t="s">
        <v>665</v>
      </c>
      <c r="Q343" s="45"/>
    </row>
    <row r="344" spans="1:17" x14ac:dyDescent="0.3">
      <c r="A344" s="7" t="s">
        <v>1912</v>
      </c>
      <c r="B344" s="7">
        <v>533539</v>
      </c>
      <c r="C344" s="7" t="s">
        <v>2067</v>
      </c>
      <c r="D344" s="7" t="s">
        <v>1950</v>
      </c>
      <c r="E344" s="7" t="s">
        <v>746</v>
      </c>
      <c r="F344" s="7" t="s">
        <v>1915</v>
      </c>
      <c r="G344" s="7" t="s">
        <v>193</v>
      </c>
      <c r="H344" s="36" t="s">
        <v>1926</v>
      </c>
      <c r="I344" s="36" t="s">
        <v>1826</v>
      </c>
      <c r="J344" s="36">
        <v>45644</v>
      </c>
      <c r="K344" s="46"/>
      <c r="L344" s="46" t="s">
        <v>132</v>
      </c>
      <c r="M344" s="46"/>
      <c r="N344" s="46" t="s">
        <v>1824</v>
      </c>
      <c r="O344" s="45"/>
      <c r="P344" s="45" t="s">
        <v>665</v>
      </c>
      <c r="Q344" s="45"/>
    </row>
    <row r="345" spans="1:17" x14ac:dyDescent="0.3">
      <c r="A345" s="7" t="s">
        <v>755</v>
      </c>
      <c r="B345" s="7">
        <v>533942</v>
      </c>
      <c r="C345" s="7" t="s">
        <v>1940</v>
      </c>
      <c r="D345" s="7" t="s">
        <v>1921</v>
      </c>
      <c r="E345" s="7" t="s">
        <v>746</v>
      </c>
      <c r="F345" s="7" t="s">
        <v>1915</v>
      </c>
      <c r="G345" s="7" t="s">
        <v>292</v>
      </c>
      <c r="H345" s="36" t="s">
        <v>1916</v>
      </c>
      <c r="I345" s="36" t="s">
        <v>1826</v>
      </c>
      <c r="J345" s="36">
        <v>45663</v>
      </c>
      <c r="K345" s="46"/>
      <c r="L345" s="46" t="s">
        <v>47</v>
      </c>
      <c r="M345" s="46"/>
      <c r="N345" s="46" t="s">
        <v>1824</v>
      </c>
      <c r="O345" s="45"/>
      <c r="P345" s="45" t="s">
        <v>665</v>
      </c>
      <c r="Q345" s="45"/>
    </row>
    <row r="346" spans="1:17" x14ac:dyDescent="0.3">
      <c r="A346" s="7" t="s">
        <v>755</v>
      </c>
      <c r="B346" s="7">
        <v>527750</v>
      </c>
      <c r="C346" s="7" t="s">
        <v>1962</v>
      </c>
      <c r="D346" s="7" t="s">
        <v>1921</v>
      </c>
      <c r="E346" s="7" t="s">
        <v>746</v>
      </c>
      <c r="F346" s="7" t="s">
        <v>1915</v>
      </c>
      <c r="G346" s="7" t="s">
        <v>1601</v>
      </c>
      <c r="H346" s="36" t="s">
        <v>1916</v>
      </c>
      <c r="I346" s="36" t="s">
        <v>1826</v>
      </c>
      <c r="J346" s="36">
        <v>45670</v>
      </c>
      <c r="K346" s="46"/>
      <c r="L346" s="46" t="s">
        <v>753</v>
      </c>
      <c r="M346" s="46"/>
      <c r="N346" s="46" t="s">
        <v>1824</v>
      </c>
      <c r="O346" s="45"/>
      <c r="P346" s="45" t="s">
        <v>665</v>
      </c>
      <c r="Q346" s="45"/>
    </row>
    <row r="347" spans="1:17" x14ac:dyDescent="0.3">
      <c r="A347" s="7" t="s">
        <v>1658</v>
      </c>
      <c r="B347" s="7">
        <v>532025</v>
      </c>
      <c r="C347" s="7" t="s">
        <v>1966</v>
      </c>
      <c r="D347" s="7" t="s">
        <v>1921</v>
      </c>
      <c r="E347" s="7" t="s">
        <v>746</v>
      </c>
      <c r="F347" s="7" t="s">
        <v>1915</v>
      </c>
      <c r="G347" s="7" t="s">
        <v>448</v>
      </c>
      <c r="H347" s="36" t="s">
        <v>1916</v>
      </c>
      <c r="I347" s="36" t="s">
        <v>1826</v>
      </c>
      <c r="J347" s="36">
        <v>45729</v>
      </c>
      <c r="K347" s="46"/>
      <c r="L347" s="46" t="s">
        <v>470</v>
      </c>
      <c r="M347" s="46"/>
      <c r="N347" s="46" t="s">
        <v>1824</v>
      </c>
      <c r="O347" s="45"/>
      <c r="P347" s="45" t="s">
        <v>665</v>
      </c>
      <c r="Q347" s="45"/>
    </row>
    <row r="348" spans="1:17" x14ac:dyDescent="0.3">
      <c r="A348" s="7" t="s">
        <v>755</v>
      </c>
      <c r="B348" s="7">
        <v>459699</v>
      </c>
      <c r="C348" s="7" t="s">
        <v>2078</v>
      </c>
      <c r="D348" s="7" t="s">
        <v>1923</v>
      </c>
      <c r="E348" s="7" t="s">
        <v>746</v>
      </c>
      <c r="F348" s="7" t="s">
        <v>1915</v>
      </c>
      <c r="G348" s="7" t="s">
        <v>285</v>
      </c>
      <c r="H348" s="36" t="s">
        <v>1916</v>
      </c>
      <c r="I348" s="36" t="s">
        <v>1826</v>
      </c>
      <c r="J348" s="36">
        <v>45748</v>
      </c>
      <c r="K348" s="46"/>
      <c r="L348" s="46" t="s">
        <v>1211</v>
      </c>
      <c r="M348" s="46"/>
      <c r="N348" s="46" t="s">
        <v>1824</v>
      </c>
      <c r="O348" s="45"/>
      <c r="P348" s="45" t="s">
        <v>665</v>
      </c>
      <c r="Q348" s="45"/>
    </row>
    <row r="349" spans="1:17" x14ac:dyDescent="0.3">
      <c r="A349" s="7" t="s">
        <v>1658</v>
      </c>
      <c r="B349" s="7">
        <v>545381</v>
      </c>
      <c r="C349" s="7" t="s">
        <v>1932</v>
      </c>
      <c r="D349" s="7" t="s">
        <v>1921</v>
      </c>
      <c r="E349" s="7" t="s">
        <v>746</v>
      </c>
      <c r="F349" s="7" t="s">
        <v>1915</v>
      </c>
      <c r="G349" s="7" t="s">
        <v>96</v>
      </c>
      <c r="H349" s="36" t="s">
        <v>1916</v>
      </c>
      <c r="I349" s="36" t="s">
        <v>1826</v>
      </c>
      <c r="J349" s="36">
        <v>45766</v>
      </c>
      <c r="K349" s="46"/>
      <c r="L349" s="46" t="s">
        <v>567</v>
      </c>
      <c r="M349" s="46"/>
      <c r="N349" s="46" t="s">
        <v>1824</v>
      </c>
      <c r="O349" s="45"/>
      <c r="P349" s="45" t="s">
        <v>665</v>
      </c>
      <c r="Q349" s="45"/>
    </row>
    <row r="350" spans="1:17" x14ac:dyDescent="0.3">
      <c r="A350" s="7" t="s">
        <v>1658</v>
      </c>
      <c r="B350" s="7">
        <v>545406</v>
      </c>
      <c r="C350" s="7" t="s">
        <v>2079</v>
      </c>
      <c r="D350" s="7" t="s">
        <v>1921</v>
      </c>
      <c r="E350" s="7" t="s">
        <v>746</v>
      </c>
      <c r="F350" s="7" t="s">
        <v>1915</v>
      </c>
      <c r="G350" s="7" t="s">
        <v>52</v>
      </c>
      <c r="H350" s="36" t="s">
        <v>1916</v>
      </c>
      <c r="I350" s="36" t="s">
        <v>1826</v>
      </c>
      <c r="J350" s="36">
        <v>45796</v>
      </c>
      <c r="K350" s="46"/>
      <c r="L350" s="46" t="s">
        <v>458</v>
      </c>
      <c r="M350" s="46"/>
      <c r="N350" s="46" t="s">
        <v>1824</v>
      </c>
      <c r="O350" s="45"/>
      <c r="P350" s="45" t="s">
        <v>665</v>
      </c>
      <c r="Q350" s="45"/>
    </row>
    <row r="351" spans="1:17" x14ac:dyDescent="0.3">
      <c r="A351" s="7" t="s">
        <v>1912</v>
      </c>
      <c r="B351" s="7">
        <v>549449</v>
      </c>
      <c r="C351" s="7" t="s">
        <v>2080</v>
      </c>
      <c r="D351" s="7" t="s">
        <v>1921</v>
      </c>
      <c r="E351" s="7" t="s">
        <v>746</v>
      </c>
      <c r="F351" s="7" t="s">
        <v>1915</v>
      </c>
      <c r="G351" s="7" t="s">
        <v>482</v>
      </c>
      <c r="H351" s="36" t="s">
        <v>1916</v>
      </c>
      <c r="I351" s="36" t="s">
        <v>1826</v>
      </c>
      <c r="J351" s="36">
        <v>45809</v>
      </c>
      <c r="K351" s="46"/>
      <c r="L351" s="46" t="s">
        <v>258</v>
      </c>
      <c r="M351" s="46"/>
      <c r="N351" s="46" t="s">
        <v>1824</v>
      </c>
      <c r="O351" s="45"/>
      <c r="P351" s="45" t="s">
        <v>665</v>
      </c>
      <c r="Q351" s="45"/>
    </row>
    <row r="352" spans="1:17" x14ac:dyDescent="0.3">
      <c r="A352" s="7" t="s">
        <v>1658</v>
      </c>
      <c r="B352" s="7">
        <v>545010</v>
      </c>
      <c r="C352" s="7" t="s">
        <v>1976</v>
      </c>
      <c r="D352" s="7" t="s">
        <v>1914</v>
      </c>
      <c r="E352" s="7" t="s">
        <v>746</v>
      </c>
      <c r="F352" s="7" t="s">
        <v>1915</v>
      </c>
      <c r="G352" s="7" t="s">
        <v>597</v>
      </c>
      <c r="H352" s="36" t="s">
        <v>1916</v>
      </c>
      <c r="I352" s="36" t="s">
        <v>1826</v>
      </c>
      <c r="J352" s="36">
        <v>45817</v>
      </c>
      <c r="K352" s="46"/>
      <c r="L352" s="46" t="s">
        <v>639</v>
      </c>
      <c r="M352" s="46"/>
      <c r="N352" s="46" t="s">
        <v>1824</v>
      </c>
      <c r="O352" s="45"/>
      <c r="P352" s="45" t="s">
        <v>665</v>
      </c>
      <c r="Q352" s="45"/>
    </row>
    <row r="353" spans="1:17" x14ac:dyDescent="0.3">
      <c r="A353" s="7" t="s">
        <v>755</v>
      </c>
      <c r="B353" s="7">
        <v>544004</v>
      </c>
      <c r="C353" s="7" t="s">
        <v>1940</v>
      </c>
      <c r="D353" s="7" t="s">
        <v>1921</v>
      </c>
      <c r="E353" s="7" t="s">
        <v>746</v>
      </c>
      <c r="F353" s="7" t="s">
        <v>1915</v>
      </c>
      <c r="G353" s="7" t="s">
        <v>245</v>
      </c>
      <c r="H353" s="36" t="s">
        <v>1926</v>
      </c>
      <c r="I353" s="36" t="s">
        <v>1826</v>
      </c>
      <c r="J353" s="36">
        <v>45817</v>
      </c>
      <c r="K353" s="46"/>
      <c r="L353" s="46" t="s">
        <v>285</v>
      </c>
      <c r="M353" s="46"/>
      <c r="N353" s="46" t="s">
        <v>1824</v>
      </c>
      <c r="O353" s="45"/>
      <c r="P353" s="45" t="s">
        <v>665</v>
      </c>
      <c r="Q353" s="45"/>
    </row>
    <row r="354" spans="1:17" x14ac:dyDescent="0.3">
      <c r="A354" s="7" t="s">
        <v>755</v>
      </c>
      <c r="B354" s="7">
        <v>540279</v>
      </c>
      <c r="C354" s="7" t="s">
        <v>2081</v>
      </c>
      <c r="D354" s="7" t="s">
        <v>1921</v>
      </c>
      <c r="E354" s="7" t="s">
        <v>746</v>
      </c>
      <c r="F354" s="7" t="s">
        <v>1915</v>
      </c>
      <c r="G354" s="7" t="s">
        <v>360</v>
      </c>
      <c r="H354" s="36" t="s">
        <v>1916</v>
      </c>
      <c r="I354" s="36" t="s">
        <v>1826</v>
      </c>
      <c r="J354" s="36">
        <v>45824</v>
      </c>
      <c r="K354" s="46"/>
      <c r="L354" s="46" t="s">
        <v>293</v>
      </c>
      <c r="M354" s="46"/>
      <c r="N354" s="46" t="s">
        <v>1824</v>
      </c>
      <c r="O354" s="45"/>
      <c r="P354" s="45" t="s">
        <v>665</v>
      </c>
      <c r="Q354" s="45"/>
    </row>
    <row r="355" spans="1:17" x14ac:dyDescent="0.3">
      <c r="A355" s="7" t="s">
        <v>1658</v>
      </c>
      <c r="B355" s="7">
        <v>544389</v>
      </c>
      <c r="C355" s="7" t="s">
        <v>2079</v>
      </c>
      <c r="D355" s="7" t="s">
        <v>1921</v>
      </c>
      <c r="E355" s="7" t="s">
        <v>746</v>
      </c>
      <c r="F355" s="7" t="s">
        <v>1915</v>
      </c>
      <c r="G355" s="7" t="s">
        <v>348</v>
      </c>
      <c r="H355" s="36" t="s">
        <v>1916</v>
      </c>
      <c r="I355" s="36" t="s">
        <v>1826</v>
      </c>
      <c r="J355" s="36">
        <v>45826</v>
      </c>
      <c r="K355" s="46"/>
      <c r="L355" s="46" t="s">
        <v>458</v>
      </c>
      <c r="M355" s="46"/>
      <c r="N355" s="46" t="s">
        <v>1824</v>
      </c>
      <c r="O355" s="45"/>
      <c r="P355" s="45" t="s">
        <v>665</v>
      </c>
      <c r="Q355" s="45"/>
    </row>
    <row r="356" spans="1:17" x14ac:dyDescent="0.3">
      <c r="A356" s="7" t="s">
        <v>719</v>
      </c>
      <c r="B356" s="7" t="s">
        <v>716</v>
      </c>
      <c r="C356" s="7" t="s">
        <v>2082</v>
      </c>
      <c r="D356" s="7" t="s">
        <v>2083</v>
      </c>
      <c r="E356" s="7" t="s">
        <v>746</v>
      </c>
      <c r="F356" s="7" t="s">
        <v>1915</v>
      </c>
      <c r="G356" s="7" t="s">
        <v>367</v>
      </c>
      <c r="H356" s="36" t="s">
        <v>1916</v>
      </c>
      <c r="I356" s="36" t="s">
        <v>1826</v>
      </c>
      <c r="J356" s="36">
        <v>45826</v>
      </c>
      <c r="K356" s="46"/>
      <c r="L356" s="46" t="s">
        <v>718</v>
      </c>
      <c r="M356" s="46"/>
      <c r="N356" s="46" t="s">
        <v>1824</v>
      </c>
      <c r="O356" s="45"/>
      <c r="P356" s="45" t="s">
        <v>665</v>
      </c>
      <c r="Q356" s="45"/>
    </row>
    <row r="357" spans="1:17" x14ac:dyDescent="0.3">
      <c r="A357" s="7" t="s">
        <v>1658</v>
      </c>
      <c r="B357" s="7">
        <v>545627</v>
      </c>
      <c r="C357" s="7" t="s">
        <v>2098</v>
      </c>
      <c r="D357" s="7" t="s">
        <v>1950</v>
      </c>
      <c r="E357" s="7" t="s">
        <v>746</v>
      </c>
      <c r="F357" s="7" t="s">
        <v>1915</v>
      </c>
      <c r="G357" s="7" t="s">
        <v>579</v>
      </c>
      <c r="H357" s="36" t="s">
        <v>1926</v>
      </c>
      <c r="I357" s="36" t="s">
        <v>1826</v>
      </c>
      <c r="J357" s="36">
        <v>45840</v>
      </c>
      <c r="K357" s="46"/>
      <c r="L357" s="46" t="s">
        <v>639</v>
      </c>
      <c r="M357" s="46"/>
      <c r="N357" s="46" t="s">
        <v>1824</v>
      </c>
      <c r="O357" s="45"/>
      <c r="P357" s="45" t="s">
        <v>665</v>
      </c>
      <c r="Q357" s="45"/>
    </row>
    <row r="358" spans="1:17" x14ac:dyDescent="0.3">
      <c r="A358" s="7" t="s">
        <v>1658</v>
      </c>
      <c r="B358" s="7">
        <v>545012</v>
      </c>
      <c r="C358" s="7" t="s">
        <v>2084</v>
      </c>
      <c r="D358" s="7" t="s">
        <v>1914</v>
      </c>
      <c r="E358" s="7" t="s">
        <v>746</v>
      </c>
      <c r="F358" s="7" t="s">
        <v>1915</v>
      </c>
      <c r="G358" s="7" t="s">
        <v>356</v>
      </c>
      <c r="H358" s="36" t="s">
        <v>1916</v>
      </c>
      <c r="I358" s="36" t="s">
        <v>1826</v>
      </c>
      <c r="J358" s="36">
        <v>45870</v>
      </c>
      <c r="K358" s="46"/>
      <c r="L358" s="46" t="s">
        <v>155</v>
      </c>
      <c r="M358" s="46"/>
      <c r="N358" s="46" t="s">
        <v>1824</v>
      </c>
      <c r="O358" s="45"/>
      <c r="P358" s="45" t="s">
        <v>665</v>
      </c>
      <c r="Q358" s="45"/>
    </row>
    <row r="359" spans="1:17" x14ac:dyDescent="0.3">
      <c r="A359" s="7" t="s">
        <v>755</v>
      </c>
      <c r="B359" s="7">
        <v>550012</v>
      </c>
      <c r="C359" s="7" t="s">
        <v>1940</v>
      </c>
      <c r="D359" s="7" t="s">
        <v>1921</v>
      </c>
      <c r="E359" s="7" t="s">
        <v>746</v>
      </c>
      <c r="F359" s="7" t="s">
        <v>1915</v>
      </c>
      <c r="G359" s="7" t="s">
        <v>60</v>
      </c>
      <c r="H359" s="36" t="s">
        <v>1916</v>
      </c>
      <c r="I359" s="36" t="s">
        <v>1826</v>
      </c>
      <c r="J359" s="36">
        <v>45870</v>
      </c>
      <c r="K359" s="46"/>
      <c r="L359" s="46" t="s">
        <v>285</v>
      </c>
      <c r="M359" s="46"/>
      <c r="N359" s="46" t="s">
        <v>1824</v>
      </c>
      <c r="O359" s="45"/>
      <c r="P359" s="45" t="s">
        <v>665</v>
      </c>
      <c r="Q359" s="45"/>
    </row>
    <row r="360" spans="1:17" x14ac:dyDescent="0.3">
      <c r="A360" s="7" t="s">
        <v>755</v>
      </c>
      <c r="B360" s="7">
        <v>547774</v>
      </c>
      <c r="C360" s="7" t="s">
        <v>1940</v>
      </c>
      <c r="D360" s="7" t="s">
        <v>1921</v>
      </c>
      <c r="E360" s="7" t="s">
        <v>746</v>
      </c>
      <c r="F360" s="7" t="s">
        <v>1915</v>
      </c>
      <c r="G360" s="7" t="s">
        <v>506</v>
      </c>
      <c r="H360" s="36" t="s">
        <v>1916</v>
      </c>
      <c r="I360" s="36" t="s">
        <v>1826</v>
      </c>
      <c r="J360" s="36">
        <v>45873</v>
      </c>
      <c r="K360" s="46"/>
      <c r="L360" s="46" t="s">
        <v>285</v>
      </c>
      <c r="M360" s="46"/>
      <c r="N360" s="46" t="s">
        <v>1824</v>
      </c>
      <c r="O360" s="45"/>
      <c r="P360" s="45" t="s">
        <v>665</v>
      </c>
      <c r="Q360" s="45"/>
    </row>
    <row r="361" spans="1:17" x14ac:dyDescent="0.3">
      <c r="A361" s="7" t="s">
        <v>755</v>
      </c>
      <c r="B361" s="7">
        <v>548184</v>
      </c>
      <c r="C361" s="7" t="s">
        <v>2085</v>
      </c>
      <c r="D361" s="7" t="s">
        <v>1921</v>
      </c>
      <c r="E361" s="7" t="s">
        <v>746</v>
      </c>
      <c r="F361" s="7" t="s">
        <v>1915</v>
      </c>
      <c r="G361" s="7" t="s">
        <v>643</v>
      </c>
      <c r="H361" s="36" t="s">
        <v>1916</v>
      </c>
      <c r="I361" s="36" t="s">
        <v>1826</v>
      </c>
      <c r="J361" s="36">
        <v>45880</v>
      </c>
      <c r="K361" s="46"/>
      <c r="L361" s="46" t="s">
        <v>34</v>
      </c>
      <c r="M361" s="46"/>
      <c r="N361" s="46" t="s">
        <v>1824</v>
      </c>
      <c r="O361" s="45"/>
      <c r="P361" s="45" t="s">
        <v>665</v>
      </c>
      <c r="Q361" s="45"/>
    </row>
    <row r="362" spans="1:17" x14ac:dyDescent="0.3">
      <c r="A362" s="7" t="s">
        <v>1658</v>
      </c>
      <c r="B362" s="7">
        <v>545376</v>
      </c>
      <c r="C362" s="7" t="s">
        <v>1932</v>
      </c>
      <c r="D362" s="7" t="s">
        <v>1921</v>
      </c>
      <c r="E362" s="7" t="s">
        <v>746</v>
      </c>
      <c r="F362" s="7" t="s">
        <v>1915</v>
      </c>
      <c r="G362" s="7" t="s">
        <v>581</v>
      </c>
      <c r="H362" s="36" t="s">
        <v>1926</v>
      </c>
      <c r="I362" s="36" t="s">
        <v>1826</v>
      </c>
      <c r="J362" s="36">
        <v>45889</v>
      </c>
      <c r="K362" s="46"/>
      <c r="L362" s="46" t="s">
        <v>324</v>
      </c>
      <c r="M362" s="46"/>
      <c r="N362" s="46" t="s">
        <v>1824</v>
      </c>
      <c r="O362" s="45"/>
      <c r="P362" s="45" t="s">
        <v>665</v>
      </c>
      <c r="Q362" s="45"/>
    </row>
    <row r="363" spans="1:17" x14ac:dyDescent="0.3">
      <c r="A363" s="7" t="s">
        <v>1658</v>
      </c>
      <c r="B363" s="7">
        <v>547456</v>
      </c>
      <c r="C363" s="7" t="s">
        <v>2049</v>
      </c>
      <c r="D363" s="7" t="s">
        <v>1921</v>
      </c>
      <c r="E363" s="7" t="s">
        <v>746</v>
      </c>
      <c r="F363" s="7" t="s">
        <v>1915</v>
      </c>
      <c r="G363" s="7" t="s">
        <v>500</v>
      </c>
      <c r="H363" s="36" t="s">
        <v>1916</v>
      </c>
      <c r="I363" s="36" t="s">
        <v>1826</v>
      </c>
      <c r="J363" s="36">
        <v>45901</v>
      </c>
      <c r="K363" s="46"/>
      <c r="L363" s="46" t="s">
        <v>375</v>
      </c>
      <c r="M363" s="46"/>
      <c r="N363" s="46" t="s">
        <v>1824</v>
      </c>
      <c r="O363" s="45"/>
      <c r="P363" s="45" t="s">
        <v>665</v>
      </c>
      <c r="Q363" s="45"/>
    </row>
    <row r="364" spans="1:17" x14ac:dyDescent="0.3">
      <c r="A364" s="7" t="s">
        <v>755</v>
      </c>
      <c r="B364" s="7">
        <v>554950</v>
      </c>
      <c r="C364" s="7" t="s">
        <v>2014</v>
      </c>
      <c r="D364" s="7" t="s">
        <v>1950</v>
      </c>
      <c r="E364" s="7" t="s">
        <v>746</v>
      </c>
      <c r="F364" s="7" t="s">
        <v>1915</v>
      </c>
      <c r="G364" s="7" t="s">
        <v>428</v>
      </c>
      <c r="H364" s="36" t="s">
        <v>1916</v>
      </c>
      <c r="I364" s="36" t="s">
        <v>1826</v>
      </c>
      <c r="J364" s="36">
        <v>45901</v>
      </c>
      <c r="K364" s="46"/>
      <c r="L364" s="46" t="s">
        <v>309</v>
      </c>
      <c r="M364" s="46"/>
      <c r="N364" s="46" t="s">
        <v>1824</v>
      </c>
      <c r="O364" s="45"/>
      <c r="P364" s="45" t="s">
        <v>665</v>
      </c>
      <c r="Q364" s="45"/>
    </row>
    <row r="365" spans="1:17" x14ac:dyDescent="0.3">
      <c r="A365" s="7" t="s">
        <v>1658</v>
      </c>
      <c r="B365" s="7">
        <v>548836</v>
      </c>
      <c r="C365" s="7" t="s">
        <v>2086</v>
      </c>
      <c r="D365" s="7" t="s">
        <v>1914</v>
      </c>
      <c r="E365" s="7" t="s">
        <v>746</v>
      </c>
      <c r="F365" s="7" t="s">
        <v>1915</v>
      </c>
      <c r="G365" s="7" t="s">
        <v>422</v>
      </c>
      <c r="H365" s="36" t="s">
        <v>1916</v>
      </c>
      <c r="I365" s="36" t="s">
        <v>1826</v>
      </c>
      <c r="J365" s="36">
        <v>45909</v>
      </c>
      <c r="K365" s="46"/>
      <c r="L365" s="46" t="s">
        <v>300</v>
      </c>
      <c r="M365" s="46"/>
      <c r="N365" s="46" t="s">
        <v>1824</v>
      </c>
      <c r="O365" s="45"/>
      <c r="P365" s="45" t="s">
        <v>665</v>
      </c>
      <c r="Q365" s="45"/>
    </row>
    <row r="366" spans="1:17" x14ac:dyDescent="0.3">
      <c r="A366" s="7" t="s">
        <v>1912</v>
      </c>
      <c r="B366" s="7">
        <v>540395</v>
      </c>
      <c r="C366" s="7" t="s">
        <v>2087</v>
      </c>
      <c r="D366" s="7" t="s">
        <v>1950</v>
      </c>
      <c r="E366" s="7" t="s">
        <v>746</v>
      </c>
      <c r="F366" s="7" t="s">
        <v>1915</v>
      </c>
      <c r="G366" s="7" t="s">
        <v>467</v>
      </c>
      <c r="H366" s="36" t="s">
        <v>1916</v>
      </c>
      <c r="I366" s="36" t="s">
        <v>1826</v>
      </c>
      <c r="J366" s="36">
        <v>45922</v>
      </c>
      <c r="K366" s="46"/>
      <c r="L366" s="46" t="s">
        <v>49</v>
      </c>
      <c r="M366" s="46"/>
      <c r="N366" s="46" t="s">
        <v>1824</v>
      </c>
      <c r="O366" s="45"/>
      <c r="P366" s="45" t="s">
        <v>665</v>
      </c>
      <c r="Q366" s="45"/>
    </row>
    <row r="367" spans="1:17" x14ac:dyDescent="0.3">
      <c r="A367" s="7" t="s">
        <v>755</v>
      </c>
      <c r="B367" s="7">
        <v>555291</v>
      </c>
      <c r="C367" s="7" t="s">
        <v>2030</v>
      </c>
      <c r="D367" s="7" t="s">
        <v>1921</v>
      </c>
      <c r="E367" s="7" t="s">
        <v>746</v>
      </c>
      <c r="F367" s="7" t="s">
        <v>1919</v>
      </c>
      <c r="G367" s="7" t="s">
        <v>306</v>
      </c>
      <c r="H367" s="36" t="s">
        <v>1926</v>
      </c>
      <c r="I367" s="53" t="s">
        <v>1827</v>
      </c>
      <c r="J367" s="36">
        <v>45933</v>
      </c>
      <c r="K367" s="46">
        <v>46269</v>
      </c>
      <c r="L367" s="46" t="s">
        <v>753</v>
      </c>
      <c r="M367" s="46"/>
      <c r="N367" s="46" t="s">
        <v>1822</v>
      </c>
      <c r="O367" s="45"/>
      <c r="P367" s="45" t="s">
        <v>665</v>
      </c>
      <c r="Q367" s="45"/>
    </row>
    <row r="368" spans="1:17" x14ac:dyDescent="0.3">
      <c r="A368" s="7" t="s">
        <v>755</v>
      </c>
      <c r="B368" s="7">
        <v>556420</v>
      </c>
      <c r="C368" s="7" t="s">
        <v>2088</v>
      </c>
      <c r="D368" s="7" t="s">
        <v>1950</v>
      </c>
      <c r="E368" s="7" t="s">
        <v>746</v>
      </c>
      <c r="F368" s="7" t="s">
        <v>1915</v>
      </c>
      <c r="G368" s="7" t="s">
        <v>573</v>
      </c>
      <c r="H368" s="36" t="s">
        <v>1916</v>
      </c>
      <c r="I368" s="36" t="s">
        <v>1826</v>
      </c>
      <c r="J368" s="36">
        <v>45936</v>
      </c>
      <c r="K368" s="46"/>
      <c r="L368" s="46" t="s">
        <v>47</v>
      </c>
      <c r="M368" s="46"/>
      <c r="N368" s="46" t="s">
        <v>1824</v>
      </c>
      <c r="O368" s="45"/>
      <c r="P368" s="45" t="s">
        <v>665</v>
      </c>
      <c r="Q368" s="45"/>
    </row>
    <row r="369" spans="1:17" x14ac:dyDescent="0.3">
      <c r="A369" s="7" t="s">
        <v>755</v>
      </c>
      <c r="B369" s="7">
        <v>557517</v>
      </c>
      <c r="C369" s="7" t="s">
        <v>2077</v>
      </c>
      <c r="D369" s="7" t="s">
        <v>1950</v>
      </c>
      <c r="E369" s="7" t="s">
        <v>746</v>
      </c>
      <c r="F369" s="7" t="s">
        <v>1915</v>
      </c>
      <c r="G369" s="7" t="s">
        <v>273</v>
      </c>
      <c r="H369" s="36" t="s">
        <v>1926</v>
      </c>
      <c r="I369" s="36" t="s">
        <v>1826</v>
      </c>
      <c r="J369" s="36">
        <v>45943</v>
      </c>
      <c r="K369" s="46"/>
      <c r="L369" s="46" t="s">
        <v>293</v>
      </c>
      <c r="M369" s="46"/>
      <c r="N369" s="46" t="s">
        <v>1824</v>
      </c>
      <c r="O369" s="45"/>
      <c r="P369" s="45" t="s">
        <v>665</v>
      </c>
      <c r="Q369" s="45"/>
    </row>
    <row r="370" spans="1:17" x14ac:dyDescent="0.3">
      <c r="A370" s="7" t="s">
        <v>1912</v>
      </c>
      <c r="B370" s="7">
        <v>552772</v>
      </c>
      <c r="C370" s="7" t="s">
        <v>2051</v>
      </c>
      <c r="D370" s="7" t="s">
        <v>1950</v>
      </c>
      <c r="E370" s="7" t="s">
        <v>746</v>
      </c>
      <c r="F370" s="7" t="s">
        <v>1915</v>
      </c>
      <c r="G370" s="7" t="s">
        <v>1256</v>
      </c>
      <c r="H370" s="36" t="s">
        <v>1916</v>
      </c>
      <c r="I370" s="36" t="s">
        <v>1826</v>
      </c>
      <c r="J370" s="36">
        <v>45960</v>
      </c>
      <c r="K370" s="46"/>
      <c r="L370" s="46" t="s">
        <v>49</v>
      </c>
      <c r="M370" s="46"/>
      <c r="N370" s="46" t="s">
        <v>1824</v>
      </c>
      <c r="O370" s="45"/>
      <c r="P370" s="45" t="s">
        <v>665</v>
      </c>
      <c r="Q370" s="45"/>
    </row>
    <row r="371" spans="1:17" x14ac:dyDescent="0.3">
      <c r="A371" s="7" t="s">
        <v>755</v>
      </c>
      <c r="B371" s="7">
        <v>560760</v>
      </c>
      <c r="C371" s="7" t="s">
        <v>2051</v>
      </c>
      <c r="D371" s="7" t="s">
        <v>1950</v>
      </c>
      <c r="E371" s="7" t="s">
        <v>746</v>
      </c>
      <c r="F371" s="7" t="s">
        <v>1915</v>
      </c>
      <c r="G371" s="7" t="s">
        <v>1310</v>
      </c>
      <c r="H371" s="36" t="s">
        <v>1926</v>
      </c>
      <c r="I371" s="36" t="s">
        <v>1826</v>
      </c>
      <c r="J371" s="36">
        <v>45964</v>
      </c>
      <c r="K371" s="46"/>
      <c r="L371" s="46" t="s">
        <v>633</v>
      </c>
      <c r="M371" s="46"/>
      <c r="N371" s="46" t="s">
        <v>1824</v>
      </c>
      <c r="O371" s="45"/>
      <c r="P371" s="45" t="s">
        <v>665</v>
      </c>
      <c r="Q371" s="45"/>
    </row>
    <row r="372" spans="1:17" x14ac:dyDescent="0.3">
      <c r="A372" s="7" t="s">
        <v>1658</v>
      </c>
      <c r="B372" s="7">
        <v>552540</v>
      </c>
      <c r="C372" s="7" t="s">
        <v>2089</v>
      </c>
      <c r="D372" s="7" t="s">
        <v>1921</v>
      </c>
      <c r="E372" s="7" t="s">
        <v>746</v>
      </c>
      <c r="F372" s="7" t="s">
        <v>1915</v>
      </c>
      <c r="G372" s="7" t="s">
        <v>897</v>
      </c>
      <c r="H372" s="36" t="s">
        <v>1916</v>
      </c>
      <c r="I372" s="36" t="s">
        <v>1826</v>
      </c>
      <c r="J372" s="36">
        <v>45978</v>
      </c>
      <c r="K372" s="46"/>
      <c r="L372" s="46" t="s">
        <v>244</v>
      </c>
      <c r="M372" s="46"/>
      <c r="N372" s="46" t="s">
        <v>1824</v>
      </c>
      <c r="O372" s="45"/>
      <c r="P372" s="45" t="s">
        <v>665</v>
      </c>
      <c r="Q372" s="45"/>
    </row>
    <row r="373" spans="1:17" x14ac:dyDescent="0.3">
      <c r="A373" s="7" t="s">
        <v>1658</v>
      </c>
      <c r="B373" s="7">
        <v>558193</v>
      </c>
      <c r="C373" s="7" t="s">
        <v>2030</v>
      </c>
      <c r="D373" s="7" t="s">
        <v>1921</v>
      </c>
      <c r="E373" s="7" t="s">
        <v>746</v>
      </c>
      <c r="F373" s="7" t="s">
        <v>1915</v>
      </c>
      <c r="G373" s="7" t="s">
        <v>289</v>
      </c>
      <c r="H373" s="36" t="s">
        <v>1916</v>
      </c>
      <c r="I373" s="36" t="s">
        <v>1826</v>
      </c>
      <c r="J373" s="36">
        <v>45978</v>
      </c>
      <c r="K373" s="46"/>
      <c r="L373" s="46" t="s">
        <v>333</v>
      </c>
      <c r="M373" s="46"/>
      <c r="N373" s="46" t="s">
        <v>1824</v>
      </c>
      <c r="O373" s="45"/>
      <c r="P373" s="45" t="s">
        <v>665</v>
      </c>
      <c r="Q373" s="45"/>
    </row>
    <row r="374" spans="1:17" x14ac:dyDescent="0.3">
      <c r="A374" s="7" t="s">
        <v>755</v>
      </c>
      <c r="B374" s="7">
        <v>549685</v>
      </c>
      <c r="C374" s="7" t="s">
        <v>1932</v>
      </c>
      <c r="D374" s="7" t="s">
        <v>2090</v>
      </c>
      <c r="E374" s="7" t="s">
        <v>2091</v>
      </c>
      <c r="F374" s="7" t="s">
        <v>1915</v>
      </c>
      <c r="G374" s="7" t="s">
        <v>1393</v>
      </c>
      <c r="H374" s="36" t="s">
        <v>1926</v>
      </c>
      <c r="I374" s="36" t="s">
        <v>1826</v>
      </c>
      <c r="J374" s="36">
        <v>45980</v>
      </c>
      <c r="K374" s="46"/>
      <c r="L374" s="46" t="s">
        <v>309</v>
      </c>
      <c r="M374" s="46"/>
      <c r="N374" s="46" t="s">
        <v>1824</v>
      </c>
      <c r="O374" s="45"/>
      <c r="P374" s="45" t="s">
        <v>665</v>
      </c>
      <c r="Q374" s="45"/>
    </row>
    <row r="375" spans="1:17" x14ac:dyDescent="0.3">
      <c r="A375" s="7" t="s">
        <v>1658</v>
      </c>
      <c r="B375" s="7">
        <v>550192</v>
      </c>
      <c r="C375" s="7" t="s">
        <v>2030</v>
      </c>
      <c r="D375" s="7" t="s">
        <v>1921</v>
      </c>
      <c r="E375" s="7" t="s">
        <v>746</v>
      </c>
      <c r="F375" s="7" t="s">
        <v>1915</v>
      </c>
      <c r="G375" s="7" t="s">
        <v>404</v>
      </c>
      <c r="H375" s="36" t="s">
        <v>1916</v>
      </c>
      <c r="I375" s="36" t="s">
        <v>1826</v>
      </c>
      <c r="J375" s="36">
        <v>45982</v>
      </c>
      <c r="K375" s="46"/>
      <c r="L375" s="46" t="s">
        <v>333</v>
      </c>
      <c r="M375" s="46"/>
      <c r="N375" s="46" t="s">
        <v>1824</v>
      </c>
      <c r="O375" s="45"/>
      <c r="P375" s="45" t="s">
        <v>665</v>
      </c>
      <c r="Q375" s="45"/>
    </row>
    <row r="376" spans="1:17" x14ac:dyDescent="0.3">
      <c r="A376" s="7" t="s">
        <v>755</v>
      </c>
      <c r="B376" s="7">
        <v>553376</v>
      </c>
      <c r="C376" s="7" t="s">
        <v>1967</v>
      </c>
      <c r="D376" s="7" t="s">
        <v>1921</v>
      </c>
      <c r="E376" s="7" t="s">
        <v>746</v>
      </c>
      <c r="F376" s="7" t="s">
        <v>1915</v>
      </c>
      <c r="G376" s="7" t="s">
        <v>985</v>
      </c>
      <c r="H376" s="36" t="s">
        <v>1916</v>
      </c>
      <c r="I376" s="36" t="s">
        <v>1826</v>
      </c>
      <c r="J376" s="36">
        <v>45992</v>
      </c>
      <c r="K376" s="46"/>
      <c r="L376" s="46" t="s">
        <v>293</v>
      </c>
      <c r="M376" s="46"/>
      <c r="N376" s="46" t="s">
        <v>1824</v>
      </c>
      <c r="O376" s="45"/>
      <c r="P376" s="45" t="s">
        <v>665</v>
      </c>
      <c r="Q376" s="45"/>
    </row>
    <row r="377" spans="1:17" x14ac:dyDescent="0.3">
      <c r="A377" s="7" t="s">
        <v>1658</v>
      </c>
      <c r="B377" s="7">
        <v>555317</v>
      </c>
      <c r="C377" s="7" t="s">
        <v>2092</v>
      </c>
      <c r="D377" s="7" t="s">
        <v>1914</v>
      </c>
      <c r="E377" s="7" t="s">
        <v>746</v>
      </c>
      <c r="F377" s="7" t="s">
        <v>1915</v>
      </c>
      <c r="G377" s="7" t="s">
        <v>1396</v>
      </c>
      <c r="H377" s="36" t="s">
        <v>1926</v>
      </c>
      <c r="I377" s="36" t="s">
        <v>1826</v>
      </c>
      <c r="J377" s="36">
        <v>45992</v>
      </c>
      <c r="K377" s="46"/>
      <c r="L377" s="46" t="s">
        <v>470</v>
      </c>
      <c r="M377" s="46"/>
      <c r="N377" s="46" t="s">
        <v>1824</v>
      </c>
      <c r="O377" s="45"/>
      <c r="P377" s="45" t="s">
        <v>665</v>
      </c>
      <c r="Q377" s="45"/>
    </row>
    <row r="378" spans="1:17" x14ac:dyDescent="0.3">
      <c r="A378" s="7" t="s">
        <v>755</v>
      </c>
      <c r="B378" s="7">
        <v>555605</v>
      </c>
      <c r="C378" s="7" t="s">
        <v>1940</v>
      </c>
      <c r="D378" s="7" t="s">
        <v>1921</v>
      </c>
      <c r="E378" s="7" t="s">
        <v>746</v>
      </c>
      <c r="F378" s="7" t="s">
        <v>1915</v>
      </c>
      <c r="G378" s="7" t="s">
        <v>350</v>
      </c>
      <c r="H378" s="36" t="s">
        <v>1916</v>
      </c>
      <c r="I378" s="36" t="s">
        <v>1826</v>
      </c>
      <c r="J378" s="36">
        <v>45999</v>
      </c>
      <c r="K378" s="46"/>
      <c r="L378" s="46" t="s">
        <v>285</v>
      </c>
      <c r="M378" s="46"/>
      <c r="N378" s="46" t="s">
        <v>1824</v>
      </c>
      <c r="O378" s="45"/>
      <c r="P378" s="45" t="s">
        <v>665</v>
      </c>
      <c r="Q378" s="45"/>
    </row>
    <row r="379" spans="1:17" x14ac:dyDescent="0.3">
      <c r="A379" s="7" t="s">
        <v>1912</v>
      </c>
      <c r="B379" s="7">
        <v>562117</v>
      </c>
      <c r="C379" s="7" t="s">
        <v>2093</v>
      </c>
      <c r="D379" s="7" t="s">
        <v>1923</v>
      </c>
      <c r="E379" s="7" t="s">
        <v>746</v>
      </c>
      <c r="F379" s="7" t="s">
        <v>1919</v>
      </c>
      <c r="G379" s="7" t="s">
        <v>525</v>
      </c>
      <c r="H379" s="36" t="s">
        <v>1916</v>
      </c>
      <c r="I379" s="36" t="s">
        <v>1826</v>
      </c>
      <c r="J379" s="36">
        <v>46006</v>
      </c>
      <c r="K379" s="46"/>
      <c r="L379" s="46" t="s">
        <v>142</v>
      </c>
      <c r="M379" s="46"/>
      <c r="N379" s="46" t="s">
        <v>1824</v>
      </c>
      <c r="O379" s="45"/>
      <c r="P379" s="45" t="s">
        <v>665</v>
      </c>
      <c r="Q379" s="45"/>
    </row>
    <row r="380" spans="1:17" x14ac:dyDescent="0.3">
      <c r="A380" s="7" t="s">
        <v>1658</v>
      </c>
      <c r="B380" s="7">
        <v>553843</v>
      </c>
      <c r="C380" s="7" t="s">
        <v>2094</v>
      </c>
      <c r="D380" s="7" t="s">
        <v>1950</v>
      </c>
      <c r="E380" s="7" t="s">
        <v>746</v>
      </c>
      <c r="F380" s="7" t="s">
        <v>1915</v>
      </c>
      <c r="G380" s="7" t="s">
        <v>268</v>
      </c>
      <c r="H380" s="36" t="s">
        <v>1916</v>
      </c>
      <c r="I380" s="36" t="s">
        <v>1826</v>
      </c>
      <c r="J380" s="36">
        <v>46043</v>
      </c>
      <c r="K380" s="46"/>
      <c r="L380" s="46" t="s">
        <v>48</v>
      </c>
      <c r="M380" s="46"/>
      <c r="N380" s="46" t="s">
        <v>1824</v>
      </c>
      <c r="O380" s="45"/>
      <c r="P380" s="45" t="s">
        <v>665</v>
      </c>
      <c r="Q380" s="45"/>
    </row>
    <row r="381" spans="1:17" x14ac:dyDescent="0.3">
      <c r="A381" s="7" t="s">
        <v>1658</v>
      </c>
      <c r="B381" s="7">
        <v>569693</v>
      </c>
      <c r="C381" s="7" t="s">
        <v>1933</v>
      </c>
      <c r="D381" s="7" t="s">
        <v>1950</v>
      </c>
      <c r="E381" s="7" t="s">
        <v>746</v>
      </c>
      <c r="F381" s="7" t="s">
        <v>1915</v>
      </c>
      <c r="G381" s="7" t="s">
        <v>1401</v>
      </c>
      <c r="H381" s="36" t="s">
        <v>1926</v>
      </c>
      <c r="I381" s="36" t="s">
        <v>1826</v>
      </c>
      <c r="J381" s="36">
        <v>46054</v>
      </c>
      <c r="K381" s="46"/>
      <c r="L381" s="46" t="s">
        <v>470</v>
      </c>
      <c r="M381" s="46"/>
      <c r="N381" s="46" t="s">
        <v>1824</v>
      </c>
      <c r="O381" s="45"/>
      <c r="P381" s="45" t="s">
        <v>665</v>
      </c>
      <c r="Q381" s="45"/>
    </row>
    <row r="382" spans="1:17" x14ac:dyDescent="0.3">
      <c r="A382" s="7" t="s">
        <v>1658</v>
      </c>
      <c r="B382" s="7">
        <v>553077</v>
      </c>
      <c r="C382" s="7" t="s">
        <v>2095</v>
      </c>
      <c r="D382" s="7" t="s">
        <v>1950</v>
      </c>
      <c r="E382" s="7" t="s">
        <v>746</v>
      </c>
      <c r="F382" s="7" t="s">
        <v>1915</v>
      </c>
      <c r="G382" s="7" t="s">
        <v>1509</v>
      </c>
      <c r="H382" s="36" t="s">
        <v>1916</v>
      </c>
      <c r="I382" s="36" t="s">
        <v>1826</v>
      </c>
      <c r="J382" s="36">
        <v>46054</v>
      </c>
      <c r="K382" s="46"/>
      <c r="L382" s="46" t="s">
        <v>471</v>
      </c>
      <c r="M382" s="46"/>
      <c r="N382" s="46" t="s">
        <v>1824</v>
      </c>
      <c r="O382" s="45"/>
      <c r="P382" s="45" t="s">
        <v>665</v>
      </c>
      <c r="Q382" s="45"/>
    </row>
    <row r="383" spans="1:17" x14ac:dyDescent="0.3">
      <c r="A383" s="7" t="s">
        <v>1912</v>
      </c>
      <c r="B383" s="7" t="s">
        <v>716</v>
      </c>
      <c r="C383" s="7" t="s">
        <v>2096</v>
      </c>
      <c r="D383" s="7" t="s">
        <v>1918</v>
      </c>
      <c r="E383" s="7" t="s">
        <v>746</v>
      </c>
      <c r="F383" s="7" t="s">
        <v>1915</v>
      </c>
      <c r="G383" s="7" t="s">
        <v>269</v>
      </c>
      <c r="H383" s="36" t="s">
        <v>1916</v>
      </c>
      <c r="I383" s="36" t="s">
        <v>1826</v>
      </c>
      <c r="J383" s="36">
        <v>46055</v>
      </c>
      <c r="K383" s="46"/>
      <c r="L383" s="46" t="s">
        <v>366</v>
      </c>
      <c r="M383" s="46"/>
      <c r="N383" s="46" t="s">
        <v>1824</v>
      </c>
      <c r="O383" s="45"/>
      <c r="P383" s="45" t="s">
        <v>665</v>
      </c>
      <c r="Q383" s="45"/>
    </row>
    <row r="384" spans="1:17" x14ac:dyDescent="0.3">
      <c r="A384" s="7" t="s">
        <v>1658</v>
      </c>
      <c r="B384" s="7">
        <v>550862</v>
      </c>
      <c r="C384" s="7" t="s">
        <v>2097</v>
      </c>
      <c r="D384" s="7" t="s">
        <v>1950</v>
      </c>
      <c r="E384" s="7" t="s">
        <v>746</v>
      </c>
      <c r="F384" s="7" t="s">
        <v>1915</v>
      </c>
      <c r="G384" s="7" t="s">
        <v>326</v>
      </c>
      <c r="H384" s="36" t="s">
        <v>1926</v>
      </c>
      <c r="I384" s="36" t="s">
        <v>1826</v>
      </c>
      <c r="J384" s="36">
        <v>46057</v>
      </c>
      <c r="K384" s="46"/>
      <c r="L384" s="46" t="s">
        <v>449</v>
      </c>
      <c r="M384" s="46"/>
      <c r="N384" s="46" t="s">
        <v>1824</v>
      </c>
      <c r="O384" s="45"/>
      <c r="P384" s="45" t="s">
        <v>665</v>
      </c>
      <c r="Q384" s="45"/>
    </row>
    <row r="385" spans="1:17" x14ac:dyDescent="0.3">
      <c r="A385" s="7" t="s">
        <v>1658</v>
      </c>
      <c r="B385" s="7">
        <v>569283</v>
      </c>
      <c r="C385" s="7" t="s">
        <v>2098</v>
      </c>
      <c r="D385" s="7" t="s">
        <v>1921</v>
      </c>
      <c r="E385" s="7" t="s">
        <v>746</v>
      </c>
      <c r="F385" s="7" t="s">
        <v>1915</v>
      </c>
      <c r="G385" s="7" t="s">
        <v>1507</v>
      </c>
      <c r="H385" s="36" t="s">
        <v>1916</v>
      </c>
      <c r="I385" s="36" t="s">
        <v>1826</v>
      </c>
      <c r="J385" s="36">
        <v>46113</v>
      </c>
      <c r="K385" s="46"/>
      <c r="L385" s="46" t="s">
        <v>471</v>
      </c>
      <c r="M385" s="46"/>
      <c r="N385" s="46" t="s">
        <v>1824</v>
      </c>
      <c r="O385" s="45"/>
      <c r="P385" s="45" t="s">
        <v>665</v>
      </c>
      <c r="Q385" s="45"/>
    </row>
    <row r="386" spans="1:17" x14ac:dyDescent="0.3">
      <c r="A386" s="7" t="s">
        <v>1658</v>
      </c>
      <c r="B386" s="7">
        <v>562252</v>
      </c>
      <c r="C386" s="7" t="s">
        <v>1932</v>
      </c>
      <c r="D386" s="7" t="s">
        <v>1921</v>
      </c>
      <c r="E386" s="7" t="s">
        <v>746</v>
      </c>
      <c r="F386" s="7" t="s">
        <v>1915</v>
      </c>
      <c r="G386" s="7" t="s">
        <v>1832</v>
      </c>
      <c r="H386" s="36"/>
      <c r="I386" s="36" t="s">
        <v>1825</v>
      </c>
      <c r="J386" s="36">
        <v>46266</v>
      </c>
      <c r="K386" s="46"/>
      <c r="L386" s="46" t="s">
        <v>324</v>
      </c>
      <c r="M386" s="46"/>
      <c r="N386" s="46" t="s">
        <v>1822</v>
      </c>
      <c r="O386" s="45"/>
      <c r="P386" s="45" t="s">
        <v>665</v>
      </c>
      <c r="Q386" s="45"/>
    </row>
    <row r="387" spans="1:17" x14ac:dyDescent="0.3">
      <c r="A387" s="7" t="s">
        <v>1912</v>
      </c>
      <c r="B387" s="7">
        <v>533161</v>
      </c>
      <c r="C387" s="7" t="s">
        <v>2099</v>
      </c>
      <c r="D387" s="7" t="s">
        <v>1914</v>
      </c>
      <c r="E387" s="7" t="s">
        <v>711</v>
      </c>
      <c r="F387" s="7" t="s">
        <v>1973</v>
      </c>
      <c r="G387" s="7" t="s">
        <v>234</v>
      </c>
      <c r="H387" s="36" t="s">
        <v>1916</v>
      </c>
      <c r="I387" s="36" t="s">
        <v>1826</v>
      </c>
      <c r="J387" s="36">
        <v>45628</v>
      </c>
      <c r="K387" s="46"/>
      <c r="L387" s="46" t="s">
        <v>366</v>
      </c>
      <c r="M387" s="46"/>
      <c r="N387" s="46" t="s">
        <v>1824</v>
      </c>
      <c r="O387" s="45"/>
      <c r="P387" s="45" t="s">
        <v>665</v>
      </c>
      <c r="Q387" s="45"/>
    </row>
    <row r="388" spans="1:17" x14ac:dyDescent="0.3">
      <c r="A388" s="7" t="s">
        <v>1912</v>
      </c>
      <c r="B388" s="7" t="s">
        <v>716</v>
      </c>
      <c r="C388" s="7" t="s">
        <v>1948</v>
      </c>
      <c r="D388" s="7" t="s">
        <v>1921</v>
      </c>
      <c r="E388" s="7" t="s">
        <v>746</v>
      </c>
      <c r="F388" s="7" t="s">
        <v>1915</v>
      </c>
      <c r="G388" s="7" t="s">
        <v>299</v>
      </c>
      <c r="H388" s="36" t="s">
        <v>1916</v>
      </c>
      <c r="I388" s="36" t="s">
        <v>1826</v>
      </c>
      <c r="J388" s="36">
        <v>45726</v>
      </c>
      <c r="K388" s="46"/>
      <c r="L388" s="46" t="s">
        <v>132</v>
      </c>
      <c r="M388" s="46"/>
      <c r="N388" s="46" t="s">
        <v>1824</v>
      </c>
      <c r="O388" s="45"/>
      <c r="P388" s="45" t="s">
        <v>665</v>
      </c>
      <c r="Q388" s="45"/>
    </row>
    <row r="389" spans="1:17" x14ac:dyDescent="0.3">
      <c r="A389" s="7" t="s">
        <v>1912</v>
      </c>
      <c r="B389" s="7">
        <v>548474</v>
      </c>
      <c r="C389" s="7" t="s">
        <v>2080</v>
      </c>
      <c r="D389" s="7" t="s">
        <v>1921</v>
      </c>
      <c r="E389" s="7" t="s">
        <v>746</v>
      </c>
      <c r="F389" s="7" t="s">
        <v>1915</v>
      </c>
      <c r="G389" s="7" t="s">
        <v>354</v>
      </c>
      <c r="H389" s="36" t="s">
        <v>1916</v>
      </c>
      <c r="I389" s="36" t="s">
        <v>1826</v>
      </c>
      <c r="J389" s="36">
        <v>45789</v>
      </c>
      <c r="K389" s="46"/>
      <c r="L389" s="46" t="s">
        <v>258</v>
      </c>
      <c r="M389" s="46"/>
      <c r="N389" s="46" t="s">
        <v>1824</v>
      </c>
      <c r="O389" s="45"/>
      <c r="P389" s="45" t="s">
        <v>665</v>
      </c>
      <c r="Q389" s="45"/>
    </row>
    <row r="390" spans="1:17" x14ac:dyDescent="0.3">
      <c r="A390" s="7" t="s">
        <v>1912</v>
      </c>
      <c r="C390" s="7" t="s">
        <v>2100</v>
      </c>
      <c r="D390" s="7" t="s">
        <v>1921</v>
      </c>
      <c r="E390" s="7" t="s">
        <v>746</v>
      </c>
      <c r="F390" s="7" t="s">
        <v>1915</v>
      </c>
      <c r="G390" s="7" t="s">
        <v>90</v>
      </c>
      <c r="H390" s="36" t="s">
        <v>1916</v>
      </c>
      <c r="I390" s="36" t="s">
        <v>1826</v>
      </c>
      <c r="J390" s="36">
        <v>45664</v>
      </c>
      <c r="K390" s="46"/>
      <c r="L390" s="46" t="s">
        <v>278</v>
      </c>
      <c r="M390" s="46"/>
      <c r="N390" s="46" t="s">
        <v>1824</v>
      </c>
      <c r="O390" s="45"/>
      <c r="P390" s="45" t="s">
        <v>665</v>
      </c>
      <c r="Q390" s="45"/>
    </row>
    <row r="391" spans="1:17" x14ac:dyDescent="0.3">
      <c r="A391" s="7" t="s">
        <v>1912</v>
      </c>
      <c r="B391" s="7">
        <v>539722</v>
      </c>
      <c r="C391" s="7" t="s">
        <v>2101</v>
      </c>
      <c r="D391" s="7" t="s">
        <v>1950</v>
      </c>
      <c r="E391" s="7" t="s">
        <v>746</v>
      </c>
      <c r="F391" s="7" t="s">
        <v>1915</v>
      </c>
      <c r="G391" s="7" t="s">
        <v>156</v>
      </c>
      <c r="H391" s="36" t="s">
        <v>1916</v>
      </c>
      <c r="I391" s="36" t="s">
        <v>1826</v>
      </c>
      <c r="J391" s="36">
        <v>45664</v>
      </c>
      <c r="K391" s="46"/>
      <c r="L391" s="46" t="s">
        <v>258</v>
      </c>
      <c r="M391" s="46"/>
      <c r="N391" s="46" t="s">
        <v>1824</v>
      </c>
      <c r="O391" s="45"/>
      <c r="P391" s="45" t="s">
        <v>665</v>
      </c>
      <c r="Q391" s="45"/>
    </row>
    <row r="392" spans="1:17" x14ac:dyDescent="0.3">
      <c r="A392" s="7" t="s">
        <v>1912</v>
      </c>
      <c r="B392" s="7">
        <v>539622</v>
      </c>
      <c r="C392" s="7" t="s">
        <v>1924</v>
      </c>
      <c r="D392" s="7" t="s">
        <v>1914</v>
      </c>
      <c r="E392" s="7" t="s">
        <v>682</v>
      </c>
      <c r="F392" s="7" t="s">
        <v>1929</v>
      </c>
      <c r="G392" s="7" t="s">
        <v>253</v>
      </c>
      <c r="H392" s="36" t="s">
        <v>1916</v>
      </c>
      <c r="I392" s="36" t="s">
        <v>1826</v>
      </c>
      <c r="J392" s="36">
        <v>45909</v>
      </c>
      <c r="K392" s="46"/>
      <c r="L392" s="46" t="s">
        <v>178</v>
      </c>
      <c r="M392" s="46"/>
      <c r="N392" s="46" t="s">
        <v>1824</v>
      </c>
      <c r="O392" s="45"/>
      <c r="P392" s="45" t="s">
        <v>665</v>
      </c>
      <c r="Q392" s="45"/>
    </row>
    <row r="393" spans="1:17" x14ac:dyDescent="0.3">
      <c r="A393" s="7" t="s">
        <v>1912</v>
      </c>
      <c r="B393" s="7">
        <v>527418</v>
      </c>
      <c r="C393" s="7" t="s">
        <v>2003</v>
      </c>
      <c r="D393" s="7" t="s">
        <v>1921</v>
      </c>
      <c r="E393" s="7" t="s">
        <v>682</v>
      </c>
      <c r="F393" s="7" t="s">
        <v>1929</v>
      </c>
      <c r="G393" s="7" t="s">
        <v>190</v>
      </c>
      <c r="H393" s="36" t="s">
        <v>1916</v>
      </c>
      <c r="I393" s="36" t="s">
        <v>1826</v>
      </c>
      <c r="J393" s="36">
        <v>45909</v>
      </c>
      <c r="K393" s="46"/>
      <c r="L393" s="46" t="s">
        <v>447</v>
      </c>
      <c r="M393" s="46"/>
      <c r="N393" s="46" t="s">
        <v>1824</v>
      </c>
      <c r="O393" s="45"/>
      <c r="P393" s="45" t="s">
        <v>665</v>
      </c>
      <c r="Q393" s="45"/>
    </row>
    <row r="394" spans="1:17" x14ac:dyDescent="0.3">
      <c r="A394" s="7" t="s">
        <v>1912</v>
      </c>
      <c r="B394" s="38" t="s">
        <v>716</v>
      </c>
      <c r="C394" s="38" t="s">
        <v>2068</v>
      </c>
      <c r="D394" s="38" t="s">
        <v>1950</v>
      </c>
      <c r="E394" s="38" t="s">
        <v>746</v>
      </c>
      <c r="F394" s="38" t="s">
        <v>1915</v>
      </c>
      <c r="G394" s="39" t="s">
        <v>491</v>
      </c>
      <c r="H394" s="36" t="s">
        <v>1916</v>
      </c>
      <c r="I394" s="36" t="s">
        <v>1826</v>
      </c>
      <c r="J394" s="36">
        <v>45945</v>
      </c>
      <c r="K394" s="46"/>
      <c r="L394" s="46" t="s">
        <v>550</v>
      </c>
      <c r="M394" s="46"/>
      <c r="N394" s="46" t="s">
        <v>1824</v>
      </c>
      <c r="O394" s="45"/>
      <c r="P394" s="45" t="s">
        <v>665</v>
      </c>
      <c r="Q394" s="45"/>
    </row>
    <row r="395" spans="1:17" x14ac:dyDescent="0.3">
      <c r="A395" s="7" t="s">
        <v>1912</v>
      </c>
      <c r="B395" s="7">
        <v>553401</v>
      </c>
      <c r="C395" s="7" t="s">
        <v>2102</v>
      </c>
      <c r="D395" s="7" t="s">
        <v>1950</v>
      </c>
      <c r="E395" s="7" t="s">
        <v>746</v>
      </c>
      <c r="F395" s="7" t="s">
        <v>1915</v>
      </c>
      <c r="G395" s="7" t="s">
        <v>270</v>
      </c>
      <c r="H395" s="36" t="s">
        <v>1916</v>
      </c>
      <c r="I395" s="36" t="s">
        <v>1826</v>
      </c>
      <c r="J395" s="36">
        <v>45945</v>
      </c>
      <c r="K395" s="46"/>
      <c r="L395" s="46" t="s">
        <v>258</v>
      </c>
      <c r="M395" s="46"/>
      <c r="N395" s="46" t="s">
        <v>1824</v>
      </c>
      <c r="O395" s="45"/>
      <c r="P395" s="45" t="s">
        <v>665</v>
      </c>
      <c r="Q395" s="45"/>
    </row>
    <row r="396" spans="1:17" x14ac:dyDescent="0.3">
      <c r="A396" s="7" t="s">
        <v>1912</v>
      </c>
      <c r="B396" s="7">
        <v>557424</v>
      </c>
      <c r="C396" s="7" t="s">
        <v>2009</v>
      </c>
      <c r="D396" s="7" t="s">
        <v>1921</v>
      </c>
      <c r="E396" s="7" t="s">
        <v>682</v>
      </c>
      <c r="F396" s="7" t="s">
        <v>1929</v>
      </c>
      <c r="G396" s="7" t="s">
        <v>235</v>
      </c>
      <c r="H396" s="36" t="s">
        <v>1926</v>
      </c>
      <c r="I396" s="36" t="s">
        <v>1826</v>
      </c>
      <c r="J396" s="36">
        <v>45951</v>
      </c>
      <c r="K396" s="46"/>
      <c r="L396" s="46" t="s">
        <v>565</v>
      </c>
      <c r="M396" s="46"/>
      <c r="N396" s="46" t="s">
        <v>1824</v>
      </c>
      <c r="O396" s="45"/>
      <c r="P396" s="45" t="s">
        <v>665</v>
      </c>
      <c r="Q396" s="45"/>
    </row>
    <row r="397" spans="1:17" x14ac:dyDescent="0.3">
      <c r="A397" s="7" t="s">
        <v>1912</v>
      </c>
      <c r="B397" s="7">
        <v>558612</v>
      </c>
      <c r="C397" s="7" t="s">
        <v>2009</v>
      </c>
      <c r="D397" s="7" t="s">
        <v>1921</v>
      </c>
      <c r="E397" s="7" t="s">
        <v>682</v>
      </c>
      <c r="F397" s="7" t="s">
        <v>1929</v>
      </c>
      <c r="G397" s="7" t="s">
        <v>215</v>
      </c>
      <c r="H397" s="36" t="s">
        <v>1916</v>
      </c>
      <c r="I397" s="36" t="s">
        <v>1826</v>
      </c>
      <c r="J397" s="36">
        <v>45972</v>
      </c>
      <c r="K397" s="46"/>
      <c r="L397" s="46" t="s">
        <v>565</v>
      </c>
      <c r="M397" s="46"/>
      <c r="N397" s="46" t="s">
        <v>1824</v>
      </c>
      <c r="O397" s="45"/>
      <c r="P397" s="45" t="s">
        <v>665</v>
      </c>
      <c r="Q397" s="45"/>
    </row>
    <row r="398" spans="1:17" x14ac:dyDescent="0.3">
      <c r="A398" s="7" t="s">
        <v>1912</v>
      </c>
      <c r="B398" s="7">
        <v>495723</v>
      </c>
      <c r="C398" s="7" t="s">
        <v>1948</v>
      </c>
      <c r="D398" s="7" t="s">
        <v>1921</v>
      </c>
      <c r="E398" s="7" t="s">
        <v>746</v>
      </c>
      <c r="F398" s="7" t="s">
        <v>1915</v>
      </c>
      <c r="G398" s="7" t="s">
        <v>338</v>
      </c>
      <c r="H398" s="36" t="s">
        <v>1916</v>
      </c>
      <c r="I398" s="36" t="s">
        <v>1826</v>
      </c>
      <c r="J398" s="36">
        <v>45635</v>
      </c>
      <c r="K398" s="46"/>
      <c r="L398" s="46" t="s">
        <v>132</v>
      </c>
      <c r="M398" s="46"/>
      <c r="N398" s="46" t="s">
        <v>1824</v>
      </c>
      <c r="O398" s="45"/>
      <c r="P398" s="45" t="s">
        <v>665</v>
      </c>
      <c r="Q398" s="45"/>
    </row>
    <row r="399" spans="1:17" x14ac:dyDescent="0.3">
      <c r="A399" s="7" t="s">
        <v>1912</v>
      </c>
      <c r="B399" s="7">
        <v>539711</v>
      </c>
      <c r="C399" s="7" t="s">
        <v>1946</v>
      </c>
      <c r="D399" s="7" t="s">
        <v>1921</v>
      </c>
      <c r="E399" s="7" t="s">
        <v>746</v>
      </c>
      <c r="F399" s="7" t="s">
        <v>1915</v>
      </c>
      <c r="G399" s="7" t="s">
        <v>69</v>
      </c>
      <c r="H399" s="36" t="s">
        <v>1916</v>
      </c>
      <c r="I399" s="36" t="s">
        <v>1826</v>
      </c>
      <c r="J399" s="36">
        <v>45852</v>
      </c>
      <c r="K399" s="46"/>
      <c r="L399" s="46" t="s">
        <v>123</v>
      </c>
      <c r="M399" s="46"/>
      <c r="N399" s="46" t="s">
        <v>1824</v>
      </c>
      <c r="O399" s="45"/>
      <c r="P399" s="45" t="s">
        <v>665</v>
      </c>
      <c r="Q399" s="45"/>
    </row>
    <row r="400" spans="1:17" x14ac:dyDescent="0.3">
      <c r="A400" s="7" t="s">
        <v>1912</v>
      </c>
      <c r="B400" s="7">
        <v>539710</v>
      </c>
      <c r="C400" s="7" t="s">
        <v>2103</v>
      </c>
      <c r="D400" s="7" t="s">
        <v>1950</v>
      </c>
      <c r="E400" s="7" t="s">
        <v>746</v>
      </c>
      <c r="F400" s="7" t="s">
        <v>1915</v>
      </c>
      <c r="G400" s="7" t="s">
        <v>265</v>
      </c>
      <c r="H400" s="36" t="s">
        <v>1916</v>
      </c>
      <c r="I400" s="36" t="s">
        <v>1826</v>
      </c>
      <c r="J400" s="36">
        <v>45853</v>
      </c>
      <c r="K400" s="46"/>
      <c r="L400" s="46" t="s">
        <v>258</v>
      </c>
      <c r="M400" s="46"/>
      <c r="N400" s="46" t="s">
        <v>1824</v>
      </c>
      <c r="O400" s="45"/>
      <c r="P400" s="45" t="s">
        <v>665</v>
      </c>
      <c r="Q400" s="45"/>
    </row>
    <row r="401" spans="1:17" x14ac:dyDescent="0.3">
      <c r="A401" s="7" t="s">
        <v>755</v>
      </c>
      <c r="B401" s="7" t="s">
        <v>716</v>
      </c>
      <c r="C401" s="7" t="s">
        <v>1932</v>
      </c>
      <c r="D401" s="7" t="s">
        <v>1914</v>
      </c>
      <c r="E401" s="7" t="s">
        <v>746</v>
      </c>
      <c r="F401" s="7" t="s">
        <v>1915</v>
      </c>
      <c r="G401" s="7" t="s">
        <v>105</v>
      </c>
      <c r="H401" s="36" t="s">
        <v>1916</v>
      </c>
      <c r="I401" s="36" t="s">
        <v>1826</v>
      </c>
      <c r="J401" s="36">
        <v>44152</v>
      </c>
      <c r="K401" s="46"/>
      <c r="L401" s="46" t="s">
        <v>1602</v>
      </c>
      <c r="M401" s="46"/>
      <c r="N401" s="46" t="s">
        <v>1824</v>
      </c>
      <c r="O401" s="45"/>
      <c r="P401" s="45" t="s">
        <v>665</v>
      </c>
      <c r="Q401" s="45"/>
    </row>
    <row r="402" spans="1:17" x14ac:dyDescent="0.3">
      <c r="A402" s="7" t="s">
        <v>1912</v>
      </c>
      <c r="B402" s="7">
        <v>533721</v>
      </c>
      <c r="C402" s="7" t="s">
        <v>2104</v>
      </c>
      <c r="D402" s="7" t="s">
        <v>1921</v>
      </c>
      <c r="E402" s="7" t="s">
        <v>746</v>
      </c>
      <c r="F402" s="7" t="s">
        <v>1915</v>
      </c>
      <c r="G402" s="7" t="s">
        <v>610</v>
      </c>
      <c r="H402" s="36" t="s">
        <v>1916</v>
      </c>
      <c r="I402" s="36" t="s">
        <v>1826</v>
      </c>
      <c r="J402" s="36">
        <v>45761</v>
      </c>
      <c r="K402" s="46"/>
      <c r="L402" s="46" t="s">
        <v>132</v>
      </c>
      <c r="M402" s="46"/>
      <c r="N402" s="46" t="s">
        <v>1824</v>
      </c>
      <c r="O402" s="45"/>
      <c r="P402" s="45" t="s">
        <v>665</v>
      </c>
      <c r="Q402" s="45"/>
    </row>
    <row r="403" spans="1:17" x14ac:dyDescent="0.3">
      <c r="A403" s="7" t="s">
        <v>1912</v>
      </c>
      <c r="B403" s="7" t="s">
        <v>716</v>
      </c>
      <c r="C403" s="7" t="s">
        <v>1947</v>
      </c>
      <c r="D403" s="7" t="s">
        <v>1914</v>
      </c>
      <c r="E403" s="7" t="s">
        <v>682</v>
      </c>
      <c r="F403" s="7" t="s">
        <v>1929</v>
      </c>
      <c r="G403" s="7" t="s">
        <v>611</v>
      </c>
      <c r="H403" s="36" t="s">
        <v>1916</v>
      </c>
      <c r="I403" s="36" t="s">
        <v>1826</v>
      </c>
      <c r="J403" s="36" t="s">
        <v>1826</v>
      </c>
      <c r="K403" s="46"/>
      <c r="L403" s="46" t="s">
        <v>565</v>
      </c>
      <c r="M403" s="46"/>
      <c r="N403" s="46" t="s">
        <v>1824</v>
      </c>
      <c r="O403" s="45"/>
      <c r="P403" s="45" t="s">
        <v>665</v>
      </c>
      <c r="Q403" s="45"/>
    </row>
    <row r="404" spans="1:17" x14ac:dyDescent="0.3">
      <c r="A404" s="7" t="s">
        <v>1912</v>
      </c>
      <c r="B404" s="38" t="s">
        <v>716</v>
      </c>
      <c r="C404" s="38" t="s">
        <v>1928</v>
      </c>
      <c r="D404" s="38" t="s">
        <v>1921</v>
      </c>
      <c r="E404" s="38" t="s">
        <v>746</v>
      </c>
      <c r="F404" s="38" t="s">
        <v>1915</v>
      </c>
      <c r="G404" s="39" t="s">
        <v>589</v>
      </c>
      <c r="H404" s="36" t="s">
        <v>1916</v>
      </c>
      <c r="I404" s="36" t="s">
        <v>1826</v>
      </c>
      <c r="J404" s="36" t="s">
        <v>1826</v>
      </c>
      <c r="K404" s="46"/>
      <c r="L404" s="46" t="s">
        <v>123</v>
      </c>
      <c r="M404" s="46"/>
      <c r="N404" s="46" t="s">
        <v>1824</v>
      </c>
      <c r="O404" s="45"/>
      <c r="P404" s="45" t="s">
        <v>665</v>
      </c>
      <c r="Q404" s="45"/>
    </row>
    <row r="405" spans="1:17" x14ac:dyDescent="0.3">
      <c r="A405" s="7" t="s">
        <v>755</v>
      </c>
      <c r="B405" s="7">
        <v>382075</v>
      </c>
      <c r="C405" s="7" t="s">
        <v>1946</v>
      </c>
      <c r="D405" s="7" t="s">
        <v>1914</v>
      </c>
      <c r="E405" s="7" t="s">
        <v>746</v>
      </c>
      <c r="F405" s="7" t="s">
        <v>1915</v>
      </c>
      <c r="G405" s="7" t="s">
        <v>583</v>
      </c>
      <c r="H405" s="36" t="s">
        <v>1916</v>
      </c>
      <c r="I405" s="36" t="s">
        <v>1826</v>
      </c>
      <c r="J405" s="36" t="s">
        <v>1826</v>
      </c>
      <c r="K405" s="46"/>
      <c r="L405" s="46" t="s">
        <v>285</v>
      </c>
      <c r="M405" s="46"/>
      <c r="N405" s="46" t="s">
        <v>1824</v>
      </c>
      <c r="O405" s="45"/>
      <c r="P405" s="45" t="s">
        <v>665</v>
      </c>
      <c r="Q405" s="45"/>
    </row>
    <row r="406" spans="1:17" x14ac:dyDescent="0.3">
      <c r="A406" s="7" t="s">
        <v>755</v>
      </c>
      <c r="B406" s="7">
        <v>381971</v>
      </c>
      <c r="C406" s="7" t="s">
        <v>2105</v>
      </c>
      <c r="D406" s="7" t="s">
        <v>1914</v>
      </c>
      <c r="E406" s="7" t="s">
        <v>746</v>
      </c>
      <c r="F406" s="7" t="s">
        <v>1915</v>
      </c>
      <c r="G406" s="7" t="s">
        <v>572</v>
      </c>
      <c r="H406" s="36" t="s">
        <v>1916</v>
      </c>
      <c r="I406" s="36" t="s">
        <v>1826</v>
      </c>
      <c r="J406" s="36" t="s">
        <v>1826</v>
      </c>
      <c r="K406" s="46"/>
      <c r="L406" s="46" t="s">
        <v>1211</v>
      </c>
      <c r="M406" s="46"/>
      <c r="N406" s="46" t="s">
        <v>1824</v>
      </c>
      <c r="O406" s="45"/>
      <c r="P406" s="45" t="s">
        <v>665</v>
      </c>
      <c r="Q406" s="45"/>
    </row>
    <row r="407" spans="1:17" x14ac:dyDescent="0.3">
      <c r="A407" s="7" t="s">
        <v>1912</v>
      </c>
      <c r="B407" s="7" t="s">
        <v>716</v>
      </c>
      <c r="C407" s="7" t="s">
        <v>1928</v>
      </c>
      <c r="D407" s="7" t="s">
        <v>1914</v>
      </c>
      <c r="E407" s="7" t="s">
        <v>682</v>
      </c>
      <c r="F407" s="7" t="s">
        <v>1929</v>
      </c>
      <c r="G407" s="7" t="s">
        <v>559</v>
      </c>
      <c r="H407" s="36" t="s">
        <v>1916</v>
      </c>
      <c r="I407" s="36" t="s">
        <v>1826</v>
      </c>
      <c r="J407" s="36" t="s">
        <v>1826</v>
      </c>
      <c r="K407" s="46"/>
      <c r="L407" s="46" t="s">
        <v>447</v>
      </c>
      <c r="M407" s="46"/>
      <c r="N407" s="46" t="s">
        <v>1824</v>
      </c>
      <c r="O407" s="45"/>
      <c r="P407" s="45" t="s">
        <v>665</v>
      </c>
      <c r="Q407" s="45"/>
    </row>
    <row r="408" spans="1:17" x14ac:dyDescent="0.3">
      <c r="A408" s="7" t="s">
        <v>719</v>
      </c>
      <c r="B408" s="7" t="s">
        <v>716</v>
      </c>
      <c r="C408" s="7" t="s">
        <v>2106</v>
      </c>
      <c r="D408" s="7" t="s">
        <v>1918</v>
      </c>
      <c r="E408" s="7" t="s">
        <v>711</v>
      </c>
      <c r="F408" s="7" t="s">
        <v>1925</v>
      </c>
      <c r="G408" s="7" t="s">
        <v>567</v>
      </c>
      <c r="H408" s="36" t="s">
        <v>1916</v>
      </c>
      <c r="I408" s="36" t="s">
        <v>1826</v>
      </c>
      <c r="J408" s="36" t="s">
        <v>1826</v>
      </c>
      <c r="K408" s="46"/>
      <c r="L408" s="46" t="s">
        <v>718</v>
      </c>
      <c r="M408" s="46"/>
      <c r="N408" s="46" t="s">
        <v>1824</v>
      </c>
      <c r="O408" s="45"/>
      <c r="P408" s="45" t="s">
        <v>665</v>
      </c>
      <c r="Q408" s="45"/>
    </row>
    <row r="409" spans="1:17" x14ac:dyDescent="0.3">
      <c r="A409" s="7" t="s">
        <v>1912</v>
      </c>
      <c r="B409" s="7">
        <v>382964</v>
      </c>
      <c r="C409" s="7" t="s">
        <v>2107</v>
      </c>
      <c r="D409" s="7" t="s">
        <v>1923</v>
      </c>
      <c r="E409" s="7" t="s">
        <v>682</v>
      </c>
      <c r="F409" s="7" t="s">
        <v>1929</v>
      </c>
      <c r="G409" s="7" t="s">
        <v>152</v>
      </c>
      <c r="H409" s="36" t="s">
        <v>1916</v>
      </c>
      <c r="I409" s="36" t="s">
        <v>1826</v>
      </c>
      <c r="J409" s="36" t="s">
        <v>1826</v>
      </c>
      <c r="K409" s="46"/>
      <c r="L409" s="46" t="s">
        <v>366</v>
      </c>
      <c r="M409" s="46"/>
      <c r="N409" s="46" t="s">
        <v>1824</v>
      </c>
      <c r="O409" s="45"/>
      <c r="P409" s="45" t="s">
        <v>665</v>
      </c>
      <c r="Q409" s="45"/>
    </row>
    <row r="410" spans="1:17" x14ac:dyDescent="0.3">
      <c r="A410" s="7" t="s">
        <v>1658</v>
      </c>
      <c r="B410" s="7" t="s">
        <v>716</v>
      </c>
      <c r="C410" s="7" t="s">
        <v>1932</v>
      </c>
      <c r="D410" s="7" t="s">
        <v>1914</v>
      </c>
      <c r="E410" s="7" t="s">
        <v>746</v>
      </c>
      <c r="F410" s="7" t="s">
        <v>1915</v>
      </c>
      <c r="G410" s="7" t="s">
        <v>557</v>
      </c>
      <c r="H410" s="36" t="s">
        <v>1916</v>
      </c>
      <c r="I410" s="36" t="s">
        <v>1826</v>
      </c>
      <c r="J410" s="36" t="s">
        <v>1826</v>
      </c>
      <c r="K410" s="46"/>
      <c r="L410" s="46" t="s">
        <v>324</v>
      </c>
      <c r="M410" s="46"/>
      <c r="N410" s="46" t="s">
        <v>1824</v>
      </c>
      <c r="O410" s="45"/>
      <c r="P410" s="45" t="s">
        <v>665</v>
      </c>
      <c r="Q410" s="45"/>
    </row>
    <row r="411" spans="1:17" x14ac:dyDescent="0.3">
      <c r="A411" s="7" t="s">
        <v>1912</v>
      </c>
      <c r="B411" s="7">
        <v>381900</v>
      </c>
      <c r="C411" s="7" t="s">
        <v>2054</v>
      </c>
      <c r="D411" s="7" t="s">
        <v>1914</v>
      </c>
      <c r="E411" s="7" t="s">
        <v>746</v>
      </c>
      <c r="F411" s="7" t="s">
        <v>1915</v>
      </c>
      <c r="G411" s="7" t="s">
        <v>533</v>
      </c>
      <c r="H411" s="36" t="s">
        <v>1916</v>
      </c>
      <c r="I411" s="36" t="s">
        <v>1826</v>
      </c>
      <c r="J411" s="36" t="s">
        <v>1826</v>
      </c>
      <c r="K411" s="46"/>
      <c r="L411" s="46" t="s">
        <v>87</v>
      </c>
      <c r="M411" s="46"/>
      <c r="N411" s="46" t="s">
        <v>1824</v>
      </c>
      <c r="O411" s="45"/>
      <c r="P411" s="45" t="s">
        <v>665</v>
      </c>
      <c r="Q411" s="45"/>
    </row>
    <row r="412" spans="1:17" x14ac:dyDescent="0.3">
      <c r="A412" s="7" t="s">
        <v>1912</v>
      </c>
      <c r="B412" s="7" t="s">
        <v>716</v>
      </c>
      <c r="C412" s="7" t="s">
        <v>2108</v>
      </c>
      <c r="D412" s="7" t="s">
        <v>1918</v>
      </c>
      <c r="E412" s="7" t="s">
        <v>711</v>
      </c>
      <c r="F412" s="7" t="s">
        <v>2109</v>
      </c>
      <c r="G412" s="7" t="s">
        <v>528</v>
      </c>
      <c r="H412" s="36" t="s">
        <v>1916</v>
      </c>
      <c r="I412" s="36" t="s">
        <v>1826</v>
      </c>
      <c r="J412" s="36" t="s">
        <v>1826</v>
      </c>
      <c r="K412" s="46"/>
      <c r="L412" s="46" t="s">
        <v>366</v>
      </c>
      <c r="M412" s="46"/>
      <c r="N412" s="46" t="s">
        <v>1824</v>
      </c>
      <c r="O412" s="45"/>
      <c r="P412" s="45" t="s">
        <v>665</v>
      </c>
      <c r="Q412" s="45"/>
    </row>
    <row r="413" spans="1:17" x14ac:dyDescent="0.3">
      <c r="A413" s="7" t="s">
        <v>1912</v>
      </c>
      <c r="B413" s="7" t="s">
        <v>716</v>
      </c>
      <c r="C413" s="7" t="s">
        <v>1938</v>
      </c>
      <c r="D413" s="7" t="s">
        <v>1923</v>
      </c>
      <c r="E413" s="7" t="s">
        <v>711</v>
      </c>
      <c r="F413" s="7" t="s">
        <v>2110</v>
      </c>
      <c r="G413" s="7" t="s">
        <v>526</v>
      </c>
      <c r="H413" s="36" t="s">
        <v>1916</v>
      </c>
      <c r="I413" s="36" t="s">
        <v>1826</v>
      </c>
      <c r="J413" s="36" t="s">
        <v>1826</v>
      </c>
      <c r="K413" s="46"/>
      <c r="L413" s="46" t="s">
        <v>366</v>
      </c>
      <c r="M413" s="46"/>
      <c r="N413" s="46" t="s">
        <v>1824</v>
      </c>
      <c r="O413" s="45"/>
      <c r="P413" s="45" t="s">
        <v>665</v>
      </c>
      <c r="Q413" s="45"/>
    </row>
    <row r="414" spans="1:17" x14ac:dyDescent="0.3">
      <c r="A414" s="7" t="s">
        <v>1912</v>
      </c>
      <c r="B414" s="7" t="s">
        <v>716</v>
      </c>
      <c r="C414" s="7" t="s">
        <v>1928</v>
      </c>
      <c r="D414" s="7" t="s">
        <v>1914</v>
      </c>
      <c r="E414" s="7" t="s">
        <v>682</v>
      </c>
      <c r="F414" s="7" t="s">
        <v>1929</v>
      </c>
      <c r="G414" s="7" t="s">
        <v>311</v>
      </c>
      <c r="H414" s="36" t="s">
        <v>1916</v>
      </c>
      <c r="I414" s="36" t="s">
        <v>1826</v>
      </c>
      <c r="J414" s="36" t="s">
        <v>1826</v>
      </c>
      <c r="K414" s="46"/>
      <c r="L414" s="46" t="s">
        <v>447</v>
      </c>
      <c r="M414" s="46"/>
      <c r="N414" s="46" t="s">
        <v>1824</v>
      </c>
      <c r="O414" s="45"/>
      <c r="P414" s="45" t="s">
        <v>665</v>
      </c>
      <c r="Q414" s="45"/>
    </row>
    <row r="415" spans="1:17" x14ac:dyDescent="0.3">
      <c r="A415" s="7" t="s">
        <v>1912</v>
      </c>
      <c r="B415" s="7" t="s">
        <v>716</v>
      </c>
      <c r="C415" s="7" t="s">
        <v>1928</v>
      </c>
      <c r="D415" s="7" t="s">
        <v>1914</v>
      </c>
      <c r="E415" s="7" t="s">
        <v>711</v>
      </c>
      <c r="F415" s="7" t="s">
        <v>1945</v>
      </c>
      <c r="G415" s="7" t="s">
        <v>527</v>
      </c>
      <c r="H415" s="36" t="s">
        <v>1916</v>
      </c>
      <c r="I415" s="36" t="s">
        <v>1826</v>
      </c>
      <c r="J415" s="36" t="s">
        <v>1826</v>
      </c>
      <c r="K415" s="46"/>
      <c r="L415" s="46" t="s">
        <v>366</v>
      </c>
      <c r="M415" s="46"/>
      <c r="N415" s="46" t="s">
        <v>1824</v>
      </c>
      <c r="O415" s="45"/>
      <c r="P415" s="45" t="s">
        <v>665</v>
      </c>
      <c r="Q415" s="45"/>
    </row>
    <row r="416" spans="1:17" x14ac:dyDescent="0.3">
      <c r="A416" s="7" t="s">
        <v>1912</v>
      </c>
      <c r="B416" s="7" t="s">
        <v>716</v>
      </c>
      <c r="C416" s="7" t="s">
        <v>1948</v>
      </c>
      <c r="D416" s="7" t="s">
        <v>1921</v>
      </c>
      <c r="E416" s="7" t="s">
        <v>746</v>
      </c>
      <c r="F416" s="7" t="s">
        <v>1915</v>
      </c>
      <c r="G416" s="7" t="s">
        <v>509</v>
      </c>
      <c r="H416" s="36" t="s">
        <v>1926</v>
      </c>
      <c r="I416" s="36" t="s">
        <v>1826</v>
      </c>
      <c r="J416" s="36" t="s">
        <v>1826</v>
      </c>
      <c r="K416" s="46"/>
      <c r="L416" s="46" t="s">
        <v>154</v>
      </c>
      <c r="M416" s="46"/>
      <c r="N416" s="46" t="s">
        <v>1824</v>
      </c>
      <c r="O416" s="45"/>
      <c r="P416" s="45" t="s">
        <v>665</v>
      </c>
      <c r="Q416" s="45"/>
    </row>
    <row r="417" spans="1:17" x14ac:dyDescent="0.3">
      <c r="A417" s="7" t="s">
        <v>755</v>
      </c>
      <c r="B417" s="7" t="s">
        <v>716</v>
      </c>
      <c r="C417" s="7" t="s">
        <v>1940</v>
      </c>
      <c r="D417" s="7" t="s">
        <v>1914</v>
      </c>
      <c r="E417" s="7" t="s">
        <v>746</v>
      </c>
      <c r="F417" s="7" t="s">
        <v>1915</v>
      </c>
      <c r="G417" s="7" t="s">
        <v>47</v>
      </c>
      <c r="H417" s="36" t="s">
        <v>1916</v>
      </c>
      <c r="I417" s="36" t="s">
        <v>1826</v>
      </c>
      <c r="J417" s="36" t="s">
        <v>1826</v>
      </c>
      <c r="K417" s="46"/>
      <c r="L417" s="46" t="s">
        <v>1211</v>
      </c>
      <c r="M417" s="46"/>
      <c r="N417" s="46" t="s">
        <v>1824</v>
      </c>
      <c r="O417" s="45"/>
      <c r="P417" s="45" t="s">
        <v>665</v>
      </c>
      <c r="Q417" s="45"/>
    </row>
    <row r="418" spans="1:17" x14ac:dyDescent="0.3">
      <c r="A418" s="7" t="s">
        <v>1912</v>
      </c>
      <c r="B418" s="7" t="s">
        <v>716</v>
      </c>
      <c r="C418" s="7" t="s">
        <v>1928</v>
      </c>
      <c r="D418" s="7" t="s">
        <v>1921</v>
      </c>
      <c r="E418" s="7" t="s">
        <v>682</v>
      </c>
      <c r="F418" s="7" t="s">
        <v>1929</v>
      </c>
      <c r="G418" s="7" t="s">
        <v>431</v>
      </c>
      <c r="H418" s="36" t="s">
        <v>1926</v>
      </c>
      <c r="I418" s="36" t="s">
        <v>1826</v>
      </c>
      <c r="J418" s="36" t="s">
        <v>1826</v>
      </c>
      <c r="K418" s="46"/>
      <c r="L418" s="46" t="s">
        <v>447</v>
      </c>
      <c r="M418" s="46"/>
      <c r="N418" s="46" t="s">
        <v>1824</v>
      </c>
      <c r="O418" s="45"/>
      <c r="P418" s="45" t="s">
        <v>665</v>
      </c>
      <c r="Q418" s="45"/>
    </row>
    <row r="419" spans="1:17" x14ac:dyDescent="0.3">
      <c r="A419" s="7" t="s">
        <v>1912</v>
      </c>
      <c r="B419" s="7" t="s">
        <v>716</v>
      </c>
      <c r="C419" s="7" t="s">
        <v>2111</v>
      </c>
      <c r="D419" s="7" t="s">
        <v>1923</v>
      </c>
      <c r="E419" s="7" t="s">
        <v>682</v>
      </c>
      <c r="F419" s="7" t="s">
        <v>1929</v>
      </c>
      <c r="G419" s="7" t="s">
        <v>447</v>
      </c>
      <c r="H419" s="36" t="s">
        <v>1916</v>
      </c>
      <c r="I419" s="36" t="s">
        <v>1826</v>
      </c>
      <c r="J419" s="36" t="s">
        <v>1826</v>
      </c>
      <c r="K419" s="46"/>
      <c r="L419" s="46" t="s">
        <v>366</v>
      </c>
      <c r="M419" s="46"/>
      <c r="N419" s="46" t="s">
        <v>1824</v>
      </c>
      <c r="O419" s="45"/>
      <c r="P419" s="45" t="s">
        <v>665</v>
      </c>
      <c r="Q419" s="45"/>
    </row>
    <row r="420" spans="1:17" x14ac:dyDescent="0.3">
      <c r="A420" s="7" t="s">
        <v>1912</v>
      </c>
      <c r="B420" s="7" t="s">
        <v>716</v>
      </c>
      <c r="C420" s="7" t="s">
        <v>2015</v>
      </c>
      <c r="D420" s="7" t="s">
        <v>1921</v>
      </c>
      <c r="E420" s="7" t="s">
        <v>746</v>
      </c>
      <c r="F420" s="7" t="s">
        <v>1915</v>
      </c>
      <c r="G420" s="7" t="s">
        <v>441</v>
      </c>
      <c r="H420" s="36" t="s">
        <v>1916</v>
      </c>
      <c r="I420" s="36" t="s">
        <v>1826</v>
      </c>
      <c r="J420" s="36" t="s">
        <v>1826</v>
      </c>
      <c r="K420" s="46"/>
      <c r="L420" s="46" t="s">
        <v>87</v>
      </c>
      <c r="M420" s="46"/>
      <c r="N420" s="46" t="s">
        <v>1824</v>
      </c>
      <c r="O420" s="45"/>
      <c r="P420" s="45" t="s">
        <v>665</v>
      </c>
      <c r="Q420" s="45"/>
    </row>
    <row r="421" spans="1:17" x14ac:dyDescent="0.3">
      <c r="A421" s="7" t="s">
        <v>755</v>
      </c>
      <c r="B421" s="7" t="s">
        <v>716</v>
      </c>
      <c r="C421" s="7" t="s">
        <v>1928</v>
      </c>
      <c r="D421" s="7" t="s">
        <v>1921</v>
      </c>
      <c r="E421" s="7" t="s">
        <v>746</v>
      </c>
      <c r="F421" s="7" t="s">
        <v>1915</v>
      </c>
      <c r="G421" s="7" t="s">
        <v>434</v>
      </c>
      <c r="H421" s="36" t="s">
        <v>1926</v>
      </c>
      <c r="I421" s="36" t="s">
        <v>1826</v>
      </c>
      <c r="J421" s="36" t="s">
        <v>1826</v>
      </c>
      <c r="K421" s="46"/>
      <c r="L421" s="46" t="s">
        <v>285</v>
      </c>
      <c r="M421" s="46"/>
      <c r="N421" s="46" t="s">
        <v>1824</v>
      </c>
      <c r="O421" s="45"/>
      <c r="P421" s="45" t="s">
        <v>665</v>
      </c>
      <c r="Q421" s="45"/>
    </row>
    <row r="422" spans="1:17" x14ac:dyDescent="0.3">
      <c r="A422" s="7" t="s">
        <v>1912</v>
      </c>
      <c r="B422" s="7">
        <v>389596</v>
      </c>
      <c r="C422" s="7" t="s">
        <v>1928</v>
      </c>
      <c r="D422" s="7" t="s">
        <v>1921</v>
      </c>
      <c r="E422" s="7" t="s">
        <v>682</v>
      </c>
      <c r="F422" s="7" t="s">
        <v>1929</v>
      </c>
      <c r="G422" s="7" t="s">
        <v>649</v>
      </c>
      <c r="H422" s="36" t="s">
        <v>1916</v>
      </c>
      <c r="I422" s="36" t="s">
        <v>1826</v>
      </c>
      <c r="J422" s="36" t="s">
        <v>1826</v>
      </c>
      <c r="K422" s="46"/>
      <c r="L422" s="46" t="s">
        <v>447</v>
      </c>
      <c r="M422" s="46"/>
      <c r="N422" s="46" t="s">
        <v>1824</v>
      </c>
      <c r="O422" s="45"/>
      <c r="P422" s="45" t="s">
        <v>665</v>
      </c>
      <c r="Q422" s="45"/>
    </row>
    <row r="423" spans="1:17" x14ac:dyDescent="0.3">
      <c r="A423" s="7" t="s">
        <v>1658</v>
      </c>
      <c r="B423" s="7" t="s">
        <v>716</v>
      </c>
      <c r="C423" s="7" t="s">
        <v>1940</v>
      </c>
      <c r="D423" s="7" t="s">
        <v>1914</v>
      </c>
      <c r="E423" s="7" t="s">
        <v>746</v>
      </c>
      <c r="F423" s="7" t="s">
        <v>1915</v>
      </c>
      <c r="G423" s="7" t="s">
        <v>393</v>
      </c>
      <c r="H423" s="36" t="s">
        <v>1916</v>
      </c>
      <c r="I423" s="36" t="s">
        <v>1826</v>
      </c>
      <c r="J423" s="36">
        <v>44501</v>
      </c>
      <c r="K423" s="46"/>
      <c r="L423" s="46" t="s">
        <v>48</v>
      </c>
      <c r="M423" s="46"/>
      <c r="N423" s="46" t="s">
        <v>1824</v>
      </c>
      <c r="O423" s="45"/>
      <c r="P423" s="45" t="s">
        <v>665</v>
      </c>
      <c r="Q423" s="45"/>
    </row>
    <row r="424" spans="1:17" x14ac:dyDescent="0.3">
      <c r="A424" s="7" t="s">
        <v>1658</v>
      </c>
      <c r="B424" s="7">
        <v>414518</v>
      </c>
      <c r="C424" s="7" t="s">
        <v>1947</v>
      </c>
      <c r="D424" s="7" t="s">
        <v>1921</v>
      </c>
      <c r="E424" s="7" t="s">
        <v>746</v>
      </c>
      <c r="F424" s="7" t="s">
        <v>1915</v>
      </c>
      <c r="G424" s="7" t="s">
        <v>386</v>
      </c>
      <c r="H424" s="36" t="s">
        <v>1916</v>
      </c>
      <c r="I424" s="36" t="s">
        <v>1826</v>
      </c>
      <c r="J424" s="36" t="s">
        <v>1826</v>
      </c>
      <c r="K424" s="46"/>
      <c r="L424" s="46" t="s">
        <v>300</v>
      </c>
      <c r="M424" s="46"/>
      <c r="N424" s="46" t="s">
        <v>1824</v>
      </c>
      <c r="O424" s="45"/>
      <c r="P424" s="45" t="s">
        <v>665</v>
      </c>
      <c r="Q424" s="45"/>
    </row>
    <row r="425" spans="1:17" x14ac:dyDescent="0.3">
      <c r="A425" s="7" t="s">
        <v>1912</v>
      </c>
      <c r="B425" s="7">
        <v>382046</v>
      </c>
      <c r="C425" s="7" t="s">
        <v>2112</v>
      </c>
      <c r="D425" s="7" t="s">
        <v>1921</v>
      </c>
      <c r="E425" s="7" t="s">
        <v>746</v>
      </c>
      <c r="F425" s="7" t="s">
        <v>1915</v>
      </c>
      <c r="G425" s="7" t="s">
        <v>384</v>
      </c>
      <c r="H425" s="36" t="s">
        <v>1916</v>
      </c>
      <c r="I425" s="36" t="s">
        <v>1826</v>
      </c>
      <c r="J425" s="36" t="s">
        <v>1826</v>
      </c>
      <c r="K425" s="46"/>
      <c r="L425" s="46" t="s">
        <v>411</v>
      </c>
      <c r="M425" s="46"/>
      <c r="N425" s="46" t="s">
        <v>1824</v>
      </c>
      <c r="O425" s="45"/>
      <c r="P425" s="45" t="s">
        <v>665</v>
      </c>
      <c r="Q425" s="45"/>
    </row>
    <row r="426" spans="1:17" x14ac:dyDescent="0.3">
      <c r="A426" s="7" t="s">
        <v>1658</v>
      </c>
      <c r="C426" s="7" t="s">
        <v>2113</v>
      </c>
      <c r="D426" s="7" t="s">
        <v>1914</v>
      </c>
      <c r="E426" s="7" t="s">
        <v>746</v>
      </c>
      <c r="F426" s="7" t="s">
        <v>1915</v>
      </c>
      <c r="G426" s="7" t="s">
        <v>375</v>
      </c>
      <c r="H426" s="36" t="s">
        <v>1926</v>
      </c>
      <c r="I426" s="36" t="s">
        <v>1826</v>
      </c>
      <c r="J426" s="36" t="s">
        <v>1826</v>
      </c>
      <c r="K426" s="46"/>
      <c r="L426" s="46" t="s">
        <v>470</v>
      </c>
      <c r="M426" s="46"/>
      <c r="N426" s="46" t="s">
        <v>1824</v>
      </c>
      <c r="O426" s="45"/>
      <c r="P426" s="45" t="s">
        <v>665</v>
      </c>
      <c r="Q426" s="45"/>
    </row>
    <row r="427" spans="1:17" x14ac:dyDescent="0.3">
      <c r="A427" s="7" t="s">
        <v>1658</v>
      </c>
      <c r="B427" s="7">
        <v>562252</v>
      </c>
      <c r="C427" s="7" t="s">
        <v>1932</v>
      </c>
      <c r="D427" s="7" t="s">
        <v>1921</v>
      </c>
      <c r="E427" s="7" t="s">
        <v>746</v>
      </c>
      <c r="F427" s="7" t="s">
        <v>1915</v>
      </c>
      <c r="G427" s="7" t="s">
        <v>380</v>
      </c>
      <c r="H427" s="36" t="s">
        <v>1926</v>
      </c>
      <c r="I427" s="36" t="s">
        <v>1826</v>
      </c>
      <c r="J427" s="36">
        <v>45992</v>
      </c>
      <c r="K427" s="46"/>
      <c r="L427" s="46" t="s">
        <v>213</v>
      </c>
      <c r="M427" s="46"/>
      <c r="N427" s="46" t="s">
        <v>1824</v>
      </c>
      <c r="O427" s="45"/>
      <c r="P427" s="45" t="s">
        <v>665</v>
      </c>
      <c r="Q427" s="45"/>
    </row>
    <row r="428" spans="1:17" x14ac:dyDescent="0.3">
      <c r="A428" s="7" t="s">
        <v>719</v>
      </c>
      <c r="B428" s="7" t="s">
        <v>716</v>
      </c>
      <c r="C428" s="7" t="s">
        <v>2106</v>
      </c>
      <c r="D428" s="7" t="s">
        <v>2083</v>
      </c>
      <c r="E428" s="7" t="s">
        <v>711</v>
      </c>
      <c r="F428" s="7" t="s">
        <v>1945</v>
      </c>
      <c r="G428" s="7" t="s">
        <v>366</v>
      </c>
      <c r="H428" s="36" t="s">
        <v>1916</v>
      </c>
      <c r="I428" s="36" t="s">
        <v>1826</v>
      </c>
      <c r="J428" s="36" t="s">
        <v>1826</v>
      </c>
      <c r="K428" s="46"/>
      <c r="L428" s="46" t="s">
        <v>718</v>
      </c>
      <c r="M428" s="46"/>
      <c r="N428" s="46" t="s">
        <v>1824</v>
      </c>
      <c r="O428" s="45"/>
      <c r="P428" s="45" t="s">
        <v>665</v>
      </c>
      <c r="Q428" s="45"/>
    </row>
    <row r="429" spans="1:17" x14ac:dyDescent="0.3">
      <c r="A429" s="7" t="s">
        <v>1912</v>
      </c>
      <c r="B429" s="7">
        <v>427244</v>
      </c>
      <c r="C429" s="7" t="s">
        <v>2114</v>
      </c>
      <c r="D429" s="7" t="s">
        <v>1914</v>
      </c>
      <c r="E429" s="7" t="s">
        <v>711</v>
      </c>
      <c r="F429" s="7" t="s">
        <v>2109</v>
      </c>
      <c r="G429" s="7" t="s">
        <v>362</v>
      </c>
      <c r="H429" s="36" t="s">
        <v>1916</v>
      </c>
      <c r="I429" s="36" t="s">
        <v>1826</v>
      </c>
      <c r="J429" s="36" t="s">
        <v>1826</v>
      </c>
      <c r="K429" s="46"/>
      <c r="L429" s="46" t="s">
        <v>528</v>
      </c>
      <c r="M429" s="46"/>
      <c r="N429" s="46" t="s">
        <v>1824</v>
      </c>
      <c r="O429" s="45"/>
      <c r="P429" s="45" t="s">
        <v>665</v>
      </c>
      <c r="Q429" s="45"/>
    </row>
    <row r="430" spans="1:17" x14ac:dyDescent="0.3">
      <c r="A430" s="7" t="s">
        <v>1658</v>
      </c>
      <c r="B430" s="7" t="s">
        <v>716</v>
      </c>
      <c r="C430" s="7" t="s">
        <v>1932</v>
      </c>
      <c r="D430" s="7" t="s">
        <v>1914</v>
      </c>
      <c r="E430" s="7" t="s">
        <v>746</v>
      </c>
      <c r="F430" s="7" t="s">
        <v>1915</v>
      </c>
      <c r="G430" s="7" t="s">
        <v>357</v>
      </c>
      <c r="H430" s="36" t="s">
        <v>1916</v>
      </c>
      <c r="I430" s="36" t="s">
        <v>1826</v>
      </c>
      <c r="J430" s="36" t="s">
        <v>1826</v>
      </c>
      <c r="K430" s="46"/>
      <c r="L430" s="46" t="s">
        <v>300</v>
      </c>
      <c r="M430" s="46"/>
      <c r="N430" s="46" t="s">
        <v>1824</v>
      </c>
      <c r="O430" s="45"/>
      <c r="P430" s="45" t="s">
        <v>665</v>
      </c>
      <c r="Q430" s="45"/>
    </row>
    <row r="431" spans="1:17" x14ac:dyDescent="0.3">
      <c r="A431" s="7" t="s">
        <v>1912</v>
      </c>
      <c r="B431" s="7">
        <v>380741</v>
      </c>
      <c r="C431" s="7" t="s">
        <v>2115</v>
      </c>
      <c r="D431" s="7" t="s">
        <v>1914</v>
      </c>
      <c r="E431" s="7" t="s">
        <v>746</v>
      </c>
      <c r="F431" s="7" t="s">
        <v>1915</v>
      </c>
      <c r="G431" s="7" t="s">
        <v>345</v>
      </c>
      <c r="H431" s="36" t="s">
        <v>1916</v>
      </c>
      <c r="I431" s="36" t="s">
        <v>1826</v>
      </c>
      <c r="J431" s="36" t="s">
        <v>1826</v>
      </c>
      <c r="K431" s="46"/>
      <c r="L431" s="46" t="s">
        <v>87</v>
      </c>
      <c r="M431" s="46"/>
      <c r="N431" s="46" t="s">
        <v>1824</v>
      </c>
      <c r="O431" s="45"/>
      <c r="P431" s="45" t="s">
        <v>665</v>
      </c>
      <c r="Q431" s="45"/>
    </row>
    <row r="432" spans="1:17" x14ac:dyDescent="0.3">
      <c r="A432" s="7" t="s">
        <v>755</v>
      </c>
      <c r="B432" s="7">
        <v>368733</v>
      </c>
      <c r="C432" s="7" t="s">
        <v>1935</v>
      </c>
      <c r="D432" s="7" t="s">
        <v>1923</v>
      </c>
      <c r="E432" s="7" t="s">
        <v>746</v>
      </c>
      <c r="F432" s="7" t="s">
        <v>1915</v>
      </c>
      <c r="G432" s="7" t="s">
        <v>309</v>
      </c>
      <c r="H432" s="36" t="s">
        <v>1916</v>
      </c>
      <c r="I432" s="36" t="s">
        <v>1826</v>
      </c>
      <c r="J432" s="36" t="s">
        <v>1826</v>
      </c>
      <c r="K432" s="46"/>
      <c r="L432" s="46" t="s">
        <v>1211</v>
      </c>
      <c r="M432" s="46"/>
      <c r="N432" s="46" t="s">
        <v>1824</v>
      </c>
      <c r="O432" s="45"/>
      <c r="P432" s="45" t="s">
        <v>665</v>
      </c>
      <c r="Q432" s="45"/>
    </row>
    <row r="433" spans="1:17" x14ac:dyDescent="0.3">
      <c r="A433" s="7" t="s">
        <v>755</v>
      </c>
      <c r="B433" s="7">
        <v>382073</v>
      </c>
      <c r="C433" s="7" t="s">
        <v>1946</v>
      </c>
      <c r="D433" s="7" t="s">
        <v>1921</v>
      </c>
      <c r="E433" s="7" t="s">
        <v>746</v>
      </c>
      <c r="F433" s="7" t="s">
        <v>1915</v>
      </c>
      <c r="G433" s="7" t="s">
        <v>282</v>
      </c>
      <c r="H433" s="36" t="s">
        <v>1916</v>
      </c>
      <c r="I433" s="36" t="s">
        <v>1826</v>
      </c>
      <c r="J433" s="36" t="s">
        <v>1826</v>
      </c>
      <c r="K433" s="46"/>
      <c r="L433" s="46" t="s">
        <v>285</v>
      </c>
      <c r="M433" s="46"/>
      <c r="N433" s="46" t="s">
        <v>1824</v>
      </c>
      <c r="O433" s="45"/>
      <c r="P433" s="45" t="s">
        <v>665</v>
      </c>
      <c r="Q433" s="45"/>
    </row>
    <row r="434" spans="1:17" x14ac:dyDescent="0.3">
      <c r="A434" s="7" t="s">
        <v>755</v>
      </c>
      <c r="B434" s="7">
        <v>339263</v>
      </c>
      <c r="C434" s="7" t="s">
        <v>1932</v>
      </c>
      <c r="D434" s="7" t="s">
        <v>1914</v>
      </c>
      <c r="E434" s="7" t="s">
        <v>746</v>
      </c>
      <c r="F434" s="7" t="s">
        <v>1915</v>
      </c>
      <c r="G434" s="7" t="s">
        <v>1162</v>
      </c>
      <c r="H434" s="36" t="s">
        <v>1916</v>
      </c>
      <c r="I434" s="36" t="s">
        <v>1826</v>
      </c>
      <c r="J434" s="36">
        <v>42905</v>
      </c>
      <c r="K434" s="46"/>
      <c r="L434" s="46" t="s">
        <v>34</v>
      </c>
      <c r="M434" s="46"/>
      <c r="N434" s="46" t="s">
        <v>1824</v>
      </c>
      <c r="O434" s="45"/>
      <c r="P434" s="45" t="s">
        <v>665</v>
      </c>
      <c r="Q434" s="45"/>
    </row>
    <row r="435" spans="1:17" x14ac:dyDescent="0.3">
      <c r="A435" s="7" t="s">
        <v>755</v>
      </c>
      <c r="B435" s="7">
        <v>368689</v>
      </c>
      <c r="C435" s="7" t="s">
        <v>2116</v>
      </c>
      <c r="D435" s="7" t="s">
        <v>1914</v>
      </c>
      <c r="E435" s="7" t="s">
        <v>746</v>
      </c>
      <c r="F435" s="7" t="s">
        <v>1915</v>
      </c>
      <c r="G435" s="7" t="s">
        <v>2117</v>
      </c>
      <c r="H435" s="36" t="s">
        <v>1916</v>
      </c>
      <c r="I435" s="36" t="s">
        <v>1826</v>
      </c>
      <c r="J435" s="36">
        <v>44291</v>
      </c>
      <c r="K435" s="46"/>
      <c r="L435" s="46" t="s">
        <v>47</v>
      </c>
      <c r="M435" s="46"/>
      <c r="N435" s="46" t="s">
        <v>1824</v>
      </c>
      <c r="O435" s="45"/>
      <c r="P435" s="45" t="s">
        <v>665</v>
      </c>
      <c r="Q435" s="45"/>
    </row>
    <row r="436" spans="1:17" x14ac:dyDescent="0.3">
      <c r="A436" s="7" t="s">
        <v>1912</v>
      </c>
      <c r="B436" s="7">
        <v>381935</v>
      </c>
      <c r="C436" s="7" t="s">
        <v>2118</v>
      </c>
      <c r="D436" s="7" t="s">
        <v>1923</v>
      </c>
      <c r="E436" s="7" t="s">
        <v>746</v>
      </c>
      <c r="F436" s="7" t="s">
        <v>1915</v>
      </c>
      <c r="G436" s="7" t="s">
        <v>258</v>
      </c>
      <c r="H436" s="36" t="s">
        <v>1916</v>
      </c>
      <c r="I436" s="36" t="s">
        <v>1826</v>
      </c>
      <c r="J436" s="36" t="s">
        <v>1826</v>
      </c>
      <c r="K436" s="46"/>
      <c r="L436" s="46" t="s">
        <v>269</v>
      </c>
      <c r="M436" s="46"/>
      <c r="N436" s="46" t="s">
        <v>1824</v>
      </c>
      <c r="O436" s="45"/>
      <c r="P436" s="45" t="s">
        <v>665</v>
      </c>
      <c r="Q436" s="45"/>
    </row>
    <row r="437" spans="1:17" x14ac:dyDescent="0.3">
      <c r="A437" s="7" t="s">
        <v>1912</v>
      </c>
      <c r="B437" s="7">
        <v>382082</v>
      </c>
      <c r="C437" s="7" t="s">
        <v>1930</v>
      </c>
      <c r="D437" s="7" t="s">
        <v>1914</v>
      </c>
      <c r="E437" s="7" t="s">
        <v>746</v>
      </c>
      <c r="F437" s="7" t="s">
        <v>1915</v>
      </c>
      <c r="G437" s="7" t="s">
        <v>252</v>
      </c>
      <c r="H437" s="36" t="s">
        <v>1926</v>
      </c>
      <c r="I437" s="36" t="s">
        <v>1826</v>
      </c>
      <c r="J437" s="36" t="s">
        <v>1826</v>
      </c>
      <c r="K437" s="46"/>
      <c r="L437" s="46" t="s">
        <v>549</v>
      </c>
      <c r="M437" s="46"/>
      <c r="N437" s="46" t="s">
        <v>1824</v>
      </c>
      <c r="O437" s="45"/>
      <c r="P437" s="45" t="s">
        <v>665</v>
      </c>
      <c r="Q437" s="45"/>
    </row>
    <row r="438" spans="1:17" x14ac:dyDescent="0.3">
      <c r="A438" s="7" t="s">
        <v>1658</v>
      </c>
      <c r="B438" s="7" t="s">
        <v>716</v>
      </c>
      <c r="C438" s="7" t="s">
        <v>1938</v>
      </c>
      <c r="D438" s="7" t="s">
        <v>1914</v>
      </c>
      <c r="E438" s="7" t="s">
        <v>682</v>
      </c>
      <c r="F438" s="7" t="s">
        <v>1929</v>
      </c>
      <c r="G438" s="7" t="s">
        <v>248</v>
      </c>
      <c r="H438" s="36" t="s">
        <v>1926</v>
      </c>
      <c r="I438" s="36" t="s">
        <v>1826</v>
      </c>
      <c r="J438" s="36" t="s">
        <v>1826</v>
      </c>
      <c r="K438" s="46"/>
      <c r="L438" s="46" t="s">
        <v>217</v>
      </c>
      <c r="M438" s="46"/>
      <c r="N438" s="46" t="s">
        <v>1824</v>
      </c>
      <c r="O438" s="45"/>
      <c r="P438" s="45" t="s">
        <v>665</v>
      </c>
      <c r="Q438" s="45"/>
    </row>
    <row r="439" spans="1:17" x14ac:dyDescent="0.3">
      <c r="A439" s="7" t="s">
        <v>1912</v>
      </c>
      <c r="B439" s="7">
        <v>389600</v>
      </c>
      <c r="C439" s="7" t="s">
        <v>1928</v>
      </c>
      <c r="D439" s="7" t="s">
        <v>1921</v>
      </c>
      <c r="E439" s="7" t="s">
        <v>682</v>
      </c>
      <c r="F439" s="7" t="s">
        <v>1929</v>
      </c>
      <c r="G439" s="7" t="s">
        <v>620</v>
      </c>
      <c r="H439" s="36" t="s">
        <v>1926</v>
      </c>
      <c r="I439" s="36" t="s">
        <v>1826</v>
      </c>
      <c r="J439" s="36" t="s">
        <v>1826</v>
      </c>
      <c r="K439" s="46"/>
      <c r="L439" s="46" t="s">
        <v>447</v>
      </c>
      <c r="M439" s="46"/>
      <c r="N439" s="46" t="s">
        <v>1824</v>
      </c>
      <c r="O439" s="45"/>
      <c r="P439" s="45" t="s">
        <v>665</v>
      </c>
      <c r="Q439" s="45"/>
    </row>
    <row r="440" spans="1:17" x14ac:dyDescent="0.3">
      <c r="A440" s="7" t="s">
        <v>1912</v>
      </c>
      <c r="B440" s="7" t="s">
        <v>716</v>
      </c>
      <c r="C440" s="7" t="s">
        <v>1940</v>
      </c>
      <c r="D440" s="7" t="s">
        <v>1914</v>
      </c>
      <c r="E440" s="7" t="s">
        <v>711</v>
      </c>
      <c r="F440" s="7" t="s">
        <v>2119</v>
      </c>
      <c r="G440" s="7" t="s">
        <v>232</v>
      </c>
      <c r="H440" s="36" t="s">
        <v>1916</v>
      </c>
      <c r="I440" s="36" t="s">
        <v>1826</v>
      </c>
      <c r="J440" s="36" t="s">
        <v>1826</v>
      </c>
      <c r="K440" s="46"/>
      <c r="L440" s="46" t="s">
        <v>142</v>
      </c>
      <c r="M440" s="46"/>
      <c r="N440" s="46" t="s">
        <v>1824</v>
      </c>
      <c r="O440" s="45"/>
      <c r="P440" s="45" t="s">
        <v>665</v>
      </c>
      <c r="Q440" s="45"/>
    </row>
    <row r="441" spans="1:17" x14ac:dyDescent="0.3">
      <c r="A441" s="7" t="s">
        <v>1912</v>
      </c>
      <c r="B441" s="7" t="s">
        <v>716</v>
      </c>
      <c r="C441" s="7" t="s">
        <v>1947</v>
      </c>
      <c r="D441" s="7" t="s">
        <v>1914</v>
      </c>
      <c r="E441" s="7" t="s">
        <v>682</v>
      </c>
      <c r="F441" s="7" t="s">
        <v>1929</v>
      </c>
      <c r="G441" s="7" t="s">
        <v>223</v>
      </c>
      <c r="H441" s="36" t="s">
        <v>1916</v>
      </c>
      <c r="I441" s="36" t="s">
        <v>1826</v>
      </c>
      <c r="J441" s="36" t="s">
        <v>1826</v>
      </c>
      <c r="K441" s="46"/>
      <c r="L441" s="46" t="s">
        <v>565</v>
      </c>
      <c r="M441" s="46"/>
      <c r="N441" s="46" t="s">
        <v>1824</v>
      </c>
      <c r="O441" s="45"/>
      <c r="P441" s="45" t="s">
        <v>665</v>
      </c>
      <c r="Q441" s="45"/>
    </row>
    <row r="442" spans="1:17" x14ac:dyDescent="0.3">
      <c r="A442" s="7" t="s">
        <v>1912</v>
      </c>
      <c r="B442" s="7" t="s">
        <v>716</v>
      </c>
      <c r="C442" s="7" t="s">
        <v>2120</v>
      </c>
      <c r="D442" s="7" t="s">
        <v>1914</v>
      </c>
      <c r="E442" s="7" t="s">
        <v>711</v>
      </c>
      <c r="F442" s="7" t="s">
        <v>1945</v>
      </c>
      <c r="G442" s="7" t="s">
        <v>221</v>
      </c>
      <c r="H442" s="36" t="s">
        <v>1926</v>
      </c>
      <c r="I442" s="36" t="s">
        <v>1826</v>
      </c>
      <c r="J442" s="36" t="s">
        <v>1826</v>
      </c>
      <c r="K442" s="46"/>
      <c r="L442" s="46" t="s">
        <v>366</v>
      </c>
      <c r="M442" s="46"/>
      <c r="N442" s="46" t="s">
        <v>1824</v>
      </c>
      <c r="O442" s="45"/>
      <c r="P442" s="45" t="s">
        <v>665</v>
      </c>
      <c r="Q442" s="45"/>
    </row>
    <row r="443" spans="1:17" x14ac:dyDescent="0.3">
      <c r="A443" s="7" t="s">
        <v>1912</v>
      </c>
      <c r="B443" s="7" t="s">
        <v>716</v>
      </c>
      <c r="C443" s="7" t="s">
        <v>1928</v>
      </c>
      <c r="D443" s="7" t="s">
        <v>1921</v>
      </c>
      <c r="E443" s="7" t="s">
        <v>682</v>
      </c>
      <c r="F443" s="7" t="s">
        <v>1929</v>
      </c>
      <c r="G443" s="7" t="s">
        <v>617</v>
      </c>
      <c r="H443" s="36" t="s">
        <v>1916</v>
      </c>
      <c r="I443" s="36" t="s">
        <v>1826</v>
      </c>
      <c r="J443" s="36" t="s">
        <v>1826</v>
      </c>
      <c r="K443" s="46"/>
      <c r="L443" s="46" t="s">
        <v>447</v>
      </c>
      <c r="M443" s="46"/>
      <c r="N443" s="46" t="s">
        <v>1824</v>
      </c>
      <c r="O443" s="45"/>
      <c r="P443" s="45" t="s">
        <v>665</v>
      </c>
      <c r="Q443" s="45"/>
    </row>
    <row r="444" spans="1:17" x14ac:dyDescent="0.3">
      <c r="A444" s="7" t="s">
        <v>1912</v>
      </c>
      <c r="B444" s="7">
        <v>382980</v>
      </c>
      <c r="C444" s="7" t="s">
        <v>1928</v>
      </c>
      <c r="D444" s="7" t="s">
        <v>1914</v>
      </c>
      <c r="E444" s="7" t="s">
        <v>682</v>
      </c>
      <c r="F444" s="7" t="s">
        <v>1929</v>
      </c>
      <c r="G444" s="7" t="s">
        <v>647</v>
      </c>
      <c r="H444" s="36" t="s">
        <v>1916</v>
      </c>
      <c r="I444" s="36" t="s">
        <v>1826</v>
      </c>
      <c r="J444" s="36" t="s">
        <v>1826</v>
      </c>
      <c r="K444" s="46"/>
      <c r="L444" s="46" t="s">
        <v>447</v>
      </c>
      <c r="M444" s="46"/>
      <c r="N444" s="46" t="s">
        <v>1824</v>
      </c>
      <c r="O444" s="45"/>
      <c r="P444" s="45" t="s">
        <v>665</v>
      </c>
      <c r="Q444" s="45"/>
    </row>
    <row r="445" spans="1:17" x14ac:dyDescent="0.3">
      <c r="A445" s="7" t="s">
        <v>1912</v>
      </c>
      <c r="B445" s="7" t="s">
        <v>716</v>
      </c>
      <c r="C445" s="7" t="s">
        <v>1928</v>
      </c>
      <c r="D445" s="7" t="s">
        <v>1921</v>
      </c>
      <c r="E445" s="7" t="s">
        <v>682</v>
      </c>
      <c r="F445" s="7" t="s">
        <v>1929</v>
      </c>
      <c r="G445" s="7" t="s">
        <v>276</v>
      </c>
      <c r="H445" s="36" t="s">
        <v>1916</v>
      </c>
      <c r="I445" s="36" t="s">
        <v>1826</v>
      </c>
      <c r="J445" s="36" t="s">
        <v>1826</v>
      </c>
      <c r="K445" s="46"/>
      <c r="L445" s="46" t="s">
        <v>447</v>
      </c>
      <c r="M445" s="46"/>
      <c r="N445" s="46" t="s">
        <v>1824</v>
      </c>
      <c r="O445" s="45"/>
      <c r="P445" s="45" t="s">
        <v>665</v>
      </c>
      <c r="Q445" s="45"/>
    </row>
    <row r="446" spans="1:17" x14ac:dyDescent="0.3">
      <c r="A446" s="7" t="s">
        <v>1912</v>
      </c>
      <c r="B446" s="7">
        <v>404893</v>
      </c>
      <c r="C446" s="7" t="s">
        <v>1924</v>
      </c>
      <c r="D446" s="7" t="s">
        <v>1918</v>
      </c>
      <c r="E446" s="7" t="s">
        <v>682</v>
      </c>
      <c r="F446" s="7" t="s">
        <v>1929</v>
      </c>
      <c r="G446" s="7" t="s">
        <v>178</v>
      </c>
      <c r="H446" s="36" t="s">
        <v>1916</v>
      </c>
      <c r="I446" s="36" t="s">
        <v>1826</v>
      </c>
      <c r="J446" s="36" t="s">
        <v>1826</v>
      </c>
      <c r="K446" s="46"/>
      <c r="L446" s="46" t="s">
        <v>366</v>
      </c>
      <c r="M446" s="46"/>
      <c r="N446" s="46" t="s">
        <v>1824</v>
      </c>
      <c r="O446" s="45"/>
      <c r="P446" s="45" t="s">
        <v>665</v>
      </c>
      <c r="Q446" s="45"/>
    </row>
    <row r="447" spans="1:17" x14ac:dyDescent="0.3">
      <c r="A447" s="7" t="s">
        <v>1912</v>
      </c>
      <c r="B447" s="7" t="s">
        <v>716</v>
      </c>
      <c r="C447" s="7" t="s">
        <v>1948</v>
      </c>
      <c r="D447" s="7" t="s">
        <v>1914</v>
      </c>
      <c r="E447" s="7" t="s">
        <v>746</v>
      </c>
      <c r="F447" s="7" t="s">
        <v>1915</v>
      </c>
      <c r="G447" s="7" t="s">
        <v>173</v>
      </c>
      <c r="H447" s="36" t="s">
        <v>1916</v>
      </c>
      <c r="I447" s="36" t="s">
        <v>1826</v>
      </c>
      <c r="J447" s="36" t="s">
        <v>1826</v>
      </c>
      <c r="K447" s="46"/>
      <c r="L447" s="46" t="s">
        <v>123</v>
      </c>
      <c r="M447" s="46"/>
      <c r="N447" s="46" t="s">
        <v>1824</v>
      </c>
      <c r="O447" s="45"/>
      <c r="P447" s="45" t="s">
        <v>665</v>
      </c>
      <c r="Q447" s="45"/>
    </row>
    <row r="448" spans="1:17" x14ac:dyDescent="0.3">
      <c r="A448" s="7" t="s">
        <v>1912</v>
      </c>
      <c r="B448" s="7" t="s">
        <v>716</v>
      </c>
      <c r="C448" s="7" t="s">
        <v>1935</v>
      </c>
      <c r="D448" s="7" t="s">
        <v>1914</v>
      </c>
      <c r="E448" s="7" t="s">
        <v>711</v>
      </c>
      <c r="F448" s="7" t="s">
        <v>2109</v>
      </c>
      <c r="G448" s="7" t="s">
        <v>151</v>
      </c>
      <c r="H448" s="36" t="s">
        <v>1916</v>
      </c>
      <c r="I448" s="36" t="s">
        <v>1826</v>
      </c>
      <c r="J448" s="36" t="s">
        <v>1826</v>
      </c>
      <c r="K448" s="46"/>
      <c r="L448" s="46" t="s">
        <v>528</v>
      </c>
      <c r="M448" s="46"/>
      <c r="N448" s="46" t="s">
        <v>1824</v>
      </c>
      <c r="O448" s="45"/>
      <c r="P448" s="45" t="s">
        <v>665</v>
      </c>
      <c r="Q448" s="45"/>
    </row>
    <row r="449" spans="1:17" x14ac:dyDescent="0.3">
      <c r="A449" s="7" t="s">
        <v>1912</v>
      </c>
      <c r="B449" s="7" t="s">
        <v>716</v>
      </c>
      <c r="C449" s="7" t="s">
        <v>2121</v>
      </c>
      <c r="D449" s="7" t="s">
        <v>1918</v>
      </c>
      <c r="E449" s="7" t="s">
        <v>711</v>
      </c>
      <c r="F449" s="7" t="s">
        <v>2119</v>
      </c>
      <c r="G449" s="7" t="s">
        <v>142</v>
      </c>
      <c r="H449" s="36" t="s">
        <v>1916</v>
      </c>
      <c r="I449" s="36" t="s">
        <v>1826</v>
      </c>
      <c r="J449" s="36" t="s">
        <v>1826</v>
      </c>
      <c r="K449" s="46"/>
      <c r="L449" s="46" t="s">
        <v>366</v>
      </c>
      <c r="M449" s="46"/>
      <c r="N449" s="46" t="s">
        <v>1824</v>
      </c>
      <c r="O449" s="45"/>
      <c r="P449" s="45" t="s">
        <v>665</v>
      </c>
      <c r="Q449" s="45"/>
    </row>
    <row r="450" spans="1:17" x14ac:dyDescent="0.3">
      <c r="A450" s="7" t="s">
        <v>1912</v>
      </c>
      <c r="B450" s="7" t="s">
        <v>716</v>
      </c>
      <c r="C450" s="7" t="s">
        <v>2073</v>
      </c>
      <c r="D450" s="7" t="s">
        <v>1921</v>
      </c>
      <c r="E450" s="7" t="s">
        <v>746</v>
      </c>
      <c r="F450" s="7" t="s">
        <v>1915</v>
      </c>
      <c r="G450" s="7" t="s">
        <v>138</v>
      </c>
      <c r="H450" s="36" t="s">
        <v>1916</v>
      </c>
      <c r="I450" s="36" t="s">
        <v>1826</v>
      </c>
      <c r="J450" s="36" t="s">
        <v>1826</v>
      </c>
      <c r="K450" s="46"/>
      <c r="L450" s="46" t="s">
        <v>550</v>
      </c>
      <c r="M450" s="46"/>
      <c r="N450" s="46" t="s">
        <v>1824</v>
      </c>
      <c r="O450" s="45"/>
      <c r="P450" s="45" t="s">
        <v>665</v>
      </c>
      <c r="Q450" s="45"/>
    </row>
    <row r="451" spans="1:17" x14ac:dyDescent="0.3">
      <c r="A451" s="7" t="s">
        <v>755</v>
      </c>
      <c r="B451" s="7" t="s">
        <v>716</v>
      </c>
      <c r="C451" s="7" t="s">
        <v>1940</v>
      </c>
      <c r="D451" s="7" t="s">
        <v>1921</v>
      </c>
      <c r="E451" s="7" t="s">
        <v>746</v>
      </c>
      <c r="F451" s="7" t="s">
        <v>1915</v>
      </c>
      <c r="G451" s="7" t="s">
        <v>126</v>
      </c>
      <c r="H451" s="36" t="s">
        <v>1916</v>
      </c>
      <c r="I451" s="36" t="s">
        <v>1826</v>
      </c>
      <c r="J451" s="36" t="s">
        <v>1826</v>
      </c>
      <c r="K451" s="46"/>
      <c r="L451" s="46" t="s">
        <v>309</v>
      </c>
      <c r="M451" s="46"/>
      <c r="N451" s="46" t="s">
        <v>1824</v>
      </c>
      <c r="O451" s="45"/>
      <c r="P451" s="45" t="s">
        <v>665</v>
      </c>
      <c r="Q451" s="45"/>
    </row>
    <row r="452" spans="1:17" x14ac:dyDescent="0.3">
      <c r="A452" s="7" t="s">
        <v>1912</v>
      </c>
      <c r="B452" s="7" t="s">
        <v>716</v>
      </c>
      <c r="C452" s="7" t="s">
        <v>2073</v>
      </c>
      <c r="D452" s="7" t="s">
        <v>1921</v>
      </c>
      <c r="E452" s="7" t="s">
        <v>746</v>
      </c>
      <c r="F452" s="7" t="s">
        <v>1915</v>
      </c>
      <c r="G452" s="7" t="s">
        <v>115</v>
      </c>
      <c r="H452" s="36" t="s">
        <v>1926</v>
      </c>
      <c r="I452" s="36" t="s">
        <v>1826</v>
      </c>
      <c r="J452" s="36" t="s">
        <v>1826</v>
      </c>
      <c r="K452" s="46"/>
      <c r="L452" s="46" t="s">
        <v>132</v>
      </c>
      <c r="M452" s="46"/>
      <c r="N452" s="46" t="s">
        <v>1824</v>
      </c>
      <c r="O452" s="45"/>
      <c r="P452" s="45" t="s">
        <v>665</v>
      </c>
      <c r="Q452" s="45"/>
    </row>
    <row r="453" spans="1:17" x14ac:dyDescent="0.3">
      <c r="A453" s="7" t="s">
        <v>755</v>
      </c>
      <c r="B453" s="7">
        <v>383196</v>
      </c>
      <c r="C453" s="7" t="s">
        <v>2122</v>
      </c>
      <c r="D453" s="7" t="s">
        <v>1921</v>
      </c>
      <c r="E453" s="7" t="s">
        <v>746</v>
      </c>
      <c r="F453" s="7" t="s">
        <v>1915</v>
      </c>
      <c r="G453" s="7" t="s">
        <v>102</v>
      </c>
      <c r="H453" s="36" t="s">
        <v>1916</v>
      </c>
      <c r="I453" s="36" t="s">
        <v>1826</v>
      </c>
      <c r="J453" s="36" t="s">
        <v>1826</v>
      </c>
      <c r="K453" s="46"/>
      <c r="L453" s="46" t="s">
        <v>293</v>
      </c>
      <c r="M453" s="46"/>
      <c r="N453" s="46" t="s">
        <v>1824</v>
      </c>
      <c r="O453" s="45"/>
      <c r="P453" s="45" t="s">
        <v>665</v>
      </c>
      <c r="Q453" s="45"/>
    </row>
    <row r="454" spans="1:17" x14ac:dyDescent="0.3">
      <c r="A454" s="7" t="s">
        <v>1912</v>
      </c>
      <c r="B454" s="7" t="s">
        <v>716</v>
      </c>
      <c r="C454" s="7" t="s">
        <v>1932</v>
      </c>
      <c r="D454" s="7" t="s">
        <v>1914</v>
      </c>
      <c r="E454" s="7" t="s">
        <v>746</v>
      </c>
      <c r="F454" s="7" t="s">
        <v>1915</v>
      </c>
      <c r="G454" s="7" t="s">
        <v>92</v>
      </c>
      <c r="H454" s="36" t="s">
        <v>1916</v>
      </c>
      <c r="I454" s="36" t="s">
        <v>1826</v>
      </c>
      <c r="J454" s="36" t="s">
        <v>1826</v>
      </c>
      <c r="K454" s="46"/>
      <c r="L454" s="46" t="s">
        <v>242</v>
      </c>
      <c r="M454" s="46"/>
      <c r="N454" s="46" t="s">
        <v>1824</v>
      </c>
      <c r="O454" s="45"/>
      <c r="P454" s="45" t="s">
        <v>665</v>
      </c>
      <c r="Q454" s="45"/>
    </row>
    <row r="455" spans="1:17" x14ac:dyDescent="0.3">
      <c r="A455" s="7" t="s">
        <v>1912</v>
      </c>
      <c r="B455" s="7" t="s">
        <v>716</v>
      </c>
      <c r="C455" s="7" t="s">
        <v>1928</v>
      </c>
      <c r="D455" s="7" t="s">
        <v>1921</v>
      </c>
      <c r="E455" s="7" t="s">
        <v>682</v>
      </c>
      <c r="F455" s="7" t="s">
        <v>1929</v>
      </c>
      <c r="G455" s="7" t="s">
        <v>613</v>
      </c>
      <c r="H455" s="36" t="s">
        <v>1916</v>
      </c>
      <c r="I455" s="36" t="s">
        <v>1826</v>
      </c>
      <c r="J455" s="36" t="s">
        <v>1826</v>
      </c>
      <c r="K455" s="46"/>
      <c r="L455" s="46" t="s">
        <v>447</v>
      </c>
      <c r="M455" s="46"/>
      <c r="N455" s="46" t="s">
        <v>1824</v>
      </c>
      <c r="O455" s="45"/>
      <c r="P455" s="45" t="s">
        <v>665</v>
      </c>
      <c r="Q455" s="45"/>
    </row>
    <row r="456" spans="1:17" x14ac:dyDescent="0.3">
      <c r="A456" s="7" t="s">
        <v>1912</v>
      </c>
      <c r="B456" s="7">
        <v>389602</v>
      </c>
      <c r="C456" s="7" t="s">
        <v>1928</v>
      </c>
      <c r="D456" s="7" t="s">
        <v>1921</v>
      </c>
      <c r="E456" s="7" t="s">
        <v>682</v>
      </c>
      <c r="F456" s="7" t="s">
        <v>1929</v>
      </c>
      <c r="G456" s="7" t="s">
        <v>395</v>
      </c>
      <c r="H456" s="36" t="s">
        <v>1926</v>
      </c>
      <c r="I456" s="36" t="s">
        <v>1826</v>
      </c>
      <c r="J456" s="36" t="s">
        <v>1826</v>
      </c>
      <c r="K456" s="46"/>
      <c r="L456" s="46" t="s">
        <v>447</v>
      </c>
      <c r="M456" s="46"/>
      <c r="N456" s="46" t="s">
        <v>1824</v>
      </c>
      <c r="O456" s="45"/>
      <c r="P456" s="45" t="s">
        <v>665</v>
      </c>
      <c r="Q456" s="45"/>
    </row>
    <row r="457" spans="1:17" x14ac:dyDescent="0.3">
      <c r="A457" s="7" t="s">
        <v>1912</v>
      </c>
      <c r="B457" s="7" t="s">
        <v>716</v>
      </c>
      <c r="C457" s="7" t="s">
        <v>1948</v>
      </c>
      <c r="D457" s="7" t="s">
        <v>1914</v>
      </c>
      <c r="E457" s="7" t="s">
        <v>746</v>
      </c>
      <c r="F457" s="7" t="s">
        <v>1915</v>
      </c>
      <c r="G457" s="7" t="s">
        <v>84</v>
      </c>
      <c r="H457" s="36" t="s">
        <v>1926</v>
      </c>
      <c r="I457" s="36" t="s">
        <v>1826</v>
      </c>
      <c r="J457" s="36" t="s">
        <v>1826</v>
      </c>
      <c r="K457" s="46"/>
      <c r="L457" s="46" t="s">
        <v>123</v>
      </c>
      <c r="M457" s="46"/>
      <c r="N457" s="46" t="s">
        <v>1824</v>
      </c>
      <c r="O457" s="45"/>
      <c r="P457" s="45" t="s">
        <v>665</v>
      </c>
      <c r="Q457" s="45"/>
    </row>
    <row r="458" spans="1:17" x14ac:dyDescent="0.3">
      <c r="A458" s="7" t="s">
        <v>1658</v>
      </c>
      <c r="B458" s="7" t="s">
        <v>716</v>
      </c>
      <c r="C458" s="7" t="s">
        <v>1938</v>
      </c>
      <c r="D458" s="7" t="s">
        <v>1914</v>
      </c>
      <c r="E458" s="7" t="s">
        <v>682</v>
      </c>
      <c r="F458" s="7" t="s">
        <v>1929</v>
      </c>
      <c r="G458" s="7" t="s">
        <v>76</v>
      </c>
      <c r="H458" s="36" t="s">
        <v>1916</v>
      </c>
      <c r="I458" s="36" t="s">
        <v>1826</v>
      </c>
      <c r="J458" s="36" t="s">
        <v>1826</v>
      </c>
      <c r="K458" s="46"/>
      <c r="L458" s="46" t="s">
        <v>217</v>
      </c>
      <c r="M458" s="46"/>
      <c r="N458" s="46" t="s">
        <v>1824</v>
      </c>
      <c r="O458" s="45"/>
      <c r="P458" s="45" t="s">
        <v>665</v>
      </c>
      <c r="Q458" s="45"/>
    </row>
    <row r="459" spans="1:17" x14ac:dyDescent="0.3">
      <c r="A459" s="7" t="s">
        <v>1912</v>
      </c>
      <c r="B459" s="7" t="s">
        <v>716</v>
      </c>
      <c r="C459" s="7" t="s">
        <v>2123</v>
      </c>
      <c r="D459" s="7" t="s">
        <v>1914</v>
      </c>
      <c r="E459" s="7" t="s">
        <v>682</v>
      </c>
      <c r="F459" s="7" t="s">
        <v>1929</v>
      </c>
      <c r="G459" s="7" t="s">
        <v>170</v>
      </c>
      <c r="H459" s="36" t="s">
        <v>1926</v>
      </c>
      <c r="I459" s="36" t="s">
        <v>1826</v>
      </c>
      <c r="J459" s="36" t="s">
        <v>1826</v>
      </c>
      <c r="K459" s="46"/>
      <c r="L459" s="46" t="s">
        <v>565</v>
      </c>
      <c r="M459" s="46"/>
      <c r="N459" s="46" t="s">
        <v>1824</v>
      </c>
      <c r="O459" s="45"/>
      <c r="P459" s="45" t="s">
        <v>665</v>
      </c>
      <c r="Q459" s="45"/>
    </row>
    <row r="460" spans="1:17" x14ac:dyDescent="0.3">
      <c r="A460" s="7" t="s">
        <v>1912</v>
      </c>
      <c r="B460" s="7">
        <v>382059</v>
      </c>
      <c r="C460" s="7" t="s">
        <v>2053</v>
      </c>
      <c r="D460" s="7" t="s">
        <v>1914</v>
      </c>
      <c r="E460" s="7" t="s">
        <v>746</v>
      </c>
      <c r="F460" s="7" t="s">
        <v>1915</v>
      </c>
      <c r="G460" s="7" t="s">
        <v>57</v>
      </c>
      <c r="H460" s="36" t="s">
        <v>1916</v>
      </c>
      <c r="I460" s="36" t="s">
        <v>1826</v>
      </c>
      <c r="J460" s="36" t="s">
        <v>1826</v>
      </c>
      <c r="K460" s="46"/>
      <c r="L460" s="46" t="s">
        <v>181</v>
      </c>
      <c r="M460" s="46"/>
      <c r="N460" s="46" t="s">
        <v>1824</v>
      </c>
      <c r="O460" s="45"/>
      <c r="P460" s="45" t="s">
        <v>665</v>
      </c>
      <c r="Q460" s="45"/>
    </row>
    <row r="461" spans="1:17" x14ac:dyDescent="0.3">
      <c r="A461" s="7" t="s">
        <v>1912</v>
      </c>
      <c r="B461" s="7">
        <v>430171</v>
      </c>
      <c r="C461" s="7" t="s">
        <v>1940</v>
      </c>
      <c r="D461" s="7" t="s">
        <v>1921</v>
      </c>
      <c r="E461" s="7" t="s">
        <v>746</v>
      </c>
      <c r="F461" s="7" t="s">
        <v>1915</v>
      </c>
      <c r="G461" s="7" t="s">
        <v>36</v>
      </c>
      <c r="H461" s="36" t="s">
        <v>1916</v>
      </c>
      <c r="I461" s="36" t="s">
        <v>1826</v>
      </c>
      <c r="J461" s="36" t="s">
        <v>1826</v>
      </c>
      <c r="K461" s="46"/>
      <c r="L461" s="46" t="s">
        <v>267</v>
      </c>
      <c r="M461" s="46"/>
      <c r="N461" s="46" t="s">
        <v>1824</v>
      </c>
      <c r="O461" s="45"/>
      <c r="P461" s="45" t="s">
        <v>665</v>
      </c>
      <c r="Q461" s="45"/>
    </row>
    <row r="462" spans="1:17" x14ac:dyDescent="0.3">
      <c r="A462" s="7" t="s">
        <v>1658</v>
      </c>
      <c r="B462" s="7">
        <v>564591</v>
      </c>
      <c r="C462" s="7" t="s">
        <v>1932</v>
      </c>
      <c r="D462" s="7" t="s">
        <v>1921</v>
      </c>
      <c r="E462" s="7" t="s">
        <v>746</v>
      </c>
      <c r="F462" s="7" t="s">
        <v>1915</v>
      </c>
      <c r="G462" s="7" t="s">
        <v>1120</v>
      </c>
      <c r="H462" s="36" t="s">
        <v>1916</v>
      </c>
      <c r="I462" s="36" t="s">
        <v>1826</v>
      </c>
      <c r="J462" s="36">
        <v>46174</v>
      </c>
      <c r="K462" s="46"/>
      <c r="L462" s="46" t="s">
        <v>213</v>
      </c>
      <c r="M462" s="46"/>
      <c r="N462" s="46" t="s">
        <v>1824</v>
      </c>
      <c r="O462" s="45"/>
      <c r="P462" s="45" t="s">
        <v>665</v>
      </c>
      <c r="Q462" s="45"/>
    </row>
    <row r="463" spans="1:17" x14ac:dyDescent="0.3">
      <c r="A463" s="7" t="s">
        <v>1658</v>
      </c>
      <c r="B463" s="7">
        <v>575548</v>
      </c>
      <c r="C463" s="7" t="s">
        <v>1932</v>
      </c>
      <c r="D463" s="7" t="s">
        <v>1921</v>
      </c>
      <c r="E463" s="7" t="s">
        <v>746</v>
      </c>
      <c r="F463" s="7" t="s">
        <v>1915</v>
      </c>
      <c r="G463" s="7" t="s">
        <v>1121</v>
      </c>
      <c r="H463" s="36" t="s">
        <v>1916</v>
      </c>
      <c r="I463" s="36" t="s">
        <v>1826</v>
      </c>
      <c r="J463" s="36">
        <v>46146</v>
      </c>
      <c r="K463" s="46"/>
      <c r="L463" s="46" t="s">
        <v>213</v>
      </c>
      <c r="M463" s="46"/>
      <c r="N463" s="46" t="s">
        <v>1824</v>
      </c>
      <c r="O463" s="45"/>
      <c r="P463" s="45" t="s">
        <v>665</v>
      </c>
      <c r="Q463" s="45"/>
    </row>
    <row r="464" spans="1:17" x14ac:dyDescent="0.3">
      <c r="A464" s="7" t="s">
        <v>1658</v>
      </c>
      <c r="B464" s="7">
        <v>547450</v>
      </c>
      <c r="C464" s="7" t="s">
        <v>2028</v>
      </c>
      <c r="D464" s="7" t="s">
        <v>1921</v>
      </c>
      <c r="E464" s="7" t="s">
        <v>746</v>
      </c>
      <c r="F464" s="7" t="s">
        <v>1915</v>
      </c>
      <c r="G464" s="7" t="s">
        <v>108</v>
      </c>
      <c r="H464" s="36" t="s">
        <v>1916</v>
      </c>
      <c r="I464" s="36" t="s">
        <v>1826</v>
      </c>
      <c r="J464" s="36">
        <v>46097</v>
      </c>
      <c r="K464" s="46"/>
      <c r="L464" s="46" t="s">
        <v>449</v>
      </c>
      <c r="M464" s="46"/>
      <c r="N464" s="46" t="s">
        <v>1824</v>
      </c>
      <c r="O464" s="45"/>
      <c r="P464" s="45" t="s">
        <v>665</v>
      </c>
      <c r="Q464" s="45"/>
    </row>
    <row r="465" spans="1:17" x14ac:dyDescent="0.3">
      <c r="A465" s="7" t="s">
        <v>1658</v>
      </c>
      <c r="B465" s="7">
        <v>569280</v>
      </c>
      <c r="C465" s="7" t="s">
        <v>2095</v>
      </c>
      <c r="D465" s="7" t="s">
        <v>1921</v>
      </c>
      <c r="E465" s="7" t="s">
        <v>746</v>
      </c>
      <c r="F465" s="7" t="s">
        <v>1915</v>
      </c>
      <c r="G465" s="7" t="s">
        <v>1520</v>
      </c>
      <c r="H465" s="36" t="s">
        <v>1916</v>
      </c>
      <c r="I465" s="36" t="s">
        <v>1826</v>
      </c>
      <c r="J465" s="36">
        <v>46191</v>
      </c>
      <c r="K465" s="46"/>
      <c r="L465" s="46" t="s">
        <v>471</v>
      </c>
      <c r="M465" s="46"/>
      <c r="N465" s="46" t="s">
        <v>1824</v>
      </c>
      <c r="O465" s="45"/>
      <c r="P465" s="45" t="s">
        <v>665</v>
      </c>
      <c r="Q465" s="45"/>
    </row>
    <row r="466" spans="1:17" x14ac:dyDescent="0.3">
      <c r="A466" s="7" t="s">
        <v>1912</v>
      </c>
      <c r="B466" s="7">
        <v>559916</v>
      </c>
      <c r="C466" s="7" t="s">
        <v>2036</v>
      </c>
      <c r="D466" s="7" t="s">
        <v>1914</v>
      </c>
      <c r="E466" s="7" t="s">
        <v>746</v>
      </c>
      <c r="F466" s="7" t="s">
        <v>1915</v>
      </c>
      <c r="G466" s="7" t="s">
        <v>2124</v>
      </c>
      <c r="H466" s="36"/>
      <c r="I466" s="36" t="s">
        <v>2125</v>
      </c>
      <c r="J466" s="36"/>
      <c r="K466" s="46"/>
      <c r="L466" s="46" t="s">
        <v>142</v>
      </c>
      <c r="M466" s="46"/>
      <c r="N466" s="46" t="s">
        <v>1822</v>
      </c>
      <c r="O466" s="45"/>
      <c r="P466" s="45" t="s">
        <v>665</v>
      </c>
      <c r="Q466" s="45"/>
    </row>
    <row r="467" spans="1:17" x14ac:dyDescent="0.3">
      <c r="A467" s="7" t="s">
        <v>755</v>
      </c>
      <c r="B467" s="7">
        <v>586501</v>
      </c>
      <c r="C467" s="7" t="s">
        <v>2430</v>
      </c>
      <c r="D467" s="7" t="s">
        <v>1921</v>
      </c>
      <c r="E467" s="7" t="s">
        <v>746</v>
      </c>
      <c r="F467" s="7" t="s">
        <v>1915</v>
      </c>
      <c r="G467" s="7" t="s">
        <v>2405</v>
      </c>
      <c r="H467" s="36" t="s">
        <v>1916</v>
      </c>
      <c r="I467" s="36" t="s">
        <v>1825</v>
      </c>
      <c r="J467" s="36">
        <v>46296</v>
      </c>
      <c r="K467" s="46"/>
      <c r="L467" s="46" t="s">
        <v>285</v>
      </c>
      <c r="M467" s="46"/>
      <c r="N467" s="46" t="s">
        <v>1822</v>
      </c>
      <c r="O467" s="45"/>
      <c r="P467" s="45" t="s">
        <v>665</v>
      </c>
      <c r="Q467" s="45"/>
    </row>
    <row r="468" spans="1:17" x14ac:dyDescent="0.3">
      <c r="A468" s="7" t="s">
        <v>755</v>
      </c>
      <c r="B468" s="7">
        <v>583816</v>
      </c>
      <c r="C468" s="7" t="s">
        <v>2431</v>
      </c>
      <c r="D468" s="7" t="s">
        <v>1950</v>
      </c>
      <c r="E468" s="7" t="s">
        <v>746</v>
      </c>
      <c r="F468" s="7" t="s">
        <v>1915</v>
      </c>
      <c r="G468" s="7" t="s">
        <v>2340</v>
      </c>
      <c r="H468" s="36" t="s">
        <v>1916</v>
      </c>
      <c r="I468" s="36" t="s">
        <v>1826</v>
      </c>
      <c r="J468" s="36">
        <v>46235</v>
      </c>
      <c r="K468" s="46"/>
      <c r="L468" s="46" t="s">
        <v>285</v>
      </c>
      <c r="M468" s="46"/>
      <c r="N468" s="46" t="s">
        <v>1824</v>
      </c>
      <c r="O468" s="45"/>
      <c r="P468" s="45" t="s">
        <v>665</v>
      </c>
      <c r="Q468" s="45"/>
    </row>
    <row r="469" spans="1:17" x14ac:dyDescent="0.3">
      <c r="A469" s="7" t="s">
        <v>1658</v>
      </c>
      <c r="B469" s="7">
        <v>569083</v>
      </c>
      <c r="C469" s="7" t="s">
        <v>1932</v>
      </c>
      <c r="D469" s="7" t="s">
        <v>1921</v>
      </c>
      <c r="E469" s="7" t="s">
        <v>746</v>
      </c>
      <c r="F469" s="7" t="s">
        <v>1915</v>
      </c>
      <c r="G469" s="7" t="s">
        <v>1079</v>
      </c>
      <c r="H469" s="36" t="s">
        <v>1916</v>
      </c>
      <c r="I469" s="36" t="s">
        <v>1826</v>
      </c>
      <c r="J469" s="36">
        <v>46153</v>
      </c>
      <c r="K469" s="46"/>
      <c r="L469" s="46" t="s">
        <v>213</v>
      </c>
      <c r="M469" s="46"/>
      <c r="N469" s="46" t="s">
        <v>1824</v>
      </c>
      <c r="O469" s="45"/>
      <c r="P469" s="45" t="s">
        <v>665</v>
      </c>
      <c r="Q469" s="45"/>
    </row>
    <row r="470" spans="1:17" x14ac:dyDescent="0.3">
      <c r="A470" s="7" t="s">
        <v>1658</v>
      </c>
      <c r="B470" s="7">
        <v>566004</v>
      </c>
      <c r="C470" s="7" t="s">
        <v>2126</v>
      </c>
      <c r="D470" s="7" t="s">
        <v>1950</v>
      </c>
      <c r="E470" s="7" t="s">
        <v>746</v>
      </c>
      <c r="F470" s="7" t="s">
        <v>1915</v>
      </c>
      <c r="G470" s="7" t="s">
        <v>1848</v>
      </c>
      <c r="H470" s="36" t="s">
        <v>1926</v>
      </c>
      <c r="I470" s="36" t="s">
        <v>1826</v>
      </c>
      <c r="J470" s="36">
        <v>46237</v>
      </c>
      <c r="K470" s="46"/>
      <c r="L470" s="46" t="s">
        <v>48</v>
      </c>
      <c r="M470" s="46"/>
      <c r="N470" s="46" t="s">
        <v>1824</v>
      </c>
      <c r="O470" s="45"/>
      <c r="P470" s="45" t="s">
        <v>665</v>
      </c>
      <c r="Q470" s="45"/>
    </row>
    <row r="471" spans="1:17" x14ac:dyDescent="0.3">
      <c r="A471" s="7" t="s">
        <v>1658</v>
      </c>
      <c r="B471" s="7">
        <v>583831</v>
      </c>
      <c r="C471" s="7" t="s">
        <v>1999</v>
      </c>
      <c r="D471" s="7" t="s">
        <v>1950</v>
      </c>
      <c r="E471" s="7" t="s">
        <v>746</v>
      </c>
      <c r="F471" s="7" t="s">
        <v>1915</v>
      </c>
      <c r="G471" s="7" t="s">
        <v>1830</v>
      </c>
      <c r="H471" s="36" t="s">
        <v>1916</v>
      </c>
      <c r="I471" s="36" t="s">
        <v>1825</v>
      </c>
      <c r="J471" s="36">
        <v>46276</v>
      </c>
      <c r="K471" s="46"/>
      <c r="L471" s="46" t="s">
        <v>333</v>
      </c>
      <c r="M471" s="46"/>
      <c r="N471" s="46" t="s">
        <v>1822</v>
      </c>
      <c r="O471" s="45"/>
      <c r="P471" s="45" t="s">
        <v>665</v>
      </c>
      <c r="Q471" s="45"/>
    </row>
    <row r="472" spans="1:17" x14ac:dyDescent="0.3">
      <c r="A472" s="7" t="s">
        <v>1912</v>
      </c>
      <c r="B472" s="7">
        <v>579083</v>
      </c>
      <c r="C472" s="7" t="s">
        <v>2127</v>
      </c>
      <c r="D472" s="7" t="s">
        <v>1921</v>
      </c>
      <c r="E472" s="7" t="s">
        <v>746</v>
      </c>
      <c r="F472" s="7" t="s">
        <v>1915</v>
      </c>
      <c r="G472" s="7" t="s">
        <v>1834</v>
      </c>
      <c r="H472" s="36" t="s">
        <v>1916</v>
      </c>
      <c r="I472" s="36" t="s">
        <v>1826</v>
      </c>
      <c r="J472" s="36" t="s">
        <v>2133</v>
      </c>
      <c r="K472" s="46"/>
      <c r="L472" s="46" t="s">
        <v>123</v>
      </c>
      <c r="M472" s="46"/>
      <c r="N472" s="46" t="s">
        <v>1824</v>
      </c>
      <c r="O472" s="45"/>
      <c r="P472" s="45" t="s">
        <v>665</v>
      </c>
      <c r="Q472" s="45"/>
    </row>
    <row r="473" spans="1:17" x14ac:dyDescent="0.3">
      <c r="A473" s="7" t="s">
        <v>1912</v>
      </c>
      <c r="B473" s="7">
        <v>578278</v>
      </c>
      <c r="C473" s="7" t="s">
        <v>2128</v>
      </c>
      <c r="D473" s="7" t="s">
        <v>1921</v>
      </c>
      <c r="E473" s="7" t="s">
        <v>746</v>
      </c>
      <c r="F473" s="7" t="s">
        <v>1915</v>
      </c>
      <c r="G473" s="7" t="s">
        <v>1841</v>
      </c>
      <c r="H473" s="36" t="s">
        <v>1926</v>
      </c>
      <c r="I473" s="36" t="s">
        <v>1826</v>
      </c>
      <c r="J473" s="36" t="s">
        <v>2432</v>
      </c>
      <c r="K473" s="46"/>
      <c r="L473" s="46" t="s">
        <v>154</v>
      </c>
      <c r="M473" s="46"/>
      <c r="N473" s="46" t="s">
        <v>1824</v>
      </c>
      <c r="O473" s="45"/>
      <c r="P473" s="45" t="s">
        <v>665</v>
      </c>
      <c r="Q473" s="45"/>
    </row>
    <row r="474" spans="1:17" x14ac:dyDescent="0.3">
      <c r="A474" s="7" t="s">
        <v>1912</v>
      </c>
      <c r="B474" s="7">
        <v>581838</v>
      </c>
      <c r="C474" s="7" t="s">
        <v>2129</v>
      </c>
      <c r="D474" s="7" t="s">
        <v>1950</v>
      </c>
      <c r="E474" s="7" t="s">
        <v>746</v>
      </c>
      <c r="F474" s="7" t="s">
        <v>1915</v>
      </c>
      <c r="G474" s="7" t="s">
        <v>1652</v>
      </c>
      <c r="H474" s="36" t="s">
        <v>1916</v>
      </c>
      <c r="I474" s="36" t="s">
        <v>1826</v>
      </c>
      <c r="J474" s="36" t="s">
        <v>2130</v>
      </c>
      <c r="K474" s="46"/>
      <c r="L474" s="46" t="s">
        <v>49</v>
      </c>
      <c r="M474" s="46"/>
      <c r="N474" s="46" t="s">
        <v>1824</v>
      </c>
      <c r="O474" s="45"/>
      <c r="P474" s="45" t="s">
        <v>665</v>
      </c>
      <c r="Q474" s="45"/>
    </row>
    <row r="475" spans="1:17" x14ac:dyDescent="0.3">
      <c r="A475" s="7" t="s">
        <v>1912</v>
      </c>
      <c r="B475" s="7">
        <v>580180</v>
      </c>
      <c r="C475" s="7" t="s">
        <v>1932</v>
      </c>
      <c r="D475" s="7" t="s">
        <v>1921</v>
      </c>
      <c r="E475" s="7" t="s">
        <v>746</v>
      </c>
      <c r="F475" s="7" t="s">
        <v>1915</v>
      </c>
      <c r="G475" s="7" t="s">
        <v>1840</v>
      </c>
      <c r="H475" s="36" t="s">
        <v>1916</v>
      </c>
      <c r="I475" s="36" t="s">
        <v>1826</v>
      </c>
      <c r="J475" s="36" t="s">
        <v>2432</v>
      </c>
      <c r="K475" s="46"/>
      <c r="L475" s="46" t="s">
        <v>242</v>
      </c>
      <c r="M475" s="46"/>
      <c r="N475" s="46" t="s">
        <v>1824</v>
      </c>
      <c r="O475" s="45"/>
      <c r="P475" s="45" t="s">
        <v>665</v>
      </c>
      <c r="Q475" s="45"/>
    </row>
    <row r="476" spans="1:17" x14ac:dyDescent="0.3">
      <c r="A476" s="7" t="s">
        <v>1912</v>
      </c>
      <c r="B476" s="7">
        <v>581469</v>
      </c>
      <c r="C476" s="7" t="s">
        <v>1932</v>
      </c>
      <c r="D476" s="7" t="s">
        <v>1914</v>
      </c>
      <c r="E476" s="7" t="s">
        <v>746</v>
      </c>
      <c r="F476" s="7" t="s">
        <v>1915</v>
      </c>
      <c r="G476" s="7" t="s">
        <v>1835</v>
      </c>
      <c r="H476" s="36" t="s">
        <v>1916</v>
      </c>
      <c r="I476" s="36" t="s">
        <v>1826</v>
      </c>
      <c r="J476" s="36" t="s">
        <v>2131</v>
      </c>
      <c r="K476" s="46"/>
      <c r="L476" s="46" t="s">
        <v>242</v>
      </c>
      <c r="M476" s="46"/>
      <c r="N476" s="46" t="s">
        <v>1824</v>
      </c>
      <c r="O476" s="45"/>
      <c r="P476" s="45" t="s">
        <v>665</v>
      </c>
      <c r="Q476" s="45"/>
    </row>
    <row r="477" spans="1:17" x14ac:dyDescent="0.3">
      <c r="A477" s="7" t="s">
        <v>1912</v>
      </c>
      <c r="B477" s="38">
        <v>577721</v>
      </c>
      <c r="C477" s="38" t="s">
        <v>2018</v>
      </c>
      <c r="D477" s="38" t="s">
        <v>1921</v>
      </c>
      <c r="E477" s="38" t="s">
        <v>746</v>
      </c>
      <c r="F477" s="38" t="s">
        <v>1915</v>
      </c>
      <c r="G477" s="39" t="s">
        <v>1013</v>
      </c>
      <c r="H477" s="36" t="s">
        <v>1916</v>
      </c>
      <c r="I477" s="36" t="s">
        <v>1826</v>
      </c>
      <c r="J477" s="36" t="s">
        <v>2132</v>
      </c>
      <c r="K477" s="46"/>
      <c r="L477" s="46" t="s">
        <v>550</v>
      </c>
      <c r="M477" s="46"/>
      <c r="N477" s="46" t="s">
        <v>1824</v>
      </c>
      <c r="O477" s="45"/>
      <c r="P477" s="45" t="s">
        <v>665</v>
      </c>
      <c r="Q477" s="45"/>
    </row>
    <row r="478" spans="1:17" x14ac:dyDescent="0.3">
      <c r="A478" s="7" t="s">
        <v>1912</v>
      </c>
      <c r="B478" s="7">
        <v>585332</v>
      </c>
      <c r="C478" s="7" t="s">
        <v>2134</v>
      </c>
      <c r="D478" s="7" t="s">
        <v>1914</v>
      </c>
      <c r="E478" s="7" t="s">
        <v>682</v>
      </c>
      <c r="F478" s="7" t="s">
        <v>1943</v>
      </c>
      <c r="G478" s="7" t="s">
        <v>2335</v>
      </c>
      <c r="H478" s="36" t="s">
        <v>1916</v>
      </c>
      <c r="I478" s="36" t="s">
        <v>1826</v>
      </c>
      <c r="J478" s="36" t="s">
        <v>2433</v>
      </c>
      <c r="K478" s="46"/>
      <c r="L478" s="46" t="s">
        <v>447</v>
      </c>
      <c r="M478" s="46"/>
      <c r="N478" s="46" t="s">
        <v>1824</v>
      </c>
      <c r="O478" s="45"/>
      <c r="P478" s="45" t="s">
        <v>665</v>
      </c>
      <c r="Q478" s="45"/>
    </row>
    <row r="479" spans="1:17" x14ac:dyDescent="0.3">
      <c r="A479" s="7" t="s">
        <v>1912</v>
      </c>
      <c r="B479" s="7">
        <v>586491</v>
      </c>
      <c r="C479" s="7" t="s">
        <v>2136</v>
      </c>
      <c r="D479" s="7" t="s">
        <v>1950</v>
      </c>
      <c r="E479" s="7" t="s">
        <v>746</v>
      </c>
      <c r="F479" s="7" t="s">
        <v>1915</v>
      </c>
      <c r="G479" s="7" t="s">
        <v>2124</v>
      </c>
      <c r="H479" s="36"/>
      <c r="I479" s="36" t="s">
        <v>2125</v>
      </c>
      <c r="J479" s="36"/>
      <c r="K479" s="46"/>
      <c r="L479" s="46" t="s">
        <v>123</v>
      </c>
      <c r="M479" s="46"/>
      <c r="N479" s="46" t="s">
        <v>1822</v>
      </c>
      <c r="O479" s="45"/>
      <c r="P479" s="45" t="s">
        <v>665</v>
      </c>
      <c r="Q479" s="45"/>
    </row>
    <row r="480" spans="1:17" x14ac:dyDescent="0.3">
      <c r="A480" s="7" t="s">
        <v>1912</v>
      </c>
      <c r="B480" s="7">
        <v>588045</v>
      </c>
      <c r="C480" s="7" t="s">
        <v>2137</v>
      </c>
      <c r="D480" s="7" t="s">
        <v>1950</v>
      </c>
      <c r="E480" s="7" t="s">
        <v>746</v>
      </c>
      <c r="F480" s="7" t="s">
        <v>1915</v>
      </c>
      <c r="G480" s="7" t="s">
        <v>2124</v>
      </c>
      <c r="H480" s="36"/>
      <c r="I480" s="36" t="s">
        <v>2125</v>
      </c>
      <c r="J480" s="36"/>
      <c r="K480" s="46"/>
      <c r="L480" s="46" t="s">
        <v>123</v>
      </c>
      <c r="M480" s="46"/>
      <c r="N480" s="46" t="s">
        <v>1822</v>
      </c>
      <c r="O480" s="45"/>
      <c r="P480" s="45" t="s">
        <v>665</v>
      </c>
      <c r="Q480" s="45"/>
    </row>
    <row r="481" spans="1:17" x14ac:dyDescent="0.3">
      <c r="A481" s="7" t="s">
        <v>1912</v>
      </c>
      <c r="B481" s="7">
        <v>582885</v>
      </c>
      <c r="C481" s="7" t="s">
        <v>2434</v>
      </c>
      <c r="D481" s="7" t="s">
        <v>1950</v>
      </c>
      <c r="E481" s="7" t="s">
        <v>746</v>
      </c>
      <c r="F481" s="7" t="s">
        <v>1915</v>
      </c>
      <c r="G481" s="7" t="s">
        <v>2406</v>
      </c>
      <c r="H481" s="36"/>
      <c r="I481" s="36" t="s">
        <v>1825</v>
      </c>
      <c r="J481" s="36" t="s">
        <v>2435</v>
      </c>
      <c r="K481" s="46"/>
      <c r="L481" s="46" t="s">
        <v>132</v>
      </c>
      <c r="M481" s="46"/>
      <c r="N481" s="46" t="s">
        <v>1822</v>
      </c>
      <c r="O481" s="45"/>
      <c r="P481" s="45" t="s">
        <v>665</v>
      </c>
      <c r="Q481" s="45"/>
    </row>
    <row r="482" spans="1:17" x14ac:dyDescent="0.3">
      <c r="A482" s="7" t="s">
        <v>755</v>
      </c>
      <c r="B482" s="7">
        <v>585909</v>
      </c>
      <c r="C482" s="7" t="s">
        <v>1967</v>
      </c>
      <c r="D482" s="7" t="s">
        <v>1921</v>
      </c>
      <c r="E482" s="7" t="s">
        <v>746</v>
      </c>
      <c r="F482" s="7" t="s">
        <v>1915</v>
      </c>
      <c r="G482" s="7" t="s">
        <v>2124</v>
      </c>
      <c r="H482" s="36"/>
      <c r="I482" s="36" t="s">
        <v>2125</v>
      </c>
      <c r="J482" s="36"/>
      <c r="K482" s="46"/>
      <c r="L482" s="46" t="s">
        <v>293</v>
      </c>
      <c r="M482" s="46"/>
      <c r="N482" s="46" t="s">
        <v>1822</v>
      </c>
      <c r="O482" s="45"/>
      <c r="P482" s="45" t="s">
        <v>665</v>
      </c>
      <c r="Q482" s="45"/>
    </row>
    <row r="483" spans="1:17" x14ac:dyDescent="0.3">
      <c r="A483" s="7" t="s">
        <v>1658</v>
      </c>
      <c r="B483" s="7">
        <v>569774</v>
      </c>
      <c r="C483" s="7" t="s">
        <v>2436</v>
      </c>
      <c r="D483" s="7" t="s">
        <v>1914</v>
      </c>
      <c r="E483" s="7" t="s">
        <v>746</v>
      </c>
      <c r="F483" s="7" t="s">
        <v>1915</v>
      </c>
      <c r="G483" s="7" t="s">
        <v>1837</v>
      </c>
      <c r="H483" s="36" t="s">
        <v>1916</v>
      </c>
      <c r="I483" s="36" t="s">
        <v>1825</v>
      </c>
      <c r="J483" s="36">
        <v>46272</v>
      </c>
      <c r="K483" s="46"/>
      <c r="L483" s="46" t="s">
        <v>470</v>
      </c>
      <c r="M483" s="46"/>
      <c r="N483" s="46" t="s">
        <v>1822</v>
      </c>
      <c r="O483" s="45"/>
      <c r="P483" s="45" t="s">
        <v>665</v>
      </c>
      <c r="Q483" s="45"/>
    </row>
    <row r="484" spans="1:17" x14ac:dyDescent="0.3">
      <c r="A484" s="7" t="s">
        <v>1658</v>
      </c>
      <c r="B484" s="7">
        <v>569778</v>
      </c>
      <c r="C484" s="7" t="s">
        <v>2138</v>
      </c>
      <c r="D484" s="7" t="s">
        <v>1921</v>
      </c>
      <c r="E484" s="7" t="s">
        <v>746</v>
      </c>
      <c r="F484" s="7" t="s">
        <v>1915</v>
      </c>
      <c r="G484" s="7" t="s">
        <v>2139</v>
      </c>
      <c r="H484" s="36" t="s">
        <v>1926</v>
      </c>
      <c r="I484" s="36" t="s">
        <v>1826</v>
      </c>
      <c r="J484" s="36">
        <v>46125</v>
      </c>
      <c r="K484" s="46"/>
      <c r="L484" s="46" t="s">
        <v>89</v>
      </c>
      <c r="M484" s="46"/>
      <c r="N484" s="46" t="s">
        <v>1824</v>
      </c>
      <c r="O484" s="45"/>
      <c r="P484" s="45" t="s">
        <v>665</v>
      </c>
      <c r="Q484" s="45"/>
    </row>
    <row r="485" spans="1:17" x14ac:dyDescent="0.3">
      <c r="A485" s="7" t="s">
        <v>1658</v>
      </c>
      <c r="B485" s="7">
        <v>569780</v>
      </c>
      <c r="C485" s="7" t="s">
        <v>2436</v>
      </c>
      <c r="D485" s="7" t="s">
        <v>1914</v>
      </c>
      <c r="E485" s="7" t="s">
        <v>746</v>
      </c>
      <c r="F485" s="7" t="s">
        <v>1915</v>
      </c>
      <c r="G485" s="7" t="s">
        <v>2124</v>
      </c>
      <c r="H485" s="36"/>
      <c r="I485" s="36" t="s">
        <v>2135</v>
      </c>
      <c r="J485" s="36"/>
      <c r="K485" s="46"/>
      <c r="L485" s="46" t="s">
        <v>89</v>
      </c>
      <c r="M485" s="46"/>
      <c r="N485" s="46" t="s">
        <v>1822</v>
      </c>
      <c r="O485" s="45"/>
      <c r="P485" s="45" t="s">
        <v>665</v>
      </c>
      <c r="Q485" s="45"/>
    </row>
    <row r="486" spans="1:17" x14ac:dyDescent="0.3">
      <c r="A486" s="7" t="s">
        <v>1658</v>
      </c>
      <c r="B486" s="7">
        <v>573624</v>
      </c>
      <c r="C486" s="7" t="s">
        <v>2055</v>
      </c>
      <c r="D486" s="7" t="s">
        <v>1950</v>
      </c>
      <c r="E486" s="7" t="s">
        <v>746</v>
      </c>
      <c r="F486" s="7" t="s">
        <v>1915</v>
      </c>
      <c r="G486" s="7" t="s">
        <v>427</v>
      </c>
      <c r="H486" s="36" t="s">
        <v>1926</v>
      </c>
      <c r="I486" s="36" t="s">
        <v>1826</v>
      </c>
      <c r="J486" s="36">
        <v>45505</v>
      </c>
      <c r="K486" s="46"/>
      <c r="L486" s="46" t="s">
        <v>244</v>
      </c>
      <c r="M486" s="46"/>
      <c r="N486" s="46" t="s">
        <v>1824</v>
      </c>
      <c r="O486" s="45"/>
      <c r="P486" s="45" t="s">
        <v>665</v>
      </c>
      <c r="Q486" s="45"/>
    </row>
    <row r="487" spans="1:17" x14ac:dyDescent="0.3">
      <c r="A487" s="7" t="s">
        <v>1658</v>
      </c>
      <c r="B487" s="7">
        <v>575851</v>
      </c>
      <c r="C487" s="7" t="s">
        <v>1966</v>
      </c>
      <c r="D487" s="7" t="s">
        <v>1921</v>
      </c>
      <c r="E487" s="7" t="s">
        <v>746</v>
      </c>
      <c r="F487" s="7" t="s">
        <v>1915</v>
      </c>
      <c r="G487" s="7" t="s">
        <v>73</v>
      </c>
      <c r="H487" s="36" t="s">
        <v>1916</v>
      </c>
      <c r="I487" s="36" t="s">
        <v>1826</v>
      </c>
      <c r="J487" s="36">
        <v>46113</v>
      </c>
      <c r="K487" s="46"/>
      <c r="L487" s="46" t="s">
        <v>470</v>
      </c>
      <c r="M487" s="46"/>
      <c r="N487" s="46" t="s">
        <v>1824</v>
      </c>
      <c r="O487" s="45"/>
      <c r="P487" s="45" t="s">
        <v>665</v>
      </c>
      <c r="Q487" s="45"/>
    </row>
    <row r="488" spans="1:17" x14ac:dyDescent="0.3">
      <c r="A488" s="7" t="s">
        <v>1658</v>
      </c>
      <c r="B488" s="7">
        <v>569781</v>
      </c>
      <c r="C488" s="7" t="s">
        <v>2138</v>
      </c>
      <c r="D488" s="7" t="s">
        <v>1921</v>
      </c>
      <c r="E488" s="7" t="s">
        <v>746</v>
      </c>
      <c r="F488" s="7" t="s">
        <v>1915</v>
      </c>
      <c r="G488" s="7" t="s">
        <v>1831</v>
      </c>
      <c r="H488" s="36" t="s">
        <v>1926</v>
      </c>
      <c r="I488" s="36" t="s">
        <v>1826</v>
      </c>
      <c r="J488" s="36">
        <v>46174</v>
      </c>
      <c r="K488" s="46"/>
      <c r="L488" s="46" t="s">
        <v>89</v>
      </c>
      <c r="M488" s="46"/>
      <c r="N488" s="46" t="s">
        <v>1824</v>
      </c>
      <c r="O488" s="45"/>
      <c r="P488" s="45" t="s">
        <v>665</v>
      </c>
      <c r="Q488" s="45"/>
    </row>
    <row r="489" spans="1:17" x14ac:dyDescent="0.3">
      <c r="A489" s="7" t="s">
        <v>1658</v>
      </c>
      <c r="B489" s="7">
        <v>577800</v>
      </c>
      <c r="C489" s="7" t="s">
        <v>1932</v>
      </c>
      <c r="D489" s="7" t="s">
        <v>1914</v>
      </c>
      <c r="E489" s="7" t="s">
        <v>746</v>
      </c>
      <c r="F489" s="7" t="s">
        <v>1915</v>
      </c>
      <c r="G489" s="7" t="s">
        <v>2124</v>
      </c>
      <c r="H489" s="36"/>
      <c r="I489" s="36" t="s">
        <v>2135</v>
      </c>
      <c r="J489" s="36"/>
      <c r="K489" s="46"/>
      <c r="L489" s="46" t="s">
        <v>470</v>
      </c>
      <c r="M489" s="46"/>
      <c r="N489" s="46" t="s">
        <v>1822</v>
      </c>
      <c r="O489" s="45"/>
      <c r="P489" s="45" t="s">
        <v>665</v>
      </c>
      <c r="Q489" s="45"/>
    </row>
    <row r="490" spans="1:17" x14ac:dyDescent="0.3">
      <c r="A490" s="7" t="s">
        <v>1658</v>
      </c>
      <c r="B490" s="7">
        <v>569169</v>
      </c>
      <c r="C490" s="7" t="s">
        <v>2140</v>
      </c>
      <c r="D490" s="7" t="s">
        <v>1921</v>
      </c>
      <c r="E490" s="7" t="s">
        <v>746</v>
      </c>
      <c r="F490" s="7" t="s">
        <v>1915</v>
      </c>
      <c r="G490" s="7" t="s">
        <v>68</v>
      </c>
      <c r="H490" s="36" t="s">
        <v>1916</v>
      </c>
      <c r="I490" s="36" t="s">
        <v>1826</v>
      </c>
      <c r="J490" s="36">
        <v>45704</v>
      </c>
      <c r="K490" s="46"/>
      <c r="L490" s="46" t="s">
        <v>516</v>
      </c>
      <c r="M490" s="46"/>
      <c r="N490" s="46" t="s">
        <v>1824</v>
      </c>
      <c r="O490" s="45"/>
      <c r="P490" s="45" t="s">
        <v>665</v>
      </c>
      <c r="Q490" s="45"/>
    </row>
    <row r="491" spans="1:17" x14ac:dyDescent="0.3">
      <c r="A491" s="7" t="s">
        <v>1658</v>
      </c>
      <c r="B491" s="7">
        <v>569356</v>
      </c>
      <c r="C491" s="7" t="s">
        <v>2141</v>
      </c>
      <c r="D491" s="7" t="s">
        <v>1921</v>
      </c>
      <c r="E491" s="7" t="s">
        <v>746</v>
      </c>
      <c r="F491" s="7" t="s">
        <v>1915</v>
      </c>
      <c r="G491" s="7" t="s">
        <v>1466</v>
      </c>
      <c r="H491" s="36" t="s">
        <v>1916</v>
      </c>
      <c r="I491" s="36" t="s">
        <v>1826</v>
      </c>
      <c r="J491" s="36">
        <v>46127</v>
      </c>
      <c r="K491" s="46"/>
      <c r="L491" s="46" t="s">
        <v>449</v>
      </c>
      <c r="M491" s="46"/>
      <c r="N491" s="46" t="s">
        <v>1824</v>
      </c>
      <c r="O491" s="45"/>
      <c r="P491" s="45" t="s">
        <v>665</v>
      </c>
      <c r="Q491" s="45"/>
    </row>
    <row r="492" spans="1:17" x14ac:dyDescent="0.3">
      <c r="A492" s="7" t="s">
        <v>1658</v>
      </c>
      <c r="B492" s="7">
        <v>580690</v>
      </c>
      <c r="C492" s="7" t="s">
        <v>2142</v>
      </c>
      <c r="D492" s="7" t="s">
        <v>1921</v>
      </c>
      <c r="E492" s="7" t="s">
        <v>746</v>
      </c>
      <c r="F492" s="7" t="s">
        <v>1915</v>
      </c>
      <c r="G492" s="7" t="s">
        <v>1661</v>
      </c>
      <c r="H492" s="36" t="s">
        <v>1926</v>
      </c>
      <c r="I492" s="36" t="s">
        <v>1826</v>
      </c>
      <c r="J492" s="36">
        <v>46225</v>
      </c>
      <c r="K492" s="46"/>
      <c r="L492" s="46" t="s">
        <v>244</v>
      </c>
      <c r="M492" s="46"/>
      <c r="N492" s="46" t="s">
        <v>1824</v>
      </c>
      <c r="O492" s="45"/>
      <c r="P492" s="45" t="s">
        <v>665</v>
      </c>
      <c r="Q492" s="45"/>
    </row>
    <row r="493" spans="1:17" x14ac:dyDescent="0.3">
      <c r="A493" s="7" t="s">
        <v>1658</v>
      </c>
      <c r="B493" s="7">
        <v>580069</v>
      </c>
      <c r="C493" s="7" t="s">
        <v>2065</v>
      </c>
      <c r="D493" s="7" t="s">
        <v>1921</v>
      </c>
      <c r="E493" s="7" t="s">
        <v>746</v>
      </c>
      <c r="F493" s="7" t="s">
        <v>1915</v>
      </c>
      <c r="G493" s="7" t="s">
        <v>1346</v>
      </c>
      <c r="H493" s="36" t="s">
        <v>1916</v>
      </c>
      <c r="I493" s="36" t="s">
        <v>1826</v>
      </c>
      <c r="J493" s="36">
        <v>46195</v>
      </c>
      <c r="K493" s="46"/>
      <c r="L493" s="46" t="s">
        <v>639</v>
      </c>
      <c r="M493" s="46"/>
      <c r="N493" s="46" t="s">
        <v>1824</v>
      </c>
      <c r="O493" s="45"/>
      <c r="P493" s="45" t="s">
        <v>665</v>
      </c>
      <c r="Q493" s="45"/>
    </row>
    <row r="494" spans="1:17" x14ac:dyDescent="0.3">
      <c r="A494" s="7" t="s">
        <v>1658</v>
      </c>
      <c r="B494" s="7">
        <v>577554</v>
      </c>
      <c r="C494" s="7" t="s">
        <v>2126</v>
      </c>
      <c r="D494" s="7" t="s">
        <v>1921</v>
      </c>
      <c r="E494" s="7" t="s">
        <v>746</v>
      </c>
      <c r="F494" s="7" t="s">
        <v>1915</v>
      </c>
      <c r="G494" s="7" t="s">
        <v>1833</v>
      </c>
      <c r="H494" s="36"/>
      <c r="I494" s="36" t="s">
        <v>2168</v>
      </c>
      <c r="J494" s="36">
        <v>46300</v>
      </c>
      <c r="K494" s="46"/>
      <c r="L494" s="46" t="s">
        <v>48</v>
      </c>
      <c r="M494" s="46"/>
      <c r="N494" s="46" t="s">
        <v>1822</v>
      </c>
      <c r="O494" s="45"/>
      <c r="P494" s="45" t="s">
        <v>665</v>
      </c>
      <c r="Q494" s="45"/>
    </row>
    <row r="495" spans="1:17" x14ac:dyDescent="0.3">
      <c r="A495" s="7" t="s">
        <v>1658</v>
      </c>
      <c r="B495" s="7">
        <v>569162</v>
      </c>
      <c r="C495" s="7" t="s">
        <v>2140</v>
      </c>
      <c r="D495" s="7" t="s">
        <v>1921</v>
      </c>
      <c r="E495" s="7" t="s">
        <v>746</v>
      </c>
      <c r="F495" s="7" t="s">
        <v>1915</v>
      </c>
      <c r="G495" s="7" t="s">
        <v>608</v>
      </c>
      <c r="H495" s="36" t="s">
        <v>1916</v>
      </c>
      <c r="I495" s="36" t="s">
        <v>1826</v>
      </c>
      <c r="J495" s="36">
        <v>44671</v>
      </c>
      <c r="K495" s="46"/>
      <c r="L495" s="46" t="s">
        <v>516</v>
      </c>
      <c r="M495" s="46"/>
      <c r="N495" s="46" t="s">
        <v>1824</v>
      </c>
      <c r="O495" s="45"/>
      <c r="P495" s="45" t="s">
        <v>665</v>
      </c>
      <c r="Q495" s="45"/>
    </row>
    <row r="496" spans="1:17" x14ac:dyDescent="0.3">
      <c r="A496" s="7" t="s">
        <v>1658</v>
      </c>
      <c r="B496" s="7">
        <v>572289</v>
      </c>
      <c r="C496" s="7" t="s">
        <v>2140</v>
      </c>
      <c r="D496" s="7" t="s">
        <v>1921</v>
      </c>
      <c r="E496" s="7" t="s">
        <v>746</v>
      </c>
      <c r="F496" s="7" t="s">
        <v>1915</v>
      </c>
      <c r="G496" s="7" t="s">
        <v>1589</v>
      </c>
      <c r="H496" s="36" t="s">
        <v>1916</v>
      </c>
      <c r="I496" s="36" t="s">
        <v>1826</v>
      </c>
      <c r="J496" s="36">
        <v>46097</v>
      </c>
      <c r="K496" s="46"/>
      <c r="L496" s="46" t="s">
        <v>516</v>
      </c>
      <c r="M496" s="46"/>
      <c r="N496" s="46" t="s">
        <v>1824</v>
      </c>
      <c r="O496" s="45"/>
      <c r="P496" s="45" t="s">
        <v>665</v>
      </c>
      <c r="Q496" s="45"/>
    </row>
    <row r="497" spans="1:17" x14ac:dyDescent="0.3">
      <c r="A497" s="7" t="s">
        <v>1658</v>
      </c>
      <c r="B497" s="7">
        <v>572955</v>
      </c>
      <c r="C497" s="7" t="s">
        <v>2140</v>
      </c>
      <c r="D497" s="7" t="s">
        <v>1921</v>
      </c>
      <c r="E497" s="7" t="s">
        <v>746</v>
      </c>
      <c r="F497" s="7" t="s">
        <v>1915</v>
      </c>
      <c r="G497" s="7" t="s">
        <v>1651</v>
      </c>
      <c r="H497" s="36" t="s">
        <v>1926</v>
      </c>
      <c r="I497" s="36" t="s">
        <v>1826</v>
      </c>
      <c r="J497" s="36">
        <v>46209</v>
      </c>
      <c r="K497" s="46"/>
      <c r="L497" s="46" t="s">
        <v>516</v>
      </c>
      <c r="M497" s="46"/>
      <c r="N497" s="46" t="s">
        <v>1824</v>
      </c>
      <c r="O497" s="45"/>
      <c r="P497" s="45" t="s">
        <v>665</v>
      </c>
      <c r="Q497" s="45"/>
    </row>
    <row r="498" spans="1:17" x14ac:dyDescent="0.3">
      <c r="A498" s="7" t="s">
        <v>1658</v>
      </c>
      <c r="B498" s="7">
        <v>578622</v>
      </c>
      <c r="C498" s="7" t="s">
        <v>2140</v>
      </c>
      <c r="D498" s="7" t="s">
        <v>1921</v>
      </c>
      <c r="E498" s="7" t="s">
        <v>746</v>
      </c>
      <c r="F498" s="7" t="s">
        <v>1915</v>
      </c>
      <c r="G498" s="7" t="s">
        <v>2407</v>
      </c>
      <c r="H498" s="36"/>
      <c r="I498" s="36" t="s">
        <v>1825</v>
      </c>
      <c r="J498" s="36">
        <v>46300</v>
      </c>
      <c r="K498" s="46"/>
      <c r="L498" s="46" t="s">
        <v>516</v>
      </c>
      <c r="M498" s="46"/>
      <c r="N498" s="46" t="s">
        <v>1822</v>
      </c>
      <c r="O498" s="45"/>
      <c r="P498" s="45" t="s">
        <v>665</v>
      </c>
      <c r="Q498" s="45"/>
    </row>
    <row r="499" spans="1:17" x14ac:dyDescent="0.3">
      <c r="A499" s="7" t="s">
        <v>1658</v>
      </c>
      <c r="B499" s="7">
        <v>583698</v>
      </c>
      <c r="C499" s="7" t="s">
        <v>1932</v>
      </c>
      <c r="D499" s="7" t="s">
        <v>1914</v>
      </c>
      <c r="E499" s="7" t="s">
        <v>746</v>
      </c>
      <c r="F499" s="7" t="s">
        <v>1915</v>
      </c>
      <c r="G499" s="7" t="s">
        <v>2124</v>
      </c>
      <c r="H499" s="36"/>
      <c r="I499" s="36" t="s">
        <v>2135</v>
      </c>
      <c r="J499" s="36"/>
      <c r="K499" s="46"/>
      <c r="L499" s="46" t="s">
        <v>470</v>
      </c>
      <c r="M499" s="46"/>
      <c r="N499" s="46" t="s">
        <v>1822</v>
      </c>
      <c r="O499" s="45"/>
      <c r="P499" s="45" t="s">
        <v>665</v>
      </c>
      <c r="Q499" s="45"/>
    </row>
    <row r="500" spans="1:17" x14ac:dyDescent="0.3">
      <c r="A500" s="7" t="s">
        <v>1658</v>
      </c>
      <c r="B500" s="7">
        <v>575842</v>
      </c>
      <c r="C500" s="7" t="s">
        <v>2031</v>
      </c>
      <c r="D500" s="7" t="s">
        <v>1921</v>
      </c>
      <c r="E500" s="7" t="s">
        <v>746</v>
      </c>
      <c r="F500" s="7" t="s">
        <v>1915</v>
      </c>
      <c r="G500" s="7" t="s">
        <v>1666</v>
      </c>
      <c r="H500" s="36" t="s">
        <v>1926</v>
      </c>
      <c r="I500" s="36" t="s">
        <v>1826</v>
      </c>
      <c r="J500" s="36">
        <v>46209</v>
      </c>
      <c r="K500" s="46"/>
      <c r="L500" s="46" t="s">
        <v>470</v>
      </c>
      <c r="M500" s="46"/>
      <c r="N500" s="46" t="s">
        <v>1824</v>
      </c>
      <c r="O500" s="45"/>
      <c r="P500" s="45" t="s">
        <v>665</v>
      </c>
      <c r="Q500" s="45"/>
    </row>
    <row r="501" spans="1:17" x14ac:dyDescent="0.3">
      <c r="A501" s="7" t="s">
        <v>1658</v>
      </c>
      <c r="B501" s="7">
        <v>563523</v>
      </c>
      <c r="C501" s="7" t="s">
        <v>1932</v>
      </c>
      <c r="D501" s="7" t="s">
        <v>1921</v>
      </c>
      <c r="E501" s="7" t="s">
        <v>746</v>
      </c>
      <c r="F501" s="7" t="s">
        <v>1915</v>
      </c>
      <c r="G501" s="7" t="s">
        <v>1845</v>
      </c>
      <c r="H501" s="36" t="s">
        <v>1916</v>
      </c>
      <c r="I501" s="36" t="s">
        <v>1826</v>
      </c>
      <c r="J501" s="36">
        <v>46237</v>
      </c>
      <c r="K501" s="46"/>
      <c r="L501" s="46" t="s">
        <v>324</v>
      </c>
      <c r="M501" s="46"/>
      <c r="N501" s="46" t="s">
        <v>1824</v>
      </c>
      <c r="O501" s="45"/>
      <c r="P501" s="45" t="s">
        <v>665</v>
      </c>
      <c r="Q501" s="45"/>
    </row>
    <row r="502" spans="1:17" x14ac:dyDescent="0.3">
      <c r="A502" s="7" t="s">
        <v>1658</v>
      </c>
      <c r="B502" s="7">
        <v>582169</v>
      </c>
      <c r="C502" s="7" t="s">
        <v>1932</v>
      </c>
      <c r="D502" s="7" t="s">
        <v>1921</v>
      </c>
      <c r="E502" s="7" t="s">
        <v>746</v>
      </c>
      <c r="F502" s="7" t="s">
        <v>1915</v>
      </c>
      <c r="G502" s="7" t="s">
        <v>1659</v>
      </c>
      <c r="H502" s="36" t="s">
        <v>1916</v>
      </c>
      <c r="I502" s="36" t="s">
        <v>1826</v>
      </c>
      <c r="J502" s="36">
        <v>46193</v>
      </c>
      <c r="K502" s="46"/>
      <c r="L502" s="46" t="s">
        <v>324</v>
      </c>
      <c r="M502" s="46"/>
      <c r="N502" s="46" t="s">
        <v>1824</v>
      </c>
      <c r="O502" s="45"/>
      <c r="P502" s="45" t="s">
        <v>665</v>
      </c>
      <c r="Q502" s="45"/>
    </row>
    <row r="503" spans="1:17" x14ac:dyDescent="0.3">
      <c r="A503" s="7" t="s">
        <v>1658</v>
      </c>
      <c r="B503" s="7">
        <v>578685</v>
      </c>
      <c r="C503" s="7" t="s">
        <v>2143</v>
      </c>
      <c r="D503" s="7" t="s">
        <v>1921</v>
      </c>
      <c r="E503" s="7" t="s">
        <v>746</v>
      </c>
      <c r="F503" s="7" t="s">
        <v>1915</v>
      </c>
      <c r="G503" s="7" t="s">
        <v>1563</v>
      </c>
      <c r="H503" s="36" t="s">
        <v>1916</v>
      </c>
      <c r="I503" s="36" t="s">
        <v>1826</v>
      </c>
      <c r="J503" s="36">
        <v>46146</v>
      </c>
      <c r="K503" s="46"/>
      <c r="L503" s="46" t="s">
        <v>567</v>
      </c>
      <c r="M503" s="46"/>
      <c r="N503" s="46" t="s">
        <v>1824</v>
      </c>
      <c r="O503" s="45"/>
      <c r="P503" s="45" t="s">
        <v>665</v>
      </c>
      <c r="Q503" s="45"/>
    </row>
    <row r="504" spans="1:17" x14ac:dyDescent="0.3">
      <c r="A504" s="7" t="s">
        <v>1658</v>
      </c>
      <c r="B504" s="7">
        <v>569790</v>
      </c>
      <c r="C504" s="7" t="s">
        <v>2144</v>
      </c>
      <c r="D504" s="7" t="s">
        <v>1921</v>
      </c>
      <c r="E504" s="7" t="s">
        <v>746</v>
      </c>
      <c r="F504" s="7" t="s">
        <v>1915</v>
      </c>
      <c r="G504" s="7" t="s">
        <v>1665</v>
      </c>
      <c r="H504" s="36" t="s">
        <v>1916</v>
      </c>
      <c r="I504" s="36" t="s">
        <v>1826</v>
      </c>
      <c r="J504" s="36">
        <v>46216</v>
      </c>
      <c r="K504" s="46"/>
      <c r="L504" s="46" t="s">
        <v>470</v>
      </c>
      <c r="M504" s="46"/>
      <c r="N504" s="46" t="s">
        <v>1824</v>
      </c>
      <c r="O504" s="45"/>
      <c r="P504" s="45" t="s">
        <v>665</v>
      </c>
      <c r="Q504" s="45"/>
    </row>
    <row r="505" spans="1:17" x14ac:dyDescent="0.3">
      <c r="A505" s="7" t="s">
        <v>1658</v>
      </c>
      <c r="B505" s="7">
        <v>584194</v>
      </c>
      <c r="C505" s="7" t="s">
        <v>2145</v>
      </c>
      <c r="D505" s="7" t="s">
        <v>1921</v>
      </c>
      <c r="E505" s="7" t="s">
        <v>746</v>
      </c>
      <c r="F505" s="7" t="s">
        <v>1915</v>
      </c>
      <c r="G505" s="7" t="s">
        <v>2124</v>
      </c>
      <c r="H505" s="36"/>
      <c r="I505" s="36" t="s">
        <v>2135</v>
      </c>
      <c r="J505" s="36"/>
      <c r="K505" s="46"/>
      <c r="L505" s="46" t="s">
        <v>375</v>
      </c>
      <c r="M505" s="46"/>
      <c r="N505" s="46" t="s">
        <v>1822</v>
      </c>
      <c r="O505" s="45"/>
      <c r="P505" s="45" t="s">
        <v>665</v>
      </c>
      <c r="Q505" s="45"/>
    </row>
    <row r="506" spans="1:17" x14ac:dyDescent="0.3">
      <c r="A506" s="7" t="s">
        <v>1658</v>
      </c>
      <c r="B506" s="7">
        <v>579765</v>
      </c>
      <c r="C506" s="7" t="s">
        <v>2146</v>
      </c>
      <c r="D506" s="7" t="s">
        <v>1921</v>
      </c>
      <c r="E506" s="7" t="s">
        <v>746</v>
      </c>
      <c r="F506" s="7" t="s">
        <v>1915</v>
      </c>
      <c r="G506" s="7" t="s">
        <v>1839</v>
      </c>
      <c r="H506" s="36"/>
      <c r="I506" s="36" t="s">
        <v>1825</v>
      </c>
      <c r="J506" s="36">
        <v>46300</v>
      </c>
      <c r="K506" s="46"/>
      <c r="L506" s="46" t="s">
        <v>375</v>
      </c>
      <c r="M506" s="46"/>
      <c r="N506" s="46" t="s">
        <v>1822</v>
      </c>
      <c r="O506" s="45"/>
      <c r="P506" s="45" t="s">
        <v>665</v>
      </c>
      <c r="Q506" s="45"/>
    </row>
    <row r="507" spans="1:17" x14ac:dyDescent="0.3">
      <c r="A507" s="7" t="s">
        <v>1658</v>
      </c>
      <c r="B507" s="7">
        <v>584917</v>
      </c>
      <c r="C507" s="7" t="s">
        <v>1966</v>
      </c>
      <c r="D507" s="7" t="s">
        <v>1921</v>
      </c>
      <c r="E507" s="7" t="s">
        <v>746</v>
      </c>
      <c r="F507" s="7" t="s">
        <v>1915</v>
      </c>
      <c r="G507" s="7" t="s">
        <v>518</v>
      </c>
      <c r="H507" s="36" t="s">
        <v>1916</v>
      </c>
      <c r="I507" s="36" t="s">
        <v>1826</v>
      </c>
      <c r="J507" s="36">
        <v>46204</v>
      </c>
      <c r="K507" s="46"/>
      <c r="L507" s="46" t="s">
        <v>244</v>
      </c>
      <c r="M507" s="46"/>
      <c r="N507" s="46" t="s">
        <v>1824</v>
      </c>
      <c r="O507" s="45"/>
      <c r="P507" s="45" t="s">
        <v>665</v>
      </c>
      <c r="Q507" s="45"/>
    </row>
    <row r="508" spans="1:17" x14ac:dyDescent="0.3">
      <c r="A508" s="7" t="s">
        <v>1658</v>
      </c>
      <c r="B508" s="7">
        <v>569794</v>
      </c>
      <c r="C508" s="7" t="s">
        <v>2144</v>
      </c>
      <c r="D508" s="7" t="s">
        <v>1921</v>
      </c>
      <c r="E508" s="7" t="s">
        <v>746</v>
      </c>
      <c r="F508" s="7" t="s">
        <v>1915</v>
      </c>
      <c r="G508" s="7" t="s">
        <v>1847</v>
      </c>
      <c r="H508" s="36"/>
      <c r="I508" s="36" t="s">
        <v>1825</v>
      </c>
      <c r="J508" s="36">
        <v>46272</v>
      </c>
      <c r="K508" s="46"/>
      <c r="L508" s="46" t="s">
        <v>470</v>
      </c>
      <c r="M508" s="46"/>
      <c r="N508" s="46" t="s">
        <v>1822</v>
      </c>
      <c r="O508" s="45"/>
      <c r="P508" s="45" t="s">
        <v>665</v>
      </c>
      <c r="Q508" s="45"/>
    </row>
    <row r="509" spans="1:17" x14ac:dyDescent="0.3">
      <c r="A509" s="7" t="s">
        <v>1658</v>
      </c>
      <c r="B509" s="7">
        <v>586229</v>
      </c>
      <c r="C509" s="7" t="s">
        <v>2147</v>
      </c>
      <c r="D509" s="7" t="s">
        <v>1923</v>
      </c>
      <c r="E509" s="7" t="s">
        <v>746</v>
      </c>
      <c r="F509" s="7" t="s">
        <v>1915</v>
      </c>
      <c r="G509" s="7" t="s">
        <v>2124</v>
      </c>
      <c r="H509" s="36"/>
      <c r="I509" s="36" t="s">
        <v>2135</v>
      </c>
      <c r="J509" s="36"/>
      <c r="K509" s="46"/>
      <c r="L509" s="46" t="s">
        <v>470</v>
      </c>
      <c r="M509" s="46"/>
      <c r="N509" s="46" t="s">
        <v>1822</v>
      </c>
      <c r="O509" s="45"/>
      <c r="P509" s="45" t="s">
        <v>665</v>
      </c>
      <c r="Q509" s="45"/>
    </row>
    <row r="510" spans="1:17" x14ac:dyDescent="0.3">
      <c r="A510" s="7" t="s">
        <v>755</v>
      </c>
      <c r="B510" s="7">
        <v>582760</v>
      </c>
      <c r="C510" s="7" t="s">
        <v>2148</v>
      </c>
      <c r="D510" s="7" t="s">
        <v>1921</v>
      </c>
      <c r="E510" s="7" t="s">
        <v>746</v>
      </c>
      <c r="F510" s="7" t="s">
        <v>1915</v>
      </c>
      <c r="G510" s="7" t="s">
        <v>1210</v>
      </c>
      <c r="H510" s="36" t="s">
        <v>1926</v>
      </c>
      <c r="I510" s="36" t="s">
        <v>1826</v>
      </c>
      <c r="J510" s="36">
        <v>46188</v>
      </c>
      <c r="K510" s="46"/>
      <c r="L510" s="46" t="s">
        <v>1211</v>
      </c>
      <c r="M510" s="46"/>
      <c r="N510" s="46" t="s">
        <v>1824</v>
      </c>
      <c r="O510" s="45"/>
      <c r="P510" s="45" t="s">
        <v>665</v>
      </c>
      <c r="Q510" s="45"/>
    </row>
    <row r="511" spans="1:17" x14ac:dyDescent="0.3">
      <c r="A511" s="7" t="s">
        <v>755</v>
      </c>
      <c r="B511" s="7">
        <v>581963</v>
      </c>
      <c r="C511" s="7" t="s">
        <v>2149</v>
      </c>
      <c r="D511" s="7" t="s">
        <v>1950</v>
      </c>
      <c r="E511" s="7" t="s">
        <v>746</v>
      </c>
      <c r="F511" s="7" t="s">
        <v>1915</v>
      </c>
      <c r="G511" s="7" t="s">
        <v>2124</v>
      </c>
      <c r="H511" s="36"/>
      <c r="I511" s="36" t="s">
        <v>2135</v>
      </c>
      <c r="J511" s="36"/>
      <c r="K511" s="46"/>
      <c r="L511" s="46" t="s">
        <v>293</v>
      </c>
      <c r="M511" s="46"/>
      <c r="N511" s="46" t="s">
        <v>1822</v>
      </c>
      <c r="O511" s="45"/>
      <c r="P511" s="45" t="s">
        <v>665</v>
      </c>
      <c r="Q511" s="45"/>
    </row>
    <row r="512" spans="1:17" x14ac:dyDescent="0.3">
      <c r="A512" s="7" t="s">
        <v>1658</v>
      </c>
      <c r="B512" s="7">
        <v>583865</v>
      </c>
      <c r="C512" s="7" t="s">
        <v>2150</v>
      </c>
      <c r="D512" s="7" t="s">
        <v>1950</v>
      </c>
      <c r="E512" s="7" t="s">
        <v>746</v>
      </c>
      <c r="F512" s="7" t="s">
        <v>1915</v>
      </c>
      <c r="G512" s="7" t="s">
        <v>1829</v>
      </c>
      <c r="H512" s="36"/>
      <c r="I512" s="36" t="s">
        <v>1825</v>
      </c>
      <c r="J512" s="36">
        <v>46276</v>
      </c>
      <c r="K512" s="46"/>
      <c r="L512" s="46" t="s">
        <v>470</v>
      </c>
      <c r="M512" s="46"/>
      <c r="N512" s="46" t="s">
        <v>1822</v>
      </c>
      <c r="O512" s="45"/>
      <c r="P512" s="45" t="s">
        <v>665</v>
      </c>
      <c r="Q512" s="45"/>
    </row>
    <row r="513" spans="1:17" x14ac:dyDescent="0.3">
      <c r="A513" s="7" t="s">
        <v>1658</v>
      </c>
      <c r="B513" s="7">
        <v>583866</v>
      </c>
      <c r="C513" s="7" t="s">
        <v>2150</v>
      </c>
      <c r="D513" s="7" t="s">
        <v>1950</v>
      </c>
      <c r="E513" s="7" t="s">
        <v>746</v>
      </c>
      <c r="F513" s="7" t="s">
        <v>1915</v>
      </c>
      <c r="G513" s="7" t="s">
        <v>1838</v>
      </c>
      <c r="H513" s="36"/>
      <c r="I513" s="36" t="s">
        <v>1825</v>
      </c>
      <c r="J513" s="36">
        <v>46276</v>
      </c>
      <c r="K513" s="46"/>
      <c r="L513" s="46" t="s">
        <v>470</v>
      </c>
      <c r="M513" s="46"/>
      <c r="N513" s="46" t="s">
        <v>1822</v>
      </c>
      <c r="O513" s="45"/>
      <c r="P513" s="45" t="s">
        <v>665</v>
      </c>
      <c r="Q513" s="45"/>
    </row>
    <row r="514" spans="1:17" x14ac:dyDescent="0.3">
      <c r="A514" s="7" t="s">
        <v>1658</v>
      </c>
      <c r="B514" s="7">
        <v>588459</v>
      </c>
      <c r="C514" s="7" t="s">
        <v>2151</v>
      </c>
      <c r="D514" s="7" t="s">
        <v>1921</v>
      </c>
      <c r="E514" s="7" t="s">
        <v>746</v>
      </c>
      <c r="F514" s="7" t="s">
        <v>1915</v>
      </c>
      <c r="G514" s="7" t="s">
        <v>2124</v>
      </c>
      <c r="H514" s="36"/>
      <c r="I514" s="36" t="s">
        <v>2135</v>
      </c>
      <c r="J514" s="36"/>
      <c r="K514" s="46"/>
      <c r="L514" s="46" t="s">
        <v>333</v>
      </c>
      <c r="M514" s="46"/>
      <c r="N514" s="46" t="s">
        <v>1822</v>
      </c>
      <c r="O514" s="45"/>
      <c r="P514" s="45" t="s">
        <v>665</v>
      </c>
      <c r="Q514" s="45"/>
    </row>
    <row r="515" spans="1:17" x14ac:dyDescent="0.3">
      <c r="A515" s="7" t="s">
        <v>1658</v>
      </c>
      <c r="B515" s="38">
        <v>569344</v>
      </c>
      <c r="C515" s="38" t="s">
        <v>2152</v>
      </c>
      <c r="D515" s="38" t="s">
        <v>1921</v>
      </c>
      <c r="E515" s="7" t="s">
        <v>746</v>
      </c>
      <c r="F515" s="38" t="s">
        <v>1915</v>
      </c>
      <c r="G515" s="39" t="s">
        <v>1667</v>
      </c>
      <c r="H515" s="36" t="s">
        <v>1916</v>
      </c>
      <c r="I515" s="36" t="s">
        <v>1826</v>
      </c>
      <c r="J515" s="36">
        <v>46204</v>
      </c>
      <c r="K515" s="46"/>
      <c r="L515" s="46" t="s">
        <v>449</v>
      </c>
      <c r="M515" s="46"/>
      <c r="N515" s="46" t="s">
        <v>1824</v>
      </c>
      <c r="O515" s="45"/>
      <c r="P515" s="45" t="s">
        <v>665</v>
      </c>
      <c r="Q515" s="45"/>
    </row>
    <row r="516" spans="1:17" x14ac:dyDescent="0.3">
      <c r="A516" s="7" t="s">
        <v>1658</v>
      </c>
      <c r="B516" s="38">
        <v>569373</v>
      </c>
      <c r="C516" s="38" t="s">
        <v>2153</v>
      </c>
      <c r="D516" s="38" t="s">
        <v>1914</v>
      </c>
      <c r="E516" s="7" t="s">
        <v>746</v>
      </c>
      <c r="F516" s="38" t="s">
        <v>1915</v>
      </c>
      <c r="G516" s="39" t="s">
        <v>2124</v>
      </c>
      <c r="H516" s="36"/>
      <c r="I516" s="36" t="s">
        <v>2135</v>
      </c>
      <c r="J516" s="36"/>
      <c r="K516" s="46"/>
      <c r="L516" s="46" t="s">
        <v>449</v>
      </c>
      <c r="M516" s="46"/>
      <c r="N516" s="46" t="s">
        <v>1822</v>
      </c>
      <c r="O516" s="45"/>
      <c r="P516" s="45" t="s">
        <v>665</v>
      </c>
      <c r="Q516" s="45"/>
    </row>
    <row r="517" spans="1:17" x14ac:dyDescent="0.3">
      <c r="A517" s="7" t="s">
        <v>1658</v>
      </c>
      <c r="B517" s="7">
        <v>572346</v>
      </c>
      <c r="C517" s="7" t="s">
        <v>2154</v>
      </c>
      <c r="D517" s="7" t="s">
        <v>1921</v>
      </c>
      <c r="E517" s="7" t="s">
        <v>746</v>
      </c>
      <c r="F517" s="7" t="s">
        <v>1915</v>
      </c>
      <c r="G517" s="7" t="s">
        <v>1842</v>
      </c>
      <c r="H517" s="36"/>
      <c r="I517" s="36" t="s">
        <v>1825</v>
      </c>
      <c r="J517" s="36">
        <v>46286</v>
      </c>
      <c r="K517" s="46"/>
      <c r="L517" s="46" t="s">
        <v>449</v>
      </c>
      <c r="M517" s="46"/>
      <c r="N517" s="46" t="s">
        <v>1822</v>
      </c>
      <c r="O517" s="45"/>
      <c r="P517" s="45" t="s">
        <v>665</v>
      </c>
      <c r="Q517" s="45"/>
    </row>
    <row r="518" spans="1:17" x14ac:dyDescent="0.3">
      <c r="A518" s="7" t="s">
        <v>1658</v>
      </c>
      <c r="B518" s="7">
        <v>584393</v>
      </c>
      <c r="C518" s="7" t="s">
        <v>2155</v>
      </c>
      <c r="D518" s="7" t="s">
        <v>1921</v>
      </c>
      <c r="E518" s="7" t="s">
        <v>746</v>
      </c>
      <c r="F518" s="7" t="s">
        <v>1915</v>
      </c>
      <c r="G518" s="7" t="s">
        <v>2124</v>
      </c>
      <c r="H518" s="36"/>
      <c r="I518" s="36" t="s">
        <v>2135</v>
      </c>
      <c r="J518" s="36"/>
      <c r="K518" s="46"/>
      <c r="L518" s="46" t="s">
        <v>449</v>
      </c>
      <c r="M518" s="46"/>
      <c r="N518" s="46" t="s">
        <v>1822</v>
      </c>
      <c r="O518" s="45"/>
      <c r="P518" s="45" t="s">
        <v>665</v>
      </c>
      <c r="Q518" s="45"/>
    </row>
    <row r="519" spans="1:17" x14ac:dyDescent="0.3">
      <c r="A519" s="7" t="s">
        <v>1658</v>
      </c>
      <c r="B519" s="7">
        <v>581477</v>
      </c>
      <c r="C519" s="7" t="s">
        <v>1932</v>
      </c>
      <c r="D519" s="7" t="s">
        <v>1921</v>
      </c>
      <c r="E519" s="7" t="s">
        <v>746</v>
      </c>
      <c r="F519" s="7" t="s">
        <v>1915</v>
      </c>
      <c r="G519" s="7" t="s">
        <v>1836</v>
      </c>
      <c r="H519" s="36" t="s">
        <v>1916</v>
      </c>
      <c r="I519" s="36" t="s">
        <v>1826</v>
      </c>
      <c r="J519" s="36">
        <v>46237</v>
      </c>
      <c r="K519" s="46"/>
      <c r="L519" s="46" t="s">
        <v>324</v>
      </c>
      <c r="M519" s="46"/>
      <c r="N519" s="46" t="s">
        <v>1824</v>
      </c>
      <c r="O519" s="45"/>
      <c r="P519" s="45" t="s">
        <v>665</v>
      </c>
      <c r="Q519" s="45"/>
    </row>
    <row r="520" spans="1:17" x14ac:dyDescent="0.3">
      <c r="A520" s="7" t="s">
        <v>1658</v>
      </c>
      <c r="B520" s="7">
        <v>583855</v>
      </c>
      <c r="C520" s="7" t="s">
        <v>1940</v>
      </c>
      <c r="D520" s="7" t="s">
        <v>1950</v>
      </c>
      <c r="E520" s="7" t="s">
        <v>746</v>
      </c>
      <c r="F520" s="7" t="s">
        <v>1915</v>
      </c>
      <c r="G520" s="7" t="s">
        <v>1511</v>
      </c>
      <c r="H520" s="36" t="s">
        <v>1916</v>
      </c>
      <c r="I520" s="36" t="s">
        <v>1826</v>
      </c>
      <c r="J520" s="36">
        <v>46204</v>
      </c>
      <c r="K520" s="46"/>
      <c r="L520" s="46" t="s">
        <v>471</v>
      </c>
      <c r="M520" s="46"/>
      <c r="N520" s="46" t="s">
        <v>1824</v>
      </c>
      <c r="O520" s="45"/>
      <c r="P520" s="45" t="s">
        <v>665</v>
      </c>
      <c r="Q520" s="45"/>
    </row>
    <row r="521" spans="1:17" x14ac:dyDescent="0.3">
      <c r="A521" s="7" t="s">
        <v>1658</v>
      </c>
      <c r="B521" s="7">
        <v>589193</v>
      </c>
      <c r="C521" s="7" t="s">
        <v>2156</v>
      </c>
      <c r="D521" s="7" t="s">
        <v>1921</v>
      </c>
      <c r="E521" s="7" t="s">
        <v>746</v>
      </c>
      <c r="F521" s="7" t="s">
        <v>1915</v>
      </c>
      <c r="G521" s="7" t="s">
        <v>2124</v>
      </c>
      <c r="H521" s="36"/>
      <c r="I521" s="36" t="s">
        <v>2125</v>
      </c>
      <c r="J521" s="36"/>
      <c r="K521" s="46"/>
      <c r="L521" s="46" t="s">
        <v>471</v>
      </c>
      <c r="M521" s="46"/>
      <c r="N521" s="46" t="s">
        <v>1822</v>
      </c>
      <c r="O521" s="45"/>
      <c r="P521" s="45" t="s">
        <v>665</v>
      </c>
      <c r="Q521" s="45"/>
    </row>
    <row r="522" spans="1:17" x14ac:dyDescent="0.3">
      <c r="A522" s="7" t="s">
        <v>1658</v>
      </c>
      <c r="B522" s="7">
        <v>589210</v>
      </c>
      <c r="C522" s="7" t="s">
        <v>2157</v>
      </c>
      <c r="D522" s="7" t="s">
        <v>1921</v>
      </c>
      <c r="E522" s="7" t="s">
        <v>746</v>
      </c>
      <c r="F522" s="7" t="s">
        <v>1915</v>
      </c>
      <c r="G522" s="7" t="s">
        <v>2124</v>
      </c>
      <c r="H522" s="36"/>
      <c r="I522" s="36" t="s">
        <v>2125</v>
      </c>
      <c r="J522" s="36"/>
      <c r="K522" s="46"/>
      <c r="L522" s="46" t="s">
        <v>470</v>
      </c>
      <c r="M522" s="46"/>
      <c r="N522" s="46" t="s">
        <v>1822</v>
      </c>
      <c r="O522" s="45"/>
      <c r="P522" s="45" t="s">
        <v>665</v>
      </c>
      <c r="Q522" s="45"/>
    </row>
    <row r="523" spans="1:17" x14ac:dyDescent="0.3">
      <c r="A523" s="7" t="s">
        <v>755</v>
      </c>
      <c r="B523" s="7">
        <v>582761</v>
      </c>
      <c r="C523" s="7" t="s">
        <v>1932</v>
      </c>
      <c r="D523" s="7" t="s">
        <v>1921</v>
      </c>
      <c r="E523" s="7" t="s">
        <v>746</v>
      </c>
      <c r="F523" s="7" t="s">
        <v>1915</v>
      </c>
      <c r="G523" s="7" t="s">
        <v>1664</v>
      </c>
      <c r="H523" s="36" t="s">
        <v>1916</v>
      </c>
      <c r="I523" s="36" t="s">
        <v>1826</v>
      </c>
      <c r="J523" s="36">
        <v>46209</v>
      </c>
      <c r="K523" s="46"/>
      <c r="L523" s="46" t="s">
        <v>34</v>
      </c>
      <c r="M523" s="46"/>
      <c r="N523" s="46" t="s">
        <v>1824</v>
      </c>
      <c r="O523" s="45"/>
      <c r="P523" s="45" t="s">
        <v>665</v>
      </c>
      <c r="Q523" s="45"/>
    </row>
    <row r="524" spans="1:17" x14ac:dyDescent="0.3">
      <c r="A524" s="7" t="s">
        <v>755</v>
      </c>
      <c r="C524" s="7" t="s">
        <v>1962</v>
      </c>
      <c r="D524" s="7" t="s">
        <v>1914</v>
      </c>
      <c r="E524" s="7" t="s">
        <v>746</v>
      </c>
      <c r="F524" s="7" t="s">
        <v>1915</v>
      </c>
      <c r="G524" s="7" t="s">
        <v>2124</v>
      </c>
      <c r="H524" s="36"/>
      <c r="I524" s="36" t="s">
        <v>2125</v>
      </c>
      <c r="J524" s="36"/>
      <c r="K524" s="46"/>
      <c r="L524" s="46" t="s">
        <v>633</v>
      </c>
      <c r="M524" s="46"/>
      <c r="N524" s="46" t="s">
        <v>1822</v>
      </c>
      <c r="O524" s="45"/>
      <c r="P524" s="45" t="s">
        <v>665</v>
      </c>
      <c r="Q524" s="45"/>
    </row>
    <row r="525" spans="1:17" x14ac:dyDescent="0.3">
      <c r="A525" s="7" t="s">
        <v>755</v>
      </c>
      <c r="B525" s="7">
        <v>586689</v>
      </c>
      <c r="C525" s="7" t="s">
        <v>2428</v>
      </c>
      <c r="D525" s="7" t="s">
        <v>1914</v>
      </c>
      <c r="E525" s="7" t="s">
        <v>746</v>
      </c>
      <c r="F525" s="7" t="s">
        <v>1915</v>
      </c>
      <c r="G525" s="7" t="s">
        <v>2124</v>
      </c>
      <c r="H525" s="36"/>
      <c r="I525" s="36" t="s">
        <v>2125</v>
      </c>
      <c r="J525" s="36"/>
      <c r="K525" s="46"/>
      <c r="L525" s="46" t="s">
        <v>293</v>
      </c>
      <c r="M525" s="46"/>
      <c r="N525" s="46" t="s">
        <v>1822</v>
      </c>
      <c r="O525" s="45"/>
      <c r="P525" s="45" t="s">
        <v>665</v>
      </c>
      <c r="Q525" s="45"/>
    </row>
    <row r="526" spans="1:17" x14ac:dyDescent="0.3">
      <c r="C526" s="7" t="s">
        <v>2158</v>
      </c>
      <c r="E526" s="7" t="s">
        <v>746</v>
      </c>
      <c r="F526" s="7" t="s">
        <v>1915</v>
      </c>
      <c r="G526" s="7" t="s">
        <v>28</v>
      </c>
      <c r="H526" s="36"/>
      <c r="I526" s="36" t="s">
        <v>1823</v>
      </c>
      <c r="J526" s="36"/>
      <c r="K526" s="46"/>
      <c r="L526" s="46" t="s">
        <v>84</v>
      </c>
      <c r="M526" s="46"/>
      <c r="N526" s="46" t="s">
        <v>1824</v>
      </c>
      <c r="O526" s="45" t="s">
        <v>2159</v>
      </c>
      <c r="P526" s="45" t="s">
        <v>767</v>
      </c>
      <c r="Q526" s="45"/>
    </row>
    <row r="527" spans="1:17" x14ac:dyDescent="0.3">
      <c r="C527" s="7" t="s">
        <v>2158</v>
      </c>
      <c r="E527" s="7" t="s">
        <v>746</v>
      </c>
      <c r="F527" s="7" t="s">
        <v>1915</v>
      </c>
      <c r="G527" s="7" t="s">
        <v>1241</v>
      </c>
      <c r="H527" s="36"/>
      <c r="I527" s="36" t="s">
        <v>1823</v>
      </c>
      <c r="J527" s="36"/>
      <c r="K527" s="46"/>
      <c r="L527" s="46" t="s">
        <v>1242</v>
      </c>
      <c r="M527" s="46"/>
      <c r="N527" s="46" t="s">
        <v>1824</v>
      </c>
      <c r="O527" s="45"/>
      <c r="P527" s="45" t="s">
        <v>767</v>
      </c>
      <c r="Q527" s="45"/>
    </row>
    <row r="528" spans="1:17" x14ac:dyDescent="0.3">
      <c r="C528" s="7" t="s">
        <v>2160</v>
      </c>
      <c r="E528" s="7" t="s">
        <v>746</v>
      </c>
      <c r="F528" s="7" t="s">
        <v>1915</v>
      </c>
      <c r="G528" s="7" t="s">
        <v>59</v>
      </c>
      <c r="H528" s="36"/>
      <c r="I528" s="36" t="s">
        <v>1823</v>
      </c>
      <c r="J528" s="36"/>
      <c r="K528" s="46"/>
      <c r="L528" s="46" t="s">
        <v>278</v>
      </c>
      <c r="M528" s="46"/>
      <c r="N528" s="46" t="s">
        <v>1824</v>
      </c>
      <c r="O528" s="45" t="s">
        <v>2161</v>
      </c>
      <c r="P528" s="45" t="s">
        <v>767</v>
      </c>
      <c r="Q528" s="45"/>
    </row>
    <row r="529" spans="1:17" x14ac:dyDescent="0.3">
      <c r="C529" s="7" t="s">
        <v>1928</v>
      </c>
      <c r="E529" s="7" t="s">
        <v>746</v>
      </c>
      <c r="F529" s="7" t="s">
        <v>1915</v>
      </c>
      <c r="G529" s="7" t="s">
        <v>66</v>
      </c>
      <c r="H529" s="36"/>
      <c r="I529" s="36" t="s">
        <v>1823</v>
      </c>
      <c r="J529" s="36"/>
      <c r="K529" s="46"/>
      <c r="L529" s="46" t="s">
        <v>123</v>
      </c>
      <c r="M529" s="46"/>
      <c r="N529" s="46" t="s">
        <v>1824</v>
      </c>
      <c r="O529" s="45" t="s">
        <v>2161</v>
      </c>
      <c r="P529" s="45" t="s">
        <v>767</v>
      </c>
      <c r="Q529" s="45"/>
    </row>
    <row r="530" spans="1:17" x14ac:dyDescent="0.3">
      <c r="C530" s="7" t="s">
        <v>1928</v>
      </c>
      <c r="E530" s="7" t="s">
        <v>746</v>
      </c>
      <c r="F530" s="7" t="s">
        <v>2162</v>
      </c>
      <c r="G530" s="7" t="s">
        <v>64</v>
      </c>
      <c r="H530" s="36"/>
      <c r="I530" s="36" t="s">
        <v>1823</v>
      </c>
      <c r="J530" s="36"/>
      <c r="K530" s="46"/>
      <c r="L530" s="46" t="s">
        <v>633</v>
      </c>
      <c r="M530" s="46"/>
      <c r="N530" s="46" t="s">
        <v>1824</v>
      </c>
      <c r="O530" s="45"/>
      <c r="P530" s="45" t="s">
        <v>767</v>
      </c>
      <c r="Q530" s="45"/>
    </row>
    <row r="531" spans="1:17" x14ac:dyDescent="0.3">
      <c r="C531" s="7" t="s">
        <v>2073</v>
      </c>
      <c r="E531" s="7" t="s">
        <v>746</v>
      </c>
      <c r="F531" s="7" t="s">
        <v>1915</v>
      </c>
      <c r="G531" s="7" t="s">
        <v>82</v>
      </c>
      <c r="H531" s="36"/>
      <c r="I531" s="36" t="s">
        <v>1823</v>
      </c>
      <c r="J531" s="36"/>
      <c r="K531" s="46"/>
      <c r="L531" s="46" t="s">
        <v>132</v>
      </c>
      <c r="M531" s="46"/>
      <c r="N531" s="46" t="s">
        <v>1824</v>
      </c>
      <c r="O531" s="45" t="s">
        <v>2161</v>
      </c>
      <c r="P531" s="45" t="s">
        <v>767</v>
      </c>
      <c r="Q531" s="45"/>
    </row>
    <row r="532" spans="1:17" x14ac:dyDescent="0.3">
      <c r="C532" s="7" t="s">
        <v>2160</v>
      </c>
      <c r="E532" s="7" t="s">
        <v>746</v>
      </c>
      <c r="F532" s="7" t="s">
        <v>1915</v>
      </c>
      <c r="G532" s="7" t="s">
        <v>71</v>
      </c>
      <c r="H532" s="36"/>
      <c r="I532" s="36" t="s">
        <v>1823</v>
      </c>
      <c r="J532" s="36"/>
      <c r="K532" s="46"/>
      <c r="L532" s="46" t="s">
        <v>471</v>
      </c>
      <c r="M532" s="46"/>
      <c r="N532" s="46" t="s">
        <v>1824</v>
      </c>
      <c r="O532" s="45" t="s">
        <v>2163</v>
      </c>
      <c r="P532" s="45" t="s">
        <v>767</v>
      </c>
      <c r="Q532" s="45"/>
    </row>
    <row r="533" spans="1:17" x14ac:dyDescent="0.3">
      <c r="A533" s="37"/>
      <c r="B533" s="40"/>
      <c r="C533" s="40"/>
      <c r="D533" s="40"/>
      <c r="E533" s="7" t="s">
        <v>746</v>
      </c>
      <c r="F533" s="40" t="s">
        <v>1919</v>
      </c>
      <c r="G533" s="41" t="s">
        <v>99</v>
      </c>
      <c r="H533" s="36"/>
      <c r="I533" s="36" t="s">
        <v>1823</v>
      </c>
      <c r="J533" s="36"/>
      <c r="K533" s="46"/>
      <c r="L533" s="46" t="s">
        <v>132</v>
      </c>
      <c r="M533" s="46"/>
      <c r="N533" s="46" t="s">
        <v>1824</v>
      </c>
      <c r="O533" s="45"/>
      <c r="P533" s="45" t="s">
        <v>767</v>
      </c>
      <c r="Q533" s="45"/>
    </row>
    <row r="534" spans="1:17" x14ac:dyDescent="0.3">
      <c r="A534" s="37"/>
      <c r="B534" s="40"/>
      <c r="C534" s="40" t="s">
        <v>2164</v>
      </c>
      <c r="D534" s="40"/>
      <c r="E534" s="7" t="s">
        <v>746</v>
      </c>
      <c r="F534" s="40" t="s">
        <v>1915</v>
      </c>
      <c r="G534" s="41" t="s">
        <v>86</v>
      </c>
      <c r="H534" s="36"/>
      <c r="I534" s="36" t="s">
        <v>1823</v>
      </c>
      <c r="J534" s="36"/>
      <c r="K534" s="46"/>
      <c r="L534" s="46" t="s">
        <v>2165</v>
      </c>
      <c r="M534" s="46"/>
      <c r="N534" s="46" t="s">
        <v>1824</v>
      </c>
      <c r="O534" s="45"/>
      <c r="P534" s="45" t="s">
        <v>767</v>
      </c>
      <c r="Q534" s="45"/>
    </row>
    <row r="535" spans="1:17" x14ac:dyDescent="0.3">
      <c r="A535" s="37"/>
      <c r="B535" s="40"/>
      <c r="C535" s="40" t="s">
        <v>1928</v>
      </c>
      <c r="D535" s="40"/>
      <c r="E535" s="7" t="s">
        <v>746</v>
      </c>
      <c r="F535" s="40" t="s">
        <v>1915</v>
      </c>
      <c r="G535" s="41" t="s">
        <v>88</v>
      </c>
      <c r="H535" s="36"/>
      <c r="I535" s="36" t="s">
        <v>1823</v>
      </c>
      <c r="J535" s="36"/>
      <c r="K535" s="46"/>
      <c r="L535" s="46" t="s">
        <v>753</v>
      </c>
      <c r="M535" s="46"/>
      <c r="N535" s="46" t="s">
        <v>1824</v>
      </c>
      <c r="O535" s="45" t="s">
        <v>2166</v>
      </c>
      <c r="P535" s="45" t="s">
        <v>767</v>
      </c>
      <c r="Q535" s="45"/>
    </row>
    <row r="536" spans="1:17" x14ac:dyDescent="0.3">
      <c r="A536" s="37"/>
      <c r="B536" s="40"/>
      <c r="C536" s="40" t="s">
        <v>2167</v>
      </c>
      <c r="D536" s="40"/>
      <c r="E536" s="7" t="s">
        <v>746</v>
      </c>
      <c r="F536" s="40" t="s">
        <v>1915</v>
      </c>
      <c r="G536" s="41" t="s">
        <v>97</v>
      </c>
      <c r="H536" s="36"/>
      <c r="I536" s="36" t="s">
        <v>1823</v>
      </c>
      <c r="J536" s="36"/>
      <c r="K536" s="46"/>
      <c r="L536" s="46" t="s">
        <v>753</v>
      </c>
      <c r="M536" s="46"/>
      <c r="N536" s="46" t="s">
        <v>1824</v>
      </c>
      <c r="O536" s="45" t="s">
        <v>2166</v>
      </c>
      <c r="P536" s="45" t="s">
        <v>767</v>
      </c>
      <c r="Q536" s="45"/>
    </row>
    <row r="537" spans="1:17" x14ac:dyDescent="0.3">
      <c r="A537" s="37"/>
      <c r="B537" s="40"/>
      <c r="C537" s="40" t="s">
        <v>1928</v>
      </c>
      <c r="D537" s="40"/>
      <c r="E537" s="7" t="s">
        <v>746</v>
      </c>
      <c r="F537" s="40" t="s">
        <v>1915</v>
      </c>
      <c r="G537" s="41" t="s">
        <v>103</v>
      </c>
      <c r="H537" s="36"/>
      <c r="I537" s="36" t="s">
        <v>1823</v>
      </c>
      <c r="J537" s="36"/>
      <c r="K537" s="46"/>
      <c r="L537" s="46" t="s">
        <v>278</v>
      </c>
      <c r="M537" s="46"/>
      <c r="N537" s="46" t="s">
        <v>1824</v>
      </c>
      <c r="O537" s="45" t="s">
        <v>2161</v>
      </c>
      <c r="P537" s="45" t="s">
        <v>767</v>
      </c>
      <c r="Q537" s="45"/>
    </row>
    <row r="538" spans="1:17" x14ac:dyDescent="0.3">
      <c r="A538" s="37"/>
      <c r="B538" s="40"/>
      <c r="C538" s="40" t="s">
        <v>1928</v>
      </c>
      <c r="D538" s="40"/>
      <c r="E538" s="7" t="s">
        <v>746</v>
      </c>
      <c r="F538" s="40" t="s">
        <v>1915</v>
      </c>
      <c r="G538" s="41" t="s">
        <v>111</v>
      </c>
      <c r="H538" s="36"/>
      <c r="I538" s="36" t="s">
        <v>1823</v>
      </c>
      <c r="J538" s="36"/>
      <c r="K538" s="46"/>
      <c r="L538" s="46" t="s">
        <v>278</v>
      </c>
      <c r="M538" s="46"/>
      <c r="N538" s="46" t="s">
        <v>1824</v>
      </c>
      <c r="O538" s="45" t="s">
        <v>2161</v>
      </c>
      <c r="P538" s="45" t="s">
        <v>767</v>
      </c>
      <c r="Q538" s="45"/>
    </row>
    <row r="539" spans="1:17" x14ac:dyDescent="0.3">
      <c r="A539" s="37"/>
      <c r="B539" s="40"/>
      <c r="C539" s="40" t="s">
        <v>1928</v>
      </c>
      <c r="D539" s="40"/>
      <c r="E539" s="7" t="s">
        <v>746</v>
      </c>
      <c r="F539" s="40" t="s">
        <v>1915</v>
      </c>
      <c r="G539" s="41" t="s">
        <v>118</v>
      </c>
      <c r="H539" s="36"/>
      <c r="I539" s="36" t="s">
        <v>2168</v>
      </c>
      <c r="J539" s="36"/>
      <c r="K539" s="46"/>
      <c r="L539" s="46" t="s">
        <v>278</v>
      </c>
      <c r="M539" s="46"/>
      <c r="N539" s="46" t="s">
        <v>1822</v>
      </c>
      <c r="O539" s="45" t="s">
        <v>2161</v>
      </c>
      <c r="P539" s="45" t="s">
        <v>767</v>
      </c>
      <c r="Q539" s="45"/>
    </row>
    <row r="540" spans="1:17" x14ac:dyDescent="0.3">
      <c r="A540" s="37"/>
      <c r="B540" s="40"/>
      <c r="C540" s="40" t="s">
        <v>2437</v>
      </c>
      <c r="D540" s="40"/>
      <c r="E540" s="7" t="s">
        <v>746</v>
      </c>
      <c r="F540" s="40" t="s">
        <v>2162</v>
      </c>
      <c r="G540" s="41" t="s">
        <v>67</v>
      </c>
      <c r="H540" s="36"/>
      <c r="I540" s="36" t="s">
        <v>1823</v>
      </c>
      <c r="J540" s="36"/>
      <c r="K540" s="46"/>
      <c r="L540" s="46" t="s">
        <v>639</v>
      </c>
      <c r="M540" s="46"/>
      <c r="N540" s="46" t="s">
        <v>1824</v>
      </c>
      <c r="O540" s="45" t="s">
        <v>2169</v>
      </c>
      <c r="P540" s="45" t="s">
        <v>767</v>
      </c>
      <c r="Q540" s="45"/>
    </row>
    <row r="541" spans="1:17" x14ac:dyDescent="0.3">
      <c r="A541" s="37"/>
      <c r="B541" s="40"/>
      <c r="C541" s="40" t="s">
        <v>2170</v>
      </c>
      <c r="D541" s="40"/>
      <c r="E541" s="7" t="s">
        <v>746</v>
      </c>
      <c r="F541" s="40" t="s">
        <v>2171</v>
      </c>
      <c r="G541" s="41" t="s">
        <v>129</v>
      </c>
      <c r="H541" s="36"/>
      <c r="I541" s="36" t="s">
        <v>1823</v>
      </c>
      <c r="J541" s="36"/>
      <c r="K541" s="46"/>
      <c r="L541" s="46" t="s">
        <v>471</v>
      </c>
      <c r="M541" s="46"/>
      <c r="N541" s="46" t="s">
        <v>1824</v>
      </c>
      <c r="O541" s="45"/>
      <c r="P541" s="45" t="s">
        <v>767</v>
      </c>
      <c r="Q541" s="45"/>
    </row>
    <row r="542" spans="1:17" x14ac:dyDescent="0.3">
      <c r="A542" s="37"/>
      <c r="B542" s="40"/>
      <c r="C542" s="40" t="s">
        <v>2262</v>
      </c>
      <c r="D542" s="40"/>
      <c r="E542" s="7" t="s">
        <v>746</v>
      </c>
      <c r="F542" s="40" t="s">
        <v>1919</v>
      </c>
      <c r="G542" s="41" t="s">
        <v>133</v>
      </c>
      <c r="H542" s="36"/>
      <c r="I542" s="36" t="s">
        <v>1823</v>
      </c>
      <c r="J542" s="36"/>
      <c r="K542" s="46"/>
      <c r="L542" s="46" t="s">
        <v>639</v>
      </c>
      <c r="M542" s="46"/>
      <c r="N542" s="46" t="s">
        <v>1824</v>
      </c>
      <c r="O542" s="45" t="s">
        <v>2173</v>
      </c>
      <c r="P542" s="45" t="s">
        <v>767</v>
      </c>
      <c r="Q542" s="45"/>
    </row>
    <row r="543" spans="1:17" x14ac:dyDescent="0.3">
      <c r="A543" s="37"/>
      <c r="B543" s="26"/>
      <c r="C543" s="26" t="s">
        <v>2158</v>
      </c>
      <c r="D543" s="26"/>
      <c r="E543" s="7" t="s">
        <v>746</v>
      </c>
      <c r="F543" s="26" t="s">
        <v>1915</v>
      </c>
      <c r="G543" s="26" t="s">
        <v>147</v>
      </c>
      <c r="H543" s="36"/>
      <c r="I543" s="36" t="s">
        <v>1823</v>
      </c>
      <c r="J543" s="36"/>
      <c r="K543" s="46"/>
      <c r="L543" s="46" t="s">
        <v>2174</v>
      </c>
      <c r="M543" s="46"/>
      <c r="N543" s="46" t="s">
        <v>1824</v>
      </c>
      <c r="O543" s="45" t="s">
        <v>2161</v>
      </c>
      <c r="P543" s="45" t="s">
        <v>767</v>
      </c>
      <c r="Q543" s="45"/>
    </row>
    <row r="544" spans="1:17" x14ac:dyDescent="0.3">
      <c r="A544" s="37"/>
      <c r="B544" s="40"/>
      <c r="C544" s="40" t="s">
        <v>1984</v>
      </c>
      <c r="D544" s="40"/>
      <c r="E544" s="7" t="s">
        <v>746</v>
      </c>
      <c r="F544" s="40" t="s">
        <v>1915</v>
      </c>
      <c r="G544" s="41" t="s">
        <v>144</v>
      </c>
      <c r="H544" s="36"/>
      <c r="I544" s="36" t="s">
        <v>1823</v>
      </c>
      <c r="J544" s="36"/>
      <c r="K544" s="46"/>
      <c r="L544" s="46" t="s">
        <v>458</v>
      </c>
      <c r="M544" s="46"/>
      <c r="N544" s="46" t="s">
        <v>1824</v>
      </c>
      <c r="O544" s="45" t="s">
        <v>2175</v>
      </c>
      <c r="P544" s="45" t="s">
        <v>767</v>
      </c>
      <c r="Q544" s="45"/>
    </row>
    <row r="545" spans="1:17" x14ac:dyDescent="0.3">
      <c r="A545" s="37"/>
      <c r="B545" s="40"/>
      <c r="C545" s="40" t="s">
        <v>1984</v>
      </c>
      <c r="D545" s="40"/>
      <c r="E545" s="7" t="s">
        <v>746</v>
      </c>
      <c r="F545" s="40" t="s">
        <v>1915</v>
      </c>
      <c r="G545" s="41" t="s">
        <v>364</v>
      </c>
      <c r="H545" s="36"/>
      <c r="I545" s="36" t="s">
        <v>1823</v>
      </c>
      <c r="J545" s="36"/>
      <c r="K545" s="46"/>
      <c r="L545" s="46" t="s">
        <v>458</v>
      </c>
      <c r="M545" s="46"/>
      <c r="N545" s="46" t="s">
        <v>1824</v>
      </c>
      <c r="O545" s="45"/>
      <c r="P545" s="45" t="s">
        <v>767</v>
      </c>
      <c r="Q545" s="45"/>
    </row>
    <row r="546" spans="1:17" x14ac:dyDescent="0.3">
      <c r="A546" s="37"/>
      <c r="B546" s="40"/>
      <c r="C546" s="40" t="s">
        <v>2176</v>
      </c>
      <c r="D546" s="40"/>
      <c r="E546" s="7" t="s">
        <v>746</v>
      </c>
      <c r="F546" s="40" t="s">
        <v>1915</v>
      </c>
      <c r="G546" s="41" t="s">
        <v>146</v>
      </c>
      <c r="H546" s="36"/>
      <c r="I546" s="36" t="s">
        <v>1823</v>
      </c>
      <c r="J546" s="36"/>
      <c r="K546" s="46"/>
      <c r="L546" s="46" t="s">
        <v>309</v>
      </c>
      <c r="M546" s="46"/>
      <c r="N546" s="46" t="s">
        <v>1824</v>
      </c>
      <c r="O546" s="45" t="s">
        <v>2166</v>
      </c>
      <c r="P546" s="45" t="s">
        <v>767</v>
      </c>
      <c r="Q546" s="45"/>
    </row>
    <row r="547" spans="1:17" x14ac:dyDescent="0.3">
      <c r="A547" s="37"/>
      <c r="B547" s="40"/>
      <c r="C547" s="40" t="s">
        <v>2160</v>
      </c>
      <c r="D547" s="40"/>
      <c r="E547" s="7" t="s">
        <v>746</v>
      </c>
      <c r="F547" s="40" t="s">
        <v>1915</v>
      </c>
      <c r="G547" s="41" t="s">
        <v>158</v>
      </c>
      <c r="H547" s="36"/>
      <c r="I547" s="36" t="s">
        <v>1823</v>
      </c>
      <c r="J547" s="36"/>
      <c r="K547" s="46"/>
      <c r="L547" s="46" t="s">
        <v>123</v>
      </c>
      <c r="M547" s="46"/>
      <c r="N547" s="46" t="s">
        <v>1824</v>
      </c>
      <c r="O547" s="45" t="s">
        <v>2161</v>
      </c>
      <c r="P547" s="45" t="s">
        <v>767</v>
      </c>
      <c r="Q547" s="45"/>
    </row>
    <row r="548" spans="1:17" x14ac:dyDescent="0.3">
      <c r="A548" s="37"/>
      <c r="B548" s="40"/>
      <c r="C548" s="40" t="s">
        <v>2177</v>
      </c>
      <c r="D548" s="40"/>
      <c r="E548" s="7" t="s">
        <v>746</v>
      </c>
      <c r="F548" s="40" t="s">
        <v>1915</v>
      </c>
      <c r="G548" s="41" t="s">
        <v>149</v>
      </c>
      <c r="H548" s="36"/>
      <c r="I548" s="36" t="s">
        <v>1823</v>
      </c>
      <c r="J548" s="36"/>
      <c r="K548" s="46"/>
      <c r="L548" s="46" t="s">
        <v>293</v>
      </c>
      <c r="M548" s="46"/>
      <c r="N548" s="46" t="s">
        <v>1824</v>
      </c>
      <c r="O548" s="45" t="s">
        <v>2166</v>
      </c>
      <c r="P548" s="45" t="s">
        <v>767</v>
      </c>
      <c r="Q548" s="45"/>
    </row>
    <row r="549" spans="1:17" x14ac:dyDescent="0.3">
      <c r="A549" s="37"/>
      <c r="B549" s="40"/>
      <c r="C549" s="40" t="s">
        <v>2160</v>
      </c>
      <c r="D549" s="40"/>
      <c r="E549" s="7" t="s">
        <v>746</v>
      </c>
      <c r="F549" s="40" t="s">
        <v>2171</v>
      </c>
      <c r="G549" s="41" t="s">
        <v>157</v>
      </c>
      <c r="H549" s="36"/>
      <c r="I549" s="36" t="s">
        <v>1823</v>
      </c>
      <c r="J549" s="36"/>
      <c r="K549" s="46"/>
      <c r="L549" s="46" t="s">
        <v>48</v>
      </c>
      <c r="M549" s="46"/>
      <c r="N549" s="46" t="s">
        <v>1824</v>
      </c>
      <c r="O549" s="45" t="s">
        <v>2178</v>
      </c>
      <c r="P549" s="45" t="s">
        <v>767</v>
      </c>
      <c r="Q549" s="45"/>
    </row>
    <row r="550" spans="1:17" x14ac:dyDescent="0.3">
      <c r="A550" s="37"/>
      <c r="B550" s="40"/>
      <c r="C550" s="40" t="s">
        <v>2158</v>
      </c>
      <c r="D550" s="40"/>
      <c r="E550" s="7" t="s">
        <v>746</v>
      </c>
      <c r="F550" s="40" t="s">
        <v>1915</v>
      </c>
      <c r="G550" s="41" t="s">
        <v>179</v>
      </c>
      <c r="H550" s="36"/>
      <c r="I550" s="36" t="s">
        <v>1823</v>
      </c>
      <c r="J550" s="36"/>
      <c r="K550" s="46"/>
      <c r="L550" s="46" t="s">
        <v>550</v>
      </c>
      <c r="M550" s="46"/>
      <c r="N550" s="46" t="s">
        <v>1824</v>
      </c>
      <c r="O550" s="45" t="s">
        <v>2161</v>
      </c>
      <c r="P550" s="45" t="s">
        <v>767</v>
      </c>
      <c r="Q550" s="45"/>
    </row>
    <row r="551" spans="1:17" x14ac:dyDescent="0.3">
      <c r="A551" s="37"/>
      <c r="B551" s="26"/>
      <c r="C551" s="26" t="s">
        <v>2179</v>
      </c>
      <c r="D551" s="26"/>
      <c r="E551" s="7" t="s">
        <v>746</v>
      </c>
      <c r="F551" s="26" t="s">
        <v>2180</v>
      </c>
      <c r="G551" s="26" t="s">
        <v>160</v>
      </c>
      <c r="H551" s="36"/>
      <c r="I551" s="36" t="s">
        <v>1823</v>
      </c>
      <c r="J551" s="36"/>
      <c r="K551" s="46"/>
      <c r="L551" s="46" t="s">
        <v>333</v>
      </c>
      <c r="M551" s="46"/>
      <c r="N551" s="46" t="s">
        <v>1824</v>
      </c>
      <c r="O551" s="45"/>
      <c r="P551" s="45" t="s">
        <v>767</v>
      </c>
      <c r="Q551" s="45"/>
    </row>
    <row r="552" spans="1:17" x14ac:dyDescent="0.3">
      <c r="A552" s="37"/>
      <c r="B552" s="40"/>
      <c r="C552" s="40" t="s">
        <v>2071</v>
      </c>
      <c r="D552" s="40"/>
      <c r="E552" s="7" t="s">
        <v>746</v>
      </c>
      <c r="F552" s="40" t="s">
        <v>1915</v>
      </c>
      <c r="G552" s="41" t="s">
        <v>587</v>
      </c>
      <c r="H552" s="36"/>
      <c r="I552" s="36" t="s">
        <v>1823</v>
      </c>
      <c r="J552" s="36"/>
      <c r="K552" s="46"/>
      <c r="L552" s="46" t="s">
        <v>2165</v>
      </c>
      <c r="M552" s="46"/>
      <c r="N552" s="46" t="s">
        <v>1824</v>
      </c>
      <c r="O552" s="45"/>
      <c r="P552" s="45" t="s">
        <v>767</v>
      </c>
      <c r="Q552" s="45"/>
    </row>
    <row r="553" spans="1:17" x14ac:dyDescent="0.3">
      <c r="A553" s="37"/>
      <c r="B553" s="40"/>
      <c r="C553" s="40" t="s">
        <v>2181</v>
      </c>
      <c r="D553" s="40"/>
      <c r="E553" s="7" t="s">
        <v>746</v>
      </c>
      <c r="F553" s="40" t="s">
        <v>2180</v>
      </c>
      <c r="G553" s="41" t="s">
        <v>167</v>
      </c>
      <c r="H553" s="36"/>
      <c r="I553" s="36" t="s">
        <v>1823</v>
      </c>
      <c r="J553" s="36"/>
      <c r="K553" s="46"/>
      <c r="L553" s="46" t="s">
        <v>333</v>
      </c>
      <c r="M553" s="46"/>
      <c r="N553" s="46" t="s">
        <v>1824</v>
      </c>
      <c r="O553" s="45"/>
      <c r="P553" s="45" t="s">
        <v>767</v>
      </c>
      <c r="Q553" s="45"/>
    </row>
    <row r="554" spans="1:17" x14ac:dyDescent="0.3">
      <c r="A554" s="37"/>
      <c r="B554" s="40"/>
      <c r="C554" s="40" t="s">
        <v>2182</v>
      </c>
      <c r="D554" s="40"/>
      <c r="E554" s="7" t="s">
        <v>746</v>
      </c>
      <c r="F554" s="40" t="s">
        <v>2183</v>
      </c>
      <c r="G554" s="41" t="s">
        <v>192</v>
      </c>
      <c r="H554" s="36"/>
      <c r="I554" s="36" t="s">
        <v>1823</v>
      </c>
      <c r="J554" s="36"/>
      <c r="K554" s="46"/>
      <c r="L554" s="46" t="s">
        <v>549</v>
      </c>
      <c r="M554" s="46"/>
      <c r="N554" s="46" t="s">
        <v>1824</v>
      </c>
      <c r="O554" s="45" t="s">
        <v>2161</v>
      </c>
      <c r="P554" s="45" t="s">
        <v>767</v>
      </c>
      <c r="Q554" s="45"/>
    </row>
    <row r="555" spans="1:17" x14ac:dyDescent="0.3">
      <c r="A555" s="37"/>
      <c r="B555" s="26"/>
      <c r="C555" s="26" t="s">
        <v>2073</v>
      </c>
      <c r="D555" s="26"/>
      <c r="E555" s="7" t="s">
        <v>746</v>
      </c>
      <c r="F555" s="26" t="s">
        <v>2162</v>
      </c>
      <c r="G555" s="26" t="s">
        <v>182</v>
      </c>
      <c r="H555" s="36"/>
      <c r="I555" s="36" t="s">
        <v>1823</v>
      </c>
      <c r="J555" s="36"/>
      <c r="K555" s="46"/>
      <c r="L555" s="46" t="s">
        <v>293</v>
      </c>
      <c r="M555" s="46"/>
      <c r="N555" s="46" t="s">
        <v>1824</v>
      </c>
      <c r="O555" s="45"/>
      <c r="P555" s="45" t="s">
        <v>767</v>
      </c>
      <c r="Q555" s="45"/>
    </row>
    <row r="556" spans="1:17" x14ac:dyDescent="0.3">
      <c r="A556" s="37"/>
      <c r="B556" s="26"/>
      <c r="C556" s="26" t="s">
        <v>2176</v>
      </c>
      <c r="D556" s="26"/>
      <c r="E556" s="7" t="s">
        <v>746</v>
      </c>
      <c r="F556" s="26" t="s">
        <v>1915</v>
      </c>
      <c r="G556" s="26" t="s">
        <v>187</v>
      </c>
      <c r="H556" s="36"/>
      <c r="I556" s="36" t="s">
        <v>1823</v>
      </c>
      <c r="J556" s="36"/>
      <c r="K556" s="46"/>
      <c r="L556" s="46" t="s">
        <v>309</v>
      </c>
      <c r="M556" s="46"/>
      <c r="N556" s="46" t="s">
        <v>1824</v>
      </c>
      <c r="O556" s="45" t="s">
        <v>2166</v>
      </c>
      <c r="P556" s="45" t="s">
        <v>767</v>
      </c>
      <c r="Q556" s="45"/>
    </row>
    <row r="557" spans="1:17" x14ac:dyDescent="0.3">
      <c r="A557" s="37"/>
      <c r="B557" s="40"/>
      <c r="C557" s="40" t="s">
        <v>2172</v>
      </c>
      <c r="D557" s="40"/>
      <c r="E557" s="7" t="s">
        <v>746</v>
      </c>
      <c r="F557" s="40" t="s">
        <v>1915</v>
      </c>
      <c r="G557" s="41" t="s">
        <v>495</v>
      </c>
      <c r="H557" s="36"/>
      <c r="I557" s="36" t="s">
        <v>1823</v>
      </c>
      <c r="J557" s="36"/>
      <c r="K557" s="46"/>
      <c r="L557" s="46" t="s">
        <v>89</v>
      </c>
      <c r="M557" s="46"/>
      <c r="N557" s="46" t="s">
        <v>1824</v>
      </c>
      <c r="O557" s="45" t="s">
        <v>2184</v>
      </c>
      <c r="P557" s="45" t="s">
        <v>767</v>
      </c>
      <c r="Q557" s="45"/>
    </row>
    <row r="558" spans="1:17" x14ac:dyDescent="0.3">
      <c r="A558" s="37"/>
      <c r="B558" s="40"/>
      <c r="C558" s="40" t="s">
        <v>2185</v>
      </c>
      <c r="D558" s="40"/>
      <c r="E558" s="7" t="s">
        <v>746</v>
      </c>
      <c r="F558" s="40" t="s">
        <v>1915</v>
      </c>
      <c r="G558" s="41" t="s">
        <v>195</v>
      </c>
      <c r="H558" s="36"/>
      <c r="I558" s="36" t="s">
        <v>1823</v>
      </c>
      <c r="J558" s="36"/>
      <c r="K558" s="46"/>
      <c r="L558" s="46" t="s">
        <v>550</v>
      </c>
      <c r="M558" s="46"/>
      <c r="N558" s="46" t="s">
        <v>1824</v>
      </c>
      <c r="O558" s="45"/>
      <c r="P558" s="45" t="s">
        <v>767</v>
      </c>
      <c r="Q558" s="45"/>
    </row>
    <row r="559" spans="1:17" x14ac:dyDescent="0.3">
      <c r="A559" s="37"/>
      <c r="B559" s="40"/>
      <c r="C559" s="40" t="s">
        <v>1928</v>
      </c>
      <c r="D559" s="40"/>
      <c r="E559" s="7" t="s">
        <v>746</v>
      </c>
      <c r="F559" s="40" t="s">
        <v>1915</v>
      </c>
      <c r="G559" s="41" t="s">
        <v>202</v>
      </c>
      <c r="H559" s="36"/>
      <c r="I559" s="36" t="s">
        <v>1823</v>
      </c>
      <c r="J559" s="36"/>
      <c r="K559" s="46"/>
      <c r="L559" s="46" t="s">
        <v>278</v>
      </c>
      <c r="M559" s="46"/>
      <c r="N559" s="46" t="s">
        <v>1824</v>
      </c>
      <c r="O559" s="45" t="s">
        <v>2161</v>
      </c>
      <c r="P559" s="45" t="s">
        <v>767</v>
      </c>
      <c r="Q559" s="45"/>
    </row>
    <row r="560" spans="1:17" x14ac:dyDescent="0.3">
      <c r="A560" s="37"/>
      <c r="B560" s="40"/>
      <c r="C560" s="40" t="s">
        <v>2186</v>
      </c>
      <c r="D560" s="40"/>
      <c r="E560" s="7" t="s">
        <v>746</v>
      </c>
      <c r="F560" s="40" t="s">
        <v>2187</v>
      </c>
      <c r="G560" s="41" t="s">
        <v>2188</v>
      </c>
      <c r="H560" s="36"/>
      <c r="I560" s="36" t="s">
        <v>1823</v>
      </c>
      <c r="J560" s="36"/>
      <c r="K560" s="46"/>
      <c r="L560" s="46" t="s">
        <v>1242</v>
      </c>
      <c r="M560" s="46"/>
      <c r="N560" s="46" t="s">
        <v>1824</v>
      </c>
      <c r="O560" s="45"/>
      <c r="P560" s="45" t="s">
        <v>767</v>
      </c>
      <c r="Q560" s="45"/>
    </row>
    <row r="561" spans="1:17" x14ac:dyDescent="0.3">
      <c r="A561" s="37"/>
      <c r="B561" s="40"/>
      <c r="C561" s="40" t="s">
        <v>2189</v>
      </c>
      <c r="D561" s="40"/>
      <c r="E561" s="7" t="s">
        <v>746</v>
      </c>
      <c r="F561" s="40" t="s">
        <v>2162</v>
      </c>
      <c r="G561" s="41" t="s">
        <v>201</v>
      </c>
      <c r="H561" s="36"/>
      <c r="I561" s="36" t="s">
        <v>1823</v>
      </c>
      <c r="J561" s="36"/>
      <c r="K561" s="46"/>
      <c r="L561" s="46" t="s">
        <v>34</v>
      </c>
      <c r="M561" s="46"/>
      <c r="N561" s="46" t="s">
        <v>1824</v>
      </c>
      <c r="O561" s="45"/>
      <c r="P561" s="45" t="s">
        <v>767</v>
      </c>
      <c r="Q561" s="45"/>
    </row>
    <row r="562" spans="1:17" x14ac:dyDescent="0.3">
      <c r="A562" s="37"/>
      <c r="B562" s="40"/>
      <c r="C562" s="40" t="s">
        <v>2190</v>
      </c>
      <c r="D562" s="40"/>
      <c r="E562" s="7" t="s">
        <v>746</v>
      </c>
      <c r="F562" s="40" t="s">
        <v>1919</v>
      </c>
      <c r="G562" s="41" t="s">
        <v>241</v>
      </c>
      <c r="H562" s="36"/>
      <c r="I562" s="36" t="s">
        <v>1823</v>
      </c>
      <c r="J562" s="36"/>
      <c r="K562" s="46"/>
      <c r="L562" s="46" t="s">
        <v>84</v>
      </c>
      <c r="M562" s="46"/>
      <c r="N562" s="46" t="s">
        <v>1824</v>
      </c>
      <c r="O562" s="45" t="s">
        <v>2161</v>
      </c>
      <c r="P562" s="45" t="s">
        <v>767</v>
      </c>
      <c r="Q562" s="45"/>
    </row>
    <row r="563" spans="1:17" x14ac:dyDescent="0.3">
      <c r="A563" s="37"/>
      <c r="B563" s="40"/>
      <c r="C563" s="40" t="s">
        <v>2191</v>
      </c>
      <c r="D563" s="40"/>
      <c r="E563" s="7" t="s">
        <v>746</v>
      </c>
      <c r="F563" s="40" t="s">
        <v>1915</v>
      </c>
      <c r="G563" s="41" t="s">
        <v>262</v>
      </c>
      <c r="H563" s="36"/>
      <c r="I563" s="36" t="s">
        <v>1823</v>
      </c>
      <c r="J563" s="36"/>
      <c r="K563" s="46"/>
      <c r="L563" s="46" t="s">
        <v>123</v>
      </c>
      <c r="M563" s="46"/>
      <c r="N563" s="46" t="s">
        <v>1824</v>
      </c>
      <c r="O563" s="45" t="s">
        <v>2161</v>
      </c>
      <c r="P563" s="45" t="s">
        <v>767</v>
      </c>
      <c r="Q563" s="45"/>
    </row>
    <row r="564" spans="1:17" x14ac:dyDescent="0.3">
      <c r="A564" s="37"/>
      <c r="B564" s="40"/>
      <c r="C564" s="40" t="s">
        <v>2437</v>
      </c>
      <c r="D564" s="40"/>
      <c r="E564" s="7" t="s">
        <v>746</v>
      </c>
      <c r="F564" s="40" t="s">
        <v>2162</v>
      </c>
      <c r="G564" s="41" t="s">
        <v>243</v>
      </c>
      <c r="H564" s="36"/>
      <c r="I564" s="36" t="s">
        <v>1823</v>
      </c>
      <c r="J564" s="36"/>
      <c r="K564" s="46"/>
      <c r="L564" s="46" t="s">
        <v>639</v>
      </c>
      <c r="M564" s="46"/>
      <c r="N564" s="46" t="s">
        <v>1824</v>
      </c>
      <c r="O564" s="45" t="s">
        <v>2192</v>
      </c>
      <c r="P564" s="45" t="s">
        <v>767</v>
      </c>
      <c r="Q564" s="45"/>
    </row>
    <row r="565" spans="1:17" x14ac:dyDescent="0.3">
      <c r="A565" s="37"/>
      <c r="B565" s="26"/>
      <c r="C565" s="26" t="s">
        <v>2193</v>
      </c>
      <c r="D565" s="26"/>
      <c r="E565" s="7" t="s">
        <v>746</v>
      </c>
      <c r="F565" s="26" t="s">
        <v>1915</v>
      </c>
      <c r="G565" s="26" t="s">
        <v>290</v>
      </c>
      <c r="H565" s="36"/>
      <c r="I565" s="36" t="s">
        <v>1823</v>
      </c>
      <c r="J565" s="36"/>
      <c r="K565" s="46"/>
      <c r="L565" s="46" t="s">
        <v>278</v>
      </c>
      <c r="M565" s="46"/>
      <c r="N565" s="46" t="s">
        <v>1824</v>
      </c>
      <c r="O565" s="45" t="s">
        <v>2161</v>
      </c>
      <c r="P565" s="45" t="s">
        <v>767</v>
      </c>
      <c r="Q565" s="45"/>
    </row>
    <row r="566" spans="1:17" x14ac:dyDescent="0.3">
      <c r="A566" s="37"/>
      <c r="B566" s="40"/>
      <c r="C566" s="40" t="s">
        <v>2160</v>
      </c>
      <c r="D566" s="40"/>
      <c r="E566" s="7" t="s">
        <v>746</v>
      </c>
      <c r="F566" s="40" t="s">
        <v>2171</v>
      </c>
      <c r="G566" s="41" t="s">
        <v>256</v>
      </c>
      <c r="H566" s="36"/>
      <c r="I566" s="36" t="s">
        <v>1823</v>
      </c>
      <c r="J566" s="36"/>
      <c r="K566" s="46"/>
      <c r="L566" s="46" t="s">
        <v>48</v>
      </c>
      <c r="M566" s="46"/>
      <c r="N566" s="46" t="s">
        <v>1824</v>
      </c>
      <c r="O566" s="45" t="s">
        <v>2194</v>
      </c>
      <c r="P566" s="45" t="s">
        <v>767</v>
      </c>
      <c r="Q566" s="45"/>
    </row>
    <row r="567" spans="1:17" x14ac:dyDescent="0.3">
      <c r="A567" s="37"/>
      <c r="B567" s="40"/>
      <c r="C567" s="40" t="s">
        <v>2195</v>
      </c>
      <c r="D567" s="40"/>
      <c r="E567" s="7" t="s">
        <v>746</v>
      </c>
      <c r="F567" s="40" t="s">
        <v>2196</v>
      </c>
      <c r="G567" s="41" t="s">
        <v>296</v>
      </c>
      <c r="H567" s="36"/>
      <c r="I567" s="36" t="s">
        <v>1823</v>
      </c>
      <c r="J567" s="36"/>
      <c r="K567" s="46"/>
      <c r="L567" s="46" t="s">
        <v>132</v>
      </c>
      <c r="M567" s="46"/>
      <c r="N567" s="46" t="s">
        <v>1824</v>
      </c>
      <c r="O567" s="45" t="s">
        <v>2161</v>
      </c>
      <c r="P567" s="45" t="s">
        <v>767</v>
      </c>
      <c r="Q567" s="45"/>
    </row>
    <row r="568" spans="1:17" x14ac:dyDescent="0.3">
      <c r="A568" s="37"/>
      <c r="B568" s="26"/>
      <c r="C568" s="26" t="s">
        <v>2160</v>
      </c>
      <c r="D568" s="26"/>
      <c r="E568" s="7" t="s">
        <v>746</v>
      </c>
      <c r="F568" s="26" t="s">
        <v>2171</v>
      </c>
      <c r="G568" s="26" t="s">
        <v>261</v>
      </c>
      <c r="H568" s="36"/>
      <c r="I568" s="36" t="s">
        <v>1823</v>
      </c>
      <c r="J568" s="36"/>
      <c r="K568" s="46"/>
      <c r="L568" s="46" t="s">
        <v>48</v>
      </c>
      <c r="M568" s="46"/>
      <c r="N568" s="46" t="s">
        <v>1824</v>
      </c>
      <c r="O568" s="45"/>
      <c r="P568" s="45" t="s">
        <v>767</v>
      </c>
      <c r="Q568" s="45"/>
    </row>
    <row r="569" spans="1:17" x14ac:dyDescent="0.3">
      <c r="A569" s="37"/>
      <c r="B569" s="40"/>
      <c r="C569" s="40" t="s">
        <v>2197</v>
      </c>
      <c r="D569" s="40"/>
      <c r="E569" s="7" t="s">
        <v>746</v>
      </c>
      <c r="F569" s="40" t="s">
        <v>1915</v>
      </c>
      <c r="G569" s="41" t="s">
        <v>263</v>
      </c>
      <c r="H569" s="36"/>
      <c r="I569" s="36" t="s">
        <v>1823</v>
      </c>
      <c r="J569" s="36"/>
      <c r="K569" s="46"/>
      <c r="L569" s="46" t="s">
        <v>244</v>
      </c>
      <c r="M569" s="46"/>
      <c r="N569" s="46" t="s">
        <v>1824</v>
      </c>
      <c r="O569" s="45"/>
      <c r="P569" s="45" t="s">
        <v>767</v>
      </c>
      <c r="Q569" s="45"/>
    </row>
    <row r="570" spans="1:17" x14ac:dyDescent="0.3">
      <c r="A570" s="37"/>
      <c r="B570" s="40"/>
      <c r="C570" s="40" t="s">
        <v>1933</v>
      </c>
      <c r="D570" s="40"/>
      <c r="E570" s="7" t="s">
        <v>746</v>
      </c>
      <c r="F570" s="40" t="s">
        <v>1915</v>
      </c>
      <c r="G570" s="41" t="s">
        <v>1008</v>
      </c>
      <c r="H570" s="36"/>
      <c r="I570" s="36" t="s">
        <v>1823</v>
      </c>
      <c r="J570" s="36"/>
      <c r="K570" s="46"/>
      <c r="L570" s="46" t="s">
        <v>300</v>
      </c>
      <c r="M570" s="46"/>
      <c r="N570" s="46" t="s">
        <v>1824</v>
      </c>
      <c r="O570" s="45"/>
      <c r="P570" s="45" t="s">
        <v>767</v>
      </c>
      <c r="Q570" s="45"/>
    </row>
    <row r="571" spans="1:17" x14ac:dyDescent="0.3">
      <c r="A571" s="37"/>
      <c r="B571" s="40"/>
      <c r="C571" s="40" t="s">
        <v>2198</v>
      </c>
      <c r="D571" s="40"/>
      <c r="E571" s="7" t="s">
        <v>746</v>
      </c>
      <c r="F571" s="40" t="s">
        <v>1915</v>
      </c>
      <c r="G571" s="41" t="s">
        <v>330</v>
      </c>
      <c r="H571" s="36"/>
      <c r="I571" s="36" t="s">
        <v>1823</v>
      </c>
      <c r="J571" s="36"/>
      <c r="K571" s="46"/>
      <c r="L571" s="46" t="s">
        <v>188</v>
      </c>
      <c r="M571" s="46"/>
      <c r="N571" s="46" t="s">
        <v>1824</v>
      </c>
      <c r="O571" s="45" t="s">
        <v>2161</v>
      </c>
      <c r="P571" s="45" t="s">
        <v>767</v>
      </c>
      <c r="Q571" s="45"/>
    </row>
    <row r="572" spans="1:17" x14ac:dyDescent="0.3">
      <c r="A572" s="37"/>
      <c r="B572" s="40"/>
      <c r="C572" s="40" t="s">
        <v>2158</v>
      </c>
      <c r="D572" s="40"/>
      <c r="E572" s="7" t="s">
        <v>746</v>
      </c>
      <c r="F572" s="40" t="s">
        <v>1915</v>
      </c>
      <c r="G572" s="41" t="s">
        <v>2199</v>
      </c>
      <c r="H572" s="36"/>
      <c r="I572" s="36" t="s">
        <v>1823</v>
      </c>
      <c r="J572" s="36"/>
      <c r="K572" s="46"/>
      <c r="L572" s="46" t="s">
        <v>84</v>
      </c>
      <c r="M572" s="46"/>
      <c r="N572" s="46" t="s">
        <v>1824</v>
      </c>
      <c r="O572" s="45" t="s">
        <v>2161</v>
      </c>
      <c r="P572" s="45" t="s">
        <v>767</v>
      </c>
      <c r="Q572" s="45"/>
    </row>
    <row r="573" spans="1:17" x14ac:dyDescent="0.3">
      <c r="A573" s="37"/>
      <c r="B573" s="40"/>
      <c r="C573" s="40" t="s">
        <v>2030</v>
      </c>
      <c r="D573" s="40"/>
      <c r="E573" s="7" t="s">
        <v>746</v>
      </c>
      <c r="F573" s="40" t="s">
        <v>1915</v>
      </c>
      <c r="G573" s="41" t="s">
        <v>321</v>
      </c>
      <c r="H573" s="36"/>
      <c r="I573" s="36" t="s">
        <v>1823</v>
      </c>
      <c r="J573" s="36"/>
      <c r="K573" s="46"/>
      <c r="L573" s="46" t="s">
        <v>333</v>
      </c>
      <c r="M573" s="46"/>
      <c r="N573" s="46" t="s">
        <v>1824</v>
      </c>
      <c r="O573" s="45"/>
      <c r="P573" s="45" t="s">
        <v>767</v>
      </c>
      <c r="Q573" s="45"/>
    </row>
    <row r="574" spans="1:17" x14ac:dyDescent="0.3">
      <c r="A574" s="37"/>
      <c r="B574" s="40"/>
      <c r="C574" s="40" t="s">
        <v>2186</v>
      </c>
      <c r="D574" s="40"/>
      <c r="E574" s="7" t="s">
        <v>746</v>
      </c>
      <c r="F574" s="40" t="s">
        <v>1915</v>
      </c>
      <c r="G574" s="41" t="s">
        <v>372</v>
      </c>
      <c r="H574" s="36"/>
      <c r="I574" s="36" t="s">
        <v>1823</v>
      </c>
      <c r="J574" s="36"/>
      <c r="K574" s="46"/>
      <c r="L574" s="46" t="s">
        <v>242</v>
      </c>
      <c r="M574" s="46"/>
      <c r="N574" s="46" t="s">
        <v>1824</v>
      </c>
      <c r="O574" s="45" t="s">
        <v>2200</v>
      </c>
      <c r="P574" s="45" t="s">
        <v>767</v>
      </c>
      <c r="Q574" s="45"/>
    </row>
    <row r="575" spans="1:17" x14ac:dyDescent="0.3">
      <c r="A575" s="37"/>
      <c r="B575" s="40"/>
      <c r="C575" s="40" t="s">
        <v>1928</v>
      </c>
      <c r="D575" s="40"/>
      <c r="E575" s="7" t="s">
        <v>746</v>
      </c>
      <c r="F575" s="40" t="s">
        <v>1915</v>
      </c>
      <c r="G575" s="41" t="s">
        <v>373</v>
      </c>
      <c r="H575" s="36"/>
      <c r="I575" s="36" t="s">
        <v>1823</v>
      </c>
      <c r="J575" s="36"/>
      <c r="K575" s="46"/>
      <c r="L575" s="46" t="s">
        <v>278</v>
      </c>
      <c r="M575" s="46"/>
      <c r="N575" s="46" t="s">
        <v>1824</v>
      </c>
      <c r="O575" s="45" t="s">
        <v>2161</v>
      </c>
      <c r="P575" s="45" t="s">
        <v>767</v>
      </c>
      <c r="Q575" s="45"/>
    </row>
    <row r="576" spans="1:17" x14ac:dyDescent="0.3">
      <c r="A576" s="37"/>
      <c r="B576" s="40"/>
      <c r="C576" s="40" t="s">
        <v>2201</v>
      </c>
      <c r="D576" s="40"/>
      <c r="E576" s="7" t="s">
        <v>746</v>
      </c>
      <c r="F576" s="40" t="s">
        <v>1919</v>
      </c>
      <c r="G576" s="41" t="s">
        <v>531</v>
      </c>
      <c r="H576" s="36"/>
      <c r="I576" s="36" t="s">
        <v>1823</v>
      </c>
      <c r="J576" s="36"/>
      <c r="K576" s="46"/>
      <c r="L576" s="46" t="s">
        <v>142</v>
      </c>
      <c r="M576" s="46"/>
      <c r="N576" s="46" t="s">
        <v>1824</v>
      </c>
      <c r="O576" s="45" t="s">
        <v>2202</v>
      </c>
      <c r="P576" s="45" t="s">
        <v>767</v>
      </c>
      <c r="Q576" s="45"/>
    </row>
    <row r="577" spans="1:17" x14ac:dyDescent="0.3">
      <c r="A577" s="37"/>
      <c r="B577" s="40"/>
      <c r="C577" s="40" t="s">
        <v>2203</v>
      </c>
      <c r="D577" s="40"/>
      <c r="E577" s="7" t="s">
        <v>746</v>
      </c>
      <c r="F577" s="40" t="s">
        <v>2204</v>
      </c>
      <c r="G577" s="41" t="s">
        <v>408</v>
      </c>
      <c r="H577" s="36"/>
      <c r="I577" s="36" t="s">
        <v>1823</v>
      </c>
      <c r="J577" s="36"/>
      <c r="K577" s="46"/>
      <c r="L577" s="46" t="s">
        <v>49</v>
      </c>
      <c r="M577" s="46"/>
      <c r="N577" s="46" t="s">
        <v>1824</v>
      </c>
      <c r="O577" s="45" t="s">
        <v>2205</v>
      </c>
      <c r="P577" s="45" t="s">
        <v>767</v>
      </c>
      <c r="Q577" s="45"/>
    </row>
    <row r="578" spans="1:17" x14ac:dyDescent="0.3">
      <c r="A578" s="37"/>
      <c r="B578" s="40"/>
      <c r="C578" s="40" t="s">
        <v>1933</v>
      </c>
      <c r="D578" s="40"/>
      <c r="E578" s="7" t="s">
        <v>746</v>
      </c>
      <c r="F578" s="40" t="s">
        <v>1915</v>
      </c>
      <c r="G578" s="41" t="s">
        <v>543</v>
      </c>
      <c r="H578" s="36"/>
      <c r="I578" s="36" t="s">
        <v>1823</v>
      </c>
      <c r="J578" s="36"/>
      <c r="K578" s="46"/>
      <c r="L578" s="46" t="s">
        <v>181</v>
      </c>
      <c r="M578" s="46"/>
      <c r="N578" s="46" t="s">
        <v>1824</v>
      </c>
      <c r="O578" s="45" t="s">
        <v>2202</v>
      </c>
      <c r="P578" s="45" t="s">
        <v>767</v>
      </c>
      <c r="Q578" s="45"/>
    </row>
    <row r="579" spans="1:17" x14ac:dyDescent="0.3">
      <c r="A579" s="37"/>
      <c r="B579" s="40"/>
      <c r="C579" s="40" t="s">
        <v>1928</v>
      </c>
      <c r="D579" s="40"/>
      <c r="E579" s="7" t="s">
        <v>746</v>
      </c>
      <c r="F579" s="40" t="s">
        <v>2162</v>
      </c>
      <c r="G579" s="41" t="s">
        <v>385</v>
      </c>
      <c r="H579" s="36"/>
      <c r="I579" s="36" t="s">
        <v>1823</v>
      </c>
      <c r="J579" s="36"/>
      <c r="K579" s="46"/>
      <c r="L579" s="46" t="s">
        <v>285</v>
      </c>
      <c r="M579" s="46"/>
      <c r="N579" s="46" t="s">
        <v>1824</v>
      </c>
      <c r="O579" s="45" t="s">
        <v>2166</v>
      </c>
      <c r="P579" s="45" t="s">
        <v>767</v>
      </c>
      <c r="Q579" s="45"/>
    </row>
    <row r="580" spans="1:17" x14ac:dyDescent="0.3">
      <c r="A580" s="37"/>
      <c r="B580" s="40"/>
      <c r="C580" s="40" t="s">
        <v>2206</v>
      </c>
      <c r="D580" s="40"/>
      <c r="E580" s="7" t="s">
        <v>746</v>
      </c>
      <c r="F580" s="40" t="s">
        <v>1915</v>
      </c>
      <c r="G580" s="41" t="s">
        <v>416</v>
      </c>
      <c r="H580" s="36"/>
      <c r="I580" s="36" t="s">
        <v>1823</v>
      </c>
      <c r="J580" s="36"/>
      <c r="K580" s="46"/>
      <c r="L580" s="46" t="s">
        <v>188</v>
      </c>
      <c r="M580" s="46"/>
      <c r="N580" s="46" t="s">
        <v>1824</v>
      </c>
      <c r="O580" s="45" t="s">
        <v>2161</v>
      </c>
      <c r="P580" s="45" t="s">
        <v>767</v>
      </c>
      <c r="Q580" s="45"/>
    </row>
    <row r="581" spans="1:17" x14ac:dyDescent="0.3">
      <c r="A581" s="37"/>
      <c r="B581" s="40"/>
      <c r="C581" s="40" t="s">
        <v>2207</v>
      </c>
      <c r="D581" s="40"/>
      <c r="E581" s="7" t="s">
        <v>746</v>
      </c>
      <c r="F581" s="40" t="s">
        <v>1915</v>
      </c>
      <c r="G581" s="41" t="s">
        <v>401</v>
      </c>
      <c r="H581" s="36"/>
      <c r="I581" s="36" t="s">
        <v>1823</v>
      </c>
      <c r="J581" s="36"/>
      <c r="K581" s="46"/>
      <c r="L581" s="46" t="s">
        <v>293</v>
      </c>
      <c r="M581" s="46"/>
      <c r="N581" s="46" t="s">
        <v>1824</v>
      </c>
      <c r="O581" s="45" t="s">
        <v>2166</v>
      </c>
      <c r="P581" s="45" t="s">
        <v>767</v>
      </c>
      <c r="Q581" s="45"/>
    </row>
    <row r="582" spans="1:17" x14ac:dyDescent="0.3">
      <c r="A582" s="37"/>
      <c r="B582" s="40"/>
      <c r="C582" s="40" t="s">
        <v>2193</v>
      </c>
      <c r="D582" s="40"/>
      <c r="E582" s="7" t="s">
        <v>746</v>
      </c>
      <c r="F582" s="40" t="s">
        <v>1919</v>
      </c>
      <c r="G582" s="41" t="s">
        <v>402</v>
      </c>
      <c r="H582" s="36"/>
      <c r="I582" s="36" t="s">
        <v>1823</v>
      </c>
      <c r="J582" s="36"/>
      <c r="K582" s="46"/>
      <c r="L582" s="46" t="s">
        <v>285</v>
      </c>
      <c r="M582" s="46"/>
      <c r="N582" s="46" t="s">
        <v>1824</v>
      </c>
      <c r="O582" s="45" t="s">
        <v>2166</v>
      </c>
      <c r="P582" s="45" t="s">
        <v>767</v>
      </c>
      <c r="Q582" s="45"/>
    </row>
    <row r="583" spans="1:17" x14ac:dyDescent="0.3">
      <c r="A583" s="37"/>
      <c r="B583" s="40"/>
      <c r="C583" s="40" t="s">
        <v>2208</v>
      </c>
      <c r="D583" s="40"/>
      <c r="E583" s="7" t="s">
        <v>746</v>
      </c>
      <c r="F583" s="40" t="s">
        <v>1915</v>
      </c>
      <c r="G583" s="41" t="s">
        <v>421</v>
      </c>
      <c r="H583" s="36"/>
      <c r="I583" s="36" t="s">
        <v>1823</v>
      </c>
      <c r="J583" s="36"/>
      <c r="K583" s="46"/>
      <c r="L583" s="46" t="s">
        <v>258</v>
      </c>
      <c r="M583" s="46"/>
      <c r="N583" s="46" t="s">
        <v>1824</v>
      </c>
      <c r="O583" s="45" t="s">
        <v>2161</v>
      </c>
      <c r="P583" s="45" t="s">
        <v>767</v>
      </c>
      <c r="Q583" s="45"/>
    </row>
    <row r="584" spans="1:17" x14ac:dyDescent="0.3">
      <c r="A584" s="37"/>
      <c r="B584" s="40"/>
      <c r="C584" s="40" t="s">
        <v>2158</v>
      </c>
      <c r="D584" s="40"/>
      <c r="E584" s="7" t="s">
        <v>746</v>
      </c>
      <c r="F584" s="40" t="s">
        <v>2204</v>
      </c>
      <c r="G584" s="41" t="s">
        <v>453</v>
      </c>
      <c r="H584" s="36"/>
      <c r="I584" s="36" t="s">
        <v>1823</v>
      </c>
      <c r="J584" s="36"/>
      <c r="K584" s="46"/>
      <c r="L584" s="46" t="s">
        <v>84</v>
      </c>
      <c r="M584" s="46"/>
      <c r="N584" s="46" t="s">
        <v>1824</v>
      </c>
      <c r="O584" s="45" t="s">
        <v>2161</v>
      </c>
      <c r="P584" s="45" t="s">
        <v>767</v>
      </c>
      <c r="Q584" s="45"/>
    </row>
    <row r="585" spans="1:17" x14ac:dyDescent="0.3">
      <c r="A585" s="37"/>
      <c r="B585" s="40"/>
      <c r="C585" s="40" t="s">
        <v>2160</v>
      </c>
      <c r="D585" s="40"/>
      <c r="E585" s="7" t="s">
        <v>746</v>
      </c>
      <c r="F585" s="40" t="s">
        <v>2171</v>
      </c>
      <c r="G585" s="41" t="s">
        <v>417</v>
      </c>
      <c r="H585" s="36"/>
      <c r="I585" s="36" t="s">
        <v>1823</v>
      </c>
      <c r="J585" s="36"/>
      <c r="K585" s="46"/>
      <c r="L585" s="46" t="s">
        <v>48</v>
      </c>
      <c r="M585" s="46"/>
      <c r="N585" s="46" t="s">
        <v>1824</v>
      </c>
      <c r="O585" s="45"/>
      <c r="P585" s="45" t="s">
        <v>767</v>
      </c>
      <c r="Q585" s="45"/>
    </row>
    <row r="586" spans="1:17" x14ac:dyDescent="0.3">
      <c r="A586" s="37"/>
      <c r="B586" s="40"/>
      <c r="C586" s="40" t="s">
        <v>2209</v>
      </c>
      <c r="D586" s="40"/>
      <c r="E586" s="7" t="s">
        <v>746</v>
      </c>
      <c r="F586" s="40" t="s">
        <v>1915</v>
      </c>
      <c r="G586" s="41" t="s">
        <v>475</v>
      </c>
      <c r="H586" s="36"/>
      <c r="I586" s="36" t="s">
        <v>1823</v>
      </c>
      <c r="J586" s="36"/>
      <c r="K586" s="46"/>
      <c r="L586" s="46" t="s">
        <v>258</v>
      </c>
      <c r="M586" s="46"/>
      <c r="N586" s="46" t="s">
        <v>1824</v>
      </c>
      <c r="O586" s="45" t="s">
        <v>2210</v>
      </c>
      <c r="P586" s="45" t="s">
        <v>767</v>
      </c>
      <c r="Q586" s="45"/>
    </row>
    <row r="587" spans="1:17" x14ac:dyDescent="0.3">
      <c r="A587" s="37"/>
      <c r="B587" s="40"/>
      <c r="C587" s="40" t="s">
        <v>2437</v>
      </c>
      <c r="D587" s="40"/>
      <c r="E587" s="7" t="s">
        <v>746</v>
      </c>
      <c r="F587" s="40" t="s">
        <v>1915</v>
      </c>
      <c r="G587" s="41" t="s">
        <v>423</v>
      </c>
      <c r="H587" s="36"/>
      <c r="I587" s="36" t="s">
        <v>1823</v>
      </c>
      <c r="J587" s="36"/>
      <c r="K587" s="46"/>
      <c r="L587" s="46" t="s">
        <v>639</v>
      </c>
      <c r="M587" s="46"/>
      <c r="N587" s="46" t="s">
        <v>1824</v>
      </c>
      <c r="O587" s="45" t="s">
        <v>2211</v>
      </c>
      <c r="P587" s="45" t="s">
        <v>767</v>
      </c>
      <c r="Q587" s="45"/>
    </row>
    <row r="588" spans="1:17" x14ac:dyDescent="0.3">
      <c r="A588" s="37"/>
      <c r="B588" s="40"/>
      <c r="C588" s="40" t="s">
        <v>2160</v>
      </c>
      <c r="D588" s="40"/>
      <c r="E588" s="7" t="s">
        <v>746</v>
      </c>
      <c r="F588" s="40" t="s">
        <v>1915</v>
      </c>
      <c r="G588" s="41" t="s">
        <v>424</v>
      </c>
      <c r="H588" s="36"/>
      <c r="I588" s="36" t="s">
        <v>1823</v>
      </c>
      <c r="J588" s="36"/>
      <c r="K588" s="46"/>
      <c r="L588" s="46" t="s">
        <v>285</v>
      </c>
      <c r="M588" s="46"/>
      <c r="N588" s="46" t="s">
        <v>1824</v>
      </c>
      <c r="O588" s="45" t="s">
        <v>2166</v>
      </c>
      <c r="P588" s="45" t="s">
        <v>767</v>
      </c>
      <c r="Q588" s="45"/>
    </row>
    <row r="589" spans="1:17" x14ac:dyDescent="0.3">
      <c r="A589" s="37"/>
      <c r="B589" s="40"/>
      <c r="C589" s="40" t="s">
        <v>2189</v>
      </c>
      <c r="D589" s="40"/>
      <c r="E589" s="7" t="s">
        <v>746</v>
      </c>
      <c r="F589" s="40" t="s">
        <v>1915</v>
      </c>
      <c r="G589" s="41" t="s">
        <v>484</v>
      </c>
      <c r="H589" s="36"/>
      <c r="I589" s="36" t="s">
        <v>1823</v>
      </c>
      <c r="J589" s="36"/>
      <c r="K589" s="46"/>
      <c r="L589" s="46" t="s">
        <v>154</v>
      </c>
      <c r="M589" s="46"/>
      <c r="N589" s="46" t="s">
        <v>1824</v>
      </c>
      <c r="O589" s="45"/>
      <c r="P589" s="45" t="s">
        <v>767</v>
      </c>
      <c r="Q589" s="45"/>
    </row>
    <row r="590" spans="1:17" x14ac:dyDescent="0.3">
      <c r="A590" s="37"/>
      <c r="B590" s="40"/>
      <c r="C590" s="40" t="s">
        <v>2212</v>
      </c>
      <c r="D590" s="40"/>
      <c r="E590" s="7" t="s">
        <v>746</v>
      </c>
      <c r="F590" s="40" t="s">
        <v>1915</v>
      </c>
      <c r="G590" s="41" t="s">
        <v>437</v>
      </c>
      <c r="H590" s="36"/>
      <c r="I590" s="36" t="s">
        <v>1823</v>
      </c>
      <c r="J590" s="36"/>
      <c r="K590" s="46"/>
      <c r="L590" s="46" t="s">
        <v>293</v>
      </c>
      <c r="M590" s="46"/>
      <c r="N590" s="46" t="s">
        <v>1824</v>
      </c>
      <c r="O590" s="45" t="s">
        <v>2166</v>
      </c>
      <c r="P590" s="45" t="s">
        <v>767</v>
      </c>
      <c r="Q590" s="45"/>
    </row>
    <row r="591" spans="1:17" x14ac:dyDescent="0.3">
      <c r="A591" s="37"/>
      <c r="B591" s="40"/>
      <c r="C591" s="40" t="s">
        <v>2213</v>
      </c>
      <c r="D591" s="40"/>
      <c r="E591" s="7" t="s">
        <v>746</v>
      </c>
      <c r="F591" s="40" t="s">
        <v>1915</v>
      </c>
      <c r="G591" s="41" t="s">
        <v>446</v>
      </c>
      <c r="H591" s="36"/>
      <c r="I591" s="36" t="s">
        <v>1823</v>
      </c>
      <c r="J591" s="36"/>
      <c r="K591" s="46"/>
      <c r="L591" s="46" t="s">
        <v>309</v>
      </c>
      <c r="M591" s="46"/>
      <c r="N591" s="46" t="s">
        <v>1824</v>
      </c>
      <c r="O591" s="45" t="s">
        <v>2166</v>
      </c>
      <c r="P591" s="45" t="s">
        <v>767</v>
      </c>
      <c r="Q591" s="45"/>
    </row>
    <row r="592" spans="1:17" x14ac:dyDescent="0.3">
      <c r="A592" s="37"/>
      <c r="B592" s="40"/>
      <c r="C592" s="40" t="s">
        <v>2076</v>
      </c>
      <c r="D592" s="40"/>
      <c r="E592" s="7" t="s">
        <v>746</v>
      </c>
      <c r="F592" s="40" t="s">
        <v>1919</v>
      </c>
      <c r="G592" s="41" t="s">
        <v>464</v>
      </c>
      <c r="H592" s="36"/>
      <c r="I592" s="36" t="s">
        <v>1823</v>
      </c>
      <c r="J592" s="36"/>
      <c r="K592" s="46"/>
      <c r="L592" s="46" t="s">
        <v>633</v>
      </c>
      <c r="M592" s="46"/>
      <c r="N592" s="46" t="s">
        <v>1824</v>
      </c>
      <c r="O592" s="45"/>
      <c r="P592" s="45" t="s">
        <v>767</v>
      </c>
      <c r="Q592" s="45"/>
    </row>
    <row r="593" spans="1:17" x14ac:dyDescent="0.3">
      <c r="A593" s="37"/>
      <c r="B593" s="40"/>
      <c r="C593" s="40" t="s">
        <v>2197</v>
      </c>
      <c r="D593" s="40"/>
      <c r="E593" s="7" t="s">
        <v>746</v>
      </c>
      <c r="F593" s="40" t="s">
        <v>1915</v>
      </c>
      <c r="G593" s="41" t="s">
        <v>465</v>
      </c>
      <c r="H593" s="36"/>
      <c r="I593" s="36" t="s">
        <v>1823</v>
      </c>
      <c r="J593" s="36"/>
      <c r="K593" s="46"/>
      <c r="L593" s="46" t="s">
        <v>244</v>
      </c>
      <c r="M593" s="46"/>
      <c r="N593" s="46" t="s">
        <v>1824</v>
      </c>
      <c r="O593" s="45"/>
      <c r="P593" s="45" t="s">
        <v>767</v>
      </c>
      <c r="Q593" s="45"/>
    </row>
    <row r="594" spans="1:17" x14ac:dyDescent="0.3">
      <c r="A594" s="37"/>
      <c r="B594" s="40"/>
      <c r="C594" s="40" t="s">
        <v>2160</v>
      </c>
      <c r="D594" s="40"/>
      <c r="E594" s="7" t="s">
        <v>746</v>
      </c>
      <c r="F594" s="40" t="s">
        <v>1915</v>
      </c>
      <c r="G594" s="41" t="s">
        <v>534</v>
      </c>
      <c r="H594" s="36"/>
      <c r="I594" s="36" t="s">
        <v>1823</v>
      </c>
      <c r="J594" s="36"/>
      <c r="K594" s="46"/>
      <c r="L594" s="46" t="s">
        <v>154</v>
      </c>
      <c r="M594" s="46"/>
      <c r="N594" s="46" t="s">
        <v>1824</v>
      </c>
      <c r="O594" s="45" t="s">
        <v>2214</v>
      </c>
      <c r="P594" s="45" t="s">
        <v>767</v>
      </c>
      <c r="Q594" s="45"/>
    </row>
    <row r="595" spans="1:17" x14ac:dyDescent="0.3">
      <c r="A595" s="37"/>
      <c r="B595" s="40"/>
      <c r="C595" s="40" t="s">
        <v>1928</v>
      </c>
      <c r="D595" s="40"/>
      <c r="E595" s="7" t="s">
        <v>746</v>
      </c>
      <c r="F595" s="40" t="s">
        <v>1915</v>
      </c>
      <c r="G595" s="41" t="s">
        <v>536</v>
      </c>
      <c r="H595" s="36"/>
      <c r="I595" s="36" t="s">
        <v>1823</v>
      </c>
      <c r="J595" s="36"/>
      <c r="K595" s="46"/>
      <c r="L595" s="46" t="s">
        <v>123</v>
      </c>
      <c r="M595" s="46"/>
      <c r="N595" s="46" t="s">
        <v>1824</v>
      </c>
      <c r="O595" s="45" t="s">
        <v>2161</v>
      </c>
      <c r="P595" s="45" t="s">
        <v>767</v>
      </c>
      <c r="Q595" s="45"/>
    </row>
    <row r="596" spans="1:17" x14ac:dyDescent="0.3">
      <c r="A596" s="37"/>
      <c r="B596" s="40"/>
      <c r="C596" s="40" t="s">
        <v>2073</v>
      </c>
      <c r="D596" s="40"/>
      <c r="E596" s="7" t="s">
        <v>746</v>
      </c>
      <c r="F596" s="40" t="s">
        <v>1915</v>
      </c>
      <c r="G596" s="41" t="s">
        <v>577</v>
      </c>
      <c r="H596" s="36"/>
      <c r="I596" s="36" t="s">
        <v>1823</v>
      </c>
      <c r="J596" s="36"/>
      <c r="K596" s="46"/>
      <c r="L596" s="46" t="s">
        <v>550</v>
      </c>
      <c r="M596" s="46"/>
      <c r="N596" s="46" t="s">
        <v>1824</v>
      </c>
      <c r="O596" s="45" t="s">
        <v>2215</v>
      </c>
      <c r="P596" s="45" t="s">
        <v>767</v>
      </c>
      <c r="Q596" s="45"/>
    </row>
    <row r="597" spans="1:17" x14ac:dyDescent="0.3">
      <c r="A597" s="37"/>
      <c r="B597" s="40"/>
      <c r="C597" s="40" t="s">
        <v>2216</v>
      </c>
      <c r="D597" s="40"/>
      <c r="E597" s="7" t="s">
        <v>746</v>
      </c>
      <c r="F597" s="40" t="s">
        <v>1915</v>
      </c>
      <c r="G597" s="41" t="s">
        <v>1316</v>
      </c>
      <c r="H597" s="36"/>
      <c r="I597" s="36" t="s">
        <v>1823</v>
      </c>
      <c r="J597" s="36"/>
      <c r="K597" s="46"/>
      <c r="L597" s="46" t="s">
        <v>633</v>
      </c>
      <c r="M597" s="46"/>
      <c r="N597" s="46" t="s">
        <v>1824</v>
      </c>
      <c r="O597" s="45"/>
      <c r="P597" s="45" t="s">
        <v>767</v>
      </c>
      <c r="Q597" s="45"/>
    </row>
    <row r="598" spans="1:17" x14ac:dyDescent="0.3">
      <c r="A598" s="37"/>
      <c r="B598" s="40"/>
      <c r="C598" s="40" t="s">
        <v>2160</v>
      </c>
      <c r="D598" s="40"/>
      <c r="E598" s="7" t="s">
        <v>746</v>
      </c>
      <c r="F598" s="40" t="s">
        <v>1915</v>
      </c>
      <c r="G598" s="41" t="s">
        <v>501</v>
      </c>
      <c r="H598" s="36"/>
      <c r="I598" s="36" t="s">
        <v>1823</v>
      </c>
      <c r="J598" s="36"/>
      <c r="K598" s="46"/>
      <c r="L598" s="46" t="s">
        <v>309</v>
      </c>
      <c r="M598" s="46"/>
      <c r="N598" s="46" t="s">
        <v>1824</v>
      </c>
      <c r="O598" s="45" t="s">
        <v>2166</v>
      </c>
      <c r="P598" s="45" t="s">
        <v>767</v>
      </c>
      <c r="Q598" s="45"/>
    </row>
    <row r="599" spans="1:17" x14ac:dyDescent="0.3">
      <c r="A599" s="37"/>
      <c r="B599" s="40"/>
      <c r="C599" s="40" t="s">
        <v>2076</v>
      </c>
      <c r="D599" s="40"/>
      <c r="E599" s="7" t="s">
        <v>746</v>
      </c>
      <c r="F599" s="40" t="s">
        <v>1915</v>
      </c>
      <c r="G599" s="41" t="s">
        <v>502</v>
      </c>
      <c r="H599" s="36"/>
      <c r="I599" s="36" t="s">
        <v>1823</v>
      </c>
      <c r="J599" s="36"/>
      <c r="K599" s="46"/>
      <c r="L599" s="46" t="s">
        <v>169</v>
      </c>
      <c r="M599" s="46"/>
      <c r="N599" s="46" t="s">
        <v>1824</v>
      </c>
      <c r="O599" s="45"/>
      <c r="P599" s="45" t="s">
        <v>767</v>
      </c>
      <c r="Q599" s="45"/>
    </row>
    <row r="600" spans="1:17" x14ac:dyDescent="0.3">
      <c r="A600" s="37"/>
      <c r="B600" s="40"/>
      <c r="C600" s="40" t="s">
        <v>2208</v>
      </c>
      <c r="D600" s="40"/>
      <c r="E600" s="7" t="s">
        <v>746</v>
      </c>
      <c r="F600" s="40" t="s">
        <v>1915</v>
      </c>
      <c r="G600" s="41" t="s">
        <v>578</v>
      </c>
      <c r="H600" s="36"/>
      <c r="I600" s="36" t="s">
        <v>1823</v>
      </c>
      <c r="J600" s="36"/>
      <c r="K600" s="46"/>
      <c r="L600" s="46" t="s">
        <v>244</v>
      </c>
      <c r="M600" s="46"/>
      <c r="N600" s="46" t="s">
        <v>1824</v>
      </c>
      <c r="O600" s="45" t="s">
        <v>2217</v>
      </c>
      <c r="P600" s="45" t="s">
        <v>767</v>
      </c>
      <c r="Q600" s="45"/>
    </row>
    <row r="601" spans="1:17" x14ac:dyDescent="0.3">
      <c r="A601" s="37"/>
      <c r="B601" s="40"/>
      <c r="C601" s="40" t="s">
        <v>2030</v>
      </c>
      <c r="D601" s="40"/>
      <c r="E601" s="7" t="s">
        <v>746</v>
      </c>
      <c r="F601" s="40" t="s">
        <v>1915</v>
      </c>
      <c r="G601" s="41" t="s">
        <v>519</v>
      </c>
      <c r="H601" s="36"/>
      <c r="I601" s="36" t="s">
        <v>1823</v>
      </c>
      <c r="J601" s="36"/>
      <c r="K601" s="46"/>
      <c r="L601" s="46" t="s">
        <v>333</v>
      </c>
      <c r="M601" s="46"/>
      <c r="N601" s="46" t="s">
        <v>1824</v>
      </c>
      <c r="O601" s="45"/>
      <c r="P601" s="45" t="s">
        <v>767</v>
      </c>
      <c r="Q601" s="45"/>
    </row>
    <row r="602" spans="1:17" x14ac:dyDescent="0.3">
      <c r="A602" s="37"/>
      <c r="B602" s="40"/>
      <c r="C602" s="40" t="s">
        <v>2218</v>
      </c>
      <c r="D602" s="40"/>
      <c r="E602" s="7" t="s">
        <v>746</v>
      </c>
      <c r="F602" s="40" t="s">
        <v>1915</v>
      </c>
      <c r="G602" s="41" t="s">
        <v>598</v>
      </c>
      <c r="H602" s="36"/>
      <c r="I602" s="36" t="s">
        <v>1823</v>
      </c>
      <c r="J602" s="36"/>
      <c r="K602" s="46"/>
      <c r="L602" s="46" t="s">
        <v>550</v>
      </c>
      <c r="M602" s="46"/>
      <c r="N602" s="46" t="s">
        <v>1824</v>
      </c>
      <c r="O602" s="45" t="s">
        <v>2215</v>
      </c>
      <c r="P602" s="45" t="s">
        <v>767</v>
      </c>
      <c r="Q602" s="45"/>
    </row>
    <row r="603" spans="1:17" x14ac:dyDescent="0.3">
      <c r="A603" s="37"/>
      <c r="B603" s="40"/>
      <c r="C603" s="40" t="s">
        <v>2219</v>
      </c>
      <c r="D603" s="40"/>
      <c r="E603" s="7" t="s">
        <v>746</v>
      </c>
      <c r="F603" s="40" t="s">
        <v>1915</v>
      </c>
      <c r="G603" s="41" t="s">
        <v>374</v>
      </c>
      <c r="H603" s="36"/>
      <c r="I603" s="36" t="s">
        <v>1823</v>
      </c>
      <c r="J603" s="36"/>
      <c r="K603" s="46"/>
      <c r="L603" s="46" t="s">
        <v>1541</v>
      </c>
      <c r="M603" s="46"/>
      <c r="N603" s="46" t="s">
        <v>1824</v>
      </c>
      <c r="O603" s="45" t="s">
        <v>2202</v>
      </c>
      <c r="P603" s="45" t="s">
        <v>767</v>
      </c>
      <c r="Q603" s="45"/>
    </row>
    <row r="604" spans="1:17" x14ac:dyDescent="0.3">
      <c r="A604" s="37"/>
      <c r="B604" s="40"/>
      <c r="C604" s="40" t="s">
        <v>2160</v>
      </c>
      <c r="D604" s="40"/>
      <c r="E604" s="7" t="s">
        <v>746</v>
      </c>
      <c r="F604" s="40" t="s">
        <v>1915</v>
      </c>
      <c r="G604" s="41" t="s">
        <v>1843</v>
      </c>
      <c r="H604" s="36"/>
      <c r="I604" s="36" t="s">
        <v>1844</v>
      </c>
      <c r="J604" s="36"/>
      <c r="K604" s="46"/>
      <c r="L604" s="46" t="s">
        <v>258</v>
      </c>
      <c r="M604" s="46"/>
      <c r="N604" s="46" t="s">
        <v>1822</v>
      </c>
      <c r="O604" s="45" t="s">
        <v>2220</v>
      </c>
      <c r="P604" s="45" t="s">
        <v>767</v>
      </c>
      <c r="Q604" s="45"/>
    </row>
    <row r="605" spans="1:17" x14ac:dyDescent="0.3">
      <c r="A605" s="37"/>
      <c r="B605" s="40"/>
      <c r="C605" s="40" t="s">
        <v>2201</v>
      </c>
      <c r="D605" s="40"/>
      <c r="E605" s="7" t="s">
        <v>746</v>
      </c>
      <c r="F605" s="40" t="s">
        <v>1919</v>
      </c>
      <c r="G605" s="41" t="s">
        <v>537</v>
      </c>
      <c r="H605" s="36"/>
      <c r="I605" s="36" t="s">
        <v>1823</v>
      </c>
      <c r="J605" s="36"/>
      <c r="K605" s="46"/>
      <c r="L605" s="46" t="s">
        <v>285</v>
      </c>
      <c r="M605" s="46"/>
      <c r="N605" s="46" t="s">
        <v>1824</v>
      </c>
      <c r="O605" s="45" t="s">
        <v>2166</v>
      </c>
      <c r="P605" s="45" t="s">
        <v>767</v>
      </c>
      <c r="Q605" s="45"/>
    </row>
    <row r="606" spans="1:17" x14ac:dyDescent="0.3">
      <c r="A606" s="37"/>
      <c r="B606" s="40"/>
      <c r="C606" s="40" t="s">
        <v>2160</v>
      </c>
      <c r="D606" s="40"/>
      <c r="E606" s="7" t="s">
        <v>746</v>
      </c>
      <c r="F606" s="40" t="s">
        <v>1915</v>
      </c>
      <c r="G606" s="41" t="s">
        <v>553</v>
      </c>
      <c r="H606" s="36"/>
      <c r="I606" s="36" t="s">
        <v>1823</v>
      </c>
      <c r="J606" s="36"/>
      <c r="K606" s="46"/>
      <c r="L606" s="46" t="s">
        <v>285</v>
      </c>
      <c r="M606" s="46"/>
      <c r="N606" s="46" t="s">
        <v>1824</v>
      </c>
      <c r="O606" s="45" t="s">
        <v>2166</v>
      </c>
      <c r="P606" s="45" t="s">
        <v>767</v>
      </c>
      <c r="Q606" s="45"/>
    </row>
    <row r="607" spans="1:17" x14ac:dyDescent="0.3">
      <c r="A607" s="37"/>
      <c r="B607" s="40"/>
      <c r="C607" s="40" t="s">
        <v>2189</v>
      </c>
      <c r="D607" s="40"/>
      <c r="E607" s="7" t="s">
        <v>746</v>
      </c>
      <c r="F607" s="40" t="s">
        <v>1915</v>
      </c>
      <c r="G607" s="41" t="s">
        <v>563</v>
      </c>
      <c r="H607" s="36"/>
      <c r="I607" s="36" t="s">
        <v>1823</v>
      </c>
      <c r="J607" s="36"/>
      <c r="K607" s="46"/>
      <c r="L607" s="46" t="s">
        <v>169</v>
      </c>
      <c r="M607" s="46"/>
      <c r="N607" s="46" t="s">
        <v>1824</v>
      </c>
      <c r="O607" s="45"/>
      <c r="P607" s="45" t="s">
        <v>767</v>
      </c>
      <c r="Q607" s="45"/>
    </row>
    <row r="608" spans="1:17" x14ac:dyDescent="0.3">
      <c r="A608" s="37"/>
      <c r="B608" s="40"/>
      <c r="C608" s="40" t="s">
        <v>2221</v>
      </c>
      <c r="D608" s="40"/>
      <c r="E608" s="7" t="s">
        <v>746</v>
      </c>
      <c r="F608" s="40" t="s">
        <v>2180</v>
      </c>
      <c r="G608" s="41" t="s">
        <v>564</v>
      </c>
      <c r="H608" s="36"/>
      <c r="I608" s="36" t="s">
        <v>1823</v>
      </c>
      <c r="J608" s="36"/>
      <c r="K608" s="46"/>
      <c r="L608" s="46" t="s">
        <v>293</v>
      </c>
      <c r="M608" s="46"/>
      <c r="N608" s="46" t="s">
        <v>1824</v>
      </c>
      <c r="O608" s="45" t="s">
        <v>2166</v>
      </c>
      <c r="P608" s="45" t="s">
        <v>767</v>
      </c>
      <c r="Q608" s="45"/>
    </row>
    <row r="609" spans="1:17" x14ac:dyDescent="0.3">
      <c r="A609" s="37"/>
      <c r="B609" s="40"/>
      <c r="C609" s="40" t="s">
        <v>2160</v>
      </c>
      <c r="D609" s="40"/>
      <c r="E609" s="7" t="s">
        <v>746</v>
      </c>
      <c r="F609" s="40" t="s">
        <v>1915</v>
      </c>
      <c r="G609" s="41" t="s">
        <v>180</v>
      </c>
      <c r="H609" s="36"/>
      <c r="I609" s="36" t="s">
        <v>1823</v>
      </c>
      <c r="J609" s="36"/>
      <c r="K609" s="46"/>
      <c r="L609" s="46" t="s">
        <v>258</v>
      </c>
      <c r="M609" s="46"/>
      <c r="N609" s="46" t="s">
        <v>1824</v>
      </c>
      <c r="O609" s="45" t="s">
        <v>2222</v>
      </c>
      <c r="P609" s="45" t="s">
        <v>767</v>
      </c>
      <c r="Q609" s="45"/>
    </row>
    <row r="610" spans="1:17" x14ac:dyDescent="0.3">
      <c r="A610" s="37"/>
      <c r="B610" s="40"/>
      <c r="C610" s="40" t="s">
        <v>2158</v>
      </c>
      <c r="D610" s="40"/>
      <c r="E610" s="7" t="s">
        <v>746</v>
      </c>
      <c r="F610" s="40" t="s">
        <v>1915</v>
      </c>
      <c r="G610" s="41" t="s">
        <v>590</v>
      </c>
      <c r="H610" s="36"/>
      <c r="I610" s="36" t="s">
        <v>1823</v>
      </c>
      <c r="J610" s="36"/>
      <c r="K610" s="46"/>
      <c r="L610" s="46" t="s">
        <v>293</v>
      </c>
      <c r="M610" s="46"/>
      <c r="N610" s="46" t="s">
        <v>1824</v>
      </c>
      <c r="O610" s="45" t="s">
        <v>2166</v>
      </c>
      <c r="P610" s="45" t="s">
        <v>767</v>
      </c>
      <c r="Q610" s="45"/>
    </row>
    <row r="611" spans="1:17" x14ac:dyDescent="0.3">
      <c r="A611" s="37"/>
      <c r="B611" s="40"/>
      <c r="C611" s="40"/>
      <c r="D611" s="40"/>
      <c r="E611" s="7" t="s">
        <v>746</v>
      </c>
      <c r="F611" s="40" t="s">
        <v>1915</v>
      </c>
      <c r="G611" s="41" t="s">
        <v>1623</v>
      </c>
      <c r="H611" s="36"/>
      <c r="I611" s="36" t="s">
        <v>1823</v>
      </c>
      <c r="J611" s="36"/>
      <c r="K611" s="46"/>
      <c r="L611" s="46" t="s">
        <v>169</v>
      </c>
      <c r="M611" s="46"/>
      <c r="N611" s="46" t="s">
        <v>1824</v>
      </c>
      <c r="O611" s="45" t="s">
        <v>2223</v>
      </c>
      <c r="P611" s="45" t="s">
        <v>767</v>
      </c>
      <c r="Q611" s="45"/>
    </row>
    <row r="612" spans="1:17" x14ac:dyDescent="0.3">
      <c r="A612" s="37"/>
      <c r="B612" s="40"/>
      <c r="C612" s="40"/>
      <c r="D612" s="40"/>
      <c r="E612" s="7" t="s">
        <v>746</v>
      </c>
      <c r="F612" s="40" t="s">
        <v>1915</v>
      </c>
      <c r="G612" s="41" t="s">
        <v>1624</v>
      </c>
      <c r="H612" s="36"/>
      <c r="I612" s="36" t="s">
        <v>1823</v>
      </c>
      <c r="J612" s="36"/>
      <c r="K612" s="46"/>
      <c r="L612" s="46" t="s">
        <v>169</v>
      </c>
      <c r="M612" s="46"/>
      <c r="N612" s="46" t="s">
        <v>1824</v>
      </c>
      <c r="O612" s="45" t="s">
        <v>2223</v>
      </c>
      <c r="P612" s="45" t="s">
        <v>767</v>
      </c>
      <c r="Q612" s="45"/>
    </row>
    <row r="613" spans="1:17" x14ac:dyDescent="0.3">
      <c r="A613" s="37"/>
      <c r="B613" s="40"/>
      <c r="C613" s="40" t="s">
        <v>2158</v>
      </c>
      <c r="D613" s="40"/>
      <c r="E613" s="7" t="s">
        <v>746</v>
      </c>
      <c r="F613" s="40" t="s">
        <v>1915</v>
      </c>
      <c r="G613" s="41" t="s">
        <v>1442</v>
      </c>
      <c r="H613" s="36"/>
      <c r="I613" s="36" t="s">
        <v>1823</v>
      </c>
      <c r="J613" s="36"/>
      <c r="K613" s="46"/>
      <c r="L613" s="46" t="s">
        <v>1242</v>
      </c>
      <c r="M613" s="46"/>
      <c r="N613" s="46" t="s">
        <v>1824</v>
      </c>
      <c r="O613" s="45" t="s">
        <v>2224</v>
      </c>
      <c r="P613" s="45" t="s">
        <v>767</v>
      </c>
      <c r="Q613" s="45"/>
    </row>
    <row r="614" spans="1:17" x14ac:dyDescent="0.3">
      <c r="A614" s="37"/>
      <c r="B614" s="40"/>
      <c r="C614" s="40" t="s">
        <v>2225</v>
      </c>
      <c r="D614" s="40"/>
      <c r="E614" s="7" t="s">
        <v>746</v>
      </c>
      <c r="F614" s="40" t="s">
        <v>1915</v>
      </c>
      <c r="G614" s="41" t="s">
        <v>594</v>
      </c>
      <c r="H614" s="36"/>
      <c r="I614" s="36" t="s">
        <v>1823</v>
      </c>
      <c r="J614" s="36"/>
      <c r="K614" s="46"/>
      <c r="L614" s="46" t="s">
        <v>516</v>
      </c>
      <c r="M614" s="46"/>
      <c r="N614" s="46" t="s">
        <v>1824</v>
      </c>
      <c r="O614" s="45" t="s">
        <v>2226</v>
      </c>
      <c r="P614" s="45" t="s">
        <v>767</v>
      </c>
      <c r="Q614" s="45"/>
    </row>
    <row r="615" spans="1:17" x14ac:dyDescent="0.3">
      <c r="A615" s="37"/>
      <c r="B615" s="40"/>
      <c r="C615" s="40" t="s">
        <v>2227</v>
      </c>
      <c r="D615" s="40"/>
      <c r="E615" s="7" t="s">
        <v>746</v>
      </c>
      <c r="F615" s="40" t="s">
        <v>1915</v>
      </c>
      <c r="G615" s="41" t="s">
        <v>1436</v>
      </c>
      <c r="H615" s="36"/>
      <c r="I615" s="36" t="s">
        <v>1823</v>
      </c>
      <c r="J615" s="36"/>
      <c r="K615" s="46"/>
      <c r="L615" s="46" t="s">
        <v>550</v>
      </c>
      <c r="M615" s="46"/>
      <c r="N615" s="46" t="s">
        <v>1824</v>
      </c>
      <c r="O615" s="45" t="s">
        <v>2228</v>
      </c>
      <c r="P615" s="45" t="s">
        <v>767</v>
      </c>
      <c r="Q615" s="45"/>
    </row>
    <row r="616" spans="1:17" x14ac:dyDescent="0.3">
      <c r="A616" s="37"/>
      <c r="B616" s="40"/>
      <c r="C616" s="40" t="s">
        <v>2225</v>
      </c>
      <c r="D616" s="40"/>
      <c r="E616" s="7" t="s">
        <v>746</v>
      </c>
      <c r="F616" s="40" t="s">
        <v>1915</v>
      </c>
      <c r="G616" s="41" t="s">
        <v>315</v>
      </c>
      <c r="H616" s="36"/>
      <c r="I616" s="36" t="s">
        <v>1823</v>
      </c>
      <c r="J616" s="36"/>
      <c r="K616" s="46"/>
      <c r="L616" s="46" t="s">
        <v>375</v>
      </c>
      <c r="M616" s="46"/>
      <c r="N616" s="46" t="s">
        <v>1824</v>
      </c>
      <c r="O616" s="45" t="s">
        <v>2229</v>
      </c>
      <c r="P616" s="45" t="s">
        <v>767</v>
      </c>
      <c r="Q616" s="45"/>
    </row>
    <row r="617" spans="1:17" x14ac:dyDescent="0.3">
      <c r="A617" s="37"/>
      <c r="B617" s="40"/>
      <c r="C617" s="40" t="s">
        <v>2230</v>
      </c>
      <c r="D617" s="40"/>
      <c r="E617" s="7" t="s">
        <v>746</v>
      </c>
      <c r="F617" s="40" t="s">
        <v>1915</v>
      </c>
      <c r="G617" s="41" t="s">
        <v>631</v>
      </c>
      <c r="H617" s="36"/>
      <c r="I617" s="36" t="s">
        <v>1823</v>
      </c>
      <c r="J617" s="36"/>
      <c r="K617" s="46"/>
      <c r="L617" s="46" t="s">
        <v>639</v>
      </c>
      <c r="M617" s="46"/>
      <c r="N617" s="46" t="s">
        <v>1824</v>
      </c>
      <c r="O617" s="45"/>
      <c r="P617" s="45" t="s">
        <v>767</v>
      </c>
      <c r="Q617" s="45"/>
    </row>
    <row r="618" spans="1:17" x14ac:dyDescent="0.3">
      <c r="A618" s="37"/>
      <c r="B618" s="40"/>
      <c r="C618" s="40" t="s">
        <v>2231</v>
      </c>
      <c r="D618" s="40"/>
      <c r="E618" s="7" t="s">
        <v>746</v>
      </c>
      <c r="F618" s="40" t="s">
        <v>2204</v>
      </c>
      <c r="G618" s="41" t="s">
        <v>208</v>
      </c>
      <c r="H618" s="36"/>
      <c r="I618" s="36" t="s">
        <v>1823</v>
      </c>
      <c r="J618" s="36"/>
      <c r="K618" s="46"/>
      <c r="L618" s="46" t="s">
        <v>47</v>
      </c>
      <c r="M618" s="46"/>
      <c r="N618" s="46" t="s">
        <v>1824</v>
      </c>
      <c r="O618" s="45"/>
      <c r="P618" s="45" t="s">
        <v>767</v>
      </c>
      <c r="Q618" s="45"/>
    </row>
    <row r="619" spans="1:17" x14ac:dyDescent="0.3">
      <c r="A619" s="37"/>
      <c r="B619" s="40"/>
      <c r="C619" s="40" t="s">
        <v>2232</v>
      </c>
      <c r="D619" s="40"/>
      <c r="E619" s="7" t="s">
        <v>746</v>
      </c>
      <c r="F619" s="40" t="s">
        <v>1915</v>
      </c>
      <c r="G619" s="41" t="s">
        <v>638</v>
      </c>
      <c r="H619" s="36"/>
      <c r="I619" s="36" t="s">
        <v>1823</v>
      </c>
      <c r="J619" s="36"/>
      <c r="K619" s="46"/>
      <c r="L619" s="46" t="s">
        <v>300</v>
      </c>
      <c r="M619" s="46"/>
      <c r="N619" s="46" t="s">
        <v>1824</v>
      </c>
      <c r="O619" s="45"/>
      <c r="P619" s="45" t="s">
        <v>767</v>
      </c>
      <c r="Q619" s="45"/>
    </row>
    <row r="620" spans="1:17" x14ac:dyDescent="0.3">
      <c r="A620" s="37"/>
      <c r="B620" s="40"/>
      <c r="C620" s="40" t="s">
        <v>2160</v>
      </c>
      <c r="D620" s="40"/>
      <c r="E620" s="7" t="s">
        <v>746</v>
      </c>
      <c r="F620" s="40" t="s">
        <v>1915</v>
      </c>
      <c r="G620" s="41" t="s">
        <v>480</v>
      </c>
      <c r="H620" s="36"/>
      <c r="I620" s="36" t="s">
        <v>1823</v>
      </c>
      <c r="J620" s="36"/>
      <c r="K620" s="46"/>
      <c r="L620" s="46" t="s">
        <v>258</v>
      </c>
      <c r="M620" s="46"/>
      <c r="N620" s="46" t="s">
        <v>1824</v>
      </c>
      <c r="O620" s="45" t="s">
        <v>2233</v>
      </c>
      <c r="P620" s="45" t="s">
        <v>767</v>
      </c>
      <c r="Q620" s="45"/>
    </row>
    <row r="621" spans="1:17" x14ac:dyDescent="0.3">
      <c r="A621" s="37"/>
      <c r="B621" s="40"/>
      <c r="C621" s="40" t="s">
        <v>2234</v>
      </c>
      <c r="D621" s="40"/>
      <c r="E621" s="7" t="s">
        <v>746</v>
      </c>
      <c r="F621" s="40" t="s">
        <v>1915</v>
      </c>
      <c r="G621" s="41" t="s">
        <v>383</v>
      </c>
      <c r="H621" s="36"/>
      <c r="I621" s="36" t="s">
        <v>1823</v>
      </c>
      <c r="J621" s="36"/>
      <c r="K621" s="46"/>
      <c r="L621" s="46" t="s">
        <v>300</v>
      </c>
      <c r="M621" s="46"/>
      <c r="N621" s="46" t="s">
        <v>1824</v>
      </c>
      <c r="O621" s="45" t="s">
        <v>2235</v>
      </c>
      <c r="P621" s="45" t="s">
        <v>767</v>
      </c>
      <c r="Q621" s="45"/>
    </row>
    <row r="622" spans="1:17" x14ac:dyDescent="0.3">
      <c r="A622" s="37"/>
      <c r="B622" s="40"/>
      <c r="C622" s="40" t="s">
        <v>2158</v>
      </c>
      <c r="D622" s="40"/>
      <c r="E622" s="7" t="s">
        <v>746</v>
      </c>
      <c r="F622" s="40" t="s">
        <v>1915</v>
      </c>
      <c r="G622" s="41" t="s">
        <v>50</v>
      </c>
      <c r="H622" s="36"/>
      <c r="I622" s="36" t="s">
        <v>1823</v>
      </c>
      <c r="J622" s="36"/>
      <c r="K622" s="46"/>
      <c r="L622" s="46" t="s">
        <v>132</v>
      </c>
      <c r="M622" s="46"/>
      <c r="N622" s="46" t="s">
        <v>1824</v>
      </c>
      <c r="O622" s="45" t="s">
        <v>2236</v>
      </c>
      <c r="P622" s="45" t="s">
        <v>767</v>
      </c>
      <c r="Q622" s="45"/>
    </row>
    <row r="623" spans="1:17" x14ac:dyDescent="0.3">
      <c r="A623" s="37"/>
      <c r="B623" s="40"/>
      <c r="C623" s="40" t="s">
        <v>2158</v>
      </c>
      <c r="D623" s="40"/>
      <c r="E623" s="7" t="s">
        <v>746</v>
      </c>
      <c r="F623" s="40" t="s">
        <v>1919</v>
      </c>
      <c r="G623" s="41" t="s">
        <v>247</v>
      </c>
      <c r="H623" s="36"/>
      <c r="I623" s="36" t="s">
        <v>1823</v>
      </c>
      <c r="J623" s="36"/>
      <c r="K623" s="46"/>
      <c r="L623" s="46" t="s">
        <v>132</v>
      </c>
      <c r="M623" s="46"/>
      <c r="N623" s="46" t="s">
        <v>1824</v>
      </c>
      <c r="O623" s="45" t="s">
        <v>2237</v>
      </c>
      <c r="P623" s="45" t="s">
        <v>767</v>
      </c>
      <c r="Q623" s="45"/>
    </row>
    <row r="624" spans="1:17" x14ac:dyDescent="0.3">
      <c r="A624" s="37"/>
      <c r="B624" s="40"/>
      <c r="C624" s="40" t="s">
        <v>2158</v>
      </c>
      <c r="D624" s="40"/>
      <c r="E624" s="7" t="s">
        <v>746</v>
      </c>
      <c r="F624" s="40" t="s">
        <v>1915</v>
      </c>
      <c r="G624" s="41" t="s">
        <v>255</v>
      </c>
      <c r="H624" s="36"/>
      <c r="I624" s="36" t="s">
        <v>1823</v>
      </c>
      <c r="J624" s="36"/>
      <c r="K624" s="46"/>
      <c r="L624" s="46" t="s">
        <v>550</v>
      </c>
      <c r="M624" s="46"/>
      <c r="N624" s="46" t="s">
        <v>1824</v>
      </c>
      <c r="O624" s="45"/>
      <c r="P624" s="45" t="s">
        <v>767</v>
      </c>
      <c r="Q624" s="45"/>
    </row>
    <row r="625" spans="1:17" x14ac:dyDescent="0.3">
      <c r="A625" s="37"/>
      <c r="B625" s="40"/>
      <c r="C625" s="40" t="s">
        <v>2238</v>
      </c>
      <c r="D625" s="40"/>
      <c r="E625" s="7" t="s">
        <v>746</v>
      </c>
      <c r="F625" s="40" t="s">
        <v>1915</v>
      </c>
      <c r="G625" s="41" t="s">
        <v>473</v>
      </c>
      <c r="H625" s="36"/>
      <c r="I625" s="36" t="s">
        <v>1823</v>
      </c>
      <c r="J625" s="36"/>
      <c r="K625" s="46"/>
      <c r="L625" s="46" t="s">
        <v>132</v>
      </c>
      <c r="M625" s="46"/>
      <c r="N625" s="46" t="s">
        <v>1824</v>
      </c>
      <c r="O625" s="45" t="s">
        <v>2239</v>
      </c>
      <c r="P625" s="45" t="s">
        <v>767</v>
      </c>
      <c r="Q625" s="45"/>
    </row>
    <row r="626" spans="1:17" x14ac:dyDescent="0.3">
      <c r="A626" s="37"/>
      <c r="B626" s="40"/>
      <c r="C626" s="40" t="s">
        <v>1928</v>
      </c>
      <c r="D626" s="40"/>
      <c r="E626" s="7" t="s">
        <v>746</v>
      </c>
      <c r="F626" s="40" t="s">
        <v>1915</v>
      </c>
      <c r="G626" s="41" t="s">
        <v>1255</v>
      </c>
      <c r="H626" s="36"/>
      <c r="I626" s="36" t="s">
        <v>1823</v>
      </c>
      <c r="J626" s="36"/>
      <c r="K626" s="46"/>
      <c r="L626" s="46" t="s">
        <v>49</v>
      </c>
      <c r="M626" s="46"/>
      <c r="N626" s="46" t="s">
        <v>1824</v>
      </c>
      <c r="O626" s="45" t="s">
        <v>2240</v>
      </c>
      <c r="P626" s="45" t="s">
        <v>767</v>
      </c>
      <c r="Q626" s="45"/>
    </row>
    <row r="627" spans="1:17" x14ac:dyDescent="0.3">
      <c r="A627" s="37"/>
      <c r="B627" s="40"/>
      <c r="C627" s="40" t="s">
        <v>2160</v>
      </c>
      <c r="D627" s="40"/>
      <c r="E627" s="7" t="s">
        <v>746</v>
      </c>
      <c r="F627" s="40" t="s">
        <v>1915</v>
      </c>
      <c r="G627" s="41" t="s">
        <v>399</v>
      </c>
      <c r="H627" s="36"/>
      <c r="I627" s="36" t="s">
        <v>1823</v>
      </c>
      <c r="J627" s="36"/>
      <c r="K627" s="46"/>
      <c r="L627" s="46" t="s">
        <v>258</v>
      </c>
      <c r="M627" s="46"/>
      <c r="N627" s="46" t="s">
        <v>1824</v>
      </c>
      <c r="O627" s="45" t="s">
        <v>2222</v>
      </c>
      <c r="P627" s="45" t="s">
        <v>767</v>
      </c>
      <c r="Q627" s="45"/>
    </row>
    <row r="628" spans="1:17" x14ac:dyDescent="0.3">
      <c r="A628" s="37"/>
      <c r="B628" s="40"/>
      <c r="C628" s="40" t="s">
        <v>2160</v>
      </c>
      <c r="D628" s="40"/>
      <c r="E628" s="7" t="s">
        <v>746</v>
      </c>
      <c r="F628" s="40" t="s">
        <v>1915</v>
      </c>
      <c r="G628" s="41" t="s">
        <v>33</v>
      </c>
      <c r="H628" s="36"/>
      <c r="I628" s="36" t="s">
        <v>1823</v>
      </c>
      <c r="J628" s="36"/>
      <c r="K628" s="46"/>
      <c r="L628" s="46" t="s">
        <v>123</v>
      </c>
      <c r="M628" s="46"/>
      <c r="N628" s="46" t="s">
        <v>1824</v>
      </c>
      <c r="O628" s="45" t="s">
        <v>2241</v>
      </c>
      <c r="P628" s="45" t="s">
        <v>767</v>
      </c>
      <c r="Q628" s="45"/>
    </row>
    <row r="629" spans="1:17" x14ac:dyDescent="0.3">
      <c r="A629" s="37"/>
      <c r="B629" s="40"/>
      <c r="C629" s="40" t="s">
        <v>2158</v>
      </c>
      <c r="D629" s="40"/>
      <c r="E629" s="7" t="s">
        <v>746</v>
      </c>
      <c r="F629" s="40" t="s">
        <v>1915</v>
      </c>
      <c r="G629" s="41" t="s">
        <v>442</v>
      </c>
      <c r="H629" s="36"/>
      <c r="I629" s="36" t="s">
        <v>1823</v>
      </c>
      <c r="J629" s="36"/>
      <c r="K629" s="46"/>
      <c r="L629" s="46" t="s">
        <v>188</v>
      </c>
      <c r="M629" s="46"/>
      <c r="N629" s="46" t="s">
        <v>1824</v>
      </c>
      <c r="O629" s="45" t="s">
        <v>2242</v>
      </c>
      <c r="P629" s="45" t="s">
        <v>767</v>
      </c>
      <c r="Q629" s="45"/>
    </row>
    <row r="630" spans="1:17" x14ac:dyDescent="0.3">
      <c r="A630" s="37"/>
      <c r="B630" s="40"/>
      <c r="C630" s="40" t="s">
        <v>2243</v>
      </c>
      <c r="D630" s="40"/>
      <c r="E630" s="7" t="s">
        <v>746</v>
      </c>
      <c r="F630" s="40" t="s">
        <v>1915</v>
      </c>
      <c r="G630" s="41" t="s">
        <v>433</v>
      </c>
      <c r="H630" s="36"/>
      <c r="I630" s="36" t="s">
        <v>1823</v>
      </c>
      <c r="J630" s="36"/>
      <c r="K630" s="46"/>
      <c r="L630" s="46" t="s">
        <v>49</v>
      </c>
      <c r="M630" s="46"/>
      <c r="N630" s="46" t="s">
        <v>1824</v>
      </c>
      <c r="O630" s="45" t="s">
        <v>2244</v>
      </c>
      <c r="P630" s="45" t="s">
        <v>767</v>
      </c>
      <c r="Q630" s="45"/>
    </row>
    <row r="631" spans="1:17" x14ac:dyDescent="0.3">
      <c r="A631" s="37"/>
      <c r="B631" s="40"/>
      <c r="C631" s="40" t="s">
        <v>2160</v>
      </c>
      <c r="D631" s="40"/>
      <c r="E631" s="7" t="s">
        <v>746</v>
      </c>
      <c r="F631" s="40" t="s">
        <v>1915</v>
      </c>
      <c r="G631" s="41" t="s">
        <v>977</v>
      </c>
      <c r="H631" s="36"/>
      <c r="I631" s="36" t="s">
        <v>1823</v>
      </c>
      <c r="J631" s="36"/>
      <c r="K631" s="46"/>
      <c r="L631" s="46" t="s">
        <v>258</v>
      </c>
      <c r="M631" s="46"/>
      <c r="N631" s="46" t="s">
        <v>1824</v>
      </c>
      <c r="O631" s="45" t="s">
        <v>2245</v>
      </c>
      <c r="P631" s="45" t="s">
        <v>767</v>
      </c>
      <c r="Q631" s="45"/>
    </row>
    <row r="632" spans="1:17" x14ac:dyDescent="0.3">
      <c r="A632" s="37"/>
      <c r="B632" s="40"/>
      <c r="C632" s="40" t="s">
        <v>1928</v>
      </c>
      <c r="D632" s="40"/>
      <c r="E632" s="7" t="s">
        <v>746</v>
      </c>
      <c r="F632" s="40" t="s">
        <v>1915</v>
      </c>
      <c r="G632" s="41" t="s">
        <v>194</v>
      </c>
      <c r="H632" s="36"/>
      <c r="I632" s="36" t="s">
        <v>1823</v>
      </c>
      <c r="J632" s="36"/>
      <c r="K632" s="46"/>
      <c r="L632" s="46" t="s">
        <v>258</v>
      </c>
      <c r="M632" s="46"/>
      <c r="N632" s="46" t="s">
        <v>1824</v>
      </c>
      <c r="O632" s="45" t="s">
        <v>2246</v>
      </c>
      <c r="P632" s="45" t="s">
        <v>767</v>
      </c>
      <c r="Q632" s="45"/>
    </row>
    <row r="633" spans="1:17" x14ac:dyDescent="0.3">
      <c r="A633" s="37"/>
      <c r="B633" s="40"/>
      <c r="C633" s="40" t="s">
        <v>1928</v>
      </c>
      <c r="D633" s="40"/>
      <c r="E633" s="7" t="s">
        <v>746</v>
      </c>
      <c r="F633" s="40" t="s">
        <v>2247</v>
      </c>
      <c r="G633" s="41" t="s">
        <v>541</v>
      </c>
      <c r="H633" s="36"/>
      <c r="I633" s="36" t="s">
        <v>1823</v>
      </c>
      <c r="J633" s="36"/>
      <c r="K633" s="46"/>
      <c r="L633" s="46" t="s">
        <v>278</v>
      </c>
      <c r="M633" s="46"/>
      <c r="N633" s="46" t="s">
        <v>1824</v>
      </c>
      <c r="O633" s="45" t="s">
        <v>2248</v>
      </c>
      <c r="P633" s="45" t="s">
        <v>767</v>
      </c>
      <c r="Q633" s="45"/>
    </row>
    <row r="634" spans="1:17" x14ac:dyDescent="0.3">
      <c r="A634" s="37"/>
      <c r="B634" s="40"/>
      <c r="C634" s="40" t="s">
        <v>2249</v>
      </c>
      <c r="D634" s="40"/>
      <c r="E634" s="7" t="s">
        <v>746</v>
      </c>
      <c r="F634" s="40" t="s">
        <v>1919</v>
      </c>
      <c r="G634" s="41" t="s">
        <v>212</v>
      </c>
      <c r="H634" s="36"/>
      <c r="I634" s="36" t="s">
        <v>1823</v>
      </c>
      <c r="J634" s="36"/>
      <c r="K634" s="46"/>
      <c r="L634" s="46" t="s">
        <v>132</v>
      </c>
      <c r="M634" s="46"/>
      <c r="N634" s="46" t="s">
        <v>1824</v>
      </c>
      <c r="O634" s="45" t="s">
        <v>2248</v>
      </c>
      <c r="P634" s="45" t="s">
        <v>767</v>
      </c>
      <c r="Q634" s="45"/>
    </row>
    <row r="635" spans="1:17" x14ac:dyDescent="0.3">
      <c r="A635" s="37"/>
      <c r="B635" s="40"/>
      <c r="C635" s="40" t="s">
        <v>1948</v>
      </c>
      <c r="D635" s="40"/>
      <c r="E635" s="7" t="s">
        <v>746</v>
      </c>
      <c r="F635" s="40" t="s">
        <v>2250</v>
      </c>
      <c r="G635" s="41" t="s">
        <v>323</v>
      </c>
      <c r="H635" s="36"/>
      <c r="I635" s="36" t="s">
        <v>1823</v>
      </c>
      <c r="J635" s="36"/>
      <c r="K635" s="46"/>
      <c r="L635" s="46" t="s">
        <v>550</v>
      </c>
      <c r="M635" s="46"/>
      <c r="N635" s="46" t="s">
        <v>1824</v>
      </c>
      <c r="O635" s="45" t="s">
        <v>2248</v>
      </c>
      <c r="P635" s="45" t="s">
        <v>767</v>
      </c>
      <c r="Q635" s="45"/>
    </row>
    <row r="636" spans="1:17" x14ac:dyDescent="0.3">
      <c r="A636" s="37"/>
      <c r="B636" s="40"/>
      <c r="C636" s="40" t="s">
        <v>2160</v>
      </c>
      <c r="D636" s="40"/>
      <c r="E636" s="7" t="s">
        <v>746</v>
      </c>
      <c r="F636" s="40" t="s">
        <v>1915</v>
      </c>
      <c r="G636" s="41" t="s">
        <v>1425</v>
      </c>
      <c r="H636" s="36"/>
      <c r="I636" s="36" t="s">
        <v>1823</v>
      </c>
      <c r="J636" s="36"/>
      <c r="K636" s="46"/>
      <c r="L636" s="46" t="s">
        <v>258</v>
      </c>
      <c r="M636" s="46"/>
      <c r="N636" s="46" t="s">
        <v>1824</v>
      </c>
      <c r="O636" s="45" t="s">
        <v>2251</v>
      </c>
      <c r="P636" s="45" t="s">
        <v>767</v>
      </c>
      <c r="Q636" s="45"/>
    </row>
    <row r="637" spans="1:17" x14ac:dyDescent="0.3">
      <c r="A637" s="37"/>
      <c r="B637" s="40"/>
      <c r="C637" s="40" t="s">
        <v>2158</v>
      </c>
      <c r="D637" s="40"/>
      <c r="E637" s="7" t="s">
        <v>746</v>
      </c>
      <c r="F637" s="40" t="s">
        <v>1915</v>
      </c>
      <c r="G637" s="41" t="s">
        <v>1437</v>
      </c>
      <c r="H637" s="36"/>
      <c r="I637" s="36" t="s">
        <v>1823</v>
      </c>
      <c r="J637" s="36"/>
      <c r="K637" s="46"/>
      <c r="L637" s="46" t="s">
        <v>258</v>
      </c>
      <c r="M637" s="46"/>
      <c r="N637" s="46" t="s">
        <v>1824</v>
      </c>
      <c r="O637" s="45" t="s">
        <v>2252</v>
      </c>
      <c r="P637" s="45" t="s">
        <v>665</v>
      </c>
      <c r="Q637" s="45"/>
    </row>
    <row r="638" spans="1:17" x14ac:dyDescent="0.3">
      <c r="A638" s="37"/>
      <c r="B638" s="40"/>
      <c r="C638" s="40" t="s">
        <v>2253</v>
      </c>
      <c r="D638" s="40"/>
      <c r="E638" s="7" t="s">
        <v>746</v>
      </c>
      <c r="F638" s="40" t="s">
        <v>1915</v>
      </c>
      <c r="G638" s="41" t="s">
        <v>1594</v>
      </c>
      <c r="H638" s="36"/>
      <c r="I638" s="36" t="s">
        <v>1823</v>
      </c>
      <c r="J638" s="36"/>
      <c r="K638" s="46"/>
      <c r="L638" s="46" t="s">
        <v>132</v>
      </c>
      <c r="M638" s="46"/>
      <c r="N638" s="46" t="s">
        <v>1824</v>
      </c>
      <c r="O638" s="45" t="s">
        <v>2254</v>
      </c>
      <c r="P638" s="45" t="s">
        <v>767</v>
      </c>
      <c r="Q638" s="45"/>
    </row>
    <row r="639" spans="1:17" x14ac:dyDescent="0.3">
      <c r="A639" s="37"/>
      <c r="B639" s="40"/>
      <c r="C639" s="40" t="s">
        <v>2255</v>
      </c>
      <c r="D639" s="40"/>
      <c r="E639" s="7" t="s">
        <v>746</v>
      </c>
      <c r="F639" s="40" t="s">
        <v>1915</v>
      </c>
      <c r="G639" s="41" t="s">
        <v>1642</v>
      </c>
      <c r="H639" s="36"/>
      <c r="I639" s="36" t="s">
        <v>1823</v>
      </c>
      <c r="J639" s="36"/>
      <c r="K639" s="46"/>
      <c r="L639" s="46" t="s">
        <v>278</v>
      </c>
      <c r="M639" s="46"/>
      <c r="N639" s="46" t="s">
        <v>1824</v>
      </c>
      <c r="O639" s="45" t="s">
        <v>2256</v>
      </c>
      <c r="P639" s="45" t="s">
        <v>767</v>
      </c>
      <c r="Q639" s="45"/>
    </row>
    <row r="640" spans="1:17" x14ac:dyDescent="0.3">
      <c r="A640" s="37"/>
      <c r="B640" s="40"/>
      <c r="C640" s="40" t="s">
        <v>2189</v>
      </c>
      <c r="D640" s="40"/>
      <c r="E640" s="7" t="s">
        <v>746</v>
      </c>
      <c r="F640" s="40" t="s">
        <v>1915</v>
      </c>
      <c r="G640" s="41" t="s">
        <v>452</v>
      </c>
      <c r="H640" s="36"/>
      <c r="I640" s="36" t="s">
        <v>1823</v>
      </c>
      <c r="J640" s="36"/>
      <c r="K640" s="46"/>
      <c r="L640" s="46" t="s">
        <v>633</v>
      </c>
      <c r="M640" s="46"/>
      <c r="N640" s="46" t="s">
        <v>1824</v>
      </c>
      <c r="O640" s="45"/>
      <c r="P640" s="45" t="s">
        <v>767</v>
      </c>
      <c r="Q640" s="45"/>
    </row>
    <row r="641" spans="1:17" x14ac:dyDescent="0.3">
      <c r="A641" s="37"/>
      <c r="B641" s="40"/>
      <c r="C641" s="40" t="s">
        <v>2189</v>
      </c>
      <c r="D641" s="40"/>
      <c r="E641" s="7" t="s">
        <v>746</v>
      </c>
      <c r="F641" s="40" t="s">
        <v>1915</v>
      </c>
      <c r="G641" s="41" t="s">
        <v>569</v>
      </c>
      <c r="H641" s="36"/>
      <c r="I641" s="36" t="s">
        <v>1823</v>
      </c>
      <c r="J641" s="36"/>
      <c r="K641" s="46"/>
      <c r="L641" s="46" t="s">
        <v>633</v>
      </c>
      <c r="M641" s="46"/>
      <c r="N641" s="46" t="s">
        <v>1824</v>
      </c>
      <c r="O641" s="45"/>
      <c r="P641" s="45" t="s">
        <v>767</v>
      </c>
      <c r="Q641" s="45"/>
    </row>
    <row r="642" spans="1:17" x14ac:dyDescent="0.3">
      <c r="A642" s="37"/>
      <c r="B642" s="40"/>
      <c r="C642" s="40" t="s">
        <v>2189</v>
      </c>
      <c r="D642" s="40"/>
      <c r="E642" s="7" t="s">
        <v>746</v>
      </c>
      <c r="F642" s="40" t="s">
        <v>1915</v>
      </c>
      <c r="G642" s="41" t="s">
        <v>457</v>
      </c>
      <c r="H642" s="36"/>
      <c r="I642" s="36" t="s">
        <v>1823</v>
      </c>
      <c r="J642" s="36"/>
      <c r="K642" s="46"/>
      <c r="L642" s="46" t="s">
        <v>34</v>
      </c>
      <c r="M642" s="46"/>
      <c r="N642" s="46" t="s">
        <v>1824</v>
      </c>
      <c r="O642" s="45"/>
      <c r="P642" s="45" t="s">
        <v>767</v>
      </c>
      <c r="Q642" s="45"/>
    </row>
    <row r="643" spans="1:17" x14ac:dyDescent="0.3">
      <c r="A643" s="37"/>
      <c r="B643" s="40"/>
      <c r="C643" s="40" t="s">
        <v>2189</v>
      </c>
      <c r="D643" s="40"/>
      <c r="E643" s="7" t="s">
        <v>746</v>
      </c>
      <c r="F643" s="40" t="s">
        <v>1915</v>
      </c>
      <c r="G643" s="41" t="s">
        <v>351</v>
      </c>
      <c r="H643" s="36"/>
      <c r="I643" s="36" t="s">
        <v>1823</v>
      </c>
      <c r="J643" s="36"/>
      <c r="K643" s="46"/>
      <c r="L643" s="46" t="s">
        <v>293</v>
      </c>
      <c r="M643" s="46"/>
      <c r="N643" s="46" t="s">
        <v>1824</v>
      </c>
      <c r="O643" s="45"/>
      <c r="P643" s="45" t="s">
        <v>767</v>
      </c>
      <c r="Q643" s="45"/>
    </row>
    <row r="644" spans="1:17" x14ac:dyDescent="0.3">
      <c r="A644" s="37"/>
      <c r="B644" s="40"/>
      <c r="C644" s="40" t="s">
        <v>2189</v>
      </c>
      <c r="D644" s="40"/>
      <c r="E644" s="7" t="s">
        <v>746</v>
      </c>
      <c r="F644" s="40" t="s">
        <v>1915</v>
      </c>
      <c r="G644" s="41" t="s">
        <v>1177</v>
      </c>
      <c r="H644" s="36"/>
      <c r="I644" s="36" t="s">
        <v>1823</v>
      </c>
      <c r="J644" s="36"/>
      <c r="K644" s="46"/>
      <c r="L644" s="46" t="s">
        <v>34</v>
      </c>
      <c r="M644" s="46"/>
      <c r="N644" s="46" t="s">
        <v>1824</v>
      </c>
      <c r="O644" s="45"/>
      <c r="P644" s="45" t="s">
        <v>767</v>
      </c>
      <c r="Q644" s="45"/>
    </row>
    <row r="645" spans="1:17" x14ac:dyDescent="0.3">
      <c r="A645" s="37"/>
      <c r="B645" s="40"/>
      <c r="C645" s="40" t="s">
        <v>2231</v>
      </c>
      <c r="D645" s="40"/>
      <c r="E645" s="7" t="s">
        <v>746</v>
      </c>
      <c r="F645" s="40" t="s">
        <v>1919</v>
      </c>
      <c r="G645" s="41" t="s">
        <v>574</v>
      </c>
      <c r="H645" s="36"/>
      <c r="I645" s="36" t="s">
        <v>1823</v>
      </c>
      <c r="J645" s="36"/>
      <c r="K645" s="46"/>
      <c r="L645" s="46" t="s">
        <v>142</v>
      </c>
      <c r="M645" s="46"/>
      <c r="N645" s="46" t="s">
        <v>1824</v>
      </c>
      <c r="O645" s="45" t="s">
        <v>2202</v>
      </c>
      <c r="P645" s="45" t="s">
        <v>767</v>
      </c>
      <c r="Q645" s="45"/>
    </row>
    <row r="646" spans="1:17" x14ac:dyDescent="0.3">
      <c r="A646" s="37"/>
      <c r="B646" s="40"/>
      <c r="C646" s="40" t="s">
        <v>2257</v>
      </c>
      <c r="D646" s="40"/>
      <c r="E646" s="7" t="s">
        <v>746</v>
      </c>
      <c r="F646" s="40" t="s">
        <v>1919</v>
      </c>
      <c r="G646" s="41" t="s">
        <v>106</v>
      </c>
      <c r="H646" s="36"/>
      <c r="I646" s="36" t="s">
        <v>1823</v>
      </c>
      <c r="J646" s="36"/>
      <c r="K646" s="46"/>
      <c r="L646" s="46" t="s">
        <v>396</v>
      </c>
      <c r="M646" s="46"/>
      <c r="N646" s="46" t="s">
        <v>1824</v>
      </c>
      <c r="O646" s="45" t="s">
        <v>2202</v>
      </c>
      <c r="P646" s="45" t="s">
        <v>767</v>
      </c>
      <c r="Q646" s="45"/>
    </row>
    <row r="647" spans="1:17" x14ac:dyDescent="0.3">
      <c r="A647" s="37"/>
      <c r="B647" s="40"/>
      <c r="C647" s="40" t="s">
        <v>2160</v>
      </c>
      <c r="D647" s="40"/>
      <c r="E647" s="7" t="s">
        <v>746</v>
      </c>
      <c r="F647" s="40" t="s">
        <v>2171</v>
      </c>
      <c r="G647" s="41" t="s">
        <v>164</v>
      </c>
      <c r="H647" s="36"/>
      <c r="I647" s="36" t="s">
        <v>1823</v>
      </c>
      <c r="J647" s="36"/>
      <c r="K647" s="46"/>
      <c r="L647" s="46" t="s">
        <v>48</v>
      </c>
      <c r="M647" s="46"/>
      <c r="N647" s="46" t="s">
        <v>1824</v>
      </c>
      <c r="O647" s="45" t="s">
        <v>2258</v>
      </c>
      <c r="P647" s="45" t="s">
        <v>767</v>
      </c>
      <c r="Q647" s="45"/>
    </row>
    <row r="648" spans="1:17" x14ac:dyDescent="0.3">
      <c r="A648" s="37"/>
      <c r="B648" s="40"/>
      <c r="C648" s="40" t="s">
        <v>2160</v>
      </c>
      <c r="D648" s="40"/>
      <c r="E648" s="7" t="s">
        <v>746</v>
      </c>
      <c r="F648" s="40" t="s">
        <v>2259</v>
      </c>
      <c r="G648" s="41" t="s">
        <v>1392</v>
      </c>
      <c r="H648" s="36"/>
      <c r="I648" s="36" t="s">
        <v>1823</v>
      </c>
      <c r="J648" s="36"/>
      <c r="K648" s="46"/>
      <c r="L648" s="46" t="s">
        <v>309</v>
      </c>
      <c r="M648" s="46"/>
      <c r="N648" s="46" t="s">
        <v>1824</v>
      </c>
      <c r="O648" s="45"/>
      <c r="P648" s="45" t="s">
        <v>767</v>
      </c>
      <c r="Q648" s="45"/>
    </row>
    <row r="649" spans="1:17" x14ac:dyDescent="0.3">
      <c r="A649" s="37"/>
      <c r="B649" s="40"/>
      <c r="C649" s="40" t="s">
        <v>2160</v>
      </c>
      <c r="D649" s="40"/>
      <c r="E649" s="7" t="s">
        <v>746</v>
      </c>
      <c r="F649" s="40" t="s">
        <v>2259</v>
      </c>
      <c r="G649" s="41" t="s">
        <v>1391</v>
      </c>
      <c r="H649" s="36"/>
      <c r="I649" s="36" t="s">
        <v>1823</v>
      </c>
      <c r="J649" s="36"/>
      <c r="K649" s="46"/>
      <c r="L649" s="46" t="s">
        <v>309</v>
      </c>
      <c r="M649" s="46"/>
      <c r="N649" s="46" t="s">
        <v>1824</v>
      </c>
      <c r="O649" s="45"/>
      <c r="P649" s="45" t="s">
        <v>767</v>
      </c>
      <c r="Q649" s="45"/>
    </row>
    <row r="650" spans="1:17" x14ac:dyDescent="0.3">
      <c r="A650" s="37"/>
      <c r="B650" s="40"/>
      <c r="C650" s="40" t="s">
        <v>2437</v>
      </c>
      <c r="D650" s="40"/>
      <c r="E650" s="7" t="s">
        <v>746</v>
      </c>
      <c r="F650" s="40" t="s">
        <v>1915</v>
      </c>
      <c r="G650" s="41" t="s">
        <v>604</v>
      </c>
      <c r="H650" s="36"/>
      <c r="I650" s="36" t="s">
        <v>1823</v>
      </c>
      <c r="J650" s="36"/>
      <c r="K650" s="46"/>
      <c r="L650" s="46" t="s">
        <v>639</v>
      </c>
      <c r="M650" s="46"/>
      <c r="N650" s="46" t="s">
        <v>1824</v>
      </c>
      <c r="O650" s="45" t="s">
        <v>2260</v>
      </c>
      <c r="P650" s="45" t="s">
        <v>767</v>
      </c>
      <c r="Q650" s="45"/>
    </row>
    <row r="651" spans="1:17" x14ac:dyDescent="0.3">
      <c r="A651" s="37"/>
      <c r="B651" s="40"/>
      <c r="C651" s="40" t="s">
        <v>2189</v>
      </c>
      <c r="D651" s="40"/>
      <c r="E651" s="7" t="s">
        <v>746</v>
      </c>
      <c r="F651" s="40" t="s">
        <v>1915</v>
      </c>
      <c r="G651" s="41" t="s">
        <v>2261</v>
      </c>
      <c r="H651" s="36"/>
      <c r="I651" s="36" t="s">
        <v>1823</v>
      </c>
      <c r="J651" s="36"/>
      <c r="K651" s="46"/>
      <c r="L651" s="46" t="s">
        <v>34</v>
      </c>
      <c r="M651" s="46"/>
      <c r="N651" s="46" t="s">
        <v>1824</v>
      </c>
      <c r="O651" s="45"/>
      <c r="P651" s="45" t="s">
        <v>767</v>
      </c>
      <c r="Q651" s="45"/>
    </row>
    <row r="652" spans="1:17" x14ac:dyDescent="0.3">
      <c r="A652" s="37"/>
      <c r="B652" s="40"/>
      <c r="C652" s="40" t="s">
        <v>2262</v>
      </c>
      <c r="D652" s="40"/>
      <c r="E652" s="7" t="s">
        <v>746</v>
      </c>
      <c r="F652" s="40" t="s">
        <v>1915</v>
      </c>
      <c r="G652" s="41" t="s">
        <v>1026</v>
      </c>
      <c r="H652" s="36"/>
      <c r="I652" s="36" t="s">
        <v>1823</v>
      </c>
      <c r="J652" s="36"/>
      <c r="K652" s="46"/>
      <c r="L652" s="46" t="s">
        <v>639</v>
      </c>
      <c r="M652" s="46"/>
      <c r="N652" s="46" t="s">
        <v>1824</v>
      </c>
      <c r="O652" s="45" t="s">
        <v>2263</v>
      </c>
      <c r="P652" s="45" t="s">
        <v>767</v>
      </c>
      <c r="Q652" s="45"/>
    </row>
    <row r="653" spans="1:17" x14ac:dyDescent="0.3">
      <c r="A653" s="37"/>
      <c r="B653" s="40"/>
      <c r="C653" s="40" t="s">
        <v>2030</v>
      </c>
      <c r="D653" s="40"/>
      <c r="E653" s="7" t="s">
        <v>746</v>
      </c>
      <c r="F653" s="40" t="s">
        <v>1915</v>
      </c>
      <c r="G653" s="41" t="s">
        <v>510</v>
      </c>
      <c r="H653" s="36"/>
      <c r="I653" s="36" t="s">
        <v>1823</v>
      </c>
      <c r="J653" s="36"/>
      <c r="K653" s="46"/>
      <c r="L653" s="46" t="s">
        <v>333</v>
      </c>
      <c r="M653" s="46"/>
      <c r="N653" s="46" t="s">
        <v>1824</v>
      </c>
      <c r="O653" s="45"/>
      <c r="P653" s="45" t="s">
        <v>767</v>
      </c>
      <c r="Q653" s="45"/>
    </row>
    <row r="654" spans="1:17" x14ac:dyDescent="0.3">
      <c r="A654" s="37"/>
      <c r="B654" s="40"/>
      <c r="C654" s="40" t="s">
        <v>2160</v>
      </c>
      <c r="D654" s="40"/>
      <c r="E654" s="7" t="s">
        <v>746</v>
      </c>
      <c r="F654" s="40" t="s">
        <v>1915</v>
      </c>
      <c r="G654" s="41" t="s">
        <v>1523</v>
      </c>
      <c r="H654" s="36"/>
      <c r="I654" s="36" t="s">
        <v>1823</v>
      </c>
      <c r="J654" s="36"/>
      <c r="K654" s="46"/>
      <c r="L654" s="46" t="s">
        <v>471</v>
      </c>
      <c r="M654" s="46"/>
      <c r="N654" s="46" t="s">
        <v>1824</v>
      </c>
      <c r="O654" s="45"/>
      <c r="P654" s="45" t="s">
        <v>767</v>
      </c>
      <c r="Q654" s="45"/>
    </row>
    <row r="655" spans="1:17" x14ac:dyDescent="0.3">
      <c r="A655" s="37"/>
      <c r="B655" s="40"/>
      <c r="C655" s="40" t="s">
        <v>2264</v>
      </c>
      <c r="D655" s="40"/>
      <c r="E655" s="7" t="s">
        <v>746</v>
      </c>
      <c r="F655" s="40" t="s">
        <v>1915</v>
      </c>
      <c r="G655" s="41" t="s">
        <v>1514</v>
      </c>
      <c r="H655" s="36"/>
      <c r="I655" s="36" t="s">
        <v>1823</v>
      </c>
      <c r="J655" s="36"/>
      <c r="K655" s="46"/>
      <c r="L655" s="46" t="s">
        <v>471</v>
      </c>
      <c r="M655" s="46"/>
      <c r="N655" s="46" t="s">
        <v>1824</v>
      </c>
      <c r="O655" s="45"/>
      <c r="P655" s="45" t="s">
        <v>767</v>
      </c>
      <c r="Q655" s="45"/>
    </row>
    <row r="656" spans="1:17" x14ac:dyDescent="0.3">
      <c r="A656" s="37"/>
      <c r="B656" s="40"/>
      <c r="C656" s="40" t="s">
        <v>2160</v>
      </c>
      <c r="D656" s="40"/>
      <c r="E656" s="7" t="s">
        <v>746</v>
      </c>
      <c r="F656" s="40" t="s">
        <v>1915</v>
      </c>
      <c r="G656" s="41" t="s">
        <v>1660</v>
      </c>
      <c r="H656" s="36"/>
      <c r="I656" s="36" t="s">
        <v>1823</v>
      </c>
      <c r="J656" s="36"/>
      <c r="K656" s="46"/>
      <c r="L656" s="46" t="s">
        <v>278</v>
      </c>
      <c r="M656" s="46"/>
      <c r="N656" s="46" t="s">
        <v>1824</v>
      </c>
      <c r="O656" s="45" t="s">
        <v>2265</v>
      </c>
      <c r="P656" s="45" t="s">
        <v>767</v>
      </c>
      <c r="Q656" s="45"/>
    </row>
    <row r="657" spans="1:17" x14ac:dyDescent="0.3">
      <c r="A657" s="37"/>
      <c r="B657" s="40"/>
      <c r="C657" s="40" t="s">
        <v>2158</v>
      </c>
      <c r="D657" s="40"/>
      <c r="E657" s="7" t="s">
        <v>746</v>
      </c>
      <c r="F657" s="40" t="s">
        <v>1915</v>
      </c>
      <c r="G657" s="41" t="s">
        <v>1820</v>
      </c>
      <c r="H657" s="36"/>
      <c r="I657" s="36" t="s">
        <v>1823</v>
      </c>
      <c r="J657" s="36"/>
      <c r="K657" s="46"/>
      <c r="L657" s="46" t="s">
        <v>550</v>
      </c>
      <c r="M657" s="46"/>
      <c r="N657" s="46" t="s">
        <v>1824</v>
      </c>
      <c r="O657" s="45" t="s">
        <v>2265</v>
      </c>
      <c r="P657" s="45" t="s">
        <v>767</v>
      </c>
      <c r="Q657" s="45"/>
    </row>
    <row r="658" spans="1:17" x14ac:dyDescent="0.3">
      <c r="A658" s="37"/>
      <c r="B658" s="40"/>
      <c r="C658" s="40" t="s">
        <v>2266</v>
      </c>
      <c r="D658" s="40"/>
      <c r="E658" s="7" t="s">
        <v>746</v>
      </c>
      <c r="F658" s="40" t="s">
        <v>1915</v>
      </c>
      <c r="G658" s="41" t="s">
        <v>1657</v>
      </c>
      <c r="H658" s="36"/>
      <c r="I658" s="36" t="s">
        <v>1823</v>
      </c>
      <c r="J658" s="36"/>
      <c r="K658" s="46"/>
      <c r="L658" s="46" t="s">
        <v>132</v>
      </c>
      <c r="M658" s="46"/>
      <c r="N658" s="46" t="s">
        <v>1824</v>
      </c>
      <c r="O658" s="45" t="s">
        <v>2267</v>
      </c>
      <c r="P658" s="45" t="s">
        <v>767</v>
      </c>
      <c r="Q658" s="45"/>
    </row>
    <row r="659" spans="1:17" x14ac:dyDescent="0.3">
      <c r="A659" s="37"/>
      <c r="B659" s="40"/>
      <c r="C659" s="40" t="s">
        <v>2208</v>
      </c>
      <c r="D659" s="40"/>
      <c r="E659" s="7" t="s">
        <v>746</v>
      </c>
      <c r="F659" s="40" t="s">
        <v>1915</v>
      </c>
      <c r="G659" s="41" t="s">
        <v>2404</v>
      </c>
      <c r="H659" s="36"/>
      <c r="I659" s="36" t="s">
        <v>1823</v>
      </c>
      <c r="J659" s="36"/>
      <c r="K659" s="46"/>
      <c r="L659" s="46" t="s">
        <v>258</v>
      </c>
      <c r="M659" s="46"/>
      <c r="N659" s="46" t="s">
        <v>1824</v>
      </c>
      <c r="O659" s="45" t="s">
        <v>2438</v>
      </c>
      <c r="P659" s="45" t="s">
        <v>767</v>
      </c>
      <c r="Q659" s="45"/>
    </row>
    <row r="660" spans="1:17" x14ac:dyDescent="0.3">
      <c r="A660" s="37"/>
      <c r="B660" s="40"/>
      <c r="C660" s="40" t="s">
        <v>2268</v>
      </c>
      <c r="D660" s="40"/>
      <c r="E660" s="7" t="s">
        <v>746</v>
      </c>
      <c r="F660" s="40" t="s">
        <v>1915</v>
      </c>
      <c r="G660" s="41" t="s">
        <v>1626</v>
      </c>
      <c r="H660" s="36"/>
      <c r="I660" s="36" t="s">
        <v>1823</v>
      </c>
      <c r="J660" s="36"/>
      <c r="K660" s="46"/>
      <c r="L660" s="46" t="s">
        <v>1541</v>
      </c>
      <c r="M660" s="46"/>
      <c r="N660" s="46" t="s">
        <v>1824</v>
      </c>
      <c r="O660" s="45" t="s">
        <v>2202</v>
      </c>
      <c r="P660" s="45" t="s">
        <v>767</v>
      </c>
      <c r="Q660" s="45"/>
    </row>
    <row r="661" spans="1:17" x14ac:dyDescent="0.3">
      <c r="A661" s="37"/>
      <c r="B661" s="40"/>
      <c r="C661" s="40" t="s">
        <v>2160</v>
      </c>
      <c r="D661" s="40"/>
      <c r="E661" s="7" t="s">
        <v>746</v>
      </c>
      <c r="F661" s="40" t="s">
        <v>2171</v>
      </c>
      <c r="G661" s="41" t="s">
        <v>1469</v>
      </c>
      <c r="H661" s="36"/>
      <c r="I661" s="36" t="s">
        <v>1823</v>
      </c>
      <c r="J661" s="36"/>
      <c r="K661" s="46"/>
      <c r="L661" s="46" t="s">
        <v>48</v>
      </c>
      <c r="M661" s="46"/>
      <c r="N661" s="46" t="s">
        <v>1824</v>
      </c>
      <c r="O661" s="45" t="s">
        <v>2269</v>
      </c>
      <c r="P661" s="45" t="s">
        <v>767</v>
      </c>
      <c r="Q661" s="45"/>
    </row>
    <row r="662" spans="1:17" x14ac:dyDescent="0.3">
      <c r="A662" s="37"/>
      <c r="B662" s="40"/>
      <c r="C662" s="40" t="s">
        <v>2160</v>
      </c>
      <c r="D662" s="40"/>
      <c r="E662" s="7" t="s">
        <v>746</v>
      </c>
      <c r="F662" s="40" t="s">
        <v>2171</v>
      </c>
      <c r="G662" s="41" t="s">
        <v>1474</v>
      </c>
      <c r="H662" s="36"/>
      <c r="I662" s="36" t="s">
        <v>1823</v>
      </c>
      <c r="J662" s="36"/>
      <c r="K662" s="46"/>
      <c r="L662" s="46" t="s">
        <v>48</v>
      </c>
      <c r="M662" s="46"/>
      <c r="N662" s="46" t="s">
        <v>1824</v>
      </c>
      <c r="O662" s="45" t="s">
        <v>2270</v>
      </c>
      <c r="P662" s="45" t="s">
        <v>767</v>
      </c>
      <c r="Q662" s="45"/>
    </row>
    <row r="663" spans="1:17" x14ac:dyDescent="0.3">
      <c r="A663" s="37"/>
      <c r="B663" s="40"/>
      <c r="C663" s="40" t="s">
        <v>2189</v>
      </c>
      <c r="D663" s="40"/>
      <c r="E663" s="7" t="s">
        <v>746</v>
      </c>
      <c r="F663" s="40" t="s">
        <v>1915</v>
      </c>
      <c r="G663" s="41" t="s">
        <v>1663</v>
      </c>
      <c r="H663" s="36"/>
      <c r="I663" s="36" t="s">
        <v>1823</v>
      </c>
      <c r="J663" s="36"/>
      <c r="K663" s="46"/>
      <c r="L663" s="46" t="s">
        <v>309</v>
      </c>
      <c r="M663" s="46"/>
      <c r="N663" s="46" t="s">
        <v>1824</v>
      </c>
      <c r="O663" s="45" t="s">
        <v>2271</v>
      </c>
      <c r="P663" s="45" t="s">
        <v>767</v>
      </c>
      <c r="Q663" s="45"/>
    </row>
    <row r="664" spans="1:17" x14ac:dyDescent="0.3">
      <c r="A664" s="37"/>
      <c r="B664" s="40"/>
      <c r="C664" s="40" t="s">
        <v>2160</v>
      </c>
      <c r="D664" s="40"/>
      <c r="E664" s="7" t="s">
        <v>746</v>
      </c>
      <c r="F664" s="40" t="s">
        <v>2171</v>
      </c>
      <c r="G664" s="41" t="s">
        <v>2332</v>
      </c>
      <c r="H664" s="36"/>
      <c r="I664" s="36" t="s">
        <v>1823</v>
      </c>
      <c r="J664" s="36"/>
      <c r="K664" s="46"/>
      <c r="L664" s="46" t="s">
        <v>48</v>
      </c>
      <c r="M664" s="46"/>
      <c r="N664" s="46" t="s">
        <v>1824</v>
      </c>
      <c r="O664" s="45" t="s">
        <v>2439</v>
      </c>
      <c r="P664" s="45" t="s">
        <v>767</v>
      </c>
      <c r="Q664" s="45"/>
    </row>
    <row r="665" spans="1:17" x14ac:dyDescent="0.3">
      <c r="A665" s="37"/>
      <c r="B665" s="40"/>
      <c r="C665" s="40" t="s">
        <v>2225</v>
      </c>
      <c r="D665" s="40"/>
      <c r="E665" s="7" t="s">
        <v>746</v>
      </c>
      <c r="F665" s="40" t="s">
        <v>1915</v>
      </c>
      <c r="G665" s="41" t="s">
        <v>2341</v>
      </c>
      <c r="H665" s="36"/>
      <c r="I665" s="36" t="s">
        <v>1823</v>
      </c>
      <c r="J665" s="36"/>
      <c r="K665" s="46"/>
      <c r="L665" s="46" t="s">
        <v>516</v>
      </c>
      <c r="M665" s="46"/>
      <c r="N665" s="46" t="s">
        <v>1824</v>
      </c>
      <c r="O665" s="45"/>
      <c r="P665" s="45" t="s">
        <v>767</v>
      </c>
      <c r="Q665" s="45"/>
    </row>
    <row r="666" spans="1:17" x14ac:dyDescent="0.3">
      <c r="A666" s="37"/>
      <c r="B666" s="40"/>
      <c r="C666" s="40" t="s">
        <v>2440</v>
      </c>
      <c r="D666" s="40"/>
      <c r="E666" s="7" t="s">
        <v>746</v>
      </c>
      <c r="F666" s="40" t="s">
        <v>1915</v>
      </c>
      <c r="G666" s="41" t="s">
        <v>2408</v>
      </c>
      <c r="H666" s="36"/>
      <c r="I666" s="36" t="s">
        <v>1823</v>
      </c>
      <c r="J666" s="36"/>
      <c r="K666" s="46"/>
      <c r="L666" s="46" t="s">
        <v>375</v>
      </c>
      <c r="M666" s="46"/>
      <c r="N666" s="46" t="s">
        <v>1824</v>
      </c>
      <c r="O666" s="45"/>
      <c r="P666" s="45" t="s">
        <v>767</v>
      </c>
      <c r="Q666" s="45"/>
    </row>
    <row r="667" spans="1:17" x14ac:dyDescent="0.3">
      <c r="A667" s="37"/>
      <c r="B667" s="40"/>
      <c r="C667" s="40" t="s">
        <v>2152</v>
      </c>
      <c r="D667" s="40"/>
      <c r="E667" s="7" t="s">
        <v>746</v>
      </c>
      <c r="F667" s="40" t="s">
        <v>1915</v>
      </c>
      <c r="G667" s="41" t="s">
        <v>2409</v>
      </c>
      <c r="H667" s="36"/>
      <c r="I667" s="36" t="s">
        <v>2135</v>
      </c>
      <c r="J667" s="36"/>
      <c r="K667" s="46"/>
      <c r="L667" s="46" t="s">
        <v>2410</v>
      </c>
      <c r="M667" s="46"/>
      <c r="N667" s="46" t="s">
        <v>1822</v>
      </c>
      <c r="O667" s="45"/>
      <c r="P667" s="45" t="s">
        <v>767</v>
      </c>
      <c r="Q667" s="45"/>
    </row>
    <row r="668" spans="1:17" x14ac:dyDescent="0.3">
      <c r="A668" s="37"/>
      <c r="B668" s="40"/>
      <c r="C668" s="40" t="s">
        <v>2441</v>
      </c>
      <c r="D668" s="40"/>
      <c r="E668" s="7" t="s">
        <v>746</v>
      </c>
      <c r="F668" s="40" t="s">
        <v>1915</v>
      </c>
      <c r="G668" s="41" t="s">
        <v>2411</v>
      </c>
      <c r="H668" s="36"/>
      <c r="I668" s="36" t="s">
        <v>2135</v>
      </c>
      <c r="J668" s="36"/>
      <c r="K668" s="46"/>
      <c r="L668" s="46" t="s">
        <v>470</v>
      </c>
      <c r="M668" s="46"/>
      <c r="N668" s="46" t="s">
        <v>1822</v>
      </c>
      <c r="O668" s="45"/>
      <c r="P668" s="45" t="s">
        <v>767</v>
      </c>
      <c r="Q668" s="45"/>
    </row>
    <row r="669" spans="1:17" x14ac:dyDescent="0.3">
      <c r="A669" s="37"/>
      <c r="B669" s="40"/>
      <c r="C669" s="40" t="s">
        <v>2442</v>
      </c>
      <c r="D669" s="40"/>
      <c r="E669" s="7" t="s">
        <v>746</v>
      </c>
      <c r="F669" s="40" t="s">
        <v>1915</v>
      </c>
      <c r="G669" s="41" t="s">
        <v>2412</v>
      </c>
      <c r="H669" s="36"/>
      <c r="I669" s="36" t="s">
        <v>2135</v>
      </c>
      <c r="J669" s="36"/>
      <c r="K669" s="46"/>
      <c r="L669" s="46" t="s">
        <v>470</v>
      </c>
      <c r="M669" s="46"/>
      <c r="N669" s="46" t="s">
        <v>1822</v>
      </c>
      <c r="O669" s="45"/>
      <c r="P669" s="45" t="s">
        <v>767</v>
      </c>
      <c r="Q669" s="45"/>
    </row>
    <row r="670" spans="1:17" x14ac:dyDescent="0.3">
      <c r="A670" s="37"/>
      <c r="B670" s="40"/>
      <c r="C670" s="40" t="s">
        <v>2442</v>
      </c>
      <c r="D670" s="40"/>
      <c r="E670" s="7" t="s">
        <v>746</v>
      </c>
      <c r="F670" s="40" t="s">
        <v>1915</v>
      </c>
      <c r="G670" s="41" t="s">
        <v>2413</v>
      </c>
      <c r="H670" s="36"/>
      <c r="I670" s="36" t="s">
        <v>2135</v>
      </c>
      <c r="J670" s="36"/>
      <c r="K670" s="46"/>
      <c r="L670" s="46" t="s">
        <v>470</v>
      </c>
      <c r="M670" s="46"/>
      <c r="N670" s="46" t="s">
        <v>1822</v>
      </c>
      <c r="O670" s="45"/>
      <c r="P670" s="45" t="s">
        <v>767</v>
      </c>
      <c r="Q670" s="45"/>
    </row>
    <row r="671" spans="1:17" x14ac:dyDescent="0.3">
      <c r="B671" s="40"/>
      <c r="C671" s="40" t="s">
        <v>2442</v>
      </c>
      <c r="D671" s="40"/>
      <c r="E671" s="7" t="s">
        <v>746</v>
      </c>
      <c r="F671" s="40" t="s">
        <v>1915</v>
      </c>
      <c r="G671" s="41" t="s">
        <v>2414</v>
      </c>
      <c r="H671" s="36"/>
      <c r="I671" s="36" t="s">
        <v>2135</v>
      </c>
      <c r="J671" s="36"/>
      <c r="K671" s="46"/>
      <c r="L671" s="46" t="s">
        <v>470</v>
      </c>
      <c r="M671" s="46"/>
      <c r="N671" s="46" t="s">
        <v>1822</v>
      </c>
      <c r="O671" s="45"/>
      <c r="P671" s="45" t="s">
        <v>767</v>
      </c>
      <c r="Q671" s="45"/>
    </row>
    <row r="672" spans="1:17" x14ac:dyDescent="0.3">
      <c r="A672" s="37"/>
      <c r="B672" s="40"/>
      <c r="C672" s="40" t="s">
        <v>2442</v>
      </c>
      <c r="D672" s="40"/>
      <c r="E672" s="7" t="s">
        <v>746</v>
      </c>
      <c r="F672" s="40" t="s">
        <v>1915</v>
      </c>
      <c r="G672" s="41" t="s">
        <v>2415</v>
      </c>
      <c r="H672" s="36"/>
      <c r="I672" s="36" t="s">
        <v>2135</v>
      </c>
      <c r="J672" s="36"/>
      <c r="K672" s="46"/>
      <c r="L672" s="46" t="s">
        <v>470</v>
      </c>
      <c r="M672" s="46"/>
      <c r="N672" s="46" t="s">
        <v>1822</v>
      </c>
      <c r="O672" s="45"/>
      <c r="P672" s="45" t="s">
        <v>767</v>
      </c>
      <c r="Q672" s="45"/>
    </row>
    <row r="673" spans="1:17" x14ac:dyDescent="0.3">
      <c r="A673" s="37"/>
      <c r="B673" s="40"/>
      <c r="C673" s="40" t="s">
        <v>2442</v>
      </c>
      <c r="D673" s="40"/>
      <c r="E673" s="7" t="s">
        <v>746</v>
      </c>
      <c r="F673" s="40" t="s">
        <v>1915</v>
      </c>
      <c r="G673" s="41" t="s">
        <v>2416</v>
      </c>
      <c r="H673" s="36"/>
      <c r="I673" s="36" t="s">
        <v>2135</v>
      </c>
      <c r="J673" s="36"/>
      <c r="K673" s="46"/>
      <c r="L673" s="46" t="s">
        <v>470</v>
      </c>
      <c r="M673" s="46"/>
      <c r="N673" s="46" t="s">
        <v>1822</v>
      </c>
      <c r="O673" s="45"/>
      <c r="P673" s="45" t="s">
        <v>767</v>
      </c>
      <c r="Q673" s="45"/>
    </row>
    <row r="674" spans="1:17" x14ac:dyDescent="0.3">
      <c r="A674" s="37"/>
      <c r="B674" s="40"/>
      <c r="C674" s="40" t="s">
        <v>2442</v>
      </c>
      <c r="D674" s="40"/>
      <c r="E674" s="7" t="s">
        <v>746</v>
      </c>
      <c r="F674" s="40" t="s">
        <v>1915</v>
      </c>
      <c r="G674" s="41" t="s">
        <v>2417</v>
      </c>
      <c r="H674" s="36"/>
      <c r="I674" s="36" t="s">
        <v>2135</v>
      </c>
      <c r="J674" s="36"/>
      <c r="K674" s="46"/>
      <c r="L674" s="46" t="s">
        <v>470</v>
      </c>
      <c r="M674" s="46"/>
      <c r="N674" s="46" t="s">
        <v>1822</v>
      </c>
      <c r="O674" s="45"/>
      <c r="P674" s="45" t="s">
        <v>767</v>
      </c>
      <c r="Q674" s="45"/>
    </row>
    <row r="675" spans="1:17" x14ac:dyDescent="0.3">
      <c r="A675" s="37"/>
      <c r="B675" s="40"/>
      <c r="C675" s="40" t="s">
        <v>2442</v>
      </c>
      <c r="D675" s="40"/>
      <c r="E675" s="7" t="s">
        <v>746</v>
      </c>
      <c r="F675" s="40" t="s">
        <v>1915</v>
      </c>
      <c r="G675" s="41" t="s">
        <v>2418</v>
      </c>
      <c r="H675" s="36"/>
      <c r="I675" s="36" t="s">
        <v>2135</v>
      </c>
      <c r="J675" s="36"/>
      <c r="K675" s="46"/>
      <c r="L675" s="46" t="s">
        <v>470</v>
      </c>
      <c r="M675" s="46"/>
      <c r="N675" s="46" t="s">
        <v>1822</v>
      </c>
      <c r="O675" s="45"/>
      <c r="P675" s="45" t="s">
        <v>767</v>
      </c>
      <c r="Q675" s="45"/>
    </row>
    <row r="676" spans="1:17" x14ac:dyDescent="0.3">
      <c r="A676" s="37"/>
      <c r="B676" s="40"/>
      <c r="C676" s="40" t="s">
        <v>2198</v>
      </c>
      <c r="D676" s="40"/>
      <c r="E676" s="7" t="s">
        <v>746</v>
      </c>
      <c r="F676" s="40" t="s">
        <v>2183</v>
      </c>
      <c r="G676" s="41" t="s">
        <v>2419</v>
      </c>
      <c r="H676" s="36"/>
      <c r="I676" s="36" t="s">
        <v>1823</v>
      </c>
      <c r="J676" s="36"/>
      <c r="K676" s="46"/>
      <c r="L676" s="46" t="s">
        <v>123</v>
      </c>
      <c r="M676" s="46"/>
      <c r="N676" s="46" t="s">
        <v>1822</v>
      </c>
      <c r="O676" s="45" t="s">
        <v>2443</v>
      </c>
      <c r="P676" s="45" t="s">
        <v>767</v>
      </c>
      <c r="Q676" s="45"/>
    </row>
    <row r="677" spans="1:17" x14ac:dyDescent="0.3">
      <c r="A677" s="45"/>
      <c r="B677" s="40"/>
      <c r="C677" s="40" t="s">
        <v>1933</v>
      </c>
      <c r="D677" s="40"/>
      <c r="E677" s="7" t="s">
        <v>746</v>
      </c>
      <c r="F677" s="40" t="s">
        <v>2196</v>
      </c>
      <c r="G677" s="41" t="s">
        <v>2420</v>
      </c>
      <c r="H677" s="36"/>
      <c r="I677" s="36" t="s">
        <v>1823</v>
      </c>
      <c r="J677" s="36"/>
      <c r="K677" s="46"/>
      <c r="L677" s="46" t="s">
        <v>242</v>
      </c>
      <c r="M677" s="46"/>
      <c r="N677" s="46" t="s">
        <v>1822</v>
      </c>
      <c r="O677" s="45" t="s">
        <v>2444</v>
      </c>
      <c r="P677" s="45" t="s">
        <v>767</v>
      </c>
      <c r="Q677" s="45"/>
    </row>
    <row r="678" spans="1:17" x14ac:dyDescent="0.3">
      <c r="A678" s="45"/>
      <c r="B678" s="40"/>
      <c r="C678" s="40" t="s">
        <v>2255</v>
      </c>
      <c r="D678" s="40"/>
      <c r="E678" s="7" t="s">
        <v>746</v>
      </c>
      <c r="F678" s="40" t="s">
        <v>1915</v>
      </c>
      <c r="G678" s="41" t="s">
        <v>2421</v>
      </c>
      <c r="H678" s="36"/>
      <c r="I678" s="36" t="s">
        <v>1823</v>
      </c>
      <c r="J678" s="36"/>
      <c r="K678" s="46"/>
      <c r="L678" s="46" t="s">
        <v>278</v>
      </c>
      <c r="M678" s="46"/>
      <c r="N678" s="46" t="s">
        <v>1824</v>
      </c>
      <c r="O678" s="47" t="s">
        <v>2256</v>
      </c>
      <c r="P678" s="47" t="s">
        <v>767</v>
      </c>
      <c r="Q678" s="47"/>
    </row>
  </sheetData>
  <phoneticPr fontId="7" type="noConversion"/>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538F5-CD6D-4CC7-927C-6B1811CC1091}">
  <sheetPr>
    <tabColor rgb="FFFF0000"/>
  </sheetPr>
  <dimension ref="A1:D77"/>
  <sheetViews>
    <sheetView workbookViewId="0">
      <selection activeCell="N1579" sqref="N1579"/>
    </sheetView>
  </sheetViews>
  <sheetFormatPr defaultRowHeight="14.4" x14ac:dyDescent="0.3"/>
  <cols>
    <col min="1" max="1" width="25.44140625" bestFit="1" customWidth="1"/>
    <col min="2" max="2" width="28.44140625" bestFit="1" customWidth="1"/>
    <col min="3" max="3" width="23.44140625" bestFit="1" customWidth="1"/>
    <col min="4" max="4" width="16.5546875" bestFit="1" customWidth="1"/>
  </cols>
  <sheetData>
    <row r="1" spans="1:4" x14ac:dyDescent="0.3">
      <c r="A1" s="16" t="s">
        <v>2272</v>
      </c>
      <c r="B1" s="16" t="s">
        <v>2273</v>
      </c>
      <c r="C1" s="16" t="s">
        <v>2274</v>
      </c>
      <c r="D1" s="16" t="s">
        <v>2275</v>
      </c>
    </row>
    <row r="2" spans="1:4" x14ac:dyDescent="0.3">
      <c r="D2" s="2"/>
    </row>
    <row r="3" spans="1:4" x14ac:dyDescent="0.3">
      <c r="D3" s="2"/>
    </row>
    <row r="4" spans="1:4" x14ac:dyDescent="0.3">
      <c r="D4" s="2"/>
    </row>
    <row r="5" spans="1:4" x14ac:dyDescent="0.3">
      <c r="D5" s="2"/>
    </row>
    <row r="6" spans="1:4" x14ac:dyDescent="0.3">
      <c r="D6" s="2"/>
    </row>
    <row r="7" spans="1:4" x14ac:dyDescent="0.3">
      <c r="D7" s="2"/>
    </row>
    <row r="8" spans="1:4" x14ac:dyDescent="0.3">
      <c r="D8" s="2"/>
    </row>
    <row r="9" spans="1:4" x14ac:dyDescent="0.3">
      <c r="D9" s="2"/>
    </row>
    <row r="10" spans="1:4" x14ac:dyDescent="0.3">
      <c r="D10" s="2"/>
    </row>
    <row r="11" spans="1:4" x14ac:dyDescent="0.3">
      <c r="D11" s="2"/>
    </row>
    <row r="12" spans="1:4" x14ac:dyDescent="0.3">
      <c r="D12" s="2"/>
    </row>
    <row r="13" spans="1:4" x14ac:dyDescent="0.3">
      <c r="D13" s="2"/>
    </row>
    <row r="14" spans="1:4" x14ac:dyDescent="0.3">
      <c r="D14" s="2"/>
    </row>
    <row r="15" spans="1:4" x14ac:dyDescent="0.3">
      <c r="D15" s="2"/>
    </row>
    <row r="16" spans="1:4" x14ac:dyDescent="0.3">
      <c r="D16" s="2"/>
    </row>
    <row r="17" spans="4:4" x14ac:dyDescent="0.3">
      <c r="D17" s="2"/>
    </row>
    <row r="18" spans="4:4" x14ac:dyDescent="0.3">
      <c r="D18" s="2"/>
    </row>
    <row r="19" spans="4:4" x14ac:dyDescent="0.3">
      <c r="D19" s="2"/>
    </row>
    <row r="20" spans="4:4" x14ac:dyDescent="0.3">
      <c r="D20" s="2"/>
    </row>
    <row r="21" spans="4:4" x14ac:dyDescent="0.3">
      <c r="D21" s="2"/>
    </row>
    <row r="22" spans="4:4" x14ac:dyDescent="0.3">
      <c r="D22" s="2"/>
    </row>
    <row r="23" spans="4:4" x14ac:dyDescent="0.3">
      <c r="D23" s="2"/>
    </row>
    <row r="24" spans="4:4" x14ac:dyDescent="0.3">
      <c r="D24" s="2"/>
    </row>
    <row r="25" spans="4:4" x14ac:dyDescent="0.3">
      <c r="D25" s="2"/>
    </row>
    <row r="26" spans="4:4" x14ac:dyDescent="0.3">
      <c r="D26" s="2"/>
    </row>
    <row r="27" spans="4:4" x14ac:dyDescent="0.3">
      <c r="D27" s="2"/>
    </row>
    <row r="28" spans="4:4" x14ac:dyDescent="0.3">
      <c r="D28" s="2"/>
    </row>
    <row r="29" spans="4:4" x14ac:dyDescent="0.3">
      <c r="D29" s="2"/>
    </row>
    <row r="30" spans="4:4" x14ac:dyDescent="0.3">
      <c r="D30" s="2"/>
    </row>
    <row r="31" spans="4:4" x14ac:dyDescent="0.3">
      <c r="D31" s="2"/>
    </row>
    <row r="32" spans="4:4" x14ac:dyDescent="0.3">
      <c r="D32" s="2"/>
    </row>
    <row r="33" spans="4:4" x14ac:dyDescent="0.3">
      <c r="D33" s="2"/>
    </row>
    <row r="34" spans="4:4" x14ac:dyDescent="0.3">
      <c r="D34" s="2"/>
    </row>
    <row r="35" spans="4:4" x14ac:dyDescent="0.3">
      <c r="D35" s="2"/>
    </row>
    <row r="36" spans="4:4" x14ac:dyDescent="0.3">
      <c r="D36" s="2"/>
    </row>
    <row r="37" spans="4:4" x14ac:dyDescent="0.3">
      <c r="D37" s="2"/>
    </row>
    <row r="38" spans="4:4" x14ac:dyDescent="0.3">
      <c r="D38" s="2"/>
    </row>
    <row r="39" spans="4:4" x14ac:dyDescent="0.3">
      <c r="D39" s="2"/>
    </row>
    <row r="40" spans="4:4" x14ac:dyDescent="0.3">
      <c r="D40" s="2"/>
    </row>
    <row r="41" spans="4:4" x14ac:dyDescent="0.3">
      <c r="D41" s="2"/>
    </row>
    <row r="42" spans="4:4" x14ac:dyDescent="0.3">
      <c r="D42" s="2"/>
    </row>
    <row r="43" spans="4:4" x14ac:dyDescent="0.3">
      <c r="D43" s="2"/>
    </row>
    <row r="44" spans="4:4" x14ac:dyDescent="0.3">
      <c r="D44" s="2"/>
    </row>
    <row r="45" spans="4:4" x14ac:dyDescent="0.3">
      <c r="D45" s="2"/>
    </row>
    <row r="46" spans="4:4" x14ac:dyDescent="0.3">
      <c r="D46" s="2"/>
    </row>
    <row r="47" spans="4:4" x14ac:dyDescent="0.3">
      <c r="D47" s="2"/>
    </row>
    <row r="48" spans="4:4" x14ac:dyDescent="0.3">
      <c r="D48" s="2"/>
    </row>
    <row r="49" spans="4:4" x14ac:dyDescent="0.3">
      <c r="D49" s="2"/>
    </row>
    <row r="50" spans="4:4" x14ac:dyDescent="0.3">
      <c r="D50" s="2"/>
    </row>
    <row r="51" spans="4:4" x14ac:dyDescent="0.3">
      <c r="D51" s="2"/>
    </row>
    <row r="52" spans="4:4" x14ac:dyDescent="0.3">
      <c r="D52" s="2"/>
    </row>
    <row r="53" spans="4:4" x14ac:dyDescent="0.3">
      <c r="D53" s="2"/>
    </row>
    <row r="54" spans="4:4" x14ac:dyDescent="0.3">
      <c r="D54" s="2"/>
    </row>
    <row r="55" spans="4:4" x14ac:dyDescent="0.3">
      <c r="D55" s="2"/>
    </row>
    <row r="56" spans="4:4" x14ac:dyDescent="0.3">
      <c r="D56" s="2"/>
    </row>
    <row r="57" spans="4:4" x14ac:dyDescent="0.3">
      <c r="D57" s="2"/>
    </row>
    <row r="58" spans="4:4" x14ac:dyDescent="0.3">
      <c r="D58" s="2"/>
    </row>
    <row r="59" spans="4:4" x14ac:dyDescent="0.3">
      <c r="D59" s="2"/>
    </row>
    <row r="60" spans="4:4" x14ac:dyDescent="0.3">
      <c r="D60" s="2"/>
    </row>
    <row r="61" spans="4:4" x14ac:dyDescent="0.3">
      <c r="D61" s="2"/>
    </row>
    <row r="62" spans="4:4" x14ac:dyDescent="0.3">
      <c r="D62" s="2"/>
    </row>
    <row r="63" spans="4:4" x14ac:dyDescent="0.3">
      <c r="D63" s="2"/>
    </row>
    <row r="64" spans="4:4" x14ac:dyDescent="0.3">
      <c r="D64" s="2"/>
    </row>
    <row r="65" spans="4:4" x14ac:dyDescent="0.3">
      <c r="D65" s="2"/>
    </row>
    <row r="66" spans="4:4" x14ac:dyDescent="0.3">
      <c r="D66" s="2"/>
    </row>
    <row r="67" spans="4:4" x14ac:dyDescent="0.3">
      <c r="D67" s="2"/>
    </row>
    <row r="68" spans="4:4" x14ac:dyDescent="0.3">
      <c r="D68" s="2"/>
    </row>
    <row r="69" spans="4:4" x14ac:dyDescent="0.3">
      <c r="D69" s="2"/>
    </row>
    <row r="70" spans="4:4" x14ac:dyDescent="0.3">
      <c r="D70" s="2"/>
    </row>
    <row r="71" spans="4:4" x14ac:dyDescent="0.3">
      <c r="D71" s="2"/>
    </row>
    <row r="72" spans="4:4" x14ac:dyDescent="0.3">
      <c r="D72" s="2"/>
    </row>
    <row r="73" spans="4:4" x14ac:dyDescent="0.3">
      <c r="D73" s="2"/>
    </row>
    <row r="74" spans="4:4" x14ac:dyDescent="0.3">
      <c r="D74" s="2"/>
    </row>
    <row r="75" spans="4:4" x14ac:dyDescent="0.3">
      <c r="D75" s="2"/>
    </row>
    <row r="76" spans="4:4" x14ac:dyDescent="0.3">
      <c r="D76" s="2"/>
    </row>
    <row r="77" spans="4:4" x14ac:dyDescent="0.3">
      <c r="D77" s="2"/>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A498F765F3550448F48C3C0899CF111" ma:contentTypeVersion="4" ma:contentTypeDescription="Create a new document." ma:contentTypeScope="" ma:versionID="85b3b349dd257d71d025fe66de2a79a5">
  <xsd:schema xmlns:xsd="http://www.w3.org/2001/XMLSchema" xmlns:xs="http://www.w3.org/2001/XMLSchema" xmlns:p="http://schemas.microsoft.com/office/2006/metadata/properties" xmlns:ns2="12648c9f-e72e-4de0-af99-7b566251377e" targetNamespace="http://schemas.microsoft.com/office/2006/metadata/properties" ma:root="true" ma:fieldsID="6c4b30ac715407f2ee9e93f310e34611" ns2:_="">
    <xsd:import namespace="12648c9f-e72e-4de0-af99-7b566251377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648c9f-e72e-4de0-af99-7b566251377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
</file>

<file path=customXml/itemProps1.xml><?xml version="1.0" encoding="utf-8"?>
<ds:datastoreItem xmlns:ds="http://schemas.openxmlformats.org/officeDocument/2006/customXml" ds:itemID="{CC81BCE9-ACC0-4781-8F85-5E1938527AD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648c9f-e72e-4de0-af99-7b5662513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5ECCBD7-54EA-4C4C-A25A-9425A9C09843}">
  <ds:schemaRefs>
    <ds:schemaRef ds:uri="http://schemas.microsoft.com/sharepoint/v3/contenttype/forms"/>
  </ds:schemaRefs>
</ds:datastoreItem>
</file>

<file path=customXml/itemProps3.xml><?xml version="1.0" encoding="utf-8"?>
<ds:datastoreItem xmlns:ds="http://schemas.openxmlformats.org/officeDocument/2006/customXml" ds:itemID="{349AADBC-8149-45AD-804A-3E3DFFAA2DBF}">
  <ds:schemaRefs>
    <ds:schemaRef ds:uri="http://schemas.microsoft.com/office/infopath/2007/PartnerControls"/>
    <ds:schemaRef ds:uri="http://www.w3.org/XML/1998/namespace"/>
    <ds:schemaRef ds:uri="http://purl.org/dc/dcmitype/"/>
    <ds:schemaRef ds:uri="http://purl.org/dc/elements/1.1/"/>
    <ds:schemaRef ds:uri="12648c9f-e72e-4de0-af99-7b566251377e"/>
    <ds:schemaRef ds:uri="http://schemas.microsoft.com/office/2006/documentManagement/types"/>
    <ds:schemaRef ds:uri="http://schemas.microsoft.com/office/2006/metadata/properties"/>
    <ds:schemaRef ds:uri="http://schemas.openxmlformats.org/package/2006/metadata/core-properties"/>
    <ds:schemaRef ds:uri="http://purl.org/dc/terms/"/>
  </ds:schemaRefs>
</ds:datastoreItem>
</file>

<file path=customXml/itemProps4.xml><?xml version="1.0" encoding="utf-8"?>
<ds:datastoreItem xmlns:ds="http://schemas.openxmlformats.org/officeDocument/2006/customXml" ds:itemID="{2AD01F94-0DEB-4746-82CC-5F61178A745C}">
  <ds:schemaRefs>
    <ds:schemaRef ds:uri="http://schemas.microsoft.com/DataMashup"/>
  </ds:schemaRefs>
</ds:datastoreItem>
</file>

<file path=docMetadata/LabelInfo.xml><?xml version="1.0" encoding="utf-8"?>
<clbl:labelList xmlns:clbl="http://schemas.microsoft.com/office/2020/mipLabelMetadata">
  <clbl:label id="{1a407a2d-7675-4d17-8692-b3ac285306e4}" enabled="0" method="" siteId="{1a407a2d-7675-4d17-8692-b3ac285306e4}"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FTE Summary</vt:lpstr>
      <vt:lpstr>Sheet3</vt:lpstr>
      <vt:lpstr>exportFteData</vt:lpstr>
      <vt:lpstr>Sheet2</vt:lpstr>
      <vt:lpstr>Working data</vt:lpstr>
      <vt:lpstr>Sheet1</vt:lpstr>
      <vt:lpstr>Trainings &amp; Events</vt:lpstr>
      <vt:lpstr>Allocation Status</vt:lpstr>
      <vt:lpstr>Not Uploaded to SYSTEUR Tool</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Saputo, Allison</dc:creator>
  <cp:keywords/>
  <dc:description/>
  <cp:lastModifiedBy>Mehta, Ritu</cp:lastModifiedBy>
  <cp:revision/>
  <dcterms:created xsi:type="dcterms:W3CDTF">2023-03-07T21:58:26Z</dcterms:created>
  <dcterms:modified xsi:type="dcterms:W3CDTF">2026-09-10T03:53:46Z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0x0101007A498F765F3550448F48C3C0899CF111</vt:lpwstr>
  </property>
</Properties>
</file>