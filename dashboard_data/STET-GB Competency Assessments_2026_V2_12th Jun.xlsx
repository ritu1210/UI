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320120729\Downloads\"/>
    </mc:Choice>
  </mc:AlternateContent>
  <xr:revisionPtr revIDLastSave="0" documentId="8_{D392EB37-0A7E-4C06-B71B-AA14EEA37073}" xr6:coauthVersionLast="47" xr6:coauthVersionMax="47" xr10:uidLastSave="{00000000-0000-0000-0000-000000000000}"/>
  <bookViews>
    <workbookView xWindow="-110" yWindow="-110" windowWidth="19420" windowHeight="11500" tabRatio="717" xr2:uid="{601B6C4E-39AE-4292-9B98-2CD2F1DE5E0E}"/>
  </bookViews>
  <sheets>
    <sheet name="STET_GB_2026 Competency Ratings" sheetId="9" r:id="rId1"/>
    <sheet name="Competence definitions" sheetId="13" state="hidden" r:id="rId2"/>
    <sheet name="PL-H1" sheetId="11" state="hidden" r:id="rId3"/>
    <sheet name="PL" sheetId="23" r:id="rId4"/>
    <sheet name="ME-H1" sheetId="3" state="hidden" r:id="rId5"/>
    <sheet name="PE-H1" sheetId="4" state="hidden" r:id="rId6"/>
    <sheet name="ME" sheetId="31" r:id="rId7"/>
    <sheet name="PE" sheetId="34" r:id="rId8"/>
    <sheet name="EE-H1" sheetId="5" state="hidden" r:id="rId9"/>
    <sheet name="EE" sheetId="35" r:id="rId10"/>
    <sheet name="QPL" sheetId="36" r:id="rId11"/>
    <sheet name="SE" sheetId="37" r:id="rId12"/>
    <sheet name="TPD" sheetId="38" r:id="rId13"/>
    <sheet name="T&amp;V-H1" sheetId="14" state="hidden" r:id="rId14"/>
    <sheet name="T&amp;V" sheetId="39" r:id="rId15"/>
  </sheets>
  <externalReferences>
    <externalReference r:id="rId16"/>
    <externalReference r:id="rId17"/>
    <externalReference r:id="rId18"/>
  </externalReferences>
  <definedNames>
    <definedName name="aaaa">#REF!</definedName>
    <definedName name="erwer">#REF!</definedName>
    <definedName name="ListCapaSource">#REF!</definedName>
    <definedName name="ListCapaSp">[1]Lists!#REF!</definedName>
    <definedName name="ListCapaSponsor">#REF!</definedName>
    <definedName name="ListDocStatus">#REF!</definedName>
    <definedName name="ListDocumentStatus">[2]List!$A$2:$A$6</definedName>
    <definedName name="ListYN">#REF!</definedName>
    <definedName name="opx_version" hidden="1">9</definedName>
    <definedName name="test">#REF!</definedName>
    <definedName name="x">[3]List!$A$2:$A$6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9" i="38" l="1"/>
  <c r="AG9" i="38"/>
  <c r="G16" i="35"/>
  <c r="E11" i="9"/>
  <c r="H8" i="9"/>
  <c r="E8" i="9"/>
  <c r="D8" i="9"/>
  <c r="H7" i="9"/>
  <c r="E7" i="9"/>
  <c r="D7" i="9"/>
  <c r="H6" i="9"/>
  <c r="E6" i="9"/>
  <c r="D6" i="9"/>
  <c r="H5" i="9"/>
  <c r="E5" i="9"/>
  <c r="D5" i="9"/>
  <c r="E4" i="9"/>
  <c r="H4" i="9"/>
  <c r="D4" i="9"/>
  <c r="S4" i="39"/>
  <c r="E35" i="39"/>
  <c r="F35" i="39"/>
  <c r="D35" i="39"/>
  <c r="AJ17" i="39"/>
  <c r="AH17" i="39"/>
  <c r="AJ16" i="39"/>
  <c r="AH16" i="39"/>
  <c r="AJ15" i="39"/>
  <c r="AH15" i="39"/>
  <c r="AJ14" i="39"/>
  <c r="AH14" i="39"/>
  <c r="AJ13" i="39"/>
  <c r="AH13" i="39"/>
  <c r="AJ12" i="39"/>
  <c r="AH12" i="39"/>
  <c r="AI9" i="39"/>
  <c r="AI17" i="39" s="1"/>
  <c r="AF9" i="39"/>
  <c r="AF16" i="39" s="1"/>
  <c r="AE9" i="39"/>
  <c r="AD8" i="39"/>
  <c r="AC8" i="39"/>
  <c r="AB8" i="39"/>
  <c r="AA8" i="39"/>
  <c r="Z8" i="39"/>
  <c r="Y8" i="39"/>
  <c r="X8" i="39"/>
  <c r="W8" i="39"/>
  <c r="V8" i="39"/>
  <c r="U8" i="39"/>
  <c r="T8" i="39"/>
  <c r="S8" i="39"/>
  <c r="AG8" i="39" s="1"/>
  <c r="AD7" i="39"/>
  <c r="AC7" i="39"/>
  <c r="AB7" i="39"/>
  <c r="AA7" i="39"/>
  <c r="Z7" i="39"/>
  <c r="Y7" i="39"/>
  <c r="X7" i="39"/>
  <c r="W7" i="39"/>
  <c r="V7" i="39"/>
  <c r="U7" i="39"/>
  <c r="T7" i="39"/>
  <c r="S7" i="39"/>
  <c r="AG7" i="39" s="1"/>
  <c r="AD6" i="39"/>
  <c r="AC6" i="39"/>
  <c r="AB6" i="39"/>
  <c r="AA6" i="39"/>
  <c r="Z6" i="39"/>
  <c r="Y6" i="39"/>
  <c r="X6" i="39"/>
  <c r="W6" i="39"/>
  <c r="V6" i="39"/>
  <c r="U6" i="39"/>
  <c r="T6" i="39"/>
  <c r="S6" i="39"/>
  <c r="AG6" i="39" s="1"/>
  <c r="AD5" i="39"/>
  <c r="AC5" i="39"/>
  <c r="AB5" i="39"/>
  <c r="AA5" i="39"/>
  <c r="Z5" i="39"/>
  <c r="Y5" i="39"/>
  <c r="X5" i="39"/>
  <c r="W5" i="39"/>
  <c r="V5" i="39"/>
  <c r="U5" i="39"/>
  <c r="T5" i="39"/>
  <c r="S5" i="39"/>
  <c r="AG5" i="39" s="1"/>
  <c r="AD4" i="39"/>
  <c r="AC4" i="39"/>
  <c r="AB4" i="39"/>
  <c r="AB9" i="39" s="1"/>
  <c r="AA4" i="39"/>
  <c r="AA9" i="39" s="1"/>
  <c r="Z4" i="39"/>
  <c r="Y4" i="39"/>
  <c r="Y9" i="39" s="1"/>
  <c r="X4" i="39"/>
  <c r="W4" i="39"/>
  <c r="W9" i="39" s="1"/>
  <c r="V4" i="39"/>
  <c r="U4" i="39"/>
  <c r="T4" i="39"/>
  <c r="T9" i="39" s="1"/>
  <c r="AD3" i="39"/>
  <c r="AC3" i="39"/>
  <c r="AB3" i="39"/>
  <c r="AA3" i="39"/>
  <c r="Z3" i="39"/>
  <c r="Y3" i="39"/>
  <c r="X3" i="39"/>
  <c r="W3" i="39"/>
  <c r="V3" i="39"/>
  <c r="U3" i="39"/>
  <c r="T3" i="39"/>
  <c r="S3" i="39"/>
  <c r="AJ16" i="38"/>
  <c r="S7" i="38"/>
  <c r="S6" i="38"/>
  <c r="S5" i="38"/>
  <c r="S4" i="38"/>
  <c r="E19" i="38"/>
  <c r="F19" i="38"/>
  <c r="G19" i="38"/>
  <c r="H19" i="38"/>
  <c r="I19" i="38"/>
  <c r="J19" i="38"/>
  <c r="K19" i="38"/>
  <c r="L19" i="38"/>
  <c r="D19" i="38"/>
  <c r="AJ17" i="38"/>
  <c r="AH17" i="38"/>
  <c r="AH16" i="38"/>
  <c r="AJ15" i="38"/>
  <c r="AH15" i="38"/>
  <c r="AJ14" i="38"/>
  <c r="AH14" i="38"/>
  <c r="AJ13" i="38"/>
  <c r="AH13" i="38"/>
  <c r="AJ12" i="38"/>
  <c r="AH12" i="38"/>
  <c r="AF9" i="38"/>
  <c r="AF16" i="38" s="1"/>
  <c r="AE9" i="38"/>
  <c r="AE16" i="38" s="1"/>
  <c r="AD8" i="38"/>
  <c r="AC8" i="38"/>
  <c r="AB8" i="38"/>
  <c r="AA8" i="38"/>
  <c r="Z8" i="38"/>
  <c r="Y8" i="38"/>
  <c r="X8" i="38"/>
  <c r="W8" i="38"/>
  <c r="V8" i="38"/>
  <c r="U8" i="38"/>
  <c r="T8" i="38"/>
  <c r="S8" i="38"/>
  <c r="AD7" i="38"/>
  <c r="AC7" i="38"/>
  <c r="AB7" i="38"/>
  <c r="AA7" i="38"/>
  <c r="Z7" i="38"/>
  <c r="Y7" i="38"/>
  <c r="X7" i="38"/>
  <c r="W7" i="38"/>
  <c r="V7" i="38"/>
  <c r="U7" i="38"/>
  <c r="T7" i="38"/>
  <c r="AD6" i="38"/>
  <c r="AC6" i="38"/>
  <c r="AB6" i="38"/>
  <c r="AA6" i="38"/>
  <c r="Z6" i="38"/>
  <c r="Y6" i="38"/>
  <c r="X6" i="38"/>
  <c r="W6" i="38"/>
  <c r="V6" i="38"/>
  <c r="U6" i="38"/>
  <c r="T6" i="38"/>
  <c r="AD5" i="38"/>
  <c r="AC5" i="38"/>
  <c r="AB5" i="38"/>
  <c r="AA5" i="38"/>
  <c r="Z5" i="38"/>
  <c r="Y5" i="38"/>
  <c r="X5" i="38"/>
  <c r="W5" i="38"/>
  <c r="V5" i="38"/>
  <c r="U5" i="38"/>
  <c r="T5" i="38"/>
  <c r="AD4" i="38"/>
  <c r="AC4" i="38"/>
  <c r="AB4" i="38"/>
  <c r="AA4" i="38"/>
  <c r="Z4" i="38"/>
  <c r="Y4" i="38"/>
  <c r="X4" i="38"/>
  <c r="W4" i="38"/>
  <c r="V4" i="38"/>
  <c r="V9" i="38" s="1"/>
  <c r="U4" i="38"/>
  <c r="T4" i="38"/>
  <c r="AD3" i="38"/>
  <c r="AC3" i="38"/>
  <c r="AB3" i="38"/>
  <c r="AA3" i="38"/>
  <c r="Z3" i="38"/>
  <c r="Y3" i="38"/>
  <c r="X3" i="38"/>
  <c r="W3" i="38"/>
  <c r="V3" i="38"/>
  <c r="U3" i="38"/>
  <c r="T3" i="38"/>
  <c r="S3" i="38"/>
  <c r="AA4" i="37"/>
  <c r="Z4" i="37"/>
  <c r="Y4" i="37"/>
  <c r="X4" i="37"/>
  <c r="W4" i="37"/>
  <c r="V4" i="37"/>
  <c r="U8" i="37"/>
  <c r="U7" i="37"/>
  <c r="U6" i="37"/>
  <c r="U5" i="37"/>
  <c r="U4" i="37"/>
  <c r="U9" i="37" s="1"/>
  <c r="T4" i="37"/>
  <c r="AB4" i="37"/>
  <c r="AC4" i="37"/>
  <c r="AD4" i="37"/>
  <c r="T5" i="37"/>
  <c r="V5" i="37"/>
  <c r="W5" i="37"/>
  <c r="X5" i="37"/>
  <c r="Y5" i="37"/>
  <c r="Z5" i="37"/>
  <c r="AA5" i="37"/>
  <c r="AB5" i="37"/>
  <c r="AB9" i="37" s="1"/>
  <c r="AC5" i="37"/>
  <c r="AD5" i="37"/>
  <c r="T6" i="37"/>
  <c r="V6" i="37"/>
  <c r="W6" i="37"/>
  <c r="X6" i="37"/>
  <c r="Y6" i="37"/>
  <c r="Z6" i="37"/>
  <c r="AA6" i="37"/>
  <c r="AB6" i="37"/>
  <c r="AC6" i="37"/>
  <c r="AD6" i="37"/>
  <c r="T7" i="37"/>
  <c r="V7" i="37"/>
  <c r="W7" i="37"/>
  <c r="X7" i="37"/>
  <c r="Y7" i="37"/>
  <c r="Z7" i="37"/>
  <c r="AA7" i="37"/>
  <c r="AB7" i="37"/>
  <c r="AC7" i="37"/>
  <c r="AD7" i="37"/>
  <c r="T8" i="37"/>
  <c r="V8" i="37"/>
  <c r="W8" i="37"/>
  <c r="X8" i="37"/>
  <c r="Y8" i="37"/>
  <c r="Z8" i="37"/>
  <c r="AA8" i="37"/>
  <c r="AB8" i="37"/>
  <c r="AC8" i="37"/>
  <c r="AD8" i="37"/>
  <c r="S8" i="37"/>
  <c r="S7" i="37"/>
  <c r="S6" i="37"/>
  <c r="S5" i="37"/>
  <c r="S4" i="37"/>
  <c r="E20" i="37"/>
  <c r="F20" i="37"/>
  <c r="G20" i="37"/>
  <c r="H20" i="37"/>
  <c r="I20" i="37"/>
  <c r="J20" i="37"/>
  <c r="K20" i="37"/>
  <c r="D20" i="37"/>
  <c r="AJ17" i="37"/>
  <c r="AH17" i="37"/>
  <c r="AJ16" i="37"/>
  <c r="AH16" i="37"/>
  <c r="AJ15" i="37"/>
  <c r="AH15" i="37"/>
  <c r="AJ14" i="37"/>
  <c r="AH14" i="37"/>
  <c r="AJ13" i="37"/>
  <c r="AH13" i="37"/>
  <c r="AJ12" i="37"/>
  <c r="AH12" i="37"/>
  <c r="AI9" i="37"/>
  <c r="AI17" i="37" s="1"/>
  <c r="AG9" i="37"/>
  <c r="AG17" i="37" s="1"/>
  <c r="AF9" i="37"/>
  <c r="AF16" i="37" s="1"/>
  <c r="AE9" i="37"/>
  <c r="AE16" i="37" s="1"/>
  <c r="AD3" i="37"/>
  <c r="AC3" i="37"/>
  <c r="AB3" i="37"/>
  <c r="AA3" i="37"/>
  <c r="Z3" i="37"/>
  <c r="Y3" i="37"/>
  <c r="X3" i="37"/>
  <c r="W3" i="37"/>
  <c r="V3" i="37"/>
  <c r="U3" i="37"/>
  <c r="T3" i="37"/>
  <c r="S3" i="37"/>
  <c r="E18" i="36"/>
  <c r="F18" i="36"/>
  <c r="G18" i="36"/>
  <c r="H18" i="36"/>
  <c r="I18" i="36"/>
  <c r="J18" i="36"/>
  <c r="K18" i="36"/>
  <c r="L18" i="36"/>
  <c r="D18" i="36"/>
  <c r="AF16" i="36"/>
  <c r="AJ17" i="36"/>
  <c r="AH17" i="36"/>
  <c r="AJ16" i="36"/>
  <c r="AH16" i="36"/>
  <c r="AJ15" i="36"/>
  <c r="AH15" i="36"/>
  <c r="AJ14" i="36"/>
  <c r="AH14" i="36"/>
  <c r="AJ13" i="36"/>
  <c r="AH13" i="36"/>
  <c r="AJ12" i="36"/>
  <c r="AH12" i="36"/>
  <c r="AI9" i="36"/>
  <c r="AI17" i="36" s="1"/>
  <c r="AG9" i="36"/>
  <c r="AG15" i="36" s="1"/>
  <c r="AF9" i="36"/>
  <c r="AF17" i="36" s="1"/>
  <c r="AE9" i="36"/>
  <c r="AE16" i="36" s="1"/>
  <c r="AD8" i="36"/>
  <c r="AC8" i="36"/>
  <c r="AB8" i="36"/>
  <c r="AA8" i="36"/>
  <c r="Z8" i="36"/>
  <c r="Y8" i="36"/>
  <c r="X8" i="36"/>
  <c r="W8" i="36"/>
  <c r="V8" i="36"/>
  <c r="U8" i="36"/>
  <c r="T8" i="36"/>
  <c r="S8" i="36"/>
  <c r="AD7" i="36"/>
  <c r="AC7" i="36"/>
  <c r="AB7" i="36"/>
  <c r="AA7" i="36"/>
  <c r="Z7" i="36"/>
  <c r="Y7" i="36"/>
  <c r="X7" i="36"/>
  <c r="W7" i="36"/>
  <c r="V7" i="36"/>
  <c r="U7" i="36"/>
  <c r="T7" i="36"/>
  <c r="S7" i="36"/>
  <c r="AD6" i="36"/>
  <c r="AC6" i="36"/>
  <c r="AB6" i="36"/>
  <c r="AA6" i="36"/>
  <c r="Z6" i="36"/>
  <c r="Y6" i="36"/>
  <c r="X6" i="36"/>
  <c r="W6" i="36"/>
  <c r="V6" i="36"/>
  <c r="U6" i="36"/>
  <c r="T6" i="36"/>
  <c r="S6" i="36"/>
  <c r="AD5" i="36"/>
  <c r="AC5" i="36"/>
  <c r="AB5" i="36"/>
  <c r="AA5" i="36"/>
  <c r="Z5" i="36"/>
  <c r="Y5" i="36"/>
  <c r="X5" i="36"/>
  <c r="W5" i="36"/>
  <c r="V5" i="36"/>
  <c r="U5" i="36"/>
  <c r="T5" i="36"/>
  <c r="S5" i="36"/>
  <c r="AD4" i="36"/>
  <c r="AD9" i="36" s="1"/>
  <c r="AC4" i="36"/>
  <c r="AB4" i="36"/>
  <c r="AA4" i="36"/>
  <c r="Z4" i="36"/>
  <c r="Y4" i="36"/>
  <c r="X4" i="36"/>
  <c r="W4" i="36"/>
  <c r="W9" i="36" s="1"/>
  <c r="V4" i="36"/>
  <c r="U4" i="36"/>
  <c r="T4" i="36"/>
  <c r="S4" i="36"/>
  <c r="S9" i="36" s="1"/>
  <c r="AD3" i="36"/>
  <c r="AC3" i="36"/>
  <c r="AB3" i="36"/>
  <c r="AA3" i="36"/>
  <c r="Z3" i="36"/>
  <c r="Y3" i="36"/>
  <c r="X3" i="36"/>
  <c r="W3" i="36"/>
  <c r="V3" i="36"/>
  <c r="U3" i="36"/>
  <c r="T3" i="36"/>
  <c r="S3" i="36"/>
  <c r="AH14" i="35"/>
  <c r="AI9" i="35"/>
  <c r="AI17" i="35" s="1"/>
  <c r="AJ13" i="35"/>
  <c r="E16" i="35"/>
  <c r="F16" i="35"/>
  <c r="H16" i="35"/>
  <c r="D16" i="35"/>
  <c r="AH15" i="35"/>
  <c r="AJ14" i="35"/>
  <c r="AF9" i="35"/>
  <c r="AF16" i="35" s="1"/>
  <c r="AE9" i="35"/>
  <c r="AE15" i="35" s="1"/>
  <c r="AD8" i="35"/>
  <c r="AC8" i="35"/>
  <c r="AB8" i="35"/>
  <c r="AA8" i="35"/>
  <c r="Z8" i="35"/>
  <c r="AD7" i="35"/>
  <c r="AC7" i="35"/>
  <c r="AB7" i="35"/>
  <c r="AA7" i="35"/>
  <c r="Z7" i="35"/>
  <c r="AD6" i="35"/>
  <c r="AC6" i="35"/>
  <c r="AB6" i="35"/>
  <c r="AA6" i="35"/>
  <c r="Z6" i="35"/>
  <c r="AD5" i="35"/>
  <c r="AC5" i="35"/>
  <c r="AB5" i="35"/>
  <c r="AA5" i="35"/>
  <c r="Z5" i="35"/>
  <c r="AD4" i="35"/>
  <c r="AC4" i="35"/>
  <c r="AB4" i="35"/>
  <c r="AB9" i="35" s="1"/>
  <c r="AA4" i="35"/>
  <c r="AA9" i="35" s="1"/>
  <c r="Z4" i="35"/>
  <c r="Y9" i="35"/>
  <c r="W9" i="35"/>
  <c r="AD3" i="35"/>
  <c r="AC3" i="35"/>
  <c r="AB3" i="35"/>
  <c r="AA3" i="35"/>
  <c r="Z3" i="35"/>
  <c r="Y3" i="35"/>
  <c r="X3" i="35"/>
  <c r="W3" i="35"/>
  <c r="V3" i="35"/>
  <c r="U3" i="35"/>
  <c r="T3" i="35"/>
  <c r="S3" i="35"/>
  <c r="D16" i="34"/>
  <c r="U4" i="34"/>
  <c r="T4" i="34"/>
  <c r="S8" i="34"/>
  <c r="S7" i="34"/>
  <c r="S6" i="34"/>
  <c r="S5" i="34"/>
  <c r="S4" i="34"/>
  <c r="R8" i="34"/>
  <c r="R7" i="34"/>
  <c r="R6" i="34"/>
  <c r="R5" i="34"/>
  <c r="R4" i="34"/>
  <c r="E16" i="34"/>
  <c r="F16" i="34"/>
  <c r="G16" i="34"/>
  <c r="H16" i="34"/>
  <c r="I16" i="34"/>
  <c r="J16" i="34"/>
  <c r="AI17" i="34"/>
  <c r="AG17" i="34"/>
  <c r="AI16" i="34"/>
  <c r="AG16" i="34"/>
  <c r="AI15" i="34"/>
  <c r="AG15" i="34"/>
  <c r="AI14" i="34"/>
  <c r="AG14" i="34"/>
  <c r="AI13" i="34"/>
  <c r="AG13" i="34"/>
  <c r="AI12" i="34"/>
  <c r="AG12" i="34"/>
  <c r="AH9" i="34"/>
  <c r="AH17" i="34" s="1"/>
  <c r="AE9" i="34"/>
  <c r="AE16" i="34" s="1"/>
  <c r="AD9" i="34"/>
  <c r="AD13" i="34" s="1"/>
  <c r="X8" i="34"/>
  <c r="W8" i="34"/>
  <c r="V8" i="34"/>
  <c r="U8" i="34"/>
  <c r="T8" i="34"/>
  <c r="X7" i="34"/>
  <c r="W7" i="34"/>
  <c r="V7" i="34"/>
  <c r="U7" i="34"/>
  <c r="T7" i="34"/>
  <c r="X6" i="34"/>
  <c r="W6" i="34"/>
  <c r="V6" i="34"/>
  <c r="U6" i="34"/>
  <c r="T6" i="34"/>
  <c r="X5" i="34"/>
  <c r="W5" i="34"/>
  <c r="V5" i="34"/>
  <c r="U5" i="34"/>
  <c r="T5" i="34"/>
  <c r="X4" i="34"/>
  <c r="W4" i="34"/>
  <c r="V4" i="34"/>
  <c r="X3" i="34"/>
  <c r="W3" i="34"/>
  <c r="V3" i="34"/>
  <c r="U3" i="34"/>
  <c r="T3" i="34"/>
  <c r="S3" i="34"/>
  <c r="R3" i="34"/>
  <c r="AG9" i="31"/>
  <c r="W4" i="31"/>
  <c r="V4" i="31"/>
  <c r="U4" i="31"/>
  <c r="T4" i="31"/>
  <c r="S4" i="31"/>
  <c r="R4" i="31"/>
  <c r="Q4" i="31"/>
  <c r="AG4" i="39" l="1"/>
  <c r="AF4" i="34"/>
  <c r="AI17" i="38"/>
  <c r="X9" i="35"/>
  <c r="AG9" i="39"/>
  <c r="AG17" i="39" s="1"/>
  <c r="V9" i="39"/>
  <c r="X9" i="39"/>
  <c r="AH11" i="38"/>
  <c r="T9" i="38"/>
  <c r="AJ11" i="38"/>
  <c r="AF13" i="38"/>
  <c r="AA9" i="38"/>
  <c r="AB9" i="38"/>
  <c r="AC9" i="38"/>
  <c r="AF17" i="38"/>
  <c r="AI14" i="37"/>
  <c r="X9" i="37"/>
  <c r="AE12" i="36"/>
  <c r="AE13" i="36"/>
  <c r="AE14" i="36"/>
  <c r="AE15" i="36"/>
  <c r="AC9" i="35"/>
  <c r="T9" i="35"/>
  <c r="Z9" i="35"/>
  <c r="E9" i="9"/>
  <c r="E12" i="9" s="1"/>
  <c r="AF7" i="34"/>
  <c r="AF5" i="34"/>
  <c r="AF8" i="34"/>
  <c r="AF6" i="34"/>
  <c r="H9" i="9"/>
  <c r="H12" i="9" s="1"/>
  <c r="AI14" i="39"/>
  <c r="U9" i="39"/>
  <c r="AI12" i="39"/>
  <c r="AG14" i="39"/>
  <c r="AI16" i="39"/>
  <c r="S9" i="39"/>
  <c r="AC9" i="39"/>
  <c r="AD9" i="39"/>
  <c r="AG12" i="39"/>
  <c r="AG16" i="39"/>
  <c r="AH11" i="39"/>
  <c r="Z9" i="39"/>
  <c r="AJ11" i="39"/>
  <c r="AF13" i="39"/>
  <c r="AF15" i="39"/>
  <c r="AF17" i="39"/>
  <c r="AG13" i="39"/>
  <c r="AG15" i="39"/>
  <c r="AI13" i="39"/>
  <c r="AI15" i="39"/>
  <c r="AF12" i="39"/>
  <c r="AF14" i="39"/>
  <c r="AG15" i="38"/>
  <c r="AG13" i="38"/>
  <c r="AG17" i="38"/>
  <c r="AG14" i="38"/>
  <c r="AG12" i="38"/>
  <c r="AE20" i="38" s="1"/>
  <c r="AE21" i="38" s="1"/>
  <c r="AG16" i="38"/>
  <c r="AG11" i="38"/>
  <c r="AF15" i="38"/>
  <c r="AE17" i="38"/>
  <c r="AE15" i="38"/>
  <c r="AE13" i="38"/>
  <c r="S9" i="38"/>
  <c r="W9" i="38"/>
  <c r="U9" i="38"/>
  <c r="Y9" i="38"/>
  <c r="X9" i="38"/>
  <c r="Z9" i="38"/>
  <c r="AD9" i="38"/>
  <c r="AI12" i="38"/>
  <c r="AI14" i="38"/>
  <c r="AI16" i="38"/>
  <c r="AI13" i="38"/>
  <c r="AI15" i="38"/>
  <c r="AE12" i="38"/>
  <c r="AE14" i="38"/>
  <c r="AF12" i="38"/>
  <c r="AF14" i="38"/>
  <c r="Y9" i="37"/>
  <c r="S9" i="37"/>
  <c r="V9" i="37"/>
  <c r="AG14" i="37"/>
  <c r="W9" i="37"/>
  <c r="Z9" i="37"/>
  <c r="AA9" i="37"/>
  <c r="AC9" i="37"/>
  <c r="AG12" i="37"/>
  <c r="AG16" i="37"/>
  <c r="AH11" i="37"/>
  <c r="AI12" i="37"/>
  <c r="AI16" i="37"/>
  <c r="AJ11" i="37"/>
  <c r="AD9" i="37"/>
  <c r="T9" i="37"/>
  <c r="AE13" i="37"/>
  <c r="AE15" i="37"/>
  <c r="AE17" i="37"/>
  <c r="AF13" i="37"/>
  <c r="AF15" i="37"/>
  <c r="AF17" i="37"/>
  <c r="AG13" i="37"/>
  <c r="AG15" i="37"/>
  <c r="AI13" i="37"/>
  <c r="AI15" i="37"/>
  <c r="AE12" i="37"/>
  <c r="AE14" i="37"/>
  <c r="AF12" i="37"/>
  <c r="AF14" i="37"/>
  <c r="AI14" i="36"/>
  <c r="AF12" i="36"/>
  <c r="AG12" i="36"/>
  <c r="AH11" i="36"/>
  <c r="AI12" i="36"/>
  <c r="AG16" i="36"/>
  <c r="AJ11" i="36"/>
  <c r="AI16" i="36"/>
  <c r="AF14" i="36"/>
  <c r="AG14" i="36"/>
  <c r="V9" i="36"/>
  <c r="Z9" i="36"/>
  <c r="T9" i="36"/>
  <c r="U9" i="36"/>
  <c r="X9" i="36"/>
  <c r="Y9" i="36"/>
  <c r="AA9" i="36"/>
  <c r="AB9" i="36"/>
  <c r="AC9" i="36"/>
  <c r="AF15" i="36"/>
  <c r="AG17" i="36"/>
  <c r="AI13" i="36"/>
  <c r="AI11" i="36" s="1"/>
  <c r="AI15" i="36"/>
  <c r="AE17" i="36"/>
  <c r="AF13" i="36"/>
  <c r="AG13" i="36"/>
  <c r="AG5" i="35"/>
  <c r="AG6" i="35"/>
  <c r="AG7" i="35"/>
  <c r="AG4" i="35"/>
  <c r="AG8" i="35"/>
  <c r="S9" i="35"/>
  <c r="T9" i="34"/>
  <c r="AJ15" i="35"/>
  <c r="AH16" i="35"/>
  <c r="AJ16" i="35"/>
  <c r="AH17" i="35"/>
  <c r="AJ17" i="35"/>
  <c r="AH12" i="35"/>
  <c r="AJ12" i="35"/>
  <c r="AJ11" i="35" s="1"/>
  <c r="AH13" i="35"/>
  <c r="AH11" i="35"/>
  <c r="AD9" i="35"/>
  <c r="V9" i="35"/>
  <c r="U9" i="35"/>
  <c r="AI12" i="35"/>
  <c r="AI14" i="35"/>
  <c r="AI16" i="35"/>
  <c r="AF13" i="35"/>
  <c r="AF15" i="35"/>
  <c r="AF17" i="35"/>
  <c r="AE17" i="35"/>
  <c r="AI13" i="35"/>
  <c r="AI15" i="35"/>
  <c r="AE13" i="35"/>
  <c r="AE12" i="35"/>
  <c r="AE14" i="35"/>
  <c r="AE16" i="35"/>
  <c r="AF12" i="35"/>
  <c r="AF14" i="35"/>
  <c r="AI11" i="34"/>
  <c r="AG11" i="34"/>
  <c r="U9" i="34"/>
  <c r="V9" i="34"/>
  <c r="X9" i="34"/>
  <c r="W9" i="34"/>
  <c r="R9" i="34"/>
  <c r="S9" i="34"/>
  <c r="AH12" i="34"/>
  <c r="AH14" i="34"/>
  <c r="AH16" i="34"/>
  <c r="AE15" i="34"/>
  <c r="AD15" i="34"/>
  <c r="AH13" i="34"/>
  <c r="AH15" i="34"/>
  <c r="AE13" i="34"/>
  <c r="AD17" i="34"/>
  <c r="AD12" i="34"/>
  <c r="AD14" i="34"/>
  <c r="AD16" i="34"/>
  <c r="AE17" i="34"/>
  <c r="AE12" i="34"/>
  <c r="AE14" i="34"/>
  <c r="AF9" i="34" l="1"/>
  <c r="AE20" i="37"/>
  <c r="AE21" i="37" s="1"/>
  <c r="AG11" i="37"/>
  <c r="E16" i="9"/>
  <c r="E15" i="9"/>
  <c r="E14" i="9"/>
  <c r="AG11" i="36"/>
  <c r="E13" i="9"/>
  <c r="H16" i="9"/>
  <c r="H14" i="9"/>
  <c r="H13" i="9"/>
  <c r="H15" i="9"/>
  <c r="AI11" i="39"/>
  <c r="AE20" i="39"/>
  <c r="AE21" i="39" s="1"/>
  <c r="AG11" i="39"/>
  <c r="AF11" i="39"/>
  <c r="AE11" i="39"/>
  <c r="AE11" i="38"/>
  <c r="AF11" i="38"/>
  <c r="AI11" i="38"/>
  <c r="AI11" i="37"/>
  <c r="AF11" i="37"/>
  <c r="AE11" i="37"/>
  <c r="AE20" i="36"/>
  <c r="AE21" i="36" s="1"/>
  <c r="AF11" i="36"/>
  <c r="AE11" i="36"/>
  <c r="AG9" i="35"/>
  <c r="AG14" i="35" s="1"/>
  <c r="AG15" i="35"/>
  <c r="AF11" i="35"/>
  <c r="AE11" i="35"/>
  <c r="AI11" i="35"/>
  <c r="AD11" i="34"/>
  <c r="AE11" i="34"/>
  <c r="AH11" i="34"/>
  <c r="AF15" i="34" l="1"/>
  <c r="AF13" i="34"/>
  <c r="E17" i="9"/>
  <c r="AF14" i="34"/>
  <c r="AF12" i="34"/>
  <c r="AF16" i="34"/>
  <c r="AF17" i="34"/>
  <c r="AG17" i="35"/>
  <c r="H17" i="9"/>
  <c r="AG13" i="35"/>
  <c r="AG12" i="35"/>
  <c r="AG16" i="35"/>
  <c r="AD20" i="34" l="1"/>
  <c r="AD21" i="34" s="1"/>
  <c r="AF11" i="34"/>
  <c r="AG11" i="35"/>
  <c r="AE20" i="35"/>
  <c r="AE21" i="35" s="1"/>
  <c r="M15" i="31" l="1"/>
  <c r="L15" i="31"/>
  <c r="K15" i="31"/>
  <c r="J15" i="31"/>
  <c r="I15" i="31"/>
  <c r="H15" i="31"/>
  <c r="G15" i="31"/>
  <c r="F15" i="31"/>
  <c r="E15" i="31"/>
  <c r="D15" i="31"/>
  <c r="AH17" i="31"/>
  <c r="AF17" i="31"/>
  <c r="AH16" i="31"/>
  <c r="AF16" i="31"/>
  <c r="AH15" i="31"/>
  <c r="AF15" i="31"/>
  <c r="AH14" i="31"/>
  <c r="AF14" i="31"/>
  <c r="AH13" i="31"/>
  <c r="AF13" i="31"/>
  <c r="AH12" i="31"/>
  <c r="AF12" i="31"/>
  <c r="AG17" i="31"/>
  <c r="AD9" i="31"/>
  <c r="AD16" i="31" s="1"/>
  <c r="AC9" i="31"/>
  <c r="AC17" i="31" s="1"/>
  <c r="Z8" i="31"/>
  <c r="Y8" i="31"/>
  <c r="X8" i="31"/>
  <c r="W8" i="31"/>
  <c r="V8" i="31"/>
  <c r="U8" i="31"/>
  <c r="T8" i="31"/>
  <c r="S8" i="31"/>
  <c r="R8" i="31"/>
  <c r="Q8" i="31"/>
  <c r="Z7" i="31"/>
  <c r="Y7" i="31"/>
  <c r="X7" i="31"/>
  <c r="W7" i="31"/>
  <c r="V7" i="31"/>
  <c r="U7" i="31"/>
  <c r="T7" i="31"/>
  <c r="S7" i="31"/>
  <c r="R7" i="31"/>
  <c r="Q7" i="31"/>
  <c r="Z6" i="31"/>
  <c r="Y6" i="31"/>
  <c r="X6" i="31"/>
  <c r="W6" i="31"/>
  <c r="V6" i="31"/>
  <c r="U6" i="31"/>
  <c r="T6" i="31"/>
  <c r="S6" i="31"/>
  <c r="R6" i="31"/>
  <c r="Q6" i="31"/>
  <c r="Z5" i="31"/>
  <c r="Y5" i="31"/>
  <c r="X5" i="31"/>
  <c r="W5" i="31"/>
  <c r="V5" i="31"/>
  <c r="U5" i="31"/>
  <c r="T5" i="31"/>
  <c r="S5" i="31"/>
  <c r="R5" i="31"/>
  <c r="Q5" i="31"/>
  <c r="Z4" i="31"/>
  <c r="Y4" i="31"/>
  <c r="X4" i="31"/>
  <c r="AE4" i="31" s="1"/>
  <c r="F4" i="9" s="1"/>
  <c r="Z3" i="31"/>
  <c r="Y3" i="31"/>
  <c r="X3" i="31"/>
  <c r="W3" i="31"/>
  <c r="V3" i="31"/>
  <c r="U3" i="31"/>
  <c r="T3" i="31"/>
  <c r="S3" i="31"/>
  <c r="R3" i="31"/>
  <c r="Q3" i="31"/>
  <c r="E19" i="23"/>
  <c r="F19" i="23"/>
  <c r="G19" i="23"/>
  <c r="H19" i="23"/>
  <c r="I19" i="23"/>
  <c r="J19" i="23"/>
  <c r="K19" i="23"/>
  <c r="L19" i="23"/>
  <c r="M19" i="23"/>
  <c r="N19" i="23"/>
  <c r="O19" i="23"/>
  <c r="D19" i="23"/>
  <c r="AH17" i="23"/>
  <c r="AF9" i="23"/>
  <c r="AF17" i="23" s="1"/>
  <c r="AE9" i="23"/>
  <c r="AG9" i="23"/>
  <c r="AG15" i="23" s="1"/>
  <c r="AI9" i="23"/>
  <c r="T3" i="23"/>
  <c r="U3" i="23"/>
  <c r="V3" i="23"/>
  <c r="W3" i="23"/>
  <c r="X3" i="23"/>
  <c r="Y3" i="23"/>
  <c r="Z3" i="23"/>
  <c r="AA3" i="23"/>
  <c r="AB3" i="23"/>
  <c r="AC3" i="23"/>
  <c r="AD3" i="23"/>
  <c r="S3" i="23"/>
  <c r="S4" i="23"/>
  <c r="AE12" i="23" l="1"/>
  <c r="AE16" i="23"/>
  <c r="AI14" i="23"/>
  <c r="AI15" i="23"/>
  <c r="AE5" i="31"/>
  <c r="F5" i="9" s="1"/>
  <c r="AE6" i="31"/>
  <c r="AE8" i="31"/>
  <c r="F8" i="9" s="1"/>
  <c r="AE7" i="31"/>
  <c r="F7" i="9" s="1"/>
  <c r="AE13" i="23"/>
  <c r="AE14" i="23"/>
  <c r="AE15" i="23"/>
  <c r="V9" i="31"/>
  <c r="Y9" i="31"/>
  <c r="Z9" i="31"/>
  <c r="W9" i="31"/>
  <c r="AG14" i="31"/>
  <c r="AF11" i="31"/>
  <c r="AG12" i="31"/>
  <c r="AG16" i="31"/>
  <c r="AH11" i="31"/>
  <c r="Q9" i="31"/>
  <c r="S9" i="31"/>
  <c r="U9" i="31"/>
  <c r="R9" i="31"/>
  <c r="T9" i="31"/>
  <c r="X9" i="31"/>
  <c r="AC13" i="31"/>
  <c r="AD17" i="31"/>
  <c r="AG13" i="31"/>
  <c r="AG15" i="31"/>
  <c r="AC15" i="31"/>
  <c r="AD15" i="31"/>
  <c r="AC12" i="31"/>
  <c r="AC14" i="31"/>
  <c r="AC16" i="31"/>
  <c r="AD13" i="31"/>
  <c r="AD12" i="31"/>
  <c r="AD14" i="31"/>
  <c r="AF12" i="23"/>
  <c r="AF15" i="23"/>
  <c r="AJ17" i="23"/>
  <c r="AF13" i="23"/>
  <c r="AF14" i="23"/>
  <c r="AF16" i="23"/>
  <c r="AI16" i="23"/>
  <c r="AI17" i="23"/>
  <c r="AI12" i="23"/>
  <c r="AI13" i="23"/>
  <c r="AG14" i="23"/>
  <c r="AG16" i="23"/>
  <c r="AG13" i="23"/>
  <c r="AG17" i="23"/>
  <c r="AG12" i="23"/>
  <c r="AE17" i="23"/>
  <c r="AE11" i="23" l="1"/>
  <c r="AF11" i="23"/>
  <c r="AE9" i="31"/>
  <c r="F6" i="9"/>
  <c r="AI11" i="23"/>
  <c r="AG11" i="23"/>
  <c r="AG11" i="31"/>
  <c r="AC11" i="31"/>
  <c r="AD11" i="31"/>
  <c r="AE20" i="23"/>
  <c r="AE21" i="23" s="1"/>
  <c r="AE14" i="31" l="1"/>
  <c r="F9" i="9"/>
  <c r="F14" i="9" s="1"/>
  <c r="AE15" i="31"/>
  <c r="AE13" i="31"/>
  <c r="AE16" i="31"/>
  <c r="AE12" i="31"/>
  <c r="AE17" i="31"/>
  <c r="AE11" i="31" l="1"/>
  <c r="AC20" i="31"/>
  <c r="AC21" i="31" s="1"/>
  <c r="F12" i="9"/>
  <c r="F13" i="9"/>
  <c r="F16" i="9"/>
  <c r="F15" i="9"/>
  <c r="F17" i="9" l="1"/>
  <c r="U4" i="23" l="1"/>
  <c r="U5" i="23"/>
  <c r="U6" i="23"/>
  <c r="U7" i="23"/>
  <c r="U8" i="23"/>
  <c r="AD8" i="23"/>
  <c r="AC8" i="23"/>
  <c r="AB8" i="23"/>
  <c r="AA8" i="23"/>
  <c r="Z8" i="23"/>
  <c r="Y8" i="23"/>
  <c r="X8" i="23"/>
  <c r="W8" i="23"/>
  <c r="V8" i="23"/>
  <c r="T8" i="23"/>
  <c r="S8" i="23"/>
  <c r="AD7" i="23"/>
  <c r="AC7" i="23"/>
  <c r="AB7" i="23"/>
  <c r="AA7" i="23"/>
  <c r="Z7" i="23"/>
  <c r="Y7" i="23"/>
  <c r="X7" i="23"/>
  <c r="W7" i="23"/>
  <c r="V7" i="23"/>
  <c r="T7" i="23"/>
  <c r="S7" i="23"/>
  <c r="AD6" i="23"/>
  <c r="AC6" i="23"/>
  <c r="AB6" i="23"/>
  <c r="AA6" i="23"/>
  <c r="Z6" i="23"/>
  <c r="Y6" i="23"/>
  <c r="X6" i="23"/>
  <c r="W6" i="23"/>
  <c r="V6" i="23"/>
  <c r="T6" i="23"/>
  <c r="S6" i="23"/>
  <c r="AD5" i="23"/>
  <c r="AC5" i="23"/>
  <c r="AB5" i="23"/>
  <c r="AA5" i="23"/>
  <c r="Z5" i="23"/>
  <c r="Y5" i="23"/>
  <c r="X5" i="23"/>
  <c r="W5" i="23"/>
  <c r="V5" i="23"/>
  <c r="T5" i="23"/>
  <c r="S5" i="23"/>
  <c r="AD4" i="23"/>
  <c r="AC4" i="23"/>
  <c r="AB4" i="23"/>
  <c r="AA4" i="23"/>
  <c r="Z4" i="23"/>
  <c r="Y4" i="23"/>
  <c r="X4" i="23"/>
  <c r="W4" i="23"/>
  <c r="V4" i="23"/>
  <c r="T4" i="23"/>
  <c r="Q21" i="5"/>
  <c r="U21" i="3"/>
  <c r="U21" i="4"/>
  <c r="G20" i="11"/>
  <c r="T5" i="11"/>
  <c r="T4" i="11" s="1"/>
  <c r="T6" i="11"/>
  <c r="T7" i="11"/>
  <c r="T8" i="11"/>
  <c r="T9" i="11"/>
  <c r="AH8" i="23" l="1"/>
  <c r="AJ8" i="23"/>
  <c r="AJ7" i="23"/>
  <c r="AH7" i="23"/>
  <c r="AH6" i="23"/>
  <c r="AJ6" i="23"/>
  <c r="AJ5" i="23"/>
  <c r="AH5" i="23"/>
  <c r="AH4" i="23"/>
  <c r="AJ4" i="23"/>
  <c r="AB9" i="23"/>
  <c r="T9" i="23"/>
  <c r="W9" i="23"/>
  <c r="S9" i="23"/>
  <c r="V9" i="23"/>
  <c r="X9" i="23"/>
  <c r="AD9" i="23"/>
  <c r="U9" i="23"/>
  <c r="Y9" i="23"/>
  <c r="Z9" i="23"/>
  <c r="AC9" i="23"/>
  <c r="AA9" i="23"/>
  <c r="AH16" i="23" l="1"/>
  <c r="G8" i="9"/>
  <c r="AJ16" i="23"/>
  <c r="I8" i="9"/>
  <c r="AJ15" i="23"/>
  <c r="I7" i="9"/>
  <c r="AH15" i="23"/>
  <c r="G7" i="9"/>
  <c r="AH14" i="23"/>
  <c r="G6" i="9"/>
  <c r="AJ14" i="23"/>
  <c r="I6" i="9"/>
  <c r="AJ13" i="23"/>
  <c r="I5" i="9"/>
  <c r="AH13" i="23"/>
  <c r="G5" i="9"/>
  <c r="AH12" i="23"/>
  <c r="G4" i="9"/>
  <c r="I4" i="9"/>
  <c r="AJ12" i="23"/>
  <c r="AJ11" i="23" s="1"/>
  <c r="Q20" i="5"/>
  <c r="U20" i="4"/>
  <c r="U20" i="3"/>
  <c r="S3" i="5"/>
  <c r="L3" i="5"/>
  <c r="P8" i="5"/>
  <c r="P7" i="5"/>
  <c r="P6" i="5"/>
  <c r="P5" i="5"/>
  <c r="P4" i="5"/>
  <c r="M4" i="5"/>
  <c r="N4" i="5"/>
  <c r="O4" i="5"/>
  <c r="M5" i="5"/>
  <c r="N5" i="5"/>
  <c r="O5" i="5"/>
  <c r="M6" i="5"/>
  <c r="N6" i="5"/>
  <c r="O6" i="5"/>
  <c r="M7" i="5"/>
  <c r="N7" i="5"/>
  <c r="O7" i="5"/>
  <c r="M8" i="5"/>
  <c r="N8" i="5"/>
  <c r="O8" i="5"/>
  <c r="L8" i="5"/>
  <c r="L7" i="5"/>
  <c r="L6" i="5"/>
  <c r="L5" i="5"/>
  <c r="L4" i="5"/>
  <c r="M19" i="14"/>
  <c r="I9" i="9" l="1"/>
  <c r="G9" i="9"/>
  <c r="AH11" i="23"/>
  <c r="E35" i="14"/>
  <c r="F35" i="14"/>
  <c r="D35" i="14"/>
  <c r="L10" i="14" l="1"/>
  <c r="K10" i="14"/>
  <c r="J10" i="14"/>
  <c r="L8" i="14"/>
  <c r="K8" i="14"/>
  <c r="J8" i="14"/>
  <c r="L7" i="14"/>
  <c r="K7" i="14"/>
  <c r="J7" i="14"/>
  <c r="L6" i="14"/>
  <c r="K6" i="14"/>
  <c r="J6" i="14"/>
  <c r="L5" i="14"/>
  <c r="K5" i="14"/>
  <c r="J5" i="14"/>
  <c r="L4" i="14"/>
  <c r="K4" i="14"/>
  <c r="J4" i="14"/>
  <c r="Q3" i="14"/>
  <c r="Q13" i="14" s="1"/>
  <c r="P3" i="14"/>
  <c r="P13" i="14" s="1"/>
  <c r="O3" i="14"/>
  <c r="O13" i="14" s="1"/>
  <c r="N3" i="14"/>
  <c r="N16" i="14" s="1"/>
  <c r="M3" i="14"/>
  <c r="AD17" i="11"/>
  <c r="AB17" i="11"/>
  <c r="AD16" i="11"/>
  <c r="AB16" i="11"/>
  <c r="AD15" i="11"/>
  <c r="AB15" i="11"/>
  <c r="AD14" i="11"/>
  <c r="AB14" i="11"/>
  <c r="AD13" i="11"/>
  <c r="AB13" i="11"/>
  <c r="AA21" i="11" l="1"/>
  <c r="AA22" i="11" s="1"/>
  <c r="L3" i="14"/>
  <c r="J3" i="14"/>
  <c r="K3" i="14"/>
  <c r="O16" i="14"/>
  <c r="N14" i="14"/>
  <c r="P16" i="14"/>
  <c r="O14" i="14"/>
  <c r="Q16" i="14"/>
  <c r="N12" i="14"/>
  <c r="P14" i="14"/>
  <c r="O12" i="14"/>
  <c r="Q14" i="14"/>
  <c r="P12" i="14"/>
  <c r="Q12" i="14"/>
  <c r="Q17" i="14" s="1"/>
  <c r="N15" i="14"/>
  <c r="O15" i="14"/>
  <c r="N13" i="14"/>
  <c r="P15" i="14"/>
  <c r="Q15" i="14"/>
  <c r="Q3" i="5"/>
  <c r="R3" i="5"/>
  <c r="T3" i="5"/>
  <c r="U3" i="5"/>
  <c r="M10" i="5"/>
  <c r="N10" i="5"/>
  <c r="O10" i="5"/>
  <c r="P10" i="5"/>
  <c r="L10" i="5"/>
  <c r="O4" i="4"/>
  <c r="P4" i="4"/>
  <c r="Q4" i="4"/>
  <c r="R4" i="4"/>
  <c r="S4" i="4"/>
  <c r="T4" i="4"/>
  <c r="O5" i="4"/>
  <c r="P5" i="4"/>
  <c r="Q5" i="4"/>
  <c r="R5" i="4"/>
  <c r="S5" i="4"/>
  <c r="T5" i="4"/>
  <c r="O6" i="4"/>
  <c r="P6" i="4"/>
  <c r="Q6" i="4"/>
  <c r="R6" i="4"/>
  <c r="S6" i="4"/>
  <c r="T6" i="4"/>
  <c r="O7" i="4"/>
  <c r="P7" i="4"/>
  <c r="Q7" i="4"/>
  <c r="R7" i="4"/>
  <c r="S7" i="4"/>
  <c r="T7" i="4"/>
  <c r="O8" i="4"/>
  <c r="P8" i="4"/>
  <c r="Q8" i="4"/>
  <c r="R8" i="4"/>
  <c r="S8" i="4"/>
  <c r="T8" i="4"/>
  <c r="N4" i="4"/>
  <c r="N8" i="4"/>
  <c r="N7" i="4"/>
  <c r="N6" i="4"/>
  <c r="N5" i="4"/>
  <c r="M20" i="14" l="1"/>
  <c r="M21" i="14" s="1"/>
  <c r="O17" i="14"/>
  <c r="P17" i="14"/>
  <c r="N17" i="14"/>
  <c r="V15" i="4" l="1"/>
  <c r="O3" i="4"/>
  <c r="P3" i="4"/>
  <c r="Q3" i="4"/>
  <c r="R3" i="4"/>
  <c r="S3" i="4"/>
  <c r="T3" i="4"/>
  <c r="U3" i="4"/>
  <c r="U12" i="4" s="1"/>
  <c r="V3" i="4"/>
  <c r="V16" i="4" s="1"/>
  <c r="W3" i="4"/>
  <c r="W16" i="4" s="1"/>
  <c r="X3" i="4"/>
  <c r="X16" i="4" s="1"/>
  <c r="Y3" i="4"/>
  <c r="N3" i="4"/>
  <c r="Y16" i="3"/>
  <c r="Y15" i="3"/>
  <c r="Y14" i="3"/>
  <c r="Y13" i="3"/>
  <c r="Y12" i="3"/>
  <c r="V3" i="3"/>
  <c r="V16" i="3" s="1"/>
  <c r="U17" i="3"/>
  <c r="U16" i="3"/>
  <c r="U15" i="3"/>
  <c r="U14" i="3"/>
  <c r="U13" i="3"/>
  <c r="U12" i="3"/>
  <c r="V13" i="4" l="1"/>
  <c r="V14" i="4"/>
  <c r="V13" i="3"/>
  <c r="V12" i="3"/>
  <c r="V14" i="3"/>
  <c r="V15" i="3"/>
  <c r="X12" i="4"/>
  <c r="X13" i="4"/>
  <c r="X15" i="4"/>
  <c r="X14" i="4"/>
  <c r="V12" i="4"/>
  <c r="W12" i="4"/>
  <c r="W13" i="4"/>
  <c r="W14" i="4"/>
  <c r="W15" i="4"/>
  <c r="Y17" i="3"/>
  <c r="V17" i="3" l="1"/>
  <c r="X17" i="4"/>
  <c r="V17" i="4"/>
  <c r="U19" i="4"/>
  <c r="W17" i="4"/>
  <c r="U3" i="3" l="1"/>
  <c r="O4" i="3" l="1"/>
  <c r="P4" i="3"/>
  <c r="Q4" i="3"/>
  <c r="R4" i="3"/>
  <c r="S4" i="3"/>
  <c r="T4" i="3"/>
  <c r="O5" i="3"/>
  <c r="P5" i="3"/>
  <c r="Q5" i="3"/>
  <c r="R5" i="3"/>
  <c r="S5" i="3"/>
  <c r="T5" i="3"/>
  <c r="O6" i="3"/>
  <c r="P6" i="3"/>
  <c r="Q6" i="3"/>
  <c r="R6" i="3"/>
  <c r="S6" i="3"/>
  <c r="T6" i="3"/>
  <c r="O7" i="3"/>
  <c r="P7" i="3"/>
  <c r="Q7" i="3"/>
  <c r="R7" i="3"/>
  <c r="S7" i="3"/>
  <c r="T7" i="3"/>
  <c r="O8" i="3"/>
  <c r="P8" i="3"/>
  <c r="Q8" i="3"/>
  <c r="R8" i="3"/>
  <c r="S8" i="3"/>
  <c r="T8" i="3"/>
  <c r="O10" i="3"/>
  <c r="P10" i="3"/>
  <c r="Q10" i="3"/>
  <c r="R10" i="3"/>
  <c r="S10" i="3"/>
  <c r="T10" i="3"/>
  <c r="N10" i="3"/>
  <c r="N8" i="3"/>
  <c r="N7" i="3"/>
  <c r="N6" i="3"/>
  <c r="N5" i="3"/>
  <c r="N4" i="3"/>
  <c r="L20" i="11" l="1"/>
  <c r="K20" i="11"/>
  <c r="J20" i="11"/>
  <c r="E20" i="11"/>
  <c r="F20" i="11"/>
  <c r="H20" i="11"/>
  <c r="I20" i="11"/>
  <c r="D20" i="11"/>
  <c r="AD18" i="11" l="1"/>
  <c r="AB18" i="11"/>
  <c r="AA4" i="11"/>
  <c r="AE4" i="11"/>
  <c r="R5" i="11"/>
  <c r="S5" i="11"/>
  <c r="U5" i="11"/>
  <c r="V5" i="11"/>
  <c r="W5" i="11"/>
  <c r="X5" i="11"/>
  <c r="Y5" i="11"/>
  <c r="Z5" i="11"/>
  <c r="R6" i="11"/>
  <c r="S6" i="11"/>
  <c r="U6" i="11"/>
  <c r="V6" i="11"/>
  <c r="W6" i="11"/>
  <c r="X6" i="11"/>
  <c r="Y6" i="11"/>
  <c r="Z6" i="11"/>
  <c r="R7" i="11"/>
  <c r="S7" i="11"/>
  <c r="U7" i="11"/>
  <c r="V7" i="11"/>
  <c r="W7" i="11"/>
  <c r="X7" i="11"/>
  <c r="Y7" i="11"/>
  <c r="Z7" i="11"/>
  <c r="R8" i="11"/>
  <c r="S8" i="11"/>
  <c r="U8" i="11"/>
  <c r="V8" i="11"/>
  <c r="W8" i="11"/>
  <c r="X8" i="11"/>
  <c r="Y8" i="11"/>
  <c r="Z8" i="11"/>
  <c r="R9" i="11"/>
  <c r="S9" i="11"/>
  <c r="U9" i="11"/>
  <c r="V9" i="11"/>
  <c r="W9" i="11"/>
  <c r="X9" i="11"/>
  <c r="Y9" i="11"/>
  <c r="Z9" i="11"/>
  <c r="Q9" i="11"/>
  <c r="Q8" i="11"/>
  <c r="Q7" i="11"/>
  <c r="Q6" i="11"/>
  <c r="Q5" i="11"/>
  <c r="X4" i="11" l="1"/>
  <c r="Q4" i="11"/>
  <c r="W4" i="11"/>
  <c r="V4" i="11"/>
  <c r="U4" i="11"/>
  <c r="S4" i="11"/>
  <c r="R4" i="11"/>
  <c r="Y4" i="11"/>
  <c r="AE13" i="11"/>
  <c r="AE17" i="11"/>
  <c r="AE14" i="11"/>
  <c r="AE16" i="11"/>
  <c r="AE15" i="11"/>
  <c r="AA17" i="11"/>
  <c r="AA16" i="11"/>
  <c r="AA13" i="11"/>
  <c r="AA14" i="11"/>
  <c r="AA15" i="11"/>
  <c r="Z4" i="11"/>
  <c r="AC4" i="11"/>
  <c r="AC17" i="11" l="1"/>
  <c r="AC14" i="11"/>
  <c r="AC13" i="11"/>
  <c r="AC15" i="11"/>
  <c r="AC16" i="11"/>
  <c r="AA20" i="11" l="1"/>
  <c r="M20" i="11" l="1"/>
  <c r="AE18" i="11" l="1"/>
  <c r="AA18" i="11"/>
  <c r="F11" i="9" l="1"/>
  <c r="G11" i="9"/>
  <c r="H11" i="9"/>
  <c r="I11" i="9"/>
  <c r="D11" i="9"/>
  <c r="H16" i="5" l="1"/>
  <c r="G16" i="5"/>
  <c r="F16" i="5"/>
  <c r="E16" i="5"/>
  <c r="D16" i="5"/>
  <c r="J16" i="4"/>
  <c r="I16" i="4"/>
  <c r="H16" i="4"/>
  <c r="G16" i="4"/>
  <c r="F16" i="4"/>
  <c r="E16" i="4"/>
  <c r="D16" i="4"/>
  <c r="J15" i="3"/>
  <c r="I15" i="3"/>
  <c r="H15" i="3"/>
  <c r="G15" i="3"/>
  <c r="F15" i="3"/>
  <c r="E15" i="3"/>
  <c r="D15" i="3"/>
  <c r="Q3" i="3"/>
  <c r="Y3" i="3"/>
  <c r="X3" i="3"/>
  <c r="W3" i="3"/>
  <c r="S3" i="3"/>
  <c r="X13" i="3" l="1"/>
  <c r="X14" i="3"/>
  <c r="X12" i="3"/>
  <c r="X16" i="3"/>
  <c r="X15" i="3"/>
  <c r="S15" i="5"/>
  <c r="S14" i="5"/>
  <c r="S13" i="5"/>
  <c r="S12" i="5"/>
  <c r="S16" i="5"/>
  <c r="R16" i="5"/>
  <c r="R15" i="5"/>
  <c r="R13" i="5"/>
  <c r="R12" i="5"/>
  <c r="R14" i="5"/>
  <c r="T16" i="5"/>
  <c r="T15" i="5"/>
  <c r="T14" i="5"/>
  <c r="T13" i="5"/>
  <c r="T12" i="5"/>
  <c r="U16" i="5"/>
  <c r="U15" i="5"/>
  <c r="U14" i="5"/>
  <c r="U13" i="5"/>
  <c r="U12" i="5"/>
  <c r="U17" i="5" s="1"/>
  <c r="W14" i="3"/>
  <c r="W13" i="3"/>
  <c r="W12" i="3"/>
  <c r="W16" i="3"/>
  <c r="W15" i="3"/>
  <c r="Q16" i="5"/>
  <c r="U15" i="4"/>
  <c r="P3" i="3"/>
  <c r="N3" i="3"/>
  <c r="R3" i="3"/>
  <c r="O3" i="3"/>
  <c r="T3" i="3"/>
  <c r="T17" i="5" l="1"/>
  <c r="R17" i="5"/>
  <c r="Q19" i="5"/>
  <c r="X17" i="3"/>
  <c r="U19" i="3"/>
  <c r="O3" i="5"/>
  <c r="N3" i="5"/>
  <c r="M3" i="5"/>
  <c r="P3" i="5"/>
  <c r="D9" i="9"/>
  <c r="S17" i="5"/>
  <c r="Q13" i="5"/>
  <c r="Q15" i="5"/>
  <c r="Q14" i="5"/>
  <c r="Q12" i="5"/>
  <c r="W17" i="3"/>
  <c r="U14" i="4"/>
  <c r="U16" i="4"/>
  <c r="U13" i="4"/>
  <c r="D15" i="9" l="1"/>
  <c r="D14" i="9"/>
  <c r="I12" i="9"/>
  <c r="I17" i="9" s="1"/>
  <c r="D12" i="9"/>
  <c r="G12" i="9"/>
  <c r="G17" i="9" s="1"/>
  <c r="D13" i="9"/>
  <c r="D16" i="9"/>
  <c r="Q17" i="5"/>
  <c r="U17" i="4"/>
  <c r="D17" i="9" l="1"/>
  <c r="AC18" i="11"/>
  <c r="D21" i="9" l="1"/>
  <c r="D22" i="9" s="1"/>
</calcChain>
</file>

<file path=xl/sharedStrings.xml><?xml version="1.0" encoding="utf-8"?>
<sst xmlns="http://schemas.openxmlformats.org/spreadsheetml/2006/main" count="1189" uniqueCount="383">
  <si>
    <t>2024 Baseline</t>
  </si>
  <si>
    <t>H1'25 Target</t>
  </si>
  <si>
    <t>H1'25 Actual</t>
  </si>
  <si>
    <t>H2'25 Target</t>
  </si>
  <si>
    <t>H2'25 Actual</t>
  </si>
  <si>
    <t>LEVEL-4</t>
  </si>
  <si>
    <t>Master</t>
  </si>
  <si>
    <t>LEVEL-3</t>
  </si>
  <si>
    <t>Expert</t>
  </si>
  <si>
    <t>LEVEL-2</t>
  </si>
  <si>
    <t>Practitioner</t>
  </si>
  <si>
    <t>LEVEL-1</t>
  </si>
  <si>
    <t>Foundation</t>
  </si>
  <si>
    <t>LEVEL-0</t>
  </si>
  <si>
    <t>Entry</t>
  </si>
  <si>
    <t>2025 Goal</t>
  </si>
  <si>
    <t>YTD</t>
  </si>
  <si>
    <t>H2'2025 Target</t>
  </si>
  <si>
    <t>Gap to Goal</t>
  </si>
  <si>
    <t>Competence Framework</t>
  </si>
  <si>
    <t>Team</t>
  </si>
  <si>
    <t>Core Curriculum Skills</t>
  </si>
  <si>
    <t>Description</t>
  </si>
  <si>
    <t>T&amp;V</t>
  </si>
  <si>
    <t>Development Logic</t>
  </si>
  <si>
    <t>Understanding the flow of the full development logic from VPC start untill PDLM-End based on Systems Engineering, supported by MBSE. 
Ability to create a high level (model-Based) Systems.  Understand the  steps in the E2E development logic based on the v-model grid and how these steps are linked.  Ability to identify development challenges in an early stage of the project to prevent rework in late stage of the project.</t>
  </si>
  <si>
    <t>Product Safety Risk Management</t>
  </si>
  <si>
    <t>Able to apply, in collaboration with product safety risk specialists if applicable, risk management methodologies specifically related to product safety, including e.g. FMEA, Hazard Based Safety Risk Assessments, feeding back Post Market Surveillance inputs, and distinguishing between hazard, harm and risk and applying the appropriate risk reduction and control measures, complying with all relevant standards (e.g. ISO14971) determined by (local) Q&amp;R.</t>
  </si>
  <si>
    <t>System engineering/ Requirement management</t>
  </si>
  <si>
    <t>Able to effectively use set of techniques for documenting, analyzing, prioritizing and agreeing on requirements in a clear, concise, error-free way. Ability to meet user needs by a structured development approach based on requirements engineering. Managing complexity of systems by proper system decomposition and interface control. Qualitatatively underpinning design decision by applying modeling and simulation techniques.</t>
  </si>
  <si>
    <t>Product Architecture</t>
  </si>
  <si>
    <t xml:space="preserve">Able to organize and integrate  product functions and features, and the way in which those interact. Understanding  how users will interact with the product, including navigatibg around the product and performing actions, where the data comes from, and what technology supports this infrastucture. </t>
  </si>
  <si>
    <t>PDLM process</t>
  </si>
  <si>
    <t xml:space="preserve">Understanding how PDLM is pat of PEPF and how the full process model impacts the customer. Understanding how PDLM fits into I2M process logic.  Able to effecively use the process in a structured way to ensure design have been properly developped and documented in accordance with the requirements and applicable regulations. Able to apply PDLM adoption rules during product development, understanding gate governance and effective navigation within the process framework. </t>
  </si>
  <si>
    <t>MBSE</t>
  </si>
  <si>
    <t>Able to effectively build, improve and use fomalized methodology that is used to support requirements, design, analysis, verification and validation associated with the development of complex systems. Able to adopt digital- modeling environment to manage the data.</t>
  </si>
  <si>
    <t>Change Control</t>
  </si>
  <si>
    <t xml:space="preserve">Understanding how organization manages modification of the design and processes. Understanding how to ensure quality and regulator requirements are met in design change/ process change. Able to manage desig changes. </t>
  </si>
  <si>
    <t>Standards &amp; Regulations; QMS</t>
  </si>
  <si>
    <t>Able to analyze, interpret and apply all relevant standards and regulations as considered applicable by Q&amp;R, including global, local and internal Philips standards and regulations, such as to ensure regulatory compliance in the design; able to understand how quality standards and regulations are integrated into applicable QMS</t>
  </si>
  <si>
    <t>DFSS</t>
  </si>
  <si>
    <t>Able to effectovely deploy DfSS mothododlogy in order to develop new products and solutions. The DfSS methodology encompasses a big framework of methods and tools, based on groups of activities that are common in developing new products. DfSS focus is on identifying CTQ (Critical to Quality) needs and guarding that they are fulfilled by the design.</t>
  </si>
  <si>
    <t>Red X</t>
  </si>
  <si>
    <t>Able to apply Red X mothodology in order to solve problems in structured and logic way.</t>
  </si>
  <si>
    <t>Functional Skills</t>
  </si>
  <si>
    <t>Statistics</t>
  </si>
  <si>
    <t>Able to use in practice and explain statistical techniques. Basic Statistics; Visualizing and Computing (Introduction to Minitab); Data Collection; Central limit theorem and confidence intervals; Hypothesis testing; Measurement System Analysis; Process Capability; Process Stability and Control charts; Control plans &amp; Control Methods. Familiar with statistical software.</t>
  </si>
  <si>
    <t>Systems Verification</t>
  </si>
  <si>
    <t>Able to plan/guide/the system verification, applying risk based approaches, in order to obtain objective evidence by test, analysis, inspection and demonstration (including statistical justification of sample sizes),  that a system or system element, product or service fulfils its specified requirements and characteristics.</t>
  </si>
  <si>
    <t>Calibration and Metrology</t>
  </si>
  <si>
    <t xml:space="preserve">Understanding quality and regulatory requirements for calibration. Applying requirements in equipment mnagement process in order to ensure equipment provides reliable results. Able to properly define calibration requirements and solve quality issues identified with the process. Understands how precisinoand uncertainity affects test results and is able to estimate uncertainity budget. </t>
  </si>
  <si>
    <t>Equipment validation</t>
  </si>
  <si>
    <t>Understands quaity and regulatory requirements related with equipment validation. Able to define, plan and execute equipment validation. Able to identify dependecies between equipment validation requirements and product/ calibration  requirements.</t>
  </si>
  <si>
    <t>TM: Mechanical engineering</t>
  </si>
  <si>
    <t xml:space="preserve">Able to design, build and document mechanical parts by utilizing mathematical, CAD and FEA, coding and analytical skills.  Able to to model complex systems, optimize designs, and predict performance before physical prototypes are built.  Understanding the properties and applications of a wide range of materials. Able to understand the fundamentals of physics and mechanics in order to understand how systems and objects behave under different conditions.  Familiar with industry standards and regulations. Able to design, plan, build and execute mechanical tests for product portfolio. </t>
  </si>
  <si>
    <t>TM: Electrical engneering</t>
  </si>
  <si>
    <t xml:space="preserve"> Ability to design, develop, and optimize electronic circuits for various applications, including power electronics, signal processing, and control systems. Ability to design and analyze analog, digital, and mixed-signal circuits. Ability to design, model, and optimize control systems, including feedback and open-loop control systems.  Knowledge of power distribution systems. Programming languages, including C++, Python, and MATLAB. Understanding control systems, sensors, and actuators, as well as the software that drives automated processes. Familiar with industry standards and regulations. Able to design, plan, build and execute electronical tests for product portfolio. </t>
  </si>
  <si>
    <t xml:space="preserve">TM:Chemical engineering </t>
  </si>
  <si>
    <t xml:space="preserve">Understanding of chemical processes, materials science, and thermodynamics. Understanding of environmental regulations, waste management practices, and safety protocols. Understanding the properties, synthesis, and applications of advanced materials. Ability to design, plan and execute  chemical syntesis and simulations. Understanding chemical kinetics in order to  determine how fast reactions happen. Understanding  thermodynamics in roder to use energy well and predict how different phases behave. Familiar with industry standards and regulations. Able to design, plan, build and execute chemical tests for product portfolio. </t>
  </si>
  <si>
    <t>TM:Environmental testing</t>
  </si>
  <si>
    <t xml:space="preserve">Able to evaluate products under different climatic conditions and mechanical stressors that products are likely to experience during their lifetime. Able to address rigorous process that leads to exposure of waknesses in a product’s design or performance that could occur in service, particularly at extreme levels.  Familiar with industry standards and regulations. Able to design, plan, build and execute environmental tests for product portfolio. </t>
  </si>
  <si>
    <t>TM: Packaging testing</t>
  </si>
  <si>
    <t>Understands package architecure including  factors like the design, materials, and functionality of various packaging types.  Able to design, plan, build and execute packaging  tests for product portfolio in order to determine  effectiveness in preserving, protecting, and presenting the products the package contain. Familiar with industry standards and regulations.</t>
  </si>
  <si>
    <t xml:space="preserve"> TM:EMC</t>
  </si>
  <si>
    <t>Understanding EMC test methodologies, radiated emission, conducted emissions immunity testing.  Able to design, plan, build and execute EMC  tests for product portfolio in order to measure the ability of equipment or systems to function satisfactorily in their electromagnetic environment without introducing intolerable electromagnetic disturbance to anything in that environment. Familiar with industry standards and regulations.</t>
  </si>
  <si>
    <t>TM:Optical properties/ photometry</t>
  </si>
  <si>
    <t xml:space="preserve">Able to design, plan, build and execute optical  tests for product portfolio.  Able to design and simulate optical systems, often using advanced optical design software by involving knowledge of lens design, ray tracing, wave propagation, and more. Familiar with optical component fabrication processes and testing methodologies; understanding of optical alignment, assembly, and measurement techniques. Understanding optoelectronic devices and systems, such as lasers and photodetectors. </t>
  </si>
  <si>
    <t>TM: Programming</t>
  </si>
  <si>
    <t xml:space="preserve">Able to deliver computer-aided design and simulations. Experiences in programming languages like Python, MATLAB, and C++ and able to utilize those skills in designing, testing, and optimizing designs. </t>
  </si>
  <si>
    <t>(Soft) Human Skills</t>
  </si>
  <si>
    <t>Decision Making</t>
  </si>
  <si>
    <t>Able to steer decisions based on taking different views, involving relevant stakeholders, balancing trade-offs / dilemmas / polarities and objectively representing the options with relevant considerations.</t>
  </si>
  <si>
    <t>Technical leadership</t>
  </si>
  <si>
    <t>Able to drive the decision process in teams, to challenge the status quo, to be inspirational and to provide direction, to be operationally excellent in execution, leading by example, to be naturally connecting to business needs and to the other functions in the organization, knowing and managing relevant stakeholders and to be an adaptive learner as well as teacher to the team.</t>
  </si>
  <si>
    <t>Information/ Knowledge Management</t>
  </si>
  <si>
    <t>Able to manage information, entailing the generation, obtaining, confirming, transforming, retaining, retrieval, dissemination and disposal of information, to designated stakeholders with appropriate levels of timeliness, accuracy and security. This obviously includes structured approaches for documentation of product verification activities in terms of product documentation, as well as retainment of essential and tangible knowledge from past verification activities in terms of best practices, learnings, ways-of-working and methodologies.</t>
  </si>
  <si>
    <t>Coaching, mentoring</t>
  </si>
  <si>
    <t xml:space="preserve">Able to provide coaching and mentoring support by utilizing active listening, influencing, persuasion and negotiation skills. Able to build effective relations with co workers. Able to demonstrate excellent  emotional inteligence  and conflict resolution skills. </t>
  </si>
  <si>
    <t xml:space="preserve">Training </t>
  </si>
  <si>
    <t>Able to deliver trainings and share knowledge by utilizing excellent presentation, team/ group management skills as well as communication and active listening skills. Familiar with range of presentation techniques. Efficient in time management skills. Able to demonstrate solid emotional inteligence and conflict resolution skills.  Able to develop and facilitate trainings both virtually and F2F.</t>
  </si>
  <si>
    <t>Influence, persuasion, negotiation</t>
  </si>
  <si>
    <t>Able to have an effect on decision makers and stakeholders, by gaining trust and building personal relationships; able to gain the support and commitment of others by using compelling arguments and advanced communication skills; able to reach a beneficial outcome for either one or both parties in case of points of difference in interest or stake.</t>
  </si>
  <si>
    <t>Communication skills</t>
  </si>
  <si>
    <t>Able to make use of advanced communication techniques as a dynamic process of transmitting or exchanging information, using various principles such as verbal, speech, body-language, signals, behavior, writing, audio, video, graphics, language, etc, while adaptively taking into account aspects that are appropriate to the environment / situation (e.g. cultural aspects, timeliness of communication, team differences).</t>
  </si>
  <si>
    <t>Stakeholer management</t>
  </si>
  <si>
    <t>Identify various types of stakeholders. Evaluate the roles of stakeholders and determine their communication and support requirements. Recognize conflicts and employ appropriate conflict resolution strategies. Develop change management plans aligned with stakeholder needs.</t>
  </si>
  <si>
    <t>Cross Associated Skills</t>
  </si>
  <si>
    <t>Project Management</t>
  </si>
  <si>
    <t xml:space="preserve"> Able to to plan, execute, and deliver projects on time and within budget. Able to collaborate effectively with professionals from various fields, both in-person and in increasingly common remote settings in order to  ensure the smooth progression of engineering initiatives from conception to completion. Familiar with tools and techniques to manage the comprehensive project management life-cycle for a project - from initiation to closing. Able to balance the critical trade-offs of time, cost, and scope to meet  expectations. The ability to apply best practices across a variety of industries and businesses.  Able to navigate the social and cultural aspects, legal and regulatory practices, technology and infrastructure that influence projects’ success. </t>
  </si>
  <si>
    <t>PL</t>
  </si>
  <si>
    <t>Process Skills</t>
  </si>
  <si>
    <t>Market Introduction Plan/Phase-in</t>
  </si>
  <si>
    <t>As a Project Manager, you are responsible for orchestrating all activities related to the launch of a new product, ensuring that all functions (R&amp;D, supply chain, marketing, quality, and regulatory) are aligned for a smooth market entry. This includes building phase-in plans, managing risks, coordinating launch readiness, and ensuring alignment with commercial milestones.</t>
  </si>
  <si>
    <t>Project Schedule Management</t>
  </si>
  <si>
    <t>You will be the owner of the project timeline, responsible for developing, monitoring, and updating detailed project schedules. This includes defining key milestones, managing dependencies, conducting critical path analysis, and ensuring all stakeholders deliver their inputs on time. Timely communication of delays and re-baselining is also crucial.</t>
  </si>
  <si>
    <t>MLD process adherence</t>
  </si>
  <si>
    <t>You are expected to lead project execution according to the MLD framework. This includes following phase-gate requirements, organizing governance reviews, ensuring proper documentation, risk assessments, and stakeholder approvals are completed at each development stage. Driving customer-centricity and value proposition validation is also essential.</t>
  </si>
  <si>
    <t>Phase out process knowledge</t>
  </si>
  <si>
    <t>When managing product lifecycle transitions, your role includes leading or supporting the phase-outs. You ensure the project aligns with obsolescence planning, manage stakeholder impact, align with portfolio and supply chain teams, and avoid revenue disruptions or excess inventory.</t>
  </si>
  <si>
    <t>Portfolio &amp; Supply Chain
(Based on Supply Chain)</t>
  </si>
  <si>
    <t>A Project Manager must understand the interdependencies between the product portfolio and supply chain capacity. You’ll collaborate with supply planners, manufacturing, and procurement to ensure feasibility of project timelines, assess supply risks, align launch or ramp-up plans with production, and support portfolio decisions based on market dynamics and operational capabilities.</t>
  </si>
  <si>
    <t>EPM Skills</t>
  </si>
  <si>
    <t>Risk Management</t>
  </si>
  <si>
    <t xml:space="preserve">Makes prompt, clear decisions which may involve tough choices or considered risks; weighs up risks logically. 
Maintains nuanced understanding of how decisions play out across the enterprise; determines the outcomes of organizational changes and the effect those changes have on project teams; anticipates challenges with change and proactively crafts feasible solutions to combat them </t>
  </si>
  <si>
    <t>Stakeholder Partnership
(Based on Stakeholder Communication/Management)</t>
  </si>
  <si>
    <t>Speaks clearly and fluently; expresses opinions, information and key points of an argument clearly; makes presentations and undertakes public speaking with skill and confidence; responds quickly to the needs of an audience and to their reactions and feedback; projects credibility.
Makes a strong personal impression on others; gains clear agreement and commitment from others by persuading and negotiating; promotes ideas on behalf of self or others; makes effective use of political processes to influence and persuade others.
Establishes good relationships with internal and external stakeholders; relates well to people at all levels.</t>
  </si>
  <si>
    <t>Ownership &amp; Commitment
(Based on Shows ownership)</t>
  </si>
  <si>
    <t>Accepts and tackles demanding goals with enthusiasm; identifies development strategies needed to achieve career goals and makes use of developmental or training opportunities; seeks progression to roles of increased responsibility and influence.</t>
  </si>
  <si>
    <t>Learning Agility</t>
  </si>
  <si>
    <t>Adapts to changing circumstances; accepts new ideas and change initiatives; adapts interpersonal style to suit different people or situations; deals with ambiguity, making positive use of the opportunities it presents.
Rapidly learns new tasks and quickly commits information to memory; gathers comprehensive information to support decision making; demonstrates a rapid understanding of newly presented information; encourages an organizational learning approach (i.e. learns from successes and failures and seeks staff and customer feedback); manages knowledge (collects, catalogues, and disseminates knowledge of use to the organization).</t>
  </si>
  <si>
    <t>Judgement
(Based on Problem Solving)</t>
  </si>
  <si>
    <t>Makes prompt, clear decisions which may involve tough choices or considered risks; analyses numerical data, verbal data and all other sources of information; breaks information into component parts, patterns and relationships; makes rational judgments from the available information and analysis; takes responsibility for actions, projects and people; takes initiative, acts with confidence and works under own direction; initiates and generates activity.
Takes calculated risks rather than missing opportunities; probes for further information or greater understanding of a problem; produces workable solutions to a range of problems; demonstrates an understanding of how one issue may be a part of a much larger system.</t>
  </si>
  <si>
    <t>Empowering leadership
(Based on Conflict management)</t>
  </si>
  <si>
    <t>Demonstrates an interest in and understanding of others; adapts to the team and builds team spirit; recognizes and rewards the contribution of others; listens, consults others and communicates proactively; supports and cares for others; develops and openly communicates self-insight. Provides others with a clear direction; sets appropriate standards of behavior; delegates work appropriately and fairly; motivates and empowers others; provides staff with development opportunities and coaching; recruits staff of a high caliber</t>
  </si>
  <si>
    <t>Business Acumen</t>
  </si>
  <si>
    <t xml:space="preserve">Keeps up to date with competitor information and market trends; identifies business opportunities for the organization; demonstrates financial awareness; controls costs and thinks in terms of profit, loss and added value.
Understands the business benefits of a project; able to connect project objectives to broader organizational goals; contributes to project business case development; grasps performance indicators of the business.  </t>
  </si>
  <si>
    <t>Emotional Intelligence</t>
  </si>
  <si>
    <t>Demonstrates ability to manage challenging scenarios; balances the needs of stakeholders with available resources and time; mitigates conflicts in a systematic manner. 
Demonstrates ability to connect with colleagues on a level beyond work; capable of mitigating physical and emotional risk factors through communication; shows respect and sensitivity towards cultural and religious differences; accommodates for challenges that team members may be facing.</t>
  </si>
  <si>
    <t>Network Performance</t>
  </si>
  <si>
    <t>Uses extended network to advance other teams; effectively leverages professional network to drive team-related outcomes; builds wide and effective networks of contacts inside and outside the organization. 
Seeks out ways to make broader impact outside of formal role while using extended network to further individual goals.</t>
  </si>
  <si>
    <t>Customer Centricity</t>
  </si>
  <si>
    <t>Sources relevant stakeholders to provide accurate customer needs; clearly communicates project needs and deliverables to stakeholders; crafts solutions to meet customer requirements.
Appropriately incorporates end user feedback to refine scope throughout the project lifecycle; continually seeks stakeholder input</t>
  </si>
  <si>
    <t>SE</t>
  </si>
  <si>
    <t>Technical root cause analysis</t>
  </si>
  <si>
    <t>ability to apply structured methodologies such as Red X and DfSS (Design for Six Sigma) to systematically identify, analyze, and resolve complex technical issues. These approaches emphasize logical, stepwise investigation to isolate root causes and implement effective solutions. Demonstrate familiarity with statistical software and the ability to interpret quantitative data are essential for substantiating findings and validating corrective actions.</t>
  </si>
  <si>
    <t>Technical problem solving</t>
  </si>
  <si>
    <t>Change management (impact analysis and implementation)</t>
  </si>
  <si>
    <t>Ability to effectively manage changes to product designs, specifications, or production processes throughout the product lifecycle. This includes planning, implementing, and monitoring these changes while minimizing disruption, reducing errors, and improving product quality. It also involves building a culture of continuous improvement and adaptation within the product team</t>
  </si>
  <si>
    <t>Good documentation practice</t>
  </si>
  <si>
    <t xml:space="preserve">Provide a consistent set of supporting requirements for Documented Information to ensure documentation is clear, concise, correct, complete and traceable.  The application of GDP will help to reduce misinterpretations and errors.  </t>
  </si>
  <si>
    <t>Structured way of product development (specification and verification according to V-model)</t>
  </si>
  <si>
    <t xml:space="preserve">Domain / Technical expertise </t>
  </si>
  <si>
    <t xml:space="preserve">Stakeholder Communication </t>
  </si>
  <si>
    <t>Presentation Skills : ( Articulation and ability to communicate)</t>
  </si>
  <si>
    <t>Ownership and Accountability 
(Say Do Ratio)</t>
  </si>
  <si>
    <t>Ownership is when someone takes responsibility for a task and feels the intrinsic motivation to follow up and follow through. 
Accountability in the office is about clearly identifying the company’s vision, values, and goals and holding individuals to them. Employee accountability is holding all levels of employees accountable for meeting corporate objectives.</t>
  </si>
  <si>
    <t>Assertiveness</t>
  </si>
  <si>
    <t>TPD</t>
  </si>
  <si>
    <t xml:space="preserve">TPD Basic Understanding </t>
  </si>
  <si>
    <t>Windchill Competency</t>
  </si>
  <si>
    <t>Change  Request Knowledge</t>
  </si>
  <si>
    <t>Materials Knowledge</t>
  </si>
  <si>
    <t xml:space="preserve">CAD Skills </t>
  </si>
  <si>
    <t xml:space="preserve"> Configuration management</t>
  </si>
  <si>
    <t xml:space="preserve"> Typeplates</t>
  </si>
  <si>
    <t xml:space="preserve"> Pkg &amp; Sustainability</t>
  </si>
  <si>
    <t xml:space="preserve"> EPR / CSRD</t>
  </si>
  <si>
    <t xml:space="preserve"> Service Planner</t>
  </si>
  <si>
    <t xml:space="preserve"> Refurbishment Planner</t>
  </si>
  <si>
    <t>PE</t>
  </si>
  <si>
    <t>MLD lead for Packaging (process adherence)</t>
  </si>
  <si>
    <t>-Understanding of Packaging development process
-Able to effectively lead the E2E process</t>
  </si>
  <si>
    <t>Prototyping &amp; workshop (Plotter &amp; Equipment's)</t>
  </si>
  <si>
    <t>-Able to use Plotters for Diecut sample preaprearation, to make Concept prototypes
-Able to use drop tester to simulate impact test
-Able to use Vibration testing to simulate initial confidence for transportation</t>
  </si>
  <si>
    <t>CAD development (Nx) - Limited responsibility</t>
  </si>
  <si>
    <t>-Open &amp; Review Nx file
-Brief the improvements
-Check fitment of Pulp trays</t>
  </si>
  <si>
    <t>Change management WC (CR)</t>
  </si>
  <si>
    <t>-Able to create Change Request &amp; process it for approvals
-Create D-Nos.</t>
  </si>
  <si>
    <t>Packmaster</t>
  </si>
  <si>
    <t>-Able to Create Packmaster
-Creation deviations from Packmaster</t>
  </si>
  <si>
    <t>Logistics Data</t>
  </si>
  <si>
    <t>-Collecting inputs for Logistics data
-Filling the template
-Providing brief to TPD
-Prepare Logistics data for Pallet stacking</t>
  </si>
  <si>
    <t>Testing &amp; Verification</t>
  </si>
  <si>
    <t>-Able to interpret the test results
-Able to create a test plan
-Decide the sample size
-Able to identify issues &amp; improvements</t>
  </si>
  <si>
    <t>Introduction to Project Management</t>
  </si>
  <si>
    <t>-Identify Stakeholders
-Able to effectively create &amp; stick to timeplan
-Able to identify risks, ask for support &amp; escalate if needed</t>
  </si>
  <si>
    <t>Stakeholder Communication (Soft Skill )</t>
  </si>
  <si>
    <t>-Able to communicate effectively &amp; respectfully
-Able to ask right questions
-Ask feedbacks throughtout the project lifecyle &amp; not just year end feedbacks</t>
  </si>
  <si>
    <t>Articulation and ability to communicate(Presentation Skills )</t>
  </si>
  <si>
    <t>-Able to present the concepts &amp; Updates for review with DTN
-Regularly participate &amp; present in GWO
-Know your audience to acordinlgy make effective presentation</t>
  </si>
  <si>
    <t>Ownership and Accountability (Say Do Ratio)</t>
  </si>
  <si>
    <t>-Take higher responsibilities on improvements in processes
-Focus more on Quality
-Take initiatives to improve Quality
-Take ownership, instead of complaints</t>
  </si>
  <si>
    <t>Assertiveness (Soft Skills)</t>
  </si>
  <si>
    <t>-Build confidence
-Be vocal on your asks
-Give feedbacks respectfully at regular intervals, instead of waiting to be asked</t>
  </si>
  <si>
    <t>STET GB Project Leader  Team Competency Plan 2025</t>
  </si>
  <si>
    <t>STET-GB Competency Assessment 2025</t>
  </si>
  <si>
    <t>G&amp;B PL</t>
  </si>
  <si>
    <t>PIC</t>
  </si>
  <si>
    <t>IPL PL</t>
  </si>
  <si>
    <t>Function group</t>
  </si>
  <si>
    <t>Process knowledge area/ EPM skill</t>
  </si>
  <si>
    <t xml:space="preserve">Kirti </t>
  </si>
  <si>
    <t>Anjali</t>
  </si>
  <si>
    <t>Shiv</t>
  </si>
  <si>
    <t>Ashwini</t>
  </si>
  <si>
    <t>Rohit</t>
  </si>
  <si>
    <t>Mahesh</t>
  </si>
  <si>
    <t>Freddy</t>
  </si>
  <si>
    <t>Dayal</t>
  </si>
  <si>
    <t xml:space="preserve">Sonam </t>
  </si>
  <si>
    <t>Chetan</t>
  </si>
  <si>
    <t>Rev</t>
  </si>
  <si>
    <t>Date</t>
  </si>
  <si>
    <t>Done by</t>
  </si>
  <si>
    <t>Process</t>
  </si>
  <si>
    <t>NA</t>
  </si>
  <si>
    <t>13 Mar'25</t>
  </si>
  <si>
    <t>Initiatial Release</t>
  </si>
  <si>
    <t>Ishan</t>
  </si>
  <si>
    <t>25 Mar'25</t>
  </si>
  <si>
    <t>Bucketed Process &amp; EPM skills</t>
  </si>
  <si>
    <t>Ishan &amp; Martijn</t>
  </si>
  <si>
    <t>27 May'25</t>
  </si>
  <si>
    <t>H1'25 targets updated</t>
  </si>
  <si>
    <t>2 Jun'25</t>
  </si>
  <si>
    <t>Freddy included</t>
  </si>
  <si>
    <t>Migrated to new template</t>
  </si>
  <si>
    <t>Sushruth</t>
  </si>
  <si>
    <t>EPM</t>
  </si>
  <si>
    <t>Sonam</t>
  </si>
  <si>
    <t>TOTAL</t>
  </si>
  <si>
    <t>First assessor</t>
  </si>
  <si>
    <t>Ishan/Dayal</t>
  </si>
  <si>
    <t>Second assessor</t>
  </si>
  <si>
    <t>Martijn Bosman/Johan Hendrix</t>
  </si>
  <si>
    <t>Freddy:</t>
  </si>
  <si>
    <t>Risk management guidance needed currently from Kelvin for right planning and execution, inline rated at Foundation level</t>
  </si>
  <si>
    <t>MLD process learning- currently doing fine, need to upgrade to next level.</t>
  </si>
  <si>
    <t>Can work on empowering leadership by leading the project team from front, currently not visible</t>
  </si>
  <si>
    <t xml:space="preserve">Anjali: </t>
  </si>
  <si>
    <t>Action plan and checklists were missing in latest review, need to catch-up on that to raise the level.</t>
  </si>
  <si>
    <t>Risk Mgmt: Mxd motor prod start before PSW release.</t>
  </si>
  <si>
    <r>
      <rPr>
        <b/>
        <sz val="9"/>
        <color theme="1"/>
        <rFont val="Aptos"/>
        <family val="2"/>
      </rPr>
      <t>Good Practise</t>
    </r>
    <r>
      <rPr>
        <sz val="9"/>
        <color theme="1"/>
        <rFont val="Aptos"/>
        <family val="2"/>
      </rPr>
      <t>: LCM Menu card participation</t>
    </r>
  </si>
  <si>
    <t>Shiv:</t>
  </si>
  <si>
    <t>Bigger scope projects good practise is to create a Gantt chart, can be cross learned by other TMs.</t>
  </si>
  <si>
    <t>He is new to Femdep, so supply chain understanding is getting better, will need sometime to reach next level.</t>
  </si>
  <si>
    <t>Mahesh:</t>
  </si>
  <si>
    <t>Ownership and pro-activeness to drive from the front is missing (Recent launch projects are good examples-Phoenix launch for Aus/NZ)</t>
  </si>
  <si>
    <t>Standard templates not being used effectively, application understanding is missing. (Eg. Template tailoring to accommodate Rfs scope is not happening)</t>
  </si>
  <si>
    <t>Reaching out to stakeholders missing, Mexico reg-mem understanding PC at factory not at RDC.</t>
  </si>
  <si>
    <t>Kirti</t>
  </si>
  <si>
    <t>H1'25 Targets basis</t>
  </si>
  <si>
    <t>1. EPM skills introduced (5 fresh evaluation criterias out of total 10 EPM skills)</t>
  </si>
  <si>
    <t>2. Mahesh will be rated for the first time</t>
  </si>
  <si>
    <t>STET-GB Competency Assessment 2026</t>
  </si>
  <si>
    <t>Pooja</t>
  </si>
  <si>
    <t>Mahesh D</t>
  </si>
  <si>
    <t>Ajinkya</t>
  </si>
  <si>
    <t>Pratik</t>
  </si>
  <si>
    <t>Mayur</t>
  </si>
  <si>
    <t>Mahesh U</t>
  </si>
  <si>
    <t>2026 Goal</t>
  </si>
  <si>
    <t>Ishan &amp; LCM-PMs</t>
  </si>
  <si>
    <t>Martijn Bosman</t>
  </si>
  <si>
    <t>Mechanical Engineering</t>
  </si>
  <si>
    <t>Jena</t>
  </si>
  <si>
    <t>Nishita</t>
  </si>
  <si>
    <t>Nutan</t>
  </si>
  <si>
    <t>Sagar</t>
  </si>
  <si>
    <t>Mukesh</t>
  </si>
  <si>
    <t>Kishore</t>
  </si>
  <si>
    <t>Riddin</t>
  </si>
  <si>
    <t>CAD Software (NX, CREO)</t>
  </si>
  <si>
    <t xml:space="preserve">Design for Tolerances / GD&amp;T </t>
  </si>
  <si>
    <t>Simulations, e.g. FEA</t>
  </si>
  <si>
    <t>Plastic parts design, DFM, DFA</t>
  </si>
  <si>
    <t>Windchill Design Engineer</t>
  </si>
  <si>
    <t>Doors – requirements mgmt</t>
  </si>
  <si>
    <t>ME CAD WoW</t>
  </si>
  <si>
    <t>Adarsh Shrivastava</t>
  </si>
  <si>
    <t>Oege Smedinga</t>
  </si>
  <si>
    <t>Packaging Engineering</t>
  </si>
  <si>
    <t>Laxman</t>
  </si>
  <si>
    <t>Haseeb</t>
  </si>
  <si>
    <t>Amit</t>
  </si>
  <si>
    <t>Sourabh</t>
  </si>
  <si>
    <t>Shubham</t>
  </si>
  <si>
    <t>Vedanand</t>
  </si>
  <si>
    <t>Packmaster (PDLM)</t>
  </si>
  <si>
    <t>Kamal</t>
  </si>
  <si>
    <t>Sjoukje</t>
  </si>
  <si>
    <t>Vaibhav</t>
  </si>
  <si>
    <t>Sjoukje's team</t>
  </si>
  <si>
    <t>Electrical Engineering</t>
  </si>
  <si>
    <t>Manasvini</t>
  </si>
  <si>
    <t>Shreya</t>
  </si>
  <si>
    <t>Swami</t>
  </si>
  <si>
    <t>Pankaj</t>
  </si>
  <si>
    <t>Development E-process in electronic domain</t>
  </si>
  <si>
    <t>Doors: requirements electronics</t>
  </si>
  <si>
    <t>Altium/LT spice E-CAD/mentorGraphics</t>
  </si>
  <si>
    <t>Electrical testing /Unit Testing /Regression Testing</t>
  </si>
  <si>
    <t xml:space="preserve">design analysis </t>
  </si>
  <si>
    <t xml:space="preserve">VAVE , component analysis </t>
  </si>
  <si>
    <t xml:space="preserve">Statistical analysis </t>
  </si>
  <si>
    <t xml:space="preserve">EMI /EMC , Environmental Testing </t>
  </si>
  <si>
    <t xml:space="preserve"> Stakeholder Communication  ( Soft Skills)</t>
  </si>
  <si>
    <t>Proactiveness</t>
  </si>
  <si>
    <t>Assertiveness ( Soft Skills)</t>
  </si>
  <si>
    <t>Martin</t>
  </si>
  <si>
    <t>TPD Engineers</t>
  </si>
  <si>
    <t>Vaishnavi L</t>
  </si>
  <si>
    <t>Suvidha</t>
  </si>
  <si>
    <t>Namrata</t>
  </si>
  <si>
    <t>Rahul</t>
  </si>
  <si>
    <t>Vaishnavi J</t>
  </si>
  <si>
    <t>Ravindra</t>
  </si>
  <si>
    <t>Kathiravan</t>
  </si>
  <si>
    <t>Technical Trainings</t>
  </si>
  <si>
    <t>Yogesh</t>
  </si>
  <si>
    <t xml:space="preserve"> Type plates</t>
  </si>
  <si>
    <t>Soft skill Trainings</t>
  </si>
  <si>
    <t xml:space="preserve">Soft Skill : Stakeholder Communication </t>
  </si>
  <si>
    <t>Soft Skills :(Ownership and Accountability) (Say Do Ratio)</t>
  </si>
  <si>
    <t>Soft Skills : (Assertiveness)</t>
  </si>
  <si>
    <t>Michiel</t>
  </si>
  <si>
    <t>Mrunal</t>
  </si>
  <si>
    <t>Rajkumar</t>
  </si>
  <si>
    <t>Madhuri</t>
  </si>
  <si>
    <t>Avani</t>
  </si>
  <si>
    <t>Domain / Technical expertise - IPL</t>
  </si>
  <si>
    <t>Domain / Technical expertise - Shaving</t>
  </si>
  <si>
    <t>Domain / Technical expertise - One blade</t>
  </si>
  <si>
    <t>Domain / Technical expertise - Trimmer</t>
  </si>
  <si>
    <t>Domain / Technical expertise - Femdep</t>
  </si>
  <si>
    <t>Dxl</t>
  </si>
  <si>
    <t>Hing</t>
  </si>
  <si>
    <t>STET-QPL</t>
  </si>
  <si>
    <t>Basic functional training</t>
  </si>
  <si>
    <t>Kevin</t>
  </si>
  <si>
    <t>Mahaveer</t>
  </si>
  <si>
    <t>Vinayak</t>
  </si>
  <si>
    <t>Subhash</t>
  </si>
  <si>
    <t>Akash</t>
  </si>
  <si>
    <t>Jim Timmermans/Erik Stap</t>
  </si>
  <si>
    <t>Binesh</t>
  </si>
  <si>
    <t>Marivel</t>
  </si>
  <si>
    <t>Prakash</t>
  </si>
  <si>
    <t xml:space="preserve"> Core Curriculum Skills</t>
  </si>
  <si>
    <t xml:space="preserve"> Functional Skills</t>
  </si>
  <si>
    <t>TM:EMC</t>
  </si>
  <si>
    <t>Soft Skills</t>
  </si>
  <si>
    <t>Associated Skills</t>
  </si>
  <si>
    <t>Ewa</t>
  </si>
  <si>
    <t>Raj</t>
  </si>
  <si>
    <t>Vivek</t>
  </si>
  <si>
    <t>Sonam Nikam</t>
  </si>
  <si>
    <t>Medical Standards &amp; Regulatory Compliance (Design Controls)</t>
  </si>
  <si>
    <t>Product/Portfolio knowledge</t>
  </si>
  <si>
    <t>Philisp RSL and sustainability requirements understanding</t>
  </si>
  <si>
    <t>Reg-Mem management (Scope+Execution)</t>
  </si>
  <si>
    <t>Influencing Skills/Decision making (Soft Skill )</t>
  </si>
  <si>
    <t>Raghu</t>
  </si>
  <si>
    <t>Vishal</t>
  </si>
  <si>
    <t>Kola</t>
  </si>
  <si>
    <t>H1'26 Target</t>
  </si>
  <si>
    <t>H1'26
Actual</t>
  </si>
  <si>
    <t>H2'26 Target</t>
  </si>
  <si>
    <t>H2'26 Actual</t>
  </si>
  <si>
    <t>GB Labelling Process</t>
  </si>
  <si>
    <t>H1'26 Actual</t>
  </si>
  <si>
    <t>MLD/LCM Process knowledge and adherence</t>
  </si>
  <si>
    <t>Sustainability Data management 
(Contains: MaxBom/Categorization, tech files update, France Agec, EU SCIP)</t>
  </si>
  <si>
    <t>Effective usage of LCM Tools for QPL role and documentation 
(Includes: Windchill, Bomcheck, RTC, Aris, Vertex, Bomcheck, tech files, Qlikview)</t>
  </si>
  <si>
    <t>Risk management (HBSRA+RMM)</t>
  </si>
  <si>
    <t>Rutuja</t>
  </si>
  <si>
    <t xml:space="preserve">Dinesh </t>
  </si>
  <si>
    <t>Gap analysis &amp; change mahangement(IA, RfS execution, Completeness, RSL gaps)</t>
  </si>
  <si>
    <t>Problem Solving : Shainin/DFSS/DMAIC/8D/RCA/CAPA (Via PMS/PQR's)</t>
  </si>
  <si>
    <t>Creation/review/Approval of Quality documentation 
(Includes: Labeling,  AW's, Test design and reports, HSD, Waviers, Lab Transfer, PDLM deliverables)</t>
  </si>
  <si>
    <t>H1'2026 Target</t>
  </si>
  <si>
    <t>Project Leaders</t>
  </si>
  <si>
    <t>2025 Baseline</t>
  </si>
  <si>
    <t>Gap to 2026 Goal</t>
  </si>
  <si>
    <t>LEVEL 2+</t>
  </si>
  <si>
    <t>Practitioner+</t>
  </si>
  <si>
    <t>Gitimaya</t>
  </si>
  <si>
    <t>Krishna</t>
  </si>
  <si>
    <t>Mechanical Engineers</t>
  </si>
  <si>
    <t>Packaging Engineers</t>
  </si>
  <si>
    <t>Electrical Engineers</t>
  </si>
  <si>
    <t>Quality Project Leaders</t>
  </si>
  <si>
    <t>System Engineers</t>
  </si>
  <si>
    <t>Vinay</t>
  </si>
  <si>
    <t>Bindu</t>
  </si>
  <si>
    <t>T&amp;V Architect / Engineer</t>
  </si>
  <si>
    <t>Joost</t>
  </si>
  <si>
    <t>2024
Baseline</t>
  </si>
  <si>
    <t>2025
Baseline</t>
  </si>
  <si>
    <t>H1'26
Target</t>
  </si>
  <si>
    <t>H2'26
Target</t>
  </si>
  <si>
    <t>H2'26
Actual</t>
  </si>
  <si>
    <t>Packmaster (PDLM &amp; LCM MLU)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</si>
</sst>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Aptos Narrow"/>
      <family val="2"/>
      <scheme val="minor"/>
    </font>
    <font>
      <sz val="11"/>
      <color rgb="FF000000"/>
      <name val="Calibri"/>
      <family val="2"/>
    </font>
    <font>
      <sz val="11"/>
      <color theme="1"/>
      <name val="Aptos Narrow"/>
      <family val="2"/>
      <scheme val="minor"/>
    </font>
    <font>
      <sz val="9"/>
      <color theme="1"/>
      <name val="Aptos"/>
      <family val="2"/>
    </font>
    <font>
      <sz val="9"/>
      <name val="Aptos"/>
      <family val="2"/>
    </font>
    <font>
      <b/>
      <sz val="9"/>
      <name val="Aptos"/>
      <family val="2"/>
    </font>
    <font>
      <b/>
      <sz val="9"/>
      <color theme="1"/>
      <name val="Aptos"/>
      <family val="2"/>
    </font>
    <font>
      <sz val="9"/>
      <color rgb="FF000000"/>
      <name val="Aptos"/>
      <family val="2"/>
    </font>
    <font>
      <b/>
      <sz val="9"/>
      <color theme="0"/>
      <name val="Aptos"/>
      <family val="2"/>
    </font>
    <font>
      <b/>
      <sz val="9"/>
      <color rgb="FF000000"/>
      <name val="Aptos"/>
      <family val="2"/>
    </font>
    <font>
      <sz val="9"/>
      <color rgb="FF373A3C"/>
      <name val="Aptos"/>
      <family val="2"/>
    </font>
    <font>
      <b/>
      <sz val="9"/>
      <color theme="3" tint="0.249977111117893"/>
      <name val="Aptos"/>
      <family val="2"/>
    </font>
    <font>
      <sz val="11"/>
      <color theme="1"/>
      <name val="Aptos"/>
      <family val="2"/>
    </font>
    <font>
      <b/>
      <sz val="11"/>
      <color theme="1"/>
      <name val="Aptos"/>
      <family val="2"/>
    </font>
    <font>
      <sz val="8"/>
      <name val="Aptos Narrow"/>
      <family val="2"/>
      <scheme val="minor"/>
    </font>
    <font>
      <b/>
      <i/>
      <sz val="9"/>
      <color theme="1"/>
      <name val="Aptos"/>
      <family val="2"/>
    </font>
    <font>
      <sz val="9"/>
      <color theme="1"/>
      <name val="Aptos"/>
      <family val="2"/>
    </font>
    <font>
      <b/>
      <sz val="9"/>
      <color theme="0"/>
      <name val="Aptos"/>
      <family val="2"/>
    </font>
    <font>
      <sz val="11"/>
      <color rgb="FF9C5700"/>
      <name val="Calibri"/>
      <family val="2"/>
    </font>
    <font>
      <sz val="11"/>
      <name val="Calibri"/>
      <family val="2"/>
    </font>
    <font>
      <b/>
      <sz val="9"/>
      <color rgb="FF000000"/>
      <name val="Aptos"/>
      <family val="2"/>
    </font>
    <font>
      <b/>
      <sz val="9"/>
      <color theme="1"/>
      <name val="Aptos"/>
      <family val="2"/>
    </font>
  </fonts>
  <fills count="28">
    <fill>
      <patternFill patternType="none"/>
    </fill>
    <fill>
      <patternFill patternType="gray125"/>
    </fill>
    <fill>
      <patternFill patternType="solid">
        <fgColor theme="9"/>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0"/>
        <bgColor indexed="64"/>
      </patternFill>
    </fill>
    <fill>
      <patternFill patternType="solid">
        <fgColor rgb="FF0070C0"/>
        <bgColor indexed="64"/>
      </patternFill>
    </fill>
    <fill>
      <patternFill patternType="solid">
        <fgColor rgb="FFFFFF99"/>
        <bgColor indexed="64"/>
      </patternFill>
    </fill>
    <fill>
      <patternFill patternType="solid">
        <fgColor rgb="FFFFFFCC"/>
        <bgColor indexed="64"/>
      </patternFill>
    </fill>
    <fill>
      <patternFill patternType="solid">
        <fgColor theme="9" tint="0.39997558519241921"/>
        <bgColor indexed="64"/>
      </patternFill>
    </fill>
    <fill>
      <patternFill patternType="solid">
        <fgColor rgb="FF00B050"/>
        <bgColor indexed="64"/>
      </patternFill>
    </fill>
    <fill>
      <patternFill patternType="solid">
        <fgColor theme="3" tint="0.749992370372631"/>
        <bgColor indexed="64"/>
      </patternFill>
    </fill>
    <fill>
      <patternFill patternType="solid">
        <fgColor rgb="FFFFCC66"/>
        <bgColor indexed="64"/>
      </patternFill>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rgb="FF00FF00"/>
        <bgColor indexed="64"/>
      </patternFill>
    </fill>
    <fill>
      <patternFill patternType="solid">
        <fgColor rgb="FFFF0000"/>
        <bgColor indexed="64"/>
      </patternFill>
    </fill>
    <fill>
      <patternFill patternType="solid">
        <fgColor rgb="FF0070C0"/>
        <bgColor rgb="FF000000"/>
      </patternFill>
    </fill>
    <fill>
      <patternFill patternType="solid">
        <fgColor rgb="FFA6C9EC"/>
        <bgColor rgb="FF000000"/>
      </patternFill>
    </fill>
    <fill>
      <patternFill patternType="solid">
        <fgColor rgb="FF00B050"/>
        <bgColor rgb="FF000000"/>
      </patternFill>
    </fill>
    <fill>
      <patternFill patternType="solid">
        <fgColor rgb="FF66FFCC"/>
        <bgColor rgb="FF000000"/>
      </patternFill>
    </fill>
    <fill>
      <patternFill patternType="solid">
        <fgColor rgb="FFFFEB9C"/>
        <bgColor rgb="FF000000"/>
      </patternFill>
    </fill>
    <fill>
      <patternFill patternType="solid">
        <fgColor rgb="FF94DCF8"/>
        <bgColor rgb="FF000000"/>
      </patternFill>
    </fill>
    <fill>
      <patternFill patternType="solid">
        <fgColor rgb="FF33CC33"/>
        <bgColor rgb="FF000000"/>
      </patternFill>
    </fill>
  </fills>
  <borders count="2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auto="1"/>
      </left>
      <right style="medium">
        <color auto="1"/>
      </right>
      <top style="medium">
        <color auto="1"/>
      </top>
      <bottom style="medium">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auto="1"/>
      </left>
      <right style="medium">
        <color auto="1"/>
      </right>
      <top style="medium">
        <color auto="1"/>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s>
  <cellStyleXfs count="3">
    <xf numFmtId="0" fontId="0" fillId="0" borderId="0"/>
    <xf numFmtId="0" fontId="1" fillId="0" borderId="0"/>
    <xf numFmtId="9" fontId="2" fillId="0" borderId="0" applyFont="0" applyFill="0" applyBorder="0" applyAlignment="0" applyProtection="0"/>
  </cellStyleXfs>
  <cellXfs count="222">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left" vertical="center"/>
    </xf>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left" vertical="center"/>
    </xf>
    <xf numFmtId="0" fontId="6" fillId="4" borderId="4" xfId="0" applyFont="1" applyFill="1" applyBorder="1" applyAlignment="1">
      <alignment vertical="center"/>
    </xf>
    <xf numFmtId="0" fontId="6" fillId="4" borderId="5" xfId="0" applyFont="1" applyFill="1" applyBorder="1" applyAlignment="1">
      <alignment vertical="center"/>
    </xf>
    <xf numFmtId="0" fontId="6" fillId="4" borderId="5" xfId="0" applyFont="1" applyFill="1" applyBorder="1" applyAlignment="1">
      <alignment horizontal="center" vertical="center"/>
    </xf>
    <xf numFmtId="0" fontId="6" fillId="4" borderId="7" xfId="0" applyFont="1" applyFill="1" applyBorder="1" applyAlignment="1">
      <alignment horizontal="center" vertical="center"/>
    </xf>
    <xf numFmtId="0" fontId="6" fillId="0" borderId="8" xfId="0" applyFont="1" applyBorder="1" applyAlignment="1">
      <alignment horizontal="center" vertical="center"/>
    </xf>
    <xf numFmtId="0" fontId="6" fillId="0" borderId="8" xfId="0" applyFont="1" applyBorder="1" applyAlignment="1">
      <alignment horizontal="left" vertical="center"/>
    </xf>
    <xf numFmtId="0" fontId="6" fillId="0" borderId="8" xfId="0" applyFont="1" applyBorder="1" applyAlignment="1">
      <alignment vertical="center"/>
    </xf>
    <xf numFmtId="0" fontId="7" fillId="15" borderId="5" xfId="0" applyFont="1" applyFill="1" applyBorder="1" applyAlignment="1">
      <alignment vertical="center"/>
    </xf>
    <xf numFmtId="1" fontId="3" fillId="11" borderId="5" xfId="0" applyNumberFormat="1" applyFont="1" applyFill="1" applyBorder="1" applyAlignment="1">
      <alignment horizontal="center" vertical="center"/>
    </xf>
    <xf numFmtId="1" fontId="3" fillId="10" borderId="5" xfId="0" applyNumberFormat="1" applyFont="1" applyFill="1" applyBorder="1" applyAlignment="1">
      <alignment horizontal="center" vertical="center"/>
    </xf>
    <xf numFmtId="1" fontId="4" fillId="0" borderId="5" xfId="0" applyNumberFormat="1" applyFont="1" applyBorder="1" applyAlignment="1">
      <alignment horizontal="center" vertical="center"/>
    </xf>
    <xf numFmtId="1" fontId="3" fillId="8" borderId="7" xfId="0" applyNumberFormat="1" applyFont="1" applyFill="1" applyBorder="1" applyAlignment="1">
      <alignment horizontal="center" vertical="center"/>
    </xf>
    <xf numFmtId="0" fontId="3" fillId="0" borderId="5" xfId="0" applyFont="1" applyBorder="1" applyAlignment="1">
      <alignment horizontal="center" vertical="center"/>
    </xf>
    <xf numFmtId="0" fontId="3" fillId="5" borderId="5" xfId="0" applyFont="1" applyFill="1" applyBorder="1" applyAlignment="1">
      <alignment horizontal="center" vertical="center"/>
    </xf>
    <xf numFmtId="0" fontId="8" fillId="6" borderId="5" xfId="0" applyFont="1" applyFill="1" applyBorder="1" applyAlignment="1">
      <alignment horizontal="center" vertical="center"/>
    </xf>
    <xf numFmtId="1" fontId="8" fillId="6" borderId="5" xfId="0"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left" vertical="center"/>
    </xf>
    <xf numFmtId="0" fontId="3" fillId="0" borderId="8" xfId="0" applyFont="1" applyBorder="1" applyAlignment="1">
      <alignment vertical="center"/>
    </xf>
    <xf numFmtId="1" fontId="3" fillId="9" borderId="5" xfId="0" applyNumberFormat="1" applyFont="1" applyFill="1" applyBorder="1" applyAlignment="1">
      <alignment horizontal="center" vertical="center"/>
    </xf>
    <xf numFmtId="1" fontId="3" fillId="9" borderId="7" xfId="0" applyNumberFormat="1" applyFont="1" applyFill="1" applyBorder="1" applyAlignment="1">
      <alignment horizontal="center" vertical="center"/>
    </xf>
    <xf numFmtId="15" fontId="3" fillId="0" borderId="8" xfId="0" applyNumberFormat="1" applyFont="1" applyBorder="1" applyAlignment="1">
      <alignment horizontal="center" vertical="center"/>
    </xf>
    <xf numFmtId="1" fontId="3" fillId="10" borderId="7" xfId="0" applyNumberFormat="1" applyFont="1" applyFill="1" applyBorder="1" applyAlignment="1">
      <alignment horizontal="center" vertical="center"/>
    </xf>
    <xf numFmtId="0" fontId="7" fillId="15" borderId="5" xfId="0" applyFont="1" applyFill="1" applyBorder="1" applyAlignment="1">
      <alignment vertical="center" wrapText="1"/>
    </xf>
    <xf numFmtId="0" fontId="4" fillId="0" borderId="5" xfId="0" applyFont="1" applyBorder="1" applyAlignment="1">
      <alignment horizontal="center" vertical="center"/>
    </xf>
    <xf numFmtId="0" fontId="7" fillId="4" borderId="5" xfId="0" applyFont="1" applyFill="1" applyBorder="1" applyAlignment="1">
      <alignment vertical="center"/>
    </xf>
    <xf numFmtId="0" fontId="3" fillId="0" borderId="5" xfId="0" applyFont="1" applyBorder="1" applyAlignment="1">
      <alignment horizontal="center" vertical="center" wrapText="1"/>
    </xf>
    <xf numFmtId="0" fontId="7" fillId="4" borderId="5" xfId="0" applyFont="1" applyFill="1" applyBorder="1" applyAlignment="1">
      <alignment vertical="center" wrapText="1"/>
    </xf>
    <xf numFmtId="1" fontId="3" fillId="11" borderId="7" xfId="0" applyNumberFormat="1" applyFont="1" applyFill="1" applyBorder="1" applyAlignment="1">
      <alignment horizontal="center" vertical="center"/>
    </xf>
    <xf numFmtId="9" fontId="8" fillId="6" borderId="5" xfId="2" applyFont="1" applyFill="1" applyBorder="1" applyAlignment="1">
      <alignment horizontal="center" vertical="center"/>
    </xf>
    <xf numFmtId="1" fontId="3" fillId="0" borderId="5" xfId="0" applyNumberFormat="1" applyFont="1" applyBorder="1" applyAlignment="1">
      <alignment horizontal="center" vertical="center"/>
    </xf>
    <xf numFmtId="1" fontId="4" fillId="0" borderId="7" xfId="0" applyNumberFormat="1" applyFont="1" applyBorder="1" applyAlignment="1">
      <alignment horizontal="center" vertical="center"/>
    </xf>
    <xf numFmtId="0" fontId="4" fillId="0" borderId="7" xfId="0" applyFont="1" applyBorder="1" applyAlignment="1">
      <alignment horizontal="center" vertical="center"/>
    </xf>
    <xf numFmtId="0" fontId="6" fillId="0" borderId="0" xfId="0" applyFont="1" applyAlignment="1">
      <alignment horizontal="center" vertical="center"/>
    </xf>
    <xf numFmtId="0" fontId="3" fillId="0" borderId="9" xfId="0" applyFont="1" applyBorder="1" applyAlignment="1">
      <alignment vertical="center"/>
    </xf>
    <xf numFmtId="0" fontId="3" fillId="0" borderId="10" xfId="0" applyFont="1" applyBorder="1" applyAlignment="1">
      <alignment vertical="center"/>
    </xf>
    <xf numFmtId="164" fontId="9" fillId="0" borderId="10" xfId="0" applyNumberFormat="1" applyFont="1" applyBorder="1" applyAlignment="1">
      <alignment horizontal="center" vertical="center"/>
    </xf>
    <xf numFmtId="164" fontId="9" fillId="0" borderId="11" xfId="0" applyNumberFormat="1" applyFont="1" applyBorder="1" applyAlignment="1">
      <alignment horizontal="center" vertical="center"/>
    </xf>
    <xf numFmtId="0" fontId="7" fillId="0" borderId="0" xfId="0" applyFont="1" applyAlignment="1">
      <alignment vertical="center"/>
    </xf>
    <xf numFmtId="164" fontId="7" fillId="0" borderId="0" xfId="0" applyNumberFormat="1" applyFont="1" applyAlignment="1">
      <alignment horizontal="center" vertical="center"/>
    </xf>
    <xf numFmtId="0" fontId="9" fillId="3" borderId="1" xfId="1" applyFont="1" applyFill="1" applyBorder="1" applyAlignment="1">
      <alignment vertical="center"/>
    </xf>
    <xf numFmtId="0" fontId="7" fillId="0" borderId="3" xfId="1" applyFont="1" applyBorder="1" applyAlignment="1">
      <alignment vertical="center"/>
    </xf>
    <xf numFmtId="0" fontId="7" fillId="0" borderId="0" xfId="1" applyFont="1" applyAlignment="1">
      <alignment vertical="center"/>
    </xf>
    <xf numFmtId="0" fontId="7" fillId="0" borderId="0" xfId="0" applyFont="1" applyAlignment="1">
      <alignment horizontal="center" vertical="center"/>
    </xf>
    <xf numFmtId="0" fontId="9" fillId="3" borderId="9" xfId="1" applyFont="1" applyFill="1" applyBorder="1" applyAlignment="1">
      <alignment vertical="center"/>
    </xf>
    <xf numFmtId="0" fontId="7" fillId="0" borderId="11" xfId="1" applyFont="1" applyBorder="1" applyAlignment="1">
      <alignment vertical="center"/>
    </xf>
    <xf numFmtId="0" fontId="6" fillId="0" borderId="0" xfId="0" applyFont="1" applyAlignment="1">
      <alignment vertical="center"/>
    </xf>
    <xf numFmtId="0" fontId="3" fillId="5" borderId="5" xfId="0" applyFont="1" applyFill="1" applyBorder="1" applyAlignment="1">
      <alignment horizontal="left" vertical="center" wrapText="1"/>
    </xf>
    <xf numFmtId="0" fontId="3" fillId="17" borderId="5" xfId="0" applyFont="1" applyFill="1" applyBorder="1" applyAlignment="1">
      <alignment horizontal="center" vertical="center"/>
    </xf>
    <xf numFmtId="1" fontId="3" fillId="7" borderId="5" xfId="0" applyNumberFormat="1" applyFont="1" applyFill="1" applyBorder="1" applyAlignment="1">
      <alignment horizontal="center" vertical="center"/>
    </xf>
    <xf numFmtId="9" fontId="6" fillId="11" borderId="5" xfId="2" applyFont="1" applyFill="1" applyBorder="1" applyAlignment="1">
      <alignment horizontal="center" vertical="center"/>
    </xf>
    <xf numFmtId="9" fontId="6" fillId="10" borderId="5" xfId="2" applyFont="1" applyFill="1" applyBorder="1" applyAlignment="1">
      <alignment horizontal="center" vertical="center"/>
    </xf>
    <xf numFmtId="9" fontId="6" fillId="9" borderId="5" xfId="2" applyFont="1" applyFill="1" applyBorder="1" applyAlignment="1">
      <alignment horizontal="center" vertical="center"/>
    </xf>
    <xf numFmtId="9" fontId="6" fillId="7" borderId="5" xfId="2" applyFont="1" applyFill="1" applyBorder="1" applyAlignment="1">
      <alignment horizontal="center" vertical="center"/>
    </xf>
    <xf numFmtId="9" fontId="6" fillId="0" borderId="0" xfId="0" applyNumberFormat="1" applyFont="1" applyAlignment="1">
      <alignment horizontal="center" vertical="center"/>
    </xf>
    <xf numFmtId="0" fontId="6" fillId="13" borderId="5" xfId="0" applyFont="1" applyFill="1" applyBorder="1" applyAlignment="1">
      <alignment horizontal="center" vertical="center"/>
    </xf>
    <xf numFmtId="0" fontId="3" fillId="5" borderId="21" xfId="0" applyFont="1" applyFill="1" applyBorder="1" applyAlignment="1">
      <alignment horizontal="left" vertical="center" wrapText="1"/>
    </xf>
    <xf numFmtId="9" fontId="6" fillId="13" borderId="5" xfId="0" applyNumberFormat="1" applyFont="1" applyFill="1" applyBorder="1" applyAlignment="1">
      <alignment horizontal="center" vertical="center"/>
    </xf>
    <xf numFmtId="1" fontId="3" fillId="0" borderId="7" xfId="0" applyNumberFormat="1" applyFont="1" applyBorder="1" applyAlignment="1">
      <alignment horizontal="center" vertical="center"/>
    </xf>
    <xf numFmtId="2" fontId="3" fillId="0" borderId="0" xfId="0" applyNumberFormat="1" applyFont="1" applyAlignment="1">
      <alignment horizontal="center" vertical="center"/>
    </xf>
    <xf numFmtId="0" fontId="5" fillId="0" borderId="0" xfId="0" applyFont="1" applyAlignment="1">
      <alignment horizontal="left" vertical="center" wrapText="1"/>
    </xf>
    <xf numFmtId="2" fontId="6" fillId="16" borderId="20" xfId="0" applyNumberFormat="1" applyFont="1" applyFill="1" applyBorder="1" applyAlignment="1">
      <alignment horizontal="center" vertical="center"/>
    </xf>
    <xf numFmtId="0" fontId="5" fillId="16" borderId="20" xfId="0" applyFont="1" applyFill="1" applyBorder="1" applyAlignment="1">
      <alignment horizontal="left" vertical="center" wrapText="1"/>
    </xf>
    <xf numFmtId="0" fontId="6" fillId="0" borderId="0" xfId="0" applyFont="1" applyAlignment="1">
      <alignment horizontal="left" vertical="center"/>
    </xf>
    <xf numFmtId="2" fontId="3" fillId="0" borderId="20" xfId="0" applyNumberFormat="1" applyFont="1" applyBorder="1" applyAlignment="1">
      <alignment horizontal="center" vertical="center"/>
    </xf>
    <xf numFmtId="0" fontId="4" fillId="0" borderId="20" xfId="0" applyFont="1" applyBorder="1" applyAlignment="1">
      <alignment horizontal="left" vertical="center" wrapText="1"/>
    </xf>
    <xf numFmtId="0" fontId="4" fillId="0" borderId="20" xfId="0" applyFont="1" applyBorder="1" applyAlignment="1" applyProtection="1">
      <alignment horizontal="left" vertical="center" wrapText="1"/>
      <protection locked="0"/>
    </xf>
    <xf numFmtId="0" fontId="10" fillId="0" borderId="20" xfId="0" applyFont="1" applyBorder="1" applyAlignment="1">
      <alignment horizontal="left" vertical="center" wrapText="1"/>
    </xf>
    <xf numFmtId="0" fontId="4" fillId="0" borderId="0" xfId="0" applyFont="1" applyAlignment="1">
      <alignment horizontal="left" vertical="center" wrapText="1"/>
    </xf>
    <xf numFmtId="0" fontId="7" fillId="14" borderId="5" xfId="0" applyFont="1" applyFill="1" applyBorder="1" applyAlignment="1">
      <alignment vertical="center"/>
    </xf>
    <xf numFmtId="0" fontId="7" fillId="14" borderId="5" xfId="0" applyFont="1" applyFill="1" applyBorder="1" applyAlignment="1">
      <alignment vertical="center" wrapText="1"/>
    </xf>
    <xf numFmtId="0" fontId="7" fillId="14" borderId="12" xfId="0" applyFont="1" applyFill="1" applyBorder="1" applyAlignment="1">
      <alignment vertical="center"/>
    </xf>
    <xf numFmtId="0" fontId="7" fillId="14" borderId="13" xfId="0" applyFont="1" applyFill="1" applyBorder="1" applyAlignment="1">
      <alignment vertical="center"/>
    </xf>
    <xf numFmtId="0" fontId="3" fillId="6" borderId="5" xfId="0" applyFont="1" applyFill="1" applyBorder="1" applyAlignment="1">
      <alignment horizontal="center" vertical="center"/>
    </xf>
    <xf numFmtId="1" fontId="3" fillId="8" borderId="5" xfId="0" applyNumberFormat="1" applyFont="1" applyFill="1" applyBorder="1" applyAlignment="1">
      <alignment horizontal="center" vertical="center"/>
    </xf>
    <xf numFmtId="9" fontId="6" fillId="6" borderId="5" xfId="2" applyFont="1" applyFill="1" applyBorder="1" applyAlignment="1">
      <alignment horizontal="center" vertical="center"/>
    </xf>
    <xf numFmtId="9" fontId="6" fillId="8" borderId="5" xfId="2" applyFont="1" applyFill="1" applyBorder="1" applyAlignment="1">
      <alignment horizontal="center" vertical="center"/>
    </xf>
    <xf numFmtId="0" fontId="3" fillId="5" borderId="5" xfId="0" applyFont="1" applyFill="1" applyBorder="1" applyAlignment="1">
      <alignment horizontal="left" vertical="center"/>
    </xf>
    <xf numFmtId="1" fontId="3" fillId="0" borderId="6" xfId="0" applyNumberFormat="1" applyFont="1" applyBorder="1" applyAlignment="1">
      <alignment horizontal="center" vertical="center"/>
    </xf>
    <xf numFmtId="0" fontId="5" fillId="5" borderId="0" xfId="1" applyFont="1" applyFill="1" applyAlignment="1">
      <alignment horizontal="center" vertical="center"/>
    </xf>
    <xf numFmtId="164" fontId="3" fillId="5" borderId="0" xfId="0" applyNumberFormat="1" applyFont="1" applyFill="1" applyAlignment="1">
      <alignment vertical="center"/>
    </xf>
    <xf numFmtId="0" fontId="3" fillId="5" borderId="5" xfId="0" applyFont="1" applyFill="1" applyBorder="1" applyAlignment="1">
      <alignment vertical="center"/>
    </xf>
    <xf numFmtId="0" fontId="3" fillId="0" borderId="8" xfId="0" applyFont="1" applyBorder="1" applyAlignment="1">
      <alignment horizontal="left" vertical="center" wrapText="1"/>
    </xf>
    <xf numFmtId="0" fontId="3" fillId="5" borderId="5" xfId="0" applyFont="1" applyFill="1" applyBorder="1" applyAlignment="1">
      <alignment vertical="center" wrapText="1"/>
    </xf>
    <xf numFmtId="0" fontId="11" fillId="0" borderId="0" xfId="0" applyFont="1" applyAlignment="1">
      <alignment horizontal="center" vertical="center"/>
    </xf>
    <xf numFmtId="0" fontId="3" fillId="5" borderId="0" xfId="0" applyFont="1" applyFill="1" applyAlignment="1">
      <alignment horizontal="left" vertical="center"/>
    </xf>
    <xf numFmtId="0" fontId="5" fillId="5" borderId="0" xfId="0" applyFont="1" applyFill="1" applyAlignment="1">
      <alignment vertical="center"/>
    </xf>
    <xf numFmtId="0" fontId="12" fillId="0" borderId="0" xfId="0" applyFont="1" applyAlignment="1">
      <alignment horizontal="left" vertical="center"/>
    </xf>
    <xf numFmtId="0" fontId="5" fillId="4" borderId="5" xfId="0" applyFont="1" applyFill="1" applyBorder="1" applyAlignment="1">
      <alignment vertical="center"/>
    </xf>
    <xf numFmtId="0" fontId="5" fillId="4" borderId="4" xfId="0" applyFont="1" applyFill="1" applyBorder="1" applyAlignment="1">
      <alignment vertical="center"/>
    </xf>
    <xf numFmtId="0" fontId="3" fillId="5" borderId="4" xfId="0" applyFont="1" applyFill="1" applyBorder="1" applyAlignment="1">
      <alignment horizontal="center" vertical="center"/>
    </xf>
    <xf numFmtId="0" fontId="6" fillId="4" borderId="5" xfId="0" applyFont="1" applyFill="1" applyBorder="1" applyAlignment="1">
      <alignment horizontal="center" vertical="center" wrapText="1"/>
    </xf>
    <xf numFmtId="164" fontId="3" fillId="0" borderId="5" xfId="0" applyNumberFormat="1" applyFont="1" applyBorder="1" applyAlignment="1">
      <alignment horizontal="center" vertical="center"/>
    </xf>
    <xf numFmtId="1" fontId="3" fillId="15" borderId="5" xfId="0" applyNumberFormat="1" applyFont="1" applyFill="1" applyBorder="1" applyAlignment="1">
      <alignment horizontal="center" vertical="center"/>
    </xf>
    <xf numFmtId="1" fontId="3" fillId="17" borderId="5" xfId="0" applyNumberFormat="1" applyFont="1" applyFill="1" applyBorder="1" applyAlignment="1">
      <alignment horizontal="center" vertical="center"/>
    </xf>
    <xf numFmtId="0" fontId="3" fillId="5" borderId="0" xfId="0" applyFont="1" applyFill="1" applyAlignment="1">
      <alignment horizontal="center" vertical="center"/>
    </xf>
    <xf numFmtId="0" fontId="3" fillId="5" borderId="0" xfId="0" applyFont="1" applyFill="1" applyAlignment="1">
      <alignment vertical="center" wrapText="1"/>
    </xf>
    <xf numFmtId="164" fontId="6" fillId="0" borderId="5" xfId="0" applyNumberFormat="1" applyFont="1" applyBorder="1" applyAlignment="1">
      <alignment horizontal="center" vertical="center"/>
    </xf>
    <xf numFmtId="2" fontId="6" fillId="15" borderId="20" xfId="0" applyNumberFormat="1" applyFont="1" applyFill="1" applyBorder="1" applyAlignment="1">
      <alignment horizontal="center" vertical="center"/>
    </xf>
    <xf numFmtId="0" fontId="5" fillId="15" borderId="20" xfId="0" applyFont="1" applyFill="1" applyBorder="1" applyAlignment="1">
      <alignment horizontal="left" vertical="center" wrapText="1"/>
    </xf>
    <xf numFmtId="2" fontId="6" fillId="18" borderId="20" xfId="0" applyNumberFormat="1" applyFont="1" applyFill="1" applyBorder="1" applyAlignment="1">
      <alignment horizontal="center" vertical="center"/>
    </xf>
    <xf numFmtId="0" fontId="5" fillId="18" borderId="20" xfId="0" applyFont="1" applyFill="1" applyBorder="1" applyAlignment="1">
      <alignment horizontal="left" vertical="center" wrapText="1"/>
    </xf>
    <xf numFmtId="2" fontId="6" fillId="9" borderId="20" xfId="0" applyNumberFormat="1" applyFont="1" applyFill="1" applyBorder="1" applyAlignment="1">
      <alignment horizontal="center" vertical="center"/>
    </xf>
    <xf numFmtId="0" fontId="5" fillId="9" borderId="20" xfId="0" applyFont="1" applyFill="1" applyBorder="1" applyAlignment="1">
      <alignment horizontal="left" vertical="center" wrapText="1"/>
    </xf>
    <xf numFmtId="2" fontId="3" fillId="0" borderId="23" xfId="0" applyNumberFormat="1" applyFont="1" applyBorder="1" applyAlignment="1">
      <alignment horizontal="center" vertical="center"/>
    </xf>
    <xf numFmtId="0" fontId="4" fillId="0" borderId="23" xfId="0" applyFont="1" applyBorder="1" applyAlignment="1">
      <alignment horizontal="left" vertical="center" wrapText="1"/>
    </xf>
    <xf numFmtId="0" fontId="12" fillId="0" borderId="0" xfId="0" applyFont="1"/>
    <xf numFmtId="0" fontId="13" fillId="0" borderId="5" xfId="0" applyFont="1" applyBorder="1" applyAlignment="1">
      <alignment horizontal="center" vertical="center" wrapText="1"/>
    </xf>
    <xf numFmtId="0" fontId="12" fillId="0" borderId="5" xfId="0" applyFont="1" applyBorder="1" applyAlignment="1">
      <alignment horizontal="center" vertical="center"/>
    </xf>
    <xf numFmtId="0" fontId="13" fillId="6" borderId="5" xfId="0" applyFont="1" applyFill="1" applyBorder="1" applyAlignment="1">
      <alignment horizontal="center" vertical="center"/>
    </xf>
    <xf numFmtId="1" fontId="13" fillId="11" borderId="5" xfId="0" applyNumberFormat="1" applyFont="1" applyFill="1" applyBorder="1" applyAlignment="1">
      <alignment horizontal="center" vertical="center"/>
    </xf>
    <xf numFmtId="1" fontId="13" fillId="10" borderId="5" xfId="0" applyNumberFormat="1" applyFont="1" applyFill="1" applyBorder="1" applyAlignment="1">
      <alignment horizontal="center" vertical="center"/>
    </xf>
    <xf numFmtId="1" fontId="13" fillId="9" borderId="5" xfId="0" applyNumberFormat="1" applyFont="1" applyFill="1" applyBorder="1" applyAlignment="1">
      <alignment horizontal="center" vertical="center"/>
    </xf>
    <xf numFmtId="1" fontId="13" fillId="7" borderId="5" xfId="0" applyNumberFormat="1" applyFont="1" applyFill="1" applyBorder="1" applyAlignment="1">
      <alignment horizontal="center" vertical="center"/>
    </xf>
    <xf numFmtId="0" fontId="13" fillId="0" borderId="0" xfId="0" applyFont="1" applyAlignment="1">
      <alignment horizontal="center"/>
    </xf>
    <xf numFmtId="9" fontId="13" fillId="11" borderId="5" xfId="2" applyFont="1" applyFill="1" applyBorder="1" applyAlignment="1">
      <alignment horizontal="center" vertical="center"/>
    </xf>
    <xf numFmtId="9" fontId="13" fillId="10" borderId="5" xfId="2" applyFont="1" applyFill="1" applyBorder="1" applyAlignment="1">
      <alignment horizontal="center" vertical="center"/>
    </xf>
    <xf numFmtId="9" fontId="13" fillId="9" borderId="5" xfId="2" applyFont="1" applyFill="1" applyBorder="1" applyAlignment="1">
      <alignment horizontal="center" vertical="center"/>
    </xf>
    <xf numFmtId="9" fontId="13" fillId="7" borderId="5" xfId="2" applyFont="1" applyFill="1" applyBorder="1" applyAlignment="1">
      <alignment horizontal="center" vertical="center"/>
    </xf>
    <xf numFmtId="9" fontId="13" fillId="0" borderId="0" xfId="0" applyNumberFormat="1" applyFont="1" applyAlignment="1">
      <alignment horizontal="center"/>
    </xf>
    <xf numFmtId="0" fontId="13" fillId="0" borderId="0" xfId="0" applyFont="1"/>
    <xf numFmtId="0" fontId="4" fillId="0" borderId="23" xfId="0" applyFont="1" applyBorder="1" applyAlignment="1">
      <alignment horizontal="center" vertical="center" wrapText="1"/>
    </xf>
    <xf numFmtId="1" fontId="4" fillId="0" borderId="24" xfId="0" applyNumberFormat="1" applyFont="1" applyBorder="1" applyAlignment="1">
      <alignment horizontal="center" vertical="center"/>
    </xf>
    <xf numFmtId="0" fontId="6" fillId="0" borderId="5" xfId="0" applyFont="1" applyBorder="1" applyAlignment="1">
      <alignment horizontal="center" vertical="center"/>
    </xf>
    <xf numFmtId="0" fontId="3" fillId="0" borderId="5" xfId="0" applyFont="1" applyBorder="1" applyAlignment="1">
      <alignment vertical="center"/>
    </xf>
    <xf numFmtId="164" fontId="9" fillId="0" borderId="5" xfId="0" applyNumberFormat="1" applyFont="1" applyBorder="1" applyAlignment="1">
      <alignment horizontal="center" vertical="center"/>
    </xf>
    <xf numFmtId="0" fontId="3" fillId="5" borderId="21" xfId="0" applyFont="1" applyFill="1" applyBorder="1" applyAlignment="1">
      <alignment horizontal="center" vertical="center"/>
    </xf>
    <xf numFmtId="0" fontId="6" fillId="0" borderId="5" xfId="0" applyFont="1" applyBorder="1" applyAlignment="1">
      <alignment horizontal="center" vertical="center" wrapText="1"/>
    </xf>
    <xf numFmtId="0" fontId="7" fillId="22" borderId="5" xfId="0" applyFont="1" applyFill="1" applyBorder="1" applyAlignment="1">
      <alignment horizontal="center" vertical="center"/>
    </xf>
    <xf numFmtId="0" fontId="7" fillId="23" borderId="5" xfId="0" applyFont="1" applyFill="1" applyBorder="1" applyAlignment="1">
      <alignment horizontal="center" vertical="center"/>
    </xf>
    <xf numFmtId="0" fontId="7" fillId="21" borderId="5" xfId="0" applyFont="1" applyFill="1" applyBorder="1" applyAlignment="1">
      <alignment horizontal="center" vertical="center"/>
    </xf>
    <xf numFmtId="0" fontId="4" fillId="22" borderId="5" xfId="0" applyFont="1" applyFill="1" applyBorder="1" applyAlignment="1">
      <alignment horizontal="center" vertical="center"/>
    </xf>
    <xf numFmtId="0" fontId="15" fillId="0" borderId="5" xfId="0" applyFont="1" applyBorder="1" applyAlignment="1">
      <alignment horizontal="center" vertical="center"/>
    </xf>
    <xf numFmtId="9" fontId="15" fillId="0" borderId="5" xfId="0" applyNumberFormat="1" applyFont="1" applyBorder="1" applyAlignment="1">
      <alignment horizontal="center" vertical="center"/>
    </xf>
    <xf numFmtId="0" fontId="7" fillId="0" borderId="5" xfId="0" applyFont="1" applyBorder="1" applyAlignment="1">
      <alignment vertical="center"/>
    </xf>
    <xf numFmtId="0" fontId="7" fillId="0" borderId="5" xfId="0" applyFont="1" applyBorder="1" applyAlignment="1">
      <alignment vertical="center" wrapText="1"/>
    </xf>
    <xf numFmtId="0" fontId="7" fillId="0" borderId="21" xfId="0" applyFont="1" applyBorder="1" applyAlignment="1">
      <alignment vertical="center" wrapText="1"/>
    </xf>
    <xf numFmtId="0" fontId="7" fillId="0" borderId="21" xfId="0" applyFont="1" applyBorder="1" applyAlignment="1">
      <alignment vertical="center"/>
    </xf>
    <xf numFmtId="0" fontId="6" fillId="0" borderId="5" xfId="0" applyFont="1" applyBorder="1" applyAlignment="1">
      <alignment vertical="center"/>
    </xf>
    <xf numFmtId="0" fontId="6" fillId="0" borderId="21" xfId="0" applyFont="1" applyBorder="1" applyAlignment="1">
      <alignment horizontal="center" vertical="center"/>
    </xf>
    <xf numFmtId="9" fontId="13" fillId="6" borderId="5" xfId="2" applyFont="1" applyFill="1" applyBorder="1" applyAlignment="1">
      <alignment horizontal="center" vertical="center"/>
    </xf>
    <xf numFmtId="1" fontId="16" fillId="11" borderId="5" xfId="0" applyNumberFormat="1" applyFont="1" applyFill="1" applyBorder="1" applyAlignment="1">
      <alignment horizontal="center" vertical="center"/>
    </xf>
    <xf numFmtId="1" fontId="16" fillId="7" borderId="5" xfId="0" applyNumberFormat="1" applyFont="1" applyFill="1" applyBorder="1" applyAlignment="1">
      <alignment horizontal="center" vertical="center"/>
    </xf>
    <xf numFmtId="1" fontId="16" fillId="9" borderId="5" xfId="0" applyNumberFormat="1" applyFont="1" applyFill="1" applyBorder="1" applyAlignment="1">
      <alignment horizontal="center" vertical="center"/>
    </xf>
    <xf numFmtId="1" fontId="16" fillId="10" borderId="5" xfId="0" applyNumberFormat="1" applyFont="1" applyFill="1" applyBorder="1" applyAlignment="1">
      <alignment horizontal="center" vertical="center"/>
    </xf>
    <xf numFmtId="0" fontId="17" fillId="6" borderId="5" xfId="0" applyFont="1" applyFill="1" applyBorder="1" applyAlignment="1">
      <alignment horizontal="center" vertical="center"/>
    </xf>
    <xf numFmtId="0" fontId="18" fillId="25" borderId="24" xfId="0" applyFont="1" applyFill="1" applyBorder="1"/>
    <xf numFmtId="0" fontId="18" fillId="24" borderId="24" xfId="0" applyFont="1" applyFill="1" applyBorder="1"/>
    <xf numFmtId="0" fontId="18" fillId="26" borderId="24" xfId="0" applyFont="1" applyFill="1" applyBorder="1"/>
    <xf numFmtId="0" fontId="18" fillId="26" borderId="5" xfId="0" applyFont="1" applyFill="1" applyBorder="1"/>
    <xf numFmtId="0" fontId="19" fillId="27" borderId="24" xfId="0" applyFont="1" applyFill="1" applyBorder="1"/>
    <xf numFmtId="0" fontId="20" fillId="0" borderId="27" xfId="0" applyFont="1" applyBorder="1"/>
    <xf numFmtId="0" fontId="21" fillId="0" borderId="5" xfId="0" applyFont="1" applyBorder="1" applyAlignment="1">
      <alignment horizontal="center" vertical="center"/>
    </xf>
    <xf numFmtId="0" fontId="6" fillId="0" borderId="5" xfId="0" applyFont="1" applyBorder="1" applyAlignment="1">
      <alignment horizontal="center" vertical="center"/>
    </xf>
    <xf numFmtId="9" fontId="6" fillId="20" borderId="21" xfId="0" applyNumberFormat="1" applyFont="1" applyFill="1" applyBorder="1" applyAlignment="1">
      <alignment horizontal="center" vertical="center"/>
    </xf>
    <xf numFmtId="9" fontId="6" fillId="20" borderId="22" xfId="0" applyNumberFormat="1" applyFont="1" applyFill="1" applyBorder="1" applyAlignment="1">
      <alignment horizontal="center" vertical="center"/>
    </xf>
    <xf numFmtId="0" fontId="6" fillId="20" borderId="22" xfId="0" applyFont="1" applyFill="1" applyBorder="1" applyAlignment="1">
      <alignment horizontal="center" vertical="center"/>
    </xf>
    <xf numFmtId="0" fontId="6" fillId="20" borderId="6" xfId="0" applyFont="1" applyFill="1" applyBorder="1" applyAlignment="1">
      <alignment horizontal="center" vertical="center"/>
    </xf>
    <xf numFmtId="0" fontId="6" fillId="13" borderId="5" xfId="0" applyFont="1" applyFill="1" applyBorder="1" applyAlignment="1">
      <alignment horizontal="center" vertical="center"/>
    </xf>
    <xf numFmtId="9" fontId="6" fillId="0" borderId="21" xfId="0" applyNumberFormat="1" applyFont="1" applyBorder="1" applyAlignment="1">
      <alignment horizontal="center" vertical="center"/>
    </xf>
    <xf numFmtId="9" fontId="6" fillId="0" borderId="22" xfId="0" applyNumberFormat="1" applyFont="1" applyBorder="1" applyAlignment="1">
      <alignment horizontal="center" vertical="center"/>
    </xf>
    <xf numFmtId="0" fontId="6" fillId="0" borderId="22" xfId="0" applyFont="1" applyBorder="1" applyAlignment="1">
      <alignment horizontal="center" vertical="center"/>
    </xf>
    <xf numFmtId="0" fontId="6" fillId="0" borderId="6" xfId="0" applyFont="1" applyBorder="1" applyAlignment="1">
      <alignment horizontal="center" vertical="center"/>
    </xf>
    <xf numFmtId="0" fontId="3" fillId="5" borderId="5" xfId="0" applyFont="1" applyFill="1" applyBorder="1" applyAlignment="1">
      <alignment horizontal="center" vertical="center" wrapText="1"/>
    </xf>
    <xf numFmtId="0" fontId="5" fillId="13" borderId="5" xfId="1" applyFont="1" applyFill="1" applyBorder="1" applyAlignment="1">
      <alignment horizontal="center" vertical="center"/>
    </xf>
    <xf numFmtId="0" fontId="6" fillId="13" borderId="21" xfId="0" applyFont="1" applyFill="1" applyBorder="1" applyAlignment="1">
      <alignment horizontal="center" vertical="center"/>
    </xf>
    <xf numFmtId="0" fontId="6" fillId="13" borderId="22" xfId="0" applyFont="1" applyFill="1" applyBorder="1" applyAlignment="1">
      <alignment horizontal="center" vertical="center"/>
    </xf>
    <xf numFmtId="0" fontId="6" fillId="13" borderId="6" xfId="0" applyFont="1" applyFill="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4" xfId="0" applyFont="1" applyBorder="1" applyAlignment="1">
      <alignment horizontal="center" vertical="center"/>
    </xf>
    <xf numFmtId="0" fontId="15" fillId="0" borderId="5" xfId="0" applyFont="1" applyBorder="1" applyAlignment="1">
      <alignment horizontal="center" vertical="center"/>
    </xf>
    <xf numFmtId="0" fontId="13" fillId="0" borderId="5" xfId="0" applyFont="1" applyBorder="1" applyAlignment="1">
      <alignment horizontal="center" vertical="center"/>
    </xf>
    <xf numFmtId="9" fontId="13" fillId="20" borderId="21" xfId="2" applyFont="1" applyFill="1" applyBorder="1" applyAlignment="1">
      <alignment horizontal="center" vertical="center"/>
    </xf>
    <xf numFmtId="9" fontId="13" fillId="20" borderId="22" xfId="2" applyFont="1" applyFill="1" applyBorder="1" applyAlignment="1">
      <alignment horizontal="center" vertical="center"/>
    </xf>
    <xf numFmtId="9" fontId="13" fillId="20" borderId="6" xfId="2" applyFont="1" applyFill="1" applyBorder="1" applyAlignment="1">
      <alignment horizontal="center" vertical="center"/>
    </xf>
    <xf numFmtId="9" fontId="13" fillId="0" borderId="21" xfId="2" applyFont="1" applyBorder="1" applyAlignment="1">
      <alignment horizontal="center" vertical="center"/>
    </xf>
    <xf numFmtId="9" fontId="13" fillId="0" borderId="22" xfId="2" applyFont="1" applyBorder="1" applyAlignment="1">
      <alignment horizontal="center" vertical="center"/>
    </xf>
    <xf numFmtId="9" fontId="13" fillId="0" borderId="6" xfId="2" applyFont="1" applyBorder="1" applyAlignment="1">
      <alignment horizontal="center" vertical="center"/>
    </xf>
    <xf numFmtId="0" fontId="5" fillId="0" borderId="0" xfId="0" applyFont="1" applyAlignment="1">
      <alignment horizontal="left" vertical="center" wrapText="1"/>
    </xf>
    <xf numFmtId="9" fontId="6" fillId="19" borderId="21" xfId="0" applyNumberFormat="1" applyFont="1" applyFill="1" applyBorder="1" applyAlignment="1">
      <alignment horizontal="center" vertical="center"/>
    </xf>
    <xf numFmtId="0" fontId="6" fillId="19" borderId="22" xfId="0" applyFont="1" applyFill="1" applyBorder="1" applyAlignment="1">
      <alignment horizontal="center" vertical="center"/>
    </xf>
    <xf numFmtId="0" fontId="6" fillId="19" borderId="6" xfId="0" applyFont="1" applyFill="1" applyBorder="1" applyAlignment="1">
      <alignment horizontal="center" vertical="center"/>
    </xf>
    <xf numFmtId="0" fontId="7" fillId="12" borderId="12" xfId="0" applyFont="1" applyFill="1" applyBorder="1" applyAlignment="1">
      <alignment horizontal="center" vertical="center"/>
    </xf>
    <xf numFmtId="0" fontId="7" fillId="12" borderId="13" xfId="0" applyFont="1" applyFill="1" applyBorder="1" applyAlignment="1">
      <alignment horizontal="center" vertical="center"/>
    </xf>
    <xf numFmtId="0" fontId="7" fillId="12" borderId="14" xfId="0" applyFont="1" applyFill="1" applyBorder="1" applyAlignment="1">
      <alignment horizontal="center" vertical="center"/>
    </xf>
    <xf numFmtId="0" fontId="3" fillId="0" borderId="0" xfId="0" applyFont="1" applyAlignment="1">
      <alignment horizontal="left" vertical="center"/>
    </xf>
    <xf numFmtId="0" fontId="8" fillId="2" borderId="1" xfId="1" applyFont="1" applyFill="1" applyBorder="1" applyAlignment="1">
      <alignment horizontal="center"/>
    </xf>
    <xf numFmtId="0" fontId="8" fillId="2" borderId="2" xfId="1" applyFont="1" applyFill="1" applyBorder="1" applyAlignment="1">
      <alignment horizontal="center"/>
    </xf>
    <xf numFmtId="0" fontId="8" fillId="2" borderId="3" xfId="1" applyFont="1" applyFill="1" applyBorder="1" applyAlignment="1">
      <alignment horizontal="center"/>
    </xf>
    <xf numFmtId="0" fontId="5" fillId="13" borderId="4" xfId="1" applyFont="1" applyFill="1" applyBorder="1" applyAlignment="1">
      <alignment horizontal="center" vertical="center"/>
    </xf>
    <xf numFmtId="0" fontId="6" fillId="13" borderId="7" xfId="0" applyFont="1" applyFill="1" applyBorder="1" applyAlignment="1">
      <alignment horizontal="center" vertical="center"/>
    </xf>
    <xf numFmtId="0" fontId="7" fillId="4" borderId="4" xfId="0" applyFont="1" applyFill="1" applyBorder="1" applyAlignment="1">
      <alignment horizontal="center" vertical="center"/>
    </xf>
    <xf numFmtId="9" fontId="6" fillId="19" borderId="22" xfId="0" applyNumberFormat="1" applyFont="1" applyFill="1" applyBorder="1" applyAlignment="1">
      <alignment horizontal="center" vertical="center"/>
    </xf>
    <xf numFmtId="0" fontId="7" fillId="0" borderId="5" xfId="0" applyFont="1" applyBorder="1" applyAlignment="1">
      <alignment horizontal="center" vertical="center"/>
    </xf>
    <xf numFmtId="0" fontId="7" fillId="12" borderId="25" xfId="0" applyFont="1" applyFill="1" applyBorder="1" applyAlignment="1">
      <alignment horizontal="center" vertical="center"/>
    </xf>
    <xf numFmtId="0" fontId="7" fillId="12" borderId="26" xfId="0" applyFont="1" applyFill="1" applyBorder="1" applyAlignment="1">
      <alignment horizontal="center" vertical="center"/>
    </xf>
    <xf numFmtId="0" fontId="7" fillId="12" borderId="24" xfId="0" applyFont="1" applyFill="1" applyBorder="1" applyAlignment="1">
      <alignment horizontal="center" vertical="center"/>
    </xf>
    <xf numFmtId="0" fontId="5" fillId="13" borderId="15" xfId="1" applyFont="1" applyFill="1" applyBorder="1" applyAlignment="1">
      <alignment horizontal="center" vertical="center"/>
    </xf>
    <xf numFmtId="0" fontId="5" fillId="13" borderId="16" xfId="1" applyFont="1" applyFill="1" applyBorder="1" applyAlignment="1">
      <alignment horizontal="center" vertical="center"/>
    </xf>
    <xf numFmtId="0" fontId="5" fillId="13" borderId="17" xfId="1" applyFont="1" applyFill="1" applyBorder="1" applyAlignment="1">
      <alignment horizontal="center" vertical="center"/>
    </xf>
    <xf numFmtId="0" fontId="5" fillId="13" borderId="18" xfId="1" applyFont="1" applyFill="1" applyBorder="1" applyAlignment="1">
      <alignment horizontal="center" vertical="center"/>
    </xf>
    <xf numFmtId="0" fontId="5" fillId="13" borderId="19" xfId="1" applyFont="1" applyFill="1" applyBorder="1" applyAlignment="1">
      <alignment horizontal="center" vertical="center"/>
    </xf>
    <xf numFmtId="0" fontId="7" fillId="14" borderId="12" xfId="0" applyFont="1" applyFill="1" applyBorder="1" applyAlignment="1">
      <alignment horizontal="center" vertical="center"/>
    </xf>
    <xf numFmtId="0" fontId="7" fillId="14" borderId="13" xfId="0" applyFont="1" applyFill="1" applyBorder="1" applyAlignment="1">
      <alignment horizontal="center" vertical="center"/>
    </xf>
    <xf numFmtId="0" fontId="7" fillId="14" borderId="14" xfId="0" applyFont="1" applyFill="1" applyBorder="1" applyAlignment="1">
      <alignment horizontal="center" vertical="center"/>
    </xf>
    <xf numFmtId="0" fontId="7" fillId="0" borderId="5"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6" xfId="0" applyFont="1" applyBorder="1" applyAlignment="1">
      <alignment horizontal="center" vertical="center" wrapText="1"/>
    </xf>
    <xf numFmtId="0" fontId="7" fillId="0" borderId="24" xfId="0" applyFont="1" applyBorder="1" applyAlignment="1">
      <alignment horizontal="center" vertical="center" wrapText="1"/>
    </xf>
    <xf numFmtId="0" fontId="3" fillId="5" borderId="12" xfId="0" applyFont="1" applyFill="1" applyBorder="1" applyAlignment="1">
      <alignment horizontal="center" vertical="center" wrapText="1"/>
    </xf>
    <xf numFmtId="0" fontId="3" fillId="5" borderId="13" xfId="0" applyFont="1" applyFill="1" applyBorder="1" applyAlignment="1">
      <alignment horizontal="center" vertical="center" wrapText="1"/>
    </xf>
    <xf numFmtId="0" fontId="3" fillId="5" borderId="14" xfId="0" applyFont="1" applyFill="1" applyBorder="1" applyAlignment="1">
      <alignment horizontal="center" vertical="center" wrapText="1"/>
    </xf>
    <xf numFmtId="0" fontId="5" fillId="13" borderId="1" xfId="1" applyFont="1" applyFill="1" applyBorder="1" applyAlignment="1">
      <alignment horizontal="center" vertical="center"/>
    </xf>
    <xf numFmtId="0" fontId="5" fillId="13" borderId="2" xfId="1" applyFont="1" applyFill="1" applyBorder="1" applyAlignment="1">
      <alignment horizontal="center" vertical="center"/>
    </xf>
  </cellXfs>
  <cellStyles count="3">
    <cellStyle name="Normal" xfId="0" builtinId="0"/>
    <cellStyle name="Normal 2" xfId="1" xr:uid="{F41D3116-3AFA-4319-9839-52E3050C3BA6}"/>
    <cellStyle name="Percent" xfId="2" builtinId="5"/>
  </cellStyles>
  <dxfs count="84">
    <dxf>
      <fill>
        <patternFill>
          <bgColor rgb="FFEE0000"/>
        </patternFill>
      </fill>
    </dxf>
    <dxf>
      <fill>
        <patternFill>
          <bgColor rgb="FFFFFF99"/>
        </patternFill>
      </fill>
    </dxf>
    <dxf>
      <fill>
        <patternFill>
          <bgColor rgb="FF92D050"/>
        </patternFill>
      </fill>
    </dxf>
    <dxf>
      <fill>
        <patternFill>
          <bgColor rgb="FF00B050"/>
        </patternFill>
      </fill>
    </dxf>
    <dxf>
      <fill>
        <patternFill>
          <bgColor theme="3" tint="0.749961851863155"/>
        </patternFill>
      </fill>
    </dxf>
    <dxf>
      <fill>
        <patternFill>
          <bgColor rgb="FF0070C0"/>
        </patternFill>
      </fill>
    </dxf>
    <dxf>
      <fill>
        <patternFill>
          <bgColor rgb="FFEE0000"/>
        </patternFill>
      </fill>
    </dxf>
    <dxf>
      <fill>
        <patternFill>
          <bgColor rgb="FFFFFF99"/>
        </patternFill>
      </fill>
    </dxf>
    <dxf>
      <fill>
        <patternFill>
          <bgColor rgb="FF92D050"/>
        </patternFill>
      </fill>
    </dxf>
    <dxf>
      <fill>
        <patternFill>
          <bgColor rgb="FF00B050"/>
        </patternFill>
      </fill>
    </dxf>
    <dxf>
      <fill>
        <patternFill>
          <bgColor theme="3" tint="0.749961851863155"/>
        </patternFill>
      </fill>
    </dxf>
    <dxf>
      <fill>
        <patternFill>
          <bgColor rgb="FF0070C0"/>
        </patternFill>
      </fill>
    </dxf>
    <dxf>
      <fill>
        <patternFill>
          <bgColor rgb="FFEE0000"/>
        </patternFill>
      </fill>
    </dxf>
    <dxf>
      <fill>
        <patternFill>
          <bgColor rgb="FFFFFF99"/>
        </patternFill>
      </fill>
    </dxf>
    <dxf>
      <fill>
        <patternFill>
          <bgColor rgb="FF92D050"/>
        </patternFill>
      </fill>
    </dxf>
    <dxf>
      <fill>
        <patternFill>
          <bgColor rgb="FF00B050"/>
        </patternFill>
      </fill>
    </dxf>
    <dxf>
      <fill>
        <patternFill>
          <bgColor theme="3" tint="0.749961851863155"/>
        </patternFill>
      </fill>
    </dxf>
    <dxf>
      <fill>
        <patternFill>
          <bgColor rgb="FF0070C0"/>
        </patternFill>
      </fill>
    </dxf>
    <dxf>
      <fill>
        <patternFill>
          <bgColor rgb="FFEE0000"/>
        </patternFill>
      </fill>
    </dxf>
    <dxf>
      <fill>
        <patternFill>
          <bgColor rgb="FFFFFF99"/>
        </patternFill>
      </fill>
    </dxf>
    <dxf>
      <fill>
        <patternFill>
          <bgColor rgb="FF92D050"/>
        </patternFill>
      </fill>
    </dxf>
    <dxf>
      <fill>
        <patternFill>
          <bgColor rgb="FF00B050"/>
        </patternFill>
      </fill>
    </dxf>
    <dxf>
      <fill>
        <patternFill>
          <bgColor theme="3" tint="0.749961851863155"/>
        </patternFill>
      </fill>
    </dxf>
    <dxf>
      <fill>
        <patternFill>
          <bgColor rgb="FF0070C0"/>
        </patternFill>
      </fill>
    </dxf>
    <dxf>
      <fill>
        <patternFill>
          <bgColor rgb="FFEE0000"/>
        </patternFill>
      </fill>
    </dxf>
    <dxf>
      <fill>
        <patternFill>
          <bgColor rgb="FFFFFF99"/>
        </patternFill>
      </fill>
    </dxf>
    <dxf>
      <fill>
        <patternFill>
          <bgColor rgb="FF92D050"/>
        </patternFill>
      </fill>
    </dxf>
    <dxf>
      <fill>
        <patternFill>
          <bgColor rgb="FF00B050"/>
        </patternFill>
      </fill>
    </dxf>
    <dxf>
      <fill>
        <patternFill>
          <bgColor theme="3" tint="0.749961851863155"/>
        </patternFill>
      </fill>
    </dxf>
    <dxf>
      <fill>
        <patternFill>
          <bgColor rgb="FF0070C0"/>
        </patternFill>
      </fill>
    </dxf>
    <dxf>
      <fill>
        <patternFill>
          <bgColor rgb="FFEE0000"/>
        </patternFill>
      </fill>
    </dxf>
    <dxf>
      <fill>
        <patternFill>
          <bgColor rgb="FFFFFF99"/>
        </patternFill>
      </fill>
    </dxf>
    <dxf>
      <fill>
        <patternFill>
          <bgColor rgb="FF92D050"/>
        </patternFill>
      </fill>
    </dxf>
    <dxf>
      <fill>
        <patternFill>
          <bgColor rgb="FF00B050"/>
        </patternFill>
      </fill>
    </dxf>
    <dxf>
      <fill>
        <patternFill>
          <bgColor theme="3" tint="0.749961851863155"/>
        </patternFill>
      </fill>
    </dxf>
    <dxf>
      <fill>
        <patternFill>
          <bgColor rgb="FF0070C0"/>
        </patternFill>
      </fill>
    </dxf>
    <dxf>
      <fill>
        <patternFill>
          <bgColor rgb="FFEE0000"/>
        </patternFill>
      </fill>
    </dxf>
    <dxf>
      <fill>
        <patternFill>
          <bgColor rgb="FFFFFF99"/>
        </patternFill>
      </fill>
    </dxf>
    <dxf>
      <fill>
        <patternFill>
          <bgColor rgb="FF92D050"/>
        </patternFill>
      </fill>
    </dxf>
    <dxf>
      <fill>
        <patternFill>
          <bgColor rgb="FF00B050"/>
        </patternFill>
      </fill>
    </dxf>
    <dxf>
      <fill>
        <patternFill>
          <bgColor theme="3" tint="0.749961851863155"/>
        </patternFill>
      </fill>
    </dxf>
    <dxf>
      <fill>
        <patternFill>
          <bgColor rgb="FF0070C0"/>
        </patternFill>
      </fill>
    </dxf>
    <dxf>
      <fill>
        <patternFill>
          <bgColor rgb="FFEE0000"/>
        </patternFill>
      </fill>
    </dxf>
    <dxf>
      <fill>
        <patternFill>
          <bgColor rgb="FFFFFF99"/>
        </patternFill>
      </fill>
    </dxf>
    <dxf>
      <fill>
        <patternFill>
          <bgColor rgb="FF92D050"/>
        </patternFill>
      </fill>
    </dxf>
    <dxf>
      <fill>
        <patternFill>
          <bgColor rgb="FF00B050"/>
        </patternFill>
      </fill>
    </dxf>
    <dxf>
      <fill>
        <patternFill>
          <bgColor theme="3" tint="0.749961851863155"/>
        </patternFill>
      </fill>
    </dxf>
    <dxf>
      <fill>
        <patternFill>
          <bgColor rgb="FF0070C0"/>
        </patternFill>
      </fill>
    </dxf>
    <dxf>
      <fill>
        <patternFill>
          <bgColor rgb="FFFFFF99"/>
        </patternFill>
      </fill>
    </dxf>
    <dxf>
      <fill>
        <patternFill>
          <bgColor rgb="FF92D050"/>
        </patternFill>
      </fill>
    </dxf>
    <dxf>
      <fill>
        <patternFill>
          <bgColor rgb="FF00B050"/>
        </patternFill>
      </fill>
    </dxf>
    <dxf>
      <fill>
        <patternFill>
          <bgColor theme="3" tint="0.749961851863155"/>
        </patternFill>
      </fill>
    </dxf>
    <dxf>
      <fill>
        <patternFill>
          <bgColor rgb="FF0070C0"/>
        </patternFill>
      </fill>
    </dxf>
    <dxf>
      <fill>
        <patternFill>
          <bgColor rgb="FFEE0000"/>
        </patternFill>
      </fill>
    </dxf>
    <dxf>
      <fill>
        <patternFill>
          <bgColor rgb="FFFFFF99"/>
        </patternFill>
      </fill>
    </dxf>
    <dxf>
      <fill>
        <patternFill>
          <bgColor rgb="FF92D050"/>
        </patternFill>
      </fill>
    </dxf>
    <dxf>
      <fill>
        <patternFill>
          <bgColor rgb="FF00B050"/>
        </patternFill>
      </fill>
    </dxf>
    <dxf>
      <fill>
        <patternFill>
          <bgColor theme="3" tint="0.749961851863155"/>
        </patternFill>
      </fill>
    </dxf>
    <dxf>
      <fill>
        <patternFill>
          <bgColor rgb="FF0070C0"/>
        </patternFill>
      </fill>
    </dxf>
    <dxf>
      <fill>
        <patternFill>
          <bgColor rgb="FFEE0000"/>
        </patternFill>
      </fill>
    </dxf>
    <dxf>
      <fill>
        <patternFill>
          <bgColor rgb="FFFFFF99"/>
        </patternFill>
      </fill>
    </dxf>
    <dxf>
      <fill>
        <patternFill>
          <bgColor rgb="FF92D050"/>
        </patternFill>
      </fill>
    </dxf>
    <dxf>
      <fill>
        <patternFill>
          <bgColor rgb="FF00B050"/>
        </patternFill>
      </fill>
    </dxf>
    <dxf>
      <fill>
        <patternFill>
          <bgColor theme="3" tint="0.749961851863155"/>
        </patternFill>
      </fill>
    </dxf>
    <dxf>
      <fill>
        <patternFill>
          <bgColor rgb="FF0070C0"/>
        </patternFill>
      </fill>
    </dxf>
    <dxf>
      <fill>
        <patternFill>
          <bgColor rgb="FFEE0000"/>
        </patternFill>
      </fill>
    </dxf>
    <dxf>
      <fill>
        <patternFill>
          <bgColor rgb="FFFFFF99"/>
        </patternFill>
      </fill>
    </dxf>
    <dxf>
      <fill>
        <patternFill>
          <bgColor rgb="FF92D050"/>
        </patternFill>
      </fill>
    </dxf>
    <dxf>
      <fill>
        <patternFill>
          <bgColor rgb="FF00B050"/>
        </patternFill>
      </fill>
    </dxf>
    <dxf>
      <fill>
        <patternFill>
          <bgColor theme="3" tint="0.749961851863155"/>
        </patternFill>
      </fill>
    </dxf>
    <dxf>
      <fill>
        <patternFill>
          <bgColor rgb="FF0070C0"/>
        </patternFill>
      </fill>
    </dxf>
    <dxf>
      <fill>
        <patternFill>
          <bgColor rgb="FFEE0000"/>
        </patternFill>
      </fill>
    </dxf>
    <dxf>
      <fill>
        <patternFill>
          <bgColor rgb="FFFFFF99"/>
        </patternFill>
      </fill>
    </dxf>
    <dxf>
      <fill>
        <patternFill>
          <bgColor rgb="FF92D050"/>
        </patternFill>
      </fill>
    </dxf>
    <dxf>
      <fill>
        <patternFill>
          <bgColor rgb="FF00B050"/>
        </patternFill>
      </fill>
    </dxf>
    <dxf>
      <fill>
        <patternFill>
          <bgColor theme="3" tint="0.749961851863155"/>
        </patternFill>
      </fill>
    </dxf>
    <dxf>
      <fill>
        <patternFill>
          <bgColor rgb="FF0070C0"/>
        </patternFill>
      </fill>
    </dxf>
    <dxf>
      <fill>
        <patternFill>
          <bgColor rgb="FFEE0000"/>
        </patternFill>
      </fill>
    </dxf>
    <dxf>
      <fill>
        <patternFill>
          <bgColor rgb="FFFFFF99"/>
        </patternFill>
      </fill>
    </dxf>
    <dxf>
      <fill>
        <patternFill>
          <bgColor rgb="FF92D050"/>
        </patternFill>
      </fill>
    </dxf>
    <dxf>
      <fill>
        <patternFill>
          <bgColor rgb="FF00B050"/>
        </patternFill>
      </fill>
    </dxf>
    <dxf>
      <fill>
        <patternFill>
          <bgColor theme="3" tint="0.749961851863155"/>
        </patternFill>
      </fill>
    </dxf>
    <dxf>
      <fill>
        <patternFill>
          <bgColor rgb="FF0070C0"/>
        </patternFill>
      </fill>
    </dxf>
    <dxf>
      <fill>
        <patternFill>
          <bgColor rgb="FFEE0000"/>
        </patternFill>
      </fill>
    </dxf>
  </dxfs>
  <tableStyles count="0" defaultTableStyle="TableStyleMedium2" defaultPivotStyle="PivotStyleLight16"/>
  <colors>
    <mruColors>
      <color rgb="FF00FF00"/>
      <color rgb="FFFFFF99"/>
      <color rgb="FFFFCC66"/>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987085804505796"/>
          <c:y val="3.1691155286660902E-2"/>
          <c:w val="0.81521972349857297"/>
          <c:h val="0.80107187336241559"/>
        </c:manualLayout>
      </c:layout>
      <c:barChart>
        <c:barDir val="col"/>
        <c:grouping val="percentStacked"/>
        <c:varyColors val="0"/>
        <c:ser>
          <c:idx val="0"/>
          <c:order val="0"/>
          <c:tx>
            <c:strRef>
              <c:f>'STET_GB_2026 Competency Ratings'!$C$12</c:f>
              <c:strCache>
                <c:ptCount val="1"/>
                <c:pt idx="0">
                  <c:v>Master</c:v>
                </c:pt>
              </c:strCache>
            </c:strRef>
          </c:tx>
          <c:spPr>
            <a:solidFill>
              <a:srgbClr val="0070C0"/>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4-F714-4BC8-9C85-6F7027DD4476}"/>
                </c:ext>
              </c:extLst>
            </c:dLbl>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'STET_GB_2026 Competency Ratings'!$D$11:$I$11</c:f>
              <c:strCache>
                <c:ptCount val="6"/>
                <c:pt idx="0">
                  <c:v>2024
Baseline</c:v>
                </c:pt>
                <c:pt idx="1">
                  <c:v>2025
Baseline</c:v>
                </c:pt>
                <c:pt idx="2">
                  <c:v>H1'26
Target</c:v>
                </c:pt>
                <c:pt idx="3">
                  <c:v>H1'26
Actual</c:v>
                </c:pt>
                <c:pt idx="4">
                  <c:v>H2'26
Target</c:v>
                </c:pt>
                <c:pt idx="5">
                  <c:v>H2'26
Actual</c:v>
                </c:pt>
              </c:strCache>
            </c:strRef>
          </c:cat>
          <c:val>
            <c:numRef>
              <c:f>'STET_GB_2026 Competency Ratings'!$D$12:$I$12</c:f>
              <c:numCache>
                <c:formatCode>0%</c:formatCode>
                <c:ptCount val="6"/>
                <c:pt idx="0">
                  <c:v>0</c:v>
                </c:pt>
                <c:pt idx="1">
                  <c:v>6.1688311688311688E-2</c:v>
                </c:pt>
                <c:pt idx="2">
                  <c:v>2.9038112522686024E-2</c:v>
                </c:pt>
                <c:pt idx="3">
                  <c:v>0</c:v>
                </c:pt>
                <c:pt idx="4">
                  <c:v>3.6076662908680945E-2</c:v>
                </c:pt>
                <c:pt idx="5">
                  <c:v>0</c:v>
                </c:pt>
              </c:numCache>
            </c:numRef>
          </c:val>
          <c:extLst>
            <c:ext xmlns:c16="http://schemas.microsoft.com/office/drawing/2014/chart" uri="{C3380CC4-5D6E-409C-BE32-E72D297353CC}">
              <c16:uniqueId val="{00000000-8287-4422-9C82-EFA38F0CE51E}"/>
            </c:ext>
          </c:extLst>
        </c:ser>
        <c:ser>
          <c:idx val="1"/>
          <c:order val="1"/>
          <c:tx>
            <c:strRef>
              <c:f>'STET_GB_2026 Competency Ratings'!$C$13</c:f>
              <c:strCache>
                <c:ptCount val="1"/>
                <c:pt idx="0">
                  <c:v>Expert</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'STET_GB_2026 Competency Ratings'!$D$11:$I$11</c:f>
              <c:strCache>
                <c:ptCount val="6"/>
                <c:pt idx="0">
                  <c:v>2024
Baseline</c:v>
                </c:pt>
                <c:pt idx="1">
                  <c:v>2025
Baseline</c:v>
                </c:pt>
                <c:pt idx="2">
                  <c:v>H1'26
Target</c:v>
                </c:pt>
                <c:pt idx="3">
                  <c:v>H1'26
Actual</c:v>
                </c:pt>
                <c:pt idx="4">
                  <c:v>H2'26
Target</c:v>
                </c:pt>
                <c:pt idx="5">
                  <c:v>H2'26
Actual</c:v>
                </c:pt>
              </c:strCache>
            </c:strRef>
          </c:cat>
          <c:val>
            <c:numRef>
              <c:f>'STET_GB_2026 Competency Ratings'!$D$13:$I$13</c:f>
              <c:numCache>
                <c:formatCode>0%</c:formatCode>
                <c:ptCount val="6"/>
                <c:pt idx="0">
                  <c:v>0.13333333333333333</c:v>
                </c:pt>
                <c:pt idx="1">
                  <c:v>0.19480519480519481</c:v>
                </c:pt>
                <c:pt idx="2">
                  <c:v>0.19600725952813067</c:v>
                </c:pt>
                <c:pt idx="4">
                  <c:v>0.19729425028184894</c:v>
                </c:pt>
              </c:numCache>
            </c:numRef>
          </c:val>
          <c:extLst>
            <c:ext xmlns:c16="http://schemas.microsoft.com/office/drawing/2014/chart" uri="{C3380CC4-5D6E-409C-BE32-E72D297353CC}">
              <c16:uniqueId val="{00000001-8287-4422-9C82-EFA38F0CE51E}"/>
            </c:ext>
          </c:extLst>
        </c:ser>
        <c:ser>
          <c:idx val="2"/>
          <c:order val="2"/>
          <c:tx>
            <c:strRef>
              <c:f>'STET_GB_2026 Competency Ratings'!$C$14</c:f>
              <c:strCache>
                <c:ptCount val="1"/>
                <c:pt idx="0">
                  <c:v>Practitioner</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'STET_GB_2026 Competency Ratings'!$D$11:$I$11</c:f>
              <c:strCache>
                <c:ptCount val="6"/>
                <c:pt idx="0">
                  <c:v>2024
Baseline</c:v>
                </c:pt>
                <c:pt idx="1">
                  <c:v>2025
Baseline</c:v>
                </c:pt>
                <c:pt idx="2">
                  <c:v>H1'26
Target</c:v>
                </c:pt>
                <c:pt idx="3">
                  <c:v>H1'26
Actual</c:v>
                </c:pt>
                <c:pt idx="4">
                  <c:v>H2'26
Target</c:v>
                </c:pt>
                <c:pt idx="5">
                  <c:v>H2'26
Actual</c:v>
                </c:pt>
              </c:strCache>
            </c:strRef>
          </c:cat>
          <c:val>
            <c:numRef>
              <c:f>'STET_GB_2026 Competency Ratings'!$D$14:$I$14</c:f>
              <c:numCache>
                <c:formatCode>0%</c:formatCode>
                <c:ptCount val="6"/>
                <c:pt idx="0">
                  <c:v>0.43636363636363634</c:v>
                </c:pt>
                <c:pt idx="1">
                  <c:v>0.44805194805194803</c:v>
                </c:pt>
                <c:pt idx="2">
                  <c:v>0.44464609800362975</c:v>
                </c:pt>
                <c:pt idx="4">
                  <c:v>0.43968432919954903</c:v>
                </c:pt>
              </c:numCache>
            </c:numRef>
          </c:val>
          <c:extLst>
            <c:ext xmlns:c16="http://schemas.microsoft.com/office/drawing/2014/chart" uri="{C3380CC4-5D6E-409C-BE32-E72D297353CC}">
              <c16:uniqueId val="{00000002-8287-4422-9C82-EFA38F0CE51E}"/>
            </c:ext>
          </c:extLst>
        </c:ser>
        <c:ser>
          <c:idx val="3"/>
          <c:order val="3"/>
          <c:tx>
            <c:strRef>
              <c:f>'STET_GB_2026 Competency Ratings'!$C$15</c:f>
              <c:strCache>
                <c:ptCount val="1"/>
                <c:pt idx="0">
                  <c:v>Foundation</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'STET_GB_2026 Competency Ratings'!$D$11:$I$11</c:f>
              <c:strCache>
                <c:ptCount val="6"/>
                <c:pt idx="0">
                  <c:v>2024
Baseline</c:v>
                </c:pt>
                <c:pt idx="1">
                  <c:v>2025
Baseline</c:v>
                </c:pt>
                <c:pt idx="2">
                  <c:v>H1'26
Target</c:v>
                </c:pt>
                <c:pt idx="3">
                  <c:v>H1'26
Actual</c:v>
                </c:pt>
                <c:pt idx="4">
                  <c:v>H2'26
Target</c:v>
                </c:pt>
                <c:pt idx="5">
                  <c:v>H2'26
Actual</c:v>
                </c:pt>
              </c:strCache>
            </c:strRef>
          </c:cat>
          <c:val>
            <c:numRef>
              <c:f>'STET_GB_2026 Competency Ratings'!$D$15:$I$15</c:f>
              <c:numCache>
                <c:formatCode>0%</c:formatCode>
                <c:ptCount val="6"/>
                <c:pt idx="0">
                  <c:v>0.3</c:v>
                </c:pt>
                <c:pt idx="1">
                  <c:v>0.22564935064935066</c:v>
                </c:pt>
                <c:pt idx="2">
                  <c:v>0.31578947368421051</c:v>
                </c:pt>
                <c:pt idx="4">
                  <c:v>0.30665163472378804</c:v>
                </c:pt>
              </c:numCache>
            </c:numRef>
          </c:val>
          <c:extLst>
            <c:ext xmlns:c16="http://schemas.microsoft.com/office/drawing/2014/chart" uri="{C3380CC4-5D6E-409C-BE32-E72D297353CC}">
              <c16:uniqueId val="{00000003-8287-4422-9C82-EFA38F0CE51E}"/>
            </c:ext>
          </c:extLst>
        </c:ser>
        <c:ser>
          <c:idx val="4"/>
          <c:order val="4"/>
          <c:tx>
            <c:strRef>
              <c:f>'STET_GB_2026 Competency Ratings'!$C$16</c:f>
              <c:strCache>
                <c:ptCount val="1"/>
                <c:pt idx="0">
                  <c:v>Entry</c:v>
                </c:pt>
              </c:strCache>
            </c:strRef>
          </c:tx>
          <c:spPr>
            <a:solidFill>
              <a:srgbClr val="FFFF99"/>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'STET_GB_2026 Competency Ratings'!$D$11:$I$11</c:f>
              <c:strCache>
                <c:ptCount val="6"/>
                <c:pt idx="0">
                  <c:v>2024
Baseline</c:v>
                </c:pt>
                <c:pt idx="1">
                  <c:v>2025
Baseline</c:v>
                </c:pt>
                <c:pt idx="2">
                  <c:v>H1'26
Target</c:v>
                </c:pt>
                <c:pt idx="3">
                  <c:v>H1'26
Actual</c:v>
                </c:pt>
                <c:pt idx="4">
                  <c:v>H2'26
Target</c:v>
                </c:pt>
                <c:pt idx="5">
                  <c:v>H2'26
Actual</c:v>
                </c:pt>
              </c:strCache>
            </c:strRef>
          </c:cat>
          <c:val>
            <c:numRef>
              <c:f>'STET_GB_2026 Competency Ratings'!$D$16:$I$16</c:f>
              <c:numCache>
                <c:formatCode>0%</c:formatCode>
                <c:ptCount val="6"/>
                <c:pt idx="0">
                  <c:v>0.13030303030303031</c:v>
                </c:pt>
                <c:pt idx="1">
                  <c:v>6.9805194805194801E-2</c:v>
                </c:pt>
                <c:pt idx="2">
                  <c:v>1.4519056261343012E-2</c:v>
                </c:pt>
                <c:pt idx="4">
                  <c:v>2.0293122886133032E-2</c:v>
                </c:pt>
              </c:numCache>
            </c:numRef>
          </c:val>
          <c:extLst>
            <c:ext xmlns:c16="http://schemas.microsoft.com/office/drawing/2014/chart" uri="{C3380CC4-5D6E-409C-BE32-E72D297353CC}">
              <c16:uniqueId val="{00000004-8287-4422-9C82-EFA38F0CE51E}"/>
            </c:ext>
          </c:extLst>
        </c:ser>
        <c:dLbls>
          <c:showLegendKey val="0"/>
          <c:showVal val="0"/>
          <c:showCatName val="0"/>
          <c:showSerName val="0"/>
          <c:showPercent val="0"/>
          <c:showBubbleSize val="0"/>
        </c:dLbls>
        <c:gapWidth val="150"/>
        <c:overlap val="100"/>
        <c:axId val="1977723455"/>
        <c:axId val="1977723935"/>
      </c:barChart>
      <c:catAx>
        <c:axId val="1977723455"/>
        <c:scaling>
          <c:orientation val="minMax"/>
        </c:scaling>
        <c:delete val="0"/>
        <c:axPos val="t"/>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Aptos" panose="020B0004020202020204" pitchFamily="34" charset="0"/>
                <a:ea typeface="+mn-ea"/>
                <a:cs typeface="+mn-cs"/>
              </a:defRPr>
            </a:pPr>
            <a:endParaRPr lang="en-US"/>
          </a:p>
        </c:txPr>
        <c:crossAx val="1977723935"/>
        <c:crosses val="autoZero"/>
        <c:auto val="1"/>
        <c:lblAlgn val="ctr"/>
        <c:lblOffset val="100"/>
        <c:noMultiLvlLbl val="0"/>
      </c:catAx>
      <c:valAx>
        <c:axId val="1977723935"/>
        <c:scaling>
          <c:orientation val="maxMin"/>
        </c:scaling>
        <c:delete val="1"/>
        <c:axPos val="l"/>
        <c:numFmt formatCode="0%" sourceLinked="1"/>
        <c:majorTickMark val="none"/>
        <c:minorTickMark val="none"/>
        <c:tickLblPos val="nextTo"/>
        <c:crossAx val="1977723455"/>
        <c:crosses val="autoZero"/>
        <c:crossBetween val="between"/>
      </c:valAx>
      <c:spPr>
        <a:noFill/>
        <a:ln>
          <a:noFill/>
        </a:ln>
        <a:effectLst/>
      </c:spPr>
    </c:plotArea>
    <c:legend>
      <c:legendPos val="b"/>
      <c:layout>
        <c:manualLayout>
          <c:xMode val="edge"/>
          <c:yMode val="edge"/>
          <c:x val="2.8290792057162516E-2"/>
          <c:y val="4.2212043755968404E-2"/>
          <c:w val="0.14160138723019519"/>
          <c:h val="0.7879964623158489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solidFill>
            <a:schemeClr val="tx1"/>
          </a:solidFill>
          <a:latin typeface="Aptos" panose="020B00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emf"/></Relationships>
</file>

<file path=xl/drawings/_rels/drawing5.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2.emf"/></Relationships>
</file>

<file path=xl/drawings/_rels/drawing7.xml.rels><?xml version="1.0" encoding="UTF-8" standalone="yes"?>
<Relationships xmlns="http://schemas.openxmlformats.org/package/2006/relationships"><Relationship Id="rId1" Type="http://schemas.openxmlformats.org/officeDocument/2006/relationships/image" Target="../media/image2.emf"/></Relationships>
</file>

<file path=xl/drawings/_rels/drawing8.xml.rels><?xml version="1.0" encoding="UTF-8" standalone="yes"?>
<Relationships xmlns="http://schemas.openxmlformats.org/package/2006/relationships"><Relationship Id="rId1" Type="http://schemas.openxmlformats.org/officeDocument/2006/relationships/image" Target="../media/image2.emf"/></Relationships>
</file>

<file path=xl/drawings/_rels/drawing9.xml.rels><?xml version="1.0" encoding="UTF-8" standalone="yes"?>
<Relationships xmlns="http://schemas.openxmlformats.org/package/2006/relationships"><Relationship Id="rId1" Type="http://schemas.openxmlformats.org/officeDocument/2006/relationships/image" Target="../media/image2.emf"/></Relationships>
</file>

<file path=xl/drawings/_rels/drawing10.xml.rels><?xml version="1.0" encoding="UTF-8" standalone="yes"?>
<Relationships xmlns="http://schemas.openxmlformats.org/package/2006/relationships"><Relationship Id="rId1" Type="http://schemas.openxmlformats.org/officeDocument/2006/relationships/image" Target="../media/image2.emf"/></Relationships>
</file>

<file path=xl/drawings/_rels/drawing11.xml.rels><?xml version="1.0" encoding="UTF-8" standalone="yes"?>
<Relationships xmlns="http://schemas.openxmlformats.org/package/2006/relationships"><Relationship Id="rId1" Type="http://schemas.openxmlformats.org/officeDocument/2006/relationships/image" Target="../media/image2.emf"/></Relationships>
</file>

<file path=xl/drawings/_rels/drawing12.xml.rels><?xml version="1.0" encoding="UTF-8" standalone="yes"?>
<Relationships xmlns="http://schemas.openxmlformats.org/package/2006/relationships"><Relationship Id="rId1" Type="http://schemas.openxmlformats.org/officeDocument/2006/relationships/image" Target="../media/image2.emf"/></Relationships>
</file>

<file path=xl/drawings/_rels/drawing13.xml.rels><?xml version="1.0" encoding="UTF-8" standalone="yes"?>
<Relationships xmlns="http://schemas.openxmlformats.org/package/2006/relationships"><Relationship Id="rId1" Type="http://schemas.openxmlformats.org/officeDocument/2006/relationships/image" Target="../media/image2.emf"/></Relationships>
</file>

<file path=xl/drawings/_rels/drawing14.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9</xdr:col>
      <xdr:colOff>281940</xdr:colOff>
      <xdr:row>1</xdr:row>
      <xdr:rowOff>148590</xdr:rowOff>
    </xdr:from>
    <xdr:to>
      <xdr:col>20</xdr:col>
      <xdr:colOff>434340</xdr:colOff>
      <xdr:row>28</xdr:row>
      <xdr:rowOff>53340</xdr:rowOff>
    </xdr:to>
    <xdr:graphicFrame macro="">
      <xdr:nvGraphicFramePr>
        <xdr:cNvPr id="3" name="Chart 2">
          <a:extLst>
            <a:ext uri="{FF2B5EF4-FFF2-40B4-BE49-F238E27FC236}">
              <a16:creationId xmlns:a16="http://schemas.microsoft.com/office/drawing/2014/main" id="{2E4FB125-B2F4-8A4A-964D-09666F9981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453390</xdr:colOff>
      <xdr:row>23</xdr:row>
      <xdr:rowOff>37062</xdr:rowOff>
    </xdr:from>
    <xdr:to>
      <xdr:col>23</xdr:col>
      <xdr:colOff>170815</xdr:colOff>
      <xdr:row>45</xdr:row>
      <xdr:rowOff>35180</xdr:rowOff>
    </xdr:to>
    <xdr:pic>
      <xdr:nvPicPr>
        <xdr:cNvPr id="3" name="Picture 2">
          <a:extLst>
            <a:ext uri="{FF2B5EF4-FFF2-40B4-BE49-F238E27FC236}">
              <a16:creationId xmlns:a16="http://schemas.microsoft.com/office/drawing/2014/main" id="{CBEA17C8-D695-4420-B482-950ACFB7D6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25865" y="4942437"/>
          <a:ext cx="3627120" cy="3345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38099</xdr:colOff>
      <xdr:row>23</xdr:row>
      <xdr:rowOff>66674</xdr:rowOff>
    </xdr:from>
    <xdr:to>
      <xdr:col>14</xdr:col>
      <xdr:colOff>378245</xdr:colOff>
      <xdr:row>41</xdr:row>
      <xdr:rowOff>57784</xdr:rowOff>
    </xdr:to>
    <xdr:pic>
      <xdr:nvPicPr>
        <xdr:cNvPr id="2" name="Picture 1">
          <a:extLst>
            <a:ext uri="{FF2B5EF4-FFF2-40B4-BE49-F238E27FC236}">
              <a16:creationId xmlns:a16="http://schemas.microsoft.com/office/drawing/2014/main" id="{1B1EFADA-92B4-05A9-D2AE-B4C405C731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9074" y="5133974"/>
          <a:ext cx="7943001" cy="2733675"/>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182427</xdr:colOff>
      <xdr:row>9</xdr:row>
      <xdr:rowOff>399555</xdr:rowOff>
    </xdr:from>
    <xdr:to>
      <xdr:col>24</xdr:col>
      <xdr:colOff>50166</xdr:colOff>
      <xdr:row>29</xdr:row>
      <xdr:rowOff>26833</xdr:rowOff>
    </xdr:to>
    <xdr:pic>
      <xdr:nvPicPr>
        <xdr:cNvPr id="5" name="Picture 1">
          <a:extLst>
            <a:ext uri="{FF2B5EF4-FFF2-40B4-BE49-F238E27FC236}">
              <a16:creationId xmlns:a16="http://schemas.microsoft.com/office/drawing/2014/main" id="{DEB279D6-EE28-45FC-B8B3-D0CBCF5414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26552" y="2145805"/>
          <a:ext cx="3668214" cy="34862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57149</xdr:colOff>
      <xdr:row>24</xdr:row>
      <xdr:rowOff>9524</xdr:rowOff>
    </xdr:from>
    <xdr:to>
      <xdr:col>9</xdr:col>
      <xdr:colOff>44255</xdr:colOff>
      <xdr:row>38</xdr:row>
      <xdr:rowOff>126999</xdr:rowOff>
    </xdr:to>
    <xdr:pic>
      <xdr:nvPicPr>
        <xdr:cNvPr id="3" name="Picture 2">
          <a:extLst>
            <a:ext uri="{FF2B5EF4-FFF2-40B4-BE49-F238E27FC236}">
              <a16:creationId xmlns:a16="http://schemas.microsoft.com/office/drawing/2014/main" id="{C232DBA9-7D9C-4819-B78A-05282DAFC0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499" y="5064124"/>
          <a:ext cx="6126286" cy="2251075"/>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19</xdr:row>
      <xdr:rowOff>1</xdr:rowOff>
    </xdr:from>
    <xdr:to>
      <xdr:col>11</xdr:col>
      <xdr:colOff>285115</xdr:colOff>
      <xdr:row>33</xdr:row>
      <xdr:rowOff>94810</xdr:rowOff>
    </xdr:to>
    <xdr:pic>
      <xdr:nvPicPr>
        <xdr:cNvPr id="2" name="Picture 1">
          <a:extLst>
            <a:ext uri="{FF2B5EF4-FFF2-40B4-BE49-F238E27FC236}">
              <a16:creationId xmlns:a16="http://schemas.microsoft.com/office/drawing/2014/main" id="{DDC85338-3D4B-43D4-989C-5CA365E6B9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 y="4130041"/>
          <a:ext cx="6484620" cy="2222694"/>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20</xdr:row>
      <xdr:rowOff>1</xdr:rowOff>
    </xdr:from>
    <xdr:to>
      <xdr:col>6</xdr:col>
      <xdr:colOff>415627</xdr:colOff>
      <xdr:row>33</xdr:row>
      <xdr:rowOff>40641</xdr:rowOff>
    </xdr:to>
    <xdr:pic>
      <xdr:nvPicPr>
        <xdr:cNvPr id="3" name="Picture 2">
          <a:extLst>
            <a:ext uri="{FF2B5EF4-FFF2-40B4-BE49-F238E27FC236}">
              <a16:creationId xmlns:a16="http://schemas.microsoft.com/office/drawing/2014/main" id="{B3B4B7EC-CF9D-4152-83BC-70888A1EED6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 y="3535681"/>
          <a:ext cx="5913457" cy="2026920"/>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57149</xdr:colOff>
      <xdr:row>20</xdr:row>
      <xdr:rowOff>9524</xdr:rowOff>
    </xdr:from>
    <xdr:to>
      <xdr:col>9</xdr:col>
      <xdr:colOff>107755</xdr:colOff>
      <xdr:row>34</xdr:row>
      <xdr:rowOff>126999</xdr:rowOff>
    </xdr:to>
    <xdr:pic>
      <xdr:nvPicPr>
        <xdr:cNvPr id="3" name="Picture 2">
          <a:extLst>
            <a:ext uri="{FF2B5EF4-FFF2-40B4-BE49-F238E27FC236}">
              <a16:creationId xmlns:a16="http://schemas.microsoft.com/office/drawing/2014/main" id="{AE04953E-64CD-4B07-8652-A0DF76580B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5269" y="4787264"/>
          <a:ext cx="6024686" cy="225107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25399</xdr:colOff>
      <xdr:row>20</xdr:row>
      <xdr:rowOff>136524</xdr:rowOff>
    </xdr:from>
    <xdr:to>
      <xdr:col>9</xdr:col>
      <xdr:colOff>82355</xdr:colOff>
      <xdr:row>35</xdr:row>
      <xdr:rowOff>101599</xdr:rowOff>
    </xdr:to>
    <xdr:pic>
      <xdr:nvPicPr>
        <xdr:cNvPr id="3" name="Picture 2">
          <a:extLst>
            <a:ext uri="{FF2B5EF4-FFF2-40B4-BE49-F238E27FC236}">
              <a16:creationId xmlns:a16="http://schemas.microsoft.com/office/drawing/2014/main" id="{D6B37573-6865-4221-98E3-CD613D00AB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599" y="3844924"/>
          <a:ext cx="6152956" cy="2251075"/>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20</xdr:row>
      <xdr:rowOff>0</xdr:rowOff>
    </xdr:from>
    <xdr:to>
      <xdr:col>9</xdr:col>
      <xdr:colOff>209550</xdr:colOff>
      <xdr:row>34</xdr:row>
      <xdr:rowOff>112601</xdr:rowOff>
    </xdr:to>
    <xdr:pic>
      <xdr:nvPicPr>
        <xdr:cNvPr id="3" name="Picture 2">
          <a:extLst>
            <a:ext uri="{FF2B5EF4-FFF2-40B4-BE49-F238E27FC236}">
              <a16:creationId xmlns:a16="http://schemas.microsoft.com/office/drawing/2014/main" id="{18FCC509-14BE-4ACC-AB27-84899FDA3A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 y="3078480"/>
          <a:ext cx="6553200" cy="2246201"/>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57149</xdr:colOff>
      <xdr:row>21</xdr:row>
      <xdr:rowOff>9524</xdr:rowOff>
    </xdr:from>
    <xdr:to>
      <xdr:col>7</xdr:col>
      <xdr:colOff>237295</xdr:colOff>
      <xdr:row>35</xdr:row>
      <xdr:rowOff>126999</xdr:rowOff>
    </xdr:to>
    <xdr:pic>
      <xdr:nvPicPr>
        <xdr:cNvPr id="3" name="Picture 2">
          <a:extLst>
            <a:ext uri="{FF2B5EF4-FFF2-40B4-BE49-F238E27FC236}">
              <a16:creationId xmlns:a16="http://schemas.microsoft.com/office/drawing/2014/main" id="{4D6D69B6-8575-4E13-9316-BBD7DE2BBF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5269" y="4787264"/>
          <a:ext cx="6024686" cy="225107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57149</xdr:colOff>
      <xdr:row>23</xdr:row>
      <xdr:rowOff>9524</xdr:rowOff>
    </xdr:from>
    <xdr:to>
      <xdr:col>7</xdr:col>
      <xdr:colOff>305875</xdr:colOff>
      <xdr:row>37</xdr:row>
      <xdr:rowOff>126999</xdr:rowOff>
    </xdr:to>
    <xdr:pic>
      <xdr:nvPicPr>
        <xdr:cNvPr id="2" name="Picture 1">
          <a:extLst>
            <a:ext uri="{FF2B5EF4-FFF2-40B4-BE49-F238E27FC236}">
              <a16:creationId xmlns:a16="http://schemas.microsoft.com/office/drawing/2014/main" id="{A65534BC-FA25-4BA7-8C16-DE87196F98D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5269" y="4787264"/>
          <a:ext cx="6024686" cy="2251075"/>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57149</xdr:colOff>
      <xdr:row>25</xdr:row>
      <xdr:rowOff>9524</xdr:rowOff>
    </xdr:from>
    <xdr:to>
      <xdr:col>9</xdr:col>
      <xdr:colOff>107755</xdr:colOff>
      <xdr:row>39</xdr:row>
      <xdr:rowOff>126999</xdr:rowOff>
    </xdr:to>
    <xdr:pic>
      <xdr:nvPicPr>
        <xdr:cNvPr id="2" name="Picture 1">
          <a:extLst>
            <a:ext uri="{FF2B5EF4-FFF2-40B4-BE49-F238E27FC236}">
              <a16:creationId xmlns:a16="http://schemas.microsoft.com/office/drawing/2014/main" id="{EF7731CC-EF1F-4F1D-9035-53379EE33E3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5269" y="4787264"/>
          <a:ext cx="6024686" cy="2251075"/>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57149</xdr:colOff>
      <xdr:row>24</xdr:row>
      <xdr:rowOff>9524</xdr:rowOff>
    </xdr:from>
    <xdr:to>
      <xdr:col>8</xdr:col>
      <xdr:colOff>343975</xdr:colOff>
      <xdr:row>38</xdr:row>
      <xdr:rowOff>126999</xdr:rowOff>
    </xdr:to>
    <xdr:pic>
      <xdr:nvPicPr>
        <xdr:cNvPr id="2" name="Picture 1">
          <a:extLst>
            <a:ext uri="{FF2B5EF4-FFF2-40B4-BE49-F238E27FC236}">
              <a16:creationId xmlns:a16="http://schemas.microsoft.com/office/drawing/2014/main" id="{BF620C42-3761-490F-BC71-3EC32E4024E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5269" y="4787264"/>
          <a:ext cx="6024686" cy="2251075"/>
        </a:xfrm>
        <a:prstGeom prst="rect">
          <a:avLst/>
        </a:prstGeom>
        <a:noFill/>
        <a:ln>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39</xdr:row>
      <xdr:rowOff>0</xdr:rowOff>
    </xdr:from>
    <xdr:to>
      <xdr:col>8</xdr:col>
      <xdr:colOff>36479</xdr:colOff>
      <xdr:row>53</xdr:row>
      <xdr:rowOff>89904</xdr:rowOff>
    </xdr:to>
    <xdr:pic>
      <xdr:nvPicPr>
        <xdr:cNvPr id="2" name="Picture 1">
          <a:extLst>
            <a:ext uri="{FF2B5EF4-FFF2-40B4-BE49-F238E27FC236}">
              <a16:creationId xmlns:a16="http://schemas.microsoft.com/office/drawing/2014/main" id="{790E00F0-9E22-42BA-8B80-65D4D8C285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 y="4511040"/>
          <a:ext cx="6543959" cy="2223504"/>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57149</xdr:colOff>
      <xdr:row>40</xdr:row>
      <xdr:rowOff>9524</xdr:rowOff>
    </xdr:from>
    <xdr:to>
      <xdr:col>9</xdr:col>
      <xdr:colOff>107755</xdr:colOff>
      <xdr:row>54</xdr:row>
      <xdr:rowOff>126999</xdr:rowOff>
    </xdr:to>
    <xdr:pic>
      <xdr:nvPicPr>
        <xdr:cNvPr id="2" name="Picture 1">
          <a:extLst>
            <a:ext uri="{FF2B5EF4-FFF2-40B4-BE49-F238E27FC236}">
              <a16:creationId xmlns:a16="http://schemas.microsoft.com/office/drawing/2014/main" id="{D3701EA3-8AD1-43D4-BC2F-2DDFD7C8730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5269" y="4787264"/>
          <a:ext cx="6024686" cy="22510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ocs.philips.com/Users/300221071/AppData/Local/Microsoft/Windows/Temporary%20Internet%20Files/Content.Outlook/SBYC67SK/20150925%20Competency%20matrix%20QPL%20Grooming.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ocs.philips.com/Light_and_Health_Venture/Q&amp;R/Findings/Findings%20Database%20wk111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ocs.philips.com/Users/NLY39860/AppData/Local/Microsoft/Windows/Temporary%20Internet%20Files/Content.Outlook/PRTL4LHC/CAPA%20Database_OBSOLETE/Minor%20CAPA%20Database%20wk1128.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etences QPL"/>
      <sheetName val="Competency assessment QPL (50)"/>
      <sheetName val="Competency assessment QPLG(60) "/>
      <sheetName val="Competency assessment QPL (70)"/>
      <sheetName val="Comp Ass Grouplead QPL (70)"/>
      <sheetName val="DocHist, Approval"/>
      <sheetName val="Lists"/>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SOP04 Notebooks Jan2011"/>
      <sheetName val=" Ref, Terms, Abbr"/>
      <sheetName val="Authorship, Rev, Appr &amp; Rev"/>
      <sheetName val="List"/>
      <sheetName val="Lists"/>
    </sheetNames>
    <sheetDataSet>
      <sheetData sheetId="0"/>
      <sheetData sheetId="1"/>
      <sheetData sheetId="2"/>
      <sheetData sheetId="3"/>
      <sheetData sheetId="4"/>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Minor CAPAs"/>
      <sheetName val="Closed Minor CAPAs"/>
      <sheetName val=" Ref, Terms, Abbr"/>
      <sheetName val="Authorship, Rev, Appr &amp; Rev"/>
      <sheetName val="List"/>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14FF0-C9CE-448D-97B3-EB6151469BCF}">
  <dimension ref="B3:I22"/>
  <sheetViews>
    <sheetView showGridLines="0" tabSelected="1" workbookViewId="0">
      <selection activeCell="E13" sqref="E13"/>
    </sheetView>
  </sheetViews>
  <sheetFormatPr defaultColWidth="8.81640625" defaultRowHeight="14.5" x14ac:dyDescent="0.35"/>
  <cols>
    <col min="1" max="1" width="4.54296875" style="113" bestFit="1" customWidth="1"/>
    <col min="2" max="2" width="10.54296875" style="113" customWidth="1"/>
    <col min="3" max="3" width="14.453125" style="113" customWidth="1"/>
    <col min="4" max="9" width="10.453125" style="127" customWidth="1"/>
    <col min="10" max="11" width="6.54296875" style="113" bestFit="1" customWidth="1"/>
    <col min="12" max="16384" width="8.81640625" style="113"/>
  </cols>
  <sheetData>
    <row r="3" spans="2:9" ht="29" x14ac:dyDescent="0.35">
      <c r="D3" s="114" t="s">
        <v>377</v>
      </c>
      <c r="E3" s="114" t="s">
        <v>378</v>
      </c>
      <c r="F3" s="114" t="s">
        <v>379</v>
      </c>
      <c r="G3" s="114" t="s">
        <v>346</v>
      </c>
      <c r="H3" s="114" t="s">
        <v>380</v>
      </c>
      <c r="I3" s="114" t="s">
        <v>381</v>
      </c>
    </row>
    <row r="4" spans="2:9" x14ac:dyDescent="0.35">
      <c r="B4" s="115" t="s">
        <v>5</v>
      </c>
      <c r="C4" s="115" t="s">
        <v>6</v>
      </c>
      <c r="D4" s="116">
        <f>PL!AE4+ME!AC4+PE!AD4+EE!AE4+QPL!AE4+SE!AE4+TPD!AE4+'T&amp;V'!AE4</f>
        <v>0</v>
      </c>
      <c r="E4" s="116">
        <f>PL!AF4+ME!AD4+PE!AE4+EE!AF4+QPL!AF4+SE!AF4+TPD!AF4+'T&amp;V'!AF4</f>
        <v>38</v>
      </c>
      <c r="F4" s="116">
        <f>PL!AG4+ME!AE4+PE!AF4+EE!AG4+QPL!AG4+SE!AG4+TPD!AG4+'T&amp;V'!AG4</f>
        <v>16</v>
      </c>
      <c r="G4" s="116">
        <f>PL!AH4+ME!AF4+PE!AG4+EE!AH4+QPL!AH4+SE!AH4+TPD!AH4+'T&amp;V'!AH4</f>
        <v>0</v>
      </c>
      <c r="H4" s="116">
        <f>PL!AI4+ME!AG4+PE!AH4+EE!AI4+QPL!AI4+SE!AI4+TPD!AI4+'T&amp;V'!AI4</f>
        <v>32</v>
      </c>
      <c r="I4" s="116">
        <f>PL!AJ4+ME!AH4+PE!AI4+EE!AJ4+QPL!AJ4+SE!AJ4+TPD!AJ4+'T&amp;V'!AJ4</f>
        <v>0</v>
      </c>
    </row>
    <row r="5" spans="2:9" x14ac:dyDescent="0.35">
      <c r="B5" s="115" t="s">
        <v>7</v>
      </c>
      <c r="C5" s="115" t="s">
        <v>8</v>
      </c>
      <c r="D5" s="117">
        <f>PL!AE5+ME!AC5+PE!AD5+EE!AE5+QPL!AE5+SE!AE5+TPD!AE5+'T&amp;V'!AE5</f>
        <v>44</v>
      </c>
      <c r="E5" s="117">
        <f>PL!AF5+ME!AD5+PE!AE5+EE!AF5+QPL!AF5+SE!AF5+TPD!AF5+'T&amp;V'!AF5</f>
        <v>120</v>
      </c>
      <c r="F5" s="117">
        <f>PL!AG5+ME!AE5+PE!AF5+EE!AG5+QPL!AG5+SE!AG5+TPD!AG5+'T&amp;V'!AG5</f>
        <v>108</v>
      </c>
      <c r="G5" s="117">
        <f>PL!AH5+ME!AF5+PE!AG5+EE!AH5+QPL!AH5+SE!AH5+TPD!AH5+'T&amp;V'!AH5</f>
        <v>0</v>
      </c>
      <c r="H5" s="117">
        <f>PL!AI5+ME!AG5+PE!AH5+EE!AI5+QPL!AI5+SE!AI5+TPD!AI5+'T&amp;V'!AI5</f>
        <v>175</v>
      </c>
      <c r="I5" s="117">
        <f>PL!AJ5+ME!AH5+PE!AI5+EE!AJ5+QPL!AJ5+SE!AJ5+TPD!AJ5+'T&amp;V'!AJ5</f>
        <v>0</v>
      </c>
    </row>
    <row r="6" spans="2:9" x14ac:dyDescent="0.35">
      <c r="B6" s="115" t="s">
        <v>9</v>
      </c>
      <c r="C6" s="115" t="s">
        <v>10</v>
      </c>
      <c r="D6" s="118">
        <f>PL!AE6+ME!AC6+PE!AD6+EE!AE6+QPL!AE6+SE!AE6+TPD!AE6+'T&amp;V'!AE6</f>
        <v>144</v>
      </c>
      <c r="E6" s="118">
        <f>PL!AF6+ME!AD6+PE!AE6+EE!AF6+QPL!AF6+SE!AF6+TPD!AF6+'T&amp;V'!AF6</f>
        <v>276</v>
      </c>
      <c r="F6" s="118">
        <f>PL!AG6+ME!AE6+PE!AF6+EE!AG6+QPL!AG6+SE!AG6+TPD!AG6+'T&amp;V'!AG6</f>
        <v>245</v>
      </c>
      <c r="G6" s="118">
        <f>PL!AH6+ME!AF6+PE!AG6+EE!AH6+QPL!AH6+SE!AH6+TPD!AH6+'T&amp;V'!AH6</f>
        <v>0</v>
      </c>
      <c r="H6" s="118">
        <f>PL!AI6+ME!AG6+PE!AH6+EE!AI6+QPL!AI6+SE!AI6+TPD!AI6+'T&amp;V'!AI6</f>
        <v>390</v>
      </c>
      <c r="I6" s="118">
        <f>PL!AJ6+ME!AH6+PE!AI6+EE!AJ6+QPL!AJ6+SE!AJ6+TPD!AJ6+'T&amp;V'!AJ6</f>
        <v>0</v>
      </c>
    </row>
    <row r="7" spans="2:9" x14ac:dyDescent="0.35">
      <c r="B7" s="115" t="s">
        <v>11</v>
      </c>
      <c r="C7" s="115" t="s">
        <v>12</v>
      </c>
      <c r="D7" s="119">
        <f>PL!AE7+ME!AC7+PE!AD7+EE!AE7+QPL!AE7+SE!AE7+TPD!AE7+'T&amp;V'!AE7</f>
        <v>99</v>
      </c>
      <c r="E7" s="119">
        <f>PL!AF7+ME!AD7+PE!AE7+EE!AF7+QPL!AF7+SE!AF7+TPD!AF7+'T&amp;V'!AF7</f>
        <v>139</v>
      </c>
      <c r="F7" s="119">
        <f>PL!AG7+ME!AE7+PE!AF7+EE!AG7+QPL!AG7+SE!AG7+TPD!AG7+'T&amp;V'!AG7</f>
        <v>174</v>
      </c>
      <c r="G7" s="119">
        <f>PL!AH7+ME!AF7+PE!AG7+EE!AH7+QPL!AH7+SE!AH7+TPD!AH7+'T&amp;V'!AH7</f>
        <v>0</v>
      </c>
      <c r="H7" s="119">
        <f>PL!AI7+ME!AG7+PE!AH7+EE!AI7+QPL!AI7+SE!AI7+TPD!AI7+'T&amp;V'!AI7</f>
        <v>272</v>
      </c>
      <c r="I7" s="119">
        <f>PL!AJ7+ME!AH7+PE!AI7+EE!AJ7+QPL!AJ7+SE!AJ7+TPD!AJ7+'T&amp;V'!AJ7</f>
        <v>0</v>
      </c>
    </row>
    <row r="8" spans="2:9" x14ac:dyDescent="0.35">
      <c r="B8" s="115" t="s">
        <v>13</v>
      </c>
      <c r="C8" s="115" t="s">
        <v>14</v>
      </c>
      <c r="D8" s="120">
        <f>PL!AE8+ME!AC8+PE!AD8+EE!AE8+QPL!AE8+SE!AE8+TPD!AE8+'T&amp;V'!AE8</f>
        <v>43</v>
      </c>
      <c r="E8" s="120">
        <f>PL!AF8+ME!AD8+PE!AE8+EE!AF8+QPL!AF8+SE!AF8+TPD!AF8+'T&amp;V'!AF8</f>
        <v>43</v>
      </c>
      <c r="F8" s="120">
        <f>PL!AG8+ME!AE8+PE!AF8+EE!AG8+QPL!AG8+SE!AG8+TPD!AG8+'T&amp;V'!AG8</f>
        <v>8</v>
      </c>
      <c r="G8" s="120">
        <f>PL!AH8+ME!AF8+PE!AG8+EE!AH8+QPL!AH8+SE!AH8+TPD!AH8+'T&amp;V'!AH8</f>
        <v>0</v>
      </c>
      <c r="H8" s="120">
        <f>PL!AI8+ME!AG8+PE!AH8+EE!AI8+QPL!AI8+SE!AI8+TPD!AI8+'T&amp;V'!AI8</f>
        <v>18</v>
      </c>
      <c r="I8" s="120">
        <f>PL!AJ8+ME!AH8+PE!AI8+EE!AJ8+QPL!AJ8+SE!AJ8+TPD!AJ8+'T&amp;V'!AJ8</f>
        <v>0</v>
      </c>
    </row>
    <row r="9" spans="2:9" x14ac:dyDescent="0.35">
      <c r="D9" s="121">
        <f>SUM(D4:D8)</f>
        <v>330</v>
      </c>
      <c r="E9" s="121">
        <f t="shared" ref="E9:I9" si="0">SUM(E4:E8)</f>
        <v>616</v>
      </c>
      <c r="F9" s="121">
        <f t="shared" si="0"/>
        <v>551</v>
      </c>
      <c r="G9" s="121">
        <f t="shared" si="0"/>
        <v>0</v>
      </c>
      <c r="H9" s="121">
        <f t="shared" si="0"/>
        <v>887</v>
      </c>
      <c r="I9" s="121">
        <f t="shared" si="0"/>
        <v>0</v>
      </c>
    </row>
    <row r="11" spans="2:9" ht="29" x14ac:dyDescent="0.35">
      <c r="D11" s="114" t="str">
        <f>D3</f>
        <v>2024
Baseline</v>
      </c>
      <c r="E11" s="114" t="str">
        <f>E3</f>
        <v>2025
Baseline</v>
      </c>
      <c r="F11" s="114" t="str">
        <f t="shared" ref="F11:I11" si="1">F3</f>
        <v>H1'26
Target</v>
      </c>
      <c r="G11" s="114" t="str">
        <f t="shared" si="1"/>
        <v>H1'26
Actual</v>
      </c>
      <c r="H11" s="114" t="str">
        <f t="shared" si="1"/>
        <v>H2'26
Target</v>
      </c>
      <c r="I11" s="114" t="str">
        <f t="shared" si="1"/>
        <v>H2'26
Actual</v>
      </c>
    </row>
    <row r="12" spans="2:9" x14ac:dyDescent="0.35">
      <c r="B12" s="115" t="s">
        <v>5</v>
      </c>
      <c r="C12" s="115" t="s">
        <v>6</v>
      </c>
      <c r="D12" s="147">
        <f>$D4/$D$9</f>
        <v>0</v>
      </c>
      <c r="E12" s="147">
        <f>$E4/$E$9</f>
        <v>6.1688311688311688E-2</v>
      </c>
      <c r="F12" s="147">
        <f>$F4/$F$9</f>
        <v>2.9038112522686024E-2</v>
      </c>
      <c r="G12" s="147">
        <f t="shared" ref="G12:I12" si="2">$D4/$D9</f>
        <v>0</v>
      </c>
      <c r="H12" s="147">
        <f>$H4/$H$9</f>
        <v>3.6076662908680945E-2</v>
      </c>
      <c r="I12" s="147">
        <f t="shared" si="2"/>
        <v>0</v>
      </c>
    </row>
    <row r="13" spans="2:9" x14ac:dyDescent="0.35">
      <c r="B13" s="115" t="s">
        <v>7</v>
      </c>
      <c r="C13" s="115" t="s">
        <v>8</v>
      </c>
      <c r="D13" s="122">
        <f>$D5/$D$9</f>
        <v>0.13333333333333333</v>
      </c>
      <c r="E13" s="122">
        <f>$E5/$E$9</f>
        <v>0.19480519480519481</v>
      </c>
      <c r="F13" s="122">
        <f>$F5/$F$9</f>
        <v>0.19600725952813067</v>
      </c>
      <c r="G13" s="122"/>
      <c r="H13" s="122">
        <f t="shared" ref="H13:H16" si="3">$H5/$H$9</f>
        <v>0.19729425028184894</v>
      </c>
      <c r="I13" s="122"/>
    </row>
    <row r="14" spans="2:9" x14ac:dyDescent="0.35">
      <c r="B14" s="115" t="s">
        <v>9</v>
      </c>
      <c r="C14" s="115" t="s">
        <v>10</v>
      </c>
      <c r="D14" s="123">
        <f>$D6/$D$9</f>
        <v>0.43636363636363634</v>
      </c>
      <c r="E14" s="123">
        <f>$E6/$E$9</f>
        <v>0.44805194805194803</v>
      </c>
      <c r="F14" s="123">
        <f>$F6/$F$9</f>
        <v>0.44464609800362975</v>
      </c>
      <c r="G14" s="123"/>
      <c r="H14" s="123">
        <f t="shared" si="3"/>
        <v>0.43968432919954903</v>
      </c>
      <c r="I14" s="123"/>
    </row>
    <row r="15" spans="2:9" x14ac:dyDescent="0.35">
      <c r="B15" s="115" t="s">
        <v>11</v>
      </c>
      <c r="C15" s="115" t="s">
        <v>12</v>
      </c>
      <c r="D15" s="124">
        <f>$D7/$D$9</f>
        <v>0.3</v>
      </c>
      <c r="E15" s="124">
        <f>$E7/$E$9</f>
        <v>0.22564935064935066</v>
      </c>
      <c r="F15" s="124">
        <f>$F7/$F$9</f>
        <v>0.31578947368421051</v>
      </c>
      <c r="G15" s="124"/>
      <c r="H15" s="124">
        <f t="shared" si="3"/>
        <v>0.30665163472378804</v>
      </c>
      <c r="I15" s="124"/>
    </row>
    <row r="16" spans="2:9" x14ac:dyDescent="0.35">
      <c r="B16" s="115" t="s">
        <v>13</v>
      </c>
      <c r="C16" s="115" t="s">
        <v>14</v>
      </c>
      <c r="D16" s="125">
        <f>$D8/$D$9</f>
        <v>0.13030303030303031</v>
      </c>
      <c r="E16" s="125">
        <f>$E8/$E$9</f>
        <v>6.9805194805194801E-2</v>
      </c>
      <c r="F16" s="125">
        <f>$F8/$F$9</f>
        <v>1.4519056261343012E-2</v>
      </c>
      <c r="G16" s="125"/>
      <c r="H16" s="125">
        <f t="shared" si="3"/>
        <v>2.0293122886133032E-2</v>
      </c>
      <c r="I16" s="125"/>
    </row>
    <row r="17" spans="2:9" x14ac:dyDescent="0.35">
      <c r="D17" s="126">
        <f>SUM(D12:D16)</f>
        <v>1</v>
      </c>
      <c r="E17" s="126">
        <f t="shared" ref="E17:I17" si="4">SUM(E12:E16)</f>
        <v>1</v>
      </c>
      <c r="F17" s="126">
        <f t="shared" si="4"/>
        <v>1</v>
      </c>
      <c r="G17" s="126">
        <f t="shared" si="4"/>
        <v>0</v>
      </c>
      <c r="H17" s="126">
        <f t="shared" si="4"/>
        <v>0.99999999999999989</v>
      </c>
      <c r="I17" s="126">
        <f t="shared" si="4"/>
        <v>0</v>
      </c>
    </row>
    <row r="19" spans="2:9" x14ac:dyDescent="0.35">
      <c r="B19" s="179" t="s">
        <v>241</v>
      </c>
      <c r="C19" s="179"/>
      <c r="D19" s="183">
        <v>0.7</v>
      </c>
      <c r="E19" s="184"/>
      <c r="F19" s="184"/>
      <c r="G19" s="184"/>
      <c r="H19" s="184"/>
      <c r="I19" s="185"/>
    </row>
    <row r="20" spans="2:9" x14ac:dyDescent="0.35">
      <c r="B20" s="179" t="s">
        <v>16</v>
      </c>
      <c r="C20" s="179"/>
      <c r="D20" s="183"/>
      <c r="E20" s="184"/>
      <c r="F20" s="184"/>
      <c r="G20" s="184"/>
      <c r="H20" s="184"/>
      <c r="I20" s="185"/>
    </row>
    <row r="21" spans="2:9" x14ac:dyDescent="0.35">
      <c r="B21" s="179" t="s">
        <v>360</v>
      </c>
      <c r="C21" s="179"/>
      <c r="D21" s="183">
        <f>H12+H13+H14</f>
        <v>0.67305524239007886</v>
      </c>
      <c r="E21" s="184"/>
      <c r="F21" s="184"/>
      <c r="G21" s="184"/>
      <c r="H21" s="184"/>
      <c r="I21" s="185"/>
    </row>
    <row r="22" spans="2:9" x14ac:dyDescent="0.35">
      <c r="B22" s="179" t="s">
        <v>18</v>
      </c>
      <c r="C22" s="179"/>
      <c r="D22" s="180">
        <f>D19-D21</f>
        <v>2.6944757609921099E-2</v>
      </c>
      <c r="E22" s="181"/>
      <c r="F22" s="181"/>
      <c r="G22" s="181"/>
      <c r="H22" s="181"/>
      <c r="I22" s="182"/>
    </row>
  </sheetData>
  <mergeCells count="8">
    <mergeCell ref="B22:C22"/>
    <mergeCell ref="D22:I22"/>
    <mergeCell ref="B19:C19"/>
    <mergeCell ref="D19:I19"/>
    <mergeCell ref="B20:C20"/>
    <mergeCell ref="D20:I20"/>
    <mergeCell ref="B21:C21"/>
    <mergeCell ref="D21:I21"/>
  </mergeCells>
  <conditionalFormatting sqref="D21:I22">
    <cfRule type="cellIs" dxfId="83" priority="1" operator="greaterThanOrEqual">
      <formula>1</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34335-C9E0-4993-9AA7-6DD1A5DF0437}">
  <sheetPr>
    <tabColor theme="9" tint="0.59999389629810485"/>
  </sheetPr>
  <dimension ref="B2:D96"/>
  <sheetViews>
    <sheetView showGridLines="0" zoomScale="98" zoomScaleNormal="110" workbookViewId="0">
      <selection activeCell="C5" sqref="C5"/>
    </sheetView>
  </sheetViews>
  <sheetFormatPr defaultColWidth="8.54296875" defaultRowHeight="12" x14ac:dyDescent="0.35"/>
  <cols>
    <col min="1" max="1" width="3.54296875" style="3" customWidth="1"/>
    <col min="2" max="2" width="8.54296875" style="66"/>
    <col min="3" max="3" width="30.81640625" style="75" customWidth="1"/>
    <col min="4" max="4" width="140.1796875" style="75" customWidth="1"/>
    <col min="5" max="16384" width="8.54296875" style="3"/>
  </cols>
  <sheetData>
    <row r="2" spans="2:4" x14ac:dyDescent="0.35">
      <c r="C2" s="186" t="s">
        <v>19</v>
      </c>
      <c r="D2" s="186"/>
    </row>
    <row r="3" spans="2:4" ht="12.5" thickBot="1" x14ac:dyDescent="0.4">
      <c r="C3" s="67"/>
      <c r="D3" s="67"/>
    </row>
    <row r="4" spans="2:4" s="70" customFormat="1" ht="12.5" thickBot="1" x14ac:dyDescent="0.4">
      <c r="B4" s="68" t="s">
        <v>20</v>
      </c>
      <c r="C4" s="69" t="s">
        <v>21</v>
      </c>
      <c r="D4" s="69" t="s">
        <v>22</v>
      </c>
    </row>
    <row r="5" spans="2:4" ht="36.5" thickBot="1" x14ac:dyDescent="0.4">
      <c r="B5" s="71" t="s">
        <v>23</v>
      </c>
      <c r="C5" s="72" t="s">
        <v>24</v>
      </c>
      <c r="D5" s="72" t="s">
        <v>25</v>
      </c>
    </row>
    <row r="6" spans="2:4" ht="36.5" thickBot="1" x14ac:dyDescent="0.4">
      <c r="B6" s="71" t="s">
        <v>23</v>
      </c>
      <c r="C6" s="72" t="s">
        <v>26</v>
      </c>
      <c r="D6" s="72" t="s">
        <v>27</v>
      </c>
    </row>
    <row r="7" spans="2:4" ht="36.5" thickBot="1" x14ac:dyDescent="0.4">
      <c r="B7" s="71" t="s">
        <v>23</v>
      </c>
      <c r="C7" s="72" t="s">
        <v>28</v>
      </c>
      <c r="D7" s="72" t="s">
        <v>29</v>
      </c>
    </row>
    <row r="8" spans="2:4" ht="24.5" thickBot="1" x14ac:dyDescent="0.4">
      <c r="B8" s="71" t="s">
        <v>23</v>
      </c>
      <c r="C8" s="72" t="s">
        <v>30</v>
      </c>
      <c r="D8" s="72" t="s">
        <v>31</v>
      </c>
    </row>
    <row r="9" spans="2:4" ht="36.5" thickBot="1" x14ac:dyDescent="0.4">
      <c r="B9" s="71" t="s">
        <v>23</v>
      </c>
      <c r="C9" s="72" t="s">
        <v>32</v>
      </c>
      <c r="D9" s="72" t="s">
        <v>33</v>
      </c>
    </row>
    <row r="10" spans="2:4" ht="24.5" thickBot="1" x14ac:dyDescent="0.4">
      <c r="B10" s="71" t="s">
        <v>23</v>
      </c>
      <c r="C10" s="72" t="s">
        <v>34</v>
      </c>
      <c r="D10" s="72" t="s">
        <v>35</v>
      </c>
    </row>
    <row r="11" spans="2:4" ht="24.5" thickBot="1" x14ac:dyDescent="0.4">
      <c r="B11" s="71" t="s">
        <v>23</v>
      </c>
      <c r="C11" s="72" t="s">
        <v>36</v>
      </c>
      <c r="D11" s="72" t="s">
        <v>37</v>
      </c>
    </row>
    <row r="12" spans="2:4" ht="24.5" thickBot="1" x14ac:dyDescent="0.4">
      <c r="B12" s="71" t="s">
        <v>23</v>
      </c>
      <c r="C12" s="72" t="s">
        <v>38</v>
      </c>
      <c r="D12" s="72" t="s">
        <v>39</v>
      </c>
    </row>
    <row r="13" spans="2:4" ht="24.5" thickBot="1" x14ac:dyDescent="0.4">
      <c r="B13" s="71" t="s">
        <v>23</v>
      </c>
      <c r="C13" s="72" t="s">
        <v>40</v>
      </c>
      <c r="D13" s="72" t="s">
        <v>41</v>
      </c>
    </row>
    <row r="14" spans="2:4" ht="12.5" thickBot="1" x14ac:dyDescent="0.4">
      <c r="B14" s="71" t="s">
        <v>23</v>
      </c>
      <c r="C14" s="72" t="s">
        <v>42</v>
      </c>
      <c r="D14" s="72" t="s">
        <v>43</v>
      </c>
    </row>
    <row r="15" spans="2:4" s="70" customFormat="1" ht="12.5" thickBot="1" x14ac:dyDescent="0.4">
      <c r="B15" s="68" t="s">
        <v>23</v>
      </c>
      <c r="C15" s="69" t="s">
        <v>44</v>
      </c>
      <c r="D15" s="69" t="s">
        <v>22</v>
      </c>
    </row>
    <row r="16" spans="2:4" ht="24.5" thickBot="1" x14ac:dyDescent="0.4">
      <c r="B16" s="71" t="s">
        <v>23</v>
      </c>
      <c r="C16" s="72" t="s">
        <v>45</v>
      </c>
      <c r="D16" s="72" t="s">
        <v>46</v>
      </c>
    </row>
    <row r="17" spans="2:4" ht="24.5" thickBot="1" x14ac:dyDescent="0.4">
      <c r="B17" s="71" t="s">
        <v>23</v>
      </c>
      <c r="C17" s="72" t="s">
        <v>47</v>
      </c>
      <c r="D17" s="72" t="s">
        <v>48</v>
      </c>
    </row>
    <row r="18" spans="2:4" ht="36.5" thickBot="1" x14ac:dyDescent="0.4">
      <c r="B18" s="71" t="s">
        <v>23</v>
      </c>
      <c r="C18" s="72" t="s">
        <v>49</v>
      </c>
      <c r="D18" s="72" t="s">
        <v>50</v>
      </c>
    </row>
    <row r="19" spans="2:4" ht="24.5" thickBot="1" x14ac:dyDescent="0.4">
      <c r="B19" s="71" t="s">
        <v>23</v>
      </c>
      <c r="C19" s="72" t="s">
        <v>51</v>
      </c>
      <c r="D19" s="72" t="s">
        <v>52</v>
      </c>
    </row>
    <row r="20" spans="2:4" ht="48.5" thickBot="1" x14ac:dyDescent="0.4">
      <c r="B20" s="71" t="s">
        <v>23</v>
      </c>
      <c r="C20" s="72" t="s">
        <v>53</v>
      </c>
      <c r="D20" s="72" t="s">
        <v>54</v>
      </c>
    </row>
    <row r="21" spans="2:4" ht="48.5" thickBot="1" x14ac:dyDescent="0.4">
      <c r="B21" s="71" t="s">
        <v>23</v>
      </c>
      <c r="C21" s="72" t="s">
        <v>55</v>
      </c>
      <c r="D21" s="72" t="s">
        <v>56</v>
      </c>
    </row>
    <row r="22" spans="2:4" ht="48.5" thickBot="1" x14ac:dyDescent="0.4">
      <c r="B22" s="71" t="s">
        <v>23</v>
      </c>
      <c r="C22" s="72" t="s">
        <v>57</v>
      </c>
      <c r="D22" s="72" t="s">
        <v>58</v>
      </c>
    </row>
    <row r="23" spans="2:4" ht="36.5" thickBot="1" x14ac:dyDescent="0.4">
      <c r="B23" s="71" t="s">
        <v>23</v>
      </c>
      <c r="C23" s="72" t="s">
        <v>59</v>
      </c>
      <c r="D23" s="72" t="s">
        <v>60</v>
      </c>
    </row>
    <row r="24" spans="2:4" ht="24.5" thickBot="1" x14ac:dyDescent="0.4">
      <c r="B24" s="71" t="s">
        <v>23</v>
      </c>
      <c r="C24" s="72" t="s">
        <v>61</v>
      </c>
      <c r="D24" s="72" t="s">
        <v>62</v>
      </c>
    </row>
    <row r="25" spans="2:4" ht="36.5" thickBot="1" x14ac:dyDescent="0.4">
      <c r="B25" s="71" t="s">
        <v>23</v>
      </c>
      <c r="C25" s="72" t="s">
        <v>63</v>
      </c>
      <c r="D25" s="72" t="s">
        <v>64</v>
      </c>
    </row>
    <row r="26" spans="2:4" ht="36.5" thickBot="1" x14ac:dyDescent="0.4">
      <c r="B26" s="71" t="s">
        <v>23</v>
      </c>
      <c r="C26" s="72" t="s">
        <v>65</v>
      </c>
      <c r="D26" s="72" t="s">
        <v>66</v>
      </c>
    </row>
    <row r="27" spans="2:4" ht="24.5" thickBot="1" x14ac:dyDescent="0.4">
      <c r="B27" s="71" t="s">
        <v>23</v>
      </c>
      <c r="C27" s="72" t="s">
        <v>67</v>
      </c>
      <c r="D27" s="72" t="s">
        <v>68</v>
      </c>
    </row>
    <row r="28" spans="2:4" s="70" customFormat="1" ht="12.5" thickBot="1" x14ac:dyDescent="0.4">
      <c r="B28" s="68" t="s">
        <v>23</v>
      </c>
      <c r="C28" s="69" t="s">
        <v>69</v>
      </c>
      <c r="D28" s="69" t="s">
        <v>22</v>
      </c>
    </row>
    <row r="29" spans="2:4" ht="24.5" thickBot="1" x14ac:dyDescent="0.4">
      <c r="B29" s="71" t="s">
        <v>23</v>
      </c>
      <c r="C29" s="72" t="s">
        <v>70</v>
      </c>
      <c r="D29" s="72" t="s">
        <v>71</v>
      </c>
    </row>
    <row r="30" spans="2:4" ht="24.5" thickBot="1" x14ac:dyDescent="0.4">
      <c r="B30" s="71" t="s">
        <v>23</v>
      </c>
      <c r="C30" s="72" t="s">
        <v>72</v>
      </c>
      <c r="D30" s="72" t="s">
        <v>73</v>
      </c>
    </row>
    <row r="31" spans="2:4" ht="36.5" thickBot="1" x14ac:dyDescent="0.4">
      <c r="B31" s="71" t="s">
        <v>23</v>
      </c>
      <c r="C31" s="73" t="s">
        <v>74</v>
      </c>
      <c r="D31" s="73" t="s">
        <v>75</v>
      </c>
    </row>
    <row r="32" spans="2:4" ht="24.5" thickBot="1" x14ac:dyDescent="0.4">
      <c r="B32" s="71" t="s">
        <v>23</v>
      </c>
      <c r="C32" s="72" t="s">
        <v>76</v>
      </c>
      <c r="D32" s="72" t="s">
        <v>77</v>
      </c>
    </row>
    <row r="33" spans="2:4" ht="36.5" thickBot="1" x14ac:dyDescent="0.4">
      <c r="B33" s="71" t="s">
        <v>23</v>
      </c>
      <c r="C33" s="72" t="s">
        <v>78</v>
      </c>
      <c r="D33" s="72" t="s">
        <v>79</v>
      </c>
    </row>
    <row r="34" spans="2:4" ht="24.5" thickBot="1" x14ac:dyDescent="0.4">
      <c r="B34" s="71" t="s">
        <v>23</v>
      </c>
      <c r="C34" s="72" t="s">
        <v>80</v>
      </c>
      <c r="D34" s="72" t="s">
        <v>81</v>
      </c>
    </row>
    <row r="35" spans="2:4" ht="36.5" thickBot="1" x14ac:dyDescent="0.4">
      <c r="B35" s="71" t="s">
        <v>23</v>
      </c>
      <c r="C35" s="72" t="s">
        <v>82</v>
      </c>
      <c r="D35" s="72" t="s">
        <v>83</v>
      </c>
    </row>
    <row r="36" spans="2:4" ht="24.5" thickBot="1" x14ac:dyDescent="0.4">
      <c r="B36" s="71" t="s">
        <v>23</v>
      </c>
      <c r="C36" s="72" t="s">
        <v>84</v>
      </c>
      <c r="D36" s="74" t="s">
        <v>85</v>
      </c>
    </row>
    <row r="37" spans="2:4" s="70" customFormat="1" ht="12.5" thickBot="1" x14ac:dyDescent="0.4">
      <c r="B37" s="68" t="s">
        <v>23</v>
      </c>
      <c r="C37" s="69" t="s">
        <v>86</v>
      </c>
      <c r="D37" s="69" t="s">
        <v>22</v>
      </c>
    </row>
    <row r="38" spans="2:4" ht="48.5" thickBot="1" x14ac:dyDescent="0.4">
      <c r="B38" s="71" t="s">
        <v>23</v>
      </c>
      <c r="C38" s="72" t="s">
        <v>87</v>
      </c>
      <c r="D38" s="72" t="s">
        <v>88</v>
      </c>
    </row>
    <row r="39" spans="2:4" ht="12.5" thickBot="1" x14ac:dyDescent="0.4">
      <c r="B39" s="105" t="s">
        <v>89</v>
      </c>
      <c r="C39" s="106" t="s">
        <v>90</v>
      </c>
      <c r="D39" s="106" t="s">
        <v>22</v>
      </c>
    </row>
    <row r="40" spans="2:4" ht="24.5" thickBot="1" x14ac:dyDescent="0.4">
      <c r="B40" s="71" t="s">
        <v>89</v>
      </c>
      <c r="C40" s="72" t="s">
        <v>91</v>
      </c>
      <c r="D40" s="72" t="s">
        <v>92</v>
      </c>
    </row>
    <row r="41" spans="2:4" ht="24.5" thickBot="1" x14ac:dyDescent="0.4">
      <c r="B41" s="71" t="s">
        <v>89</v>
      </c>
      <c r="C41" s="72" t="s">
        <v>93</v>
      </c>
      <c r="D41" s="72" t="s">
        <v>94</v>
      </c>
    </row>
    <row r="42" spans="2:4" ht="24.5" thickBot="1" x14ac:dyDescent="0.4">
      <c r="B42" s="71" t="s">
        <v>89</v>
      </c>
      <c r="C42" s="72" t="s">
        <v>95</v>
      </c>
      <c r="D42" s="72" t="s">
        <v>96</v>
      </c>
    </row>
    <row r="43" spans="2:4" ht="24.5" thickBot="1" x14ac:dyDescent="0.4">
      <c r="B43" s="71" t="s">
        <v>89</v>
      </c>
      <c r="C43" s="72" t="s">
        <v>97</v>
      </c>
      <c r="D43" s="72" t="s">
        <v>98</v>
      </c>
    </row>
    <row r="44" spans="2:4" ht="36.5" thickBot="1" x14ac:dyDescent="0.4">
      <c r="B44" s="71" t="s">
        <v>89</v>
      </c>
      <c r="C44" s="72" t="s">
        <v>99</v>
      </c>
      <c r="D44" s="72" t="s">
        <v>100</v>
      </c>
    </row>
    <row r="45" spans="2:4" ht="12.5" thickBot="1" x14ac:dyDescent="0.4">
      <c r="B45" s="105" t="s">
        <v>89</v>
      </c>
      <c r="C45" s="106" t="s">
        <v>101</v>
      </c>
      <c r="D45" s="106" t="s">
        <v>22</v>
      </c>
    </row>
    <row r="46" spans="2:4" ht="36.5" thickBot="1" x14ac:dyDescent="0.4">
      <c r="B46" s="71" t="s">
        <v>89</v>
      </c>
      <c r="C46" s="72" t="s">
        <v>102</v>
      </c>
      <c r="D46" s="72" t="s">
        <v>103</v>
      </c>
    </row>
    <row r="47" spans="2:4" ht="60.5" thickBot="1" x14ac:dyDescent="0.4">
      <c r="B47" s="71" t="s">
        <v>89</v>
      </c>
      <c r="C47" s="72" t="s">
        <v>104</v>
      </c>
      <c r="D47" s="72" t="s">
        <v>105</v>
      </c>
    </row>
    <row r="48" spans="2:4" ht="24.5" thickBot="1" x14ac:dyDescent="0.4">
      <c r="B48" s="71" t="s">
        <v>89</v>
      </c>
      <c r="C48" s="72" t="s">
        <v>106</v>
      </c>
      <c r="D48" s="72" t="s">
        <v>107</v>
      </c>
    </row>
    <row r="49" spans="2:4" ht="60.5" thickBot="1" x14ac:dyDescent="0.4">
      <c r="B49" s="71" t="s">
        <v>89</v>
      </c>
      <c r="C49" s="72" t="s">
        <v>108</v>
      </c>
      <c r="D49" s="72" t="s">
        <v>109</v>
      </c>
    </row>
    <row r="50" spans="2:4" ht="60.5" thickBot="1" x14ac:dyDescent="0.4">
      <c r="B50" s="71" t="s">
        <v>89</v>
      </c>
      <c r="C50" s="72" t="s">
        <v>110</v>
      </c>
      <c r="D50" s="72" t="s">
        <v>111</v>
      </c>
    </row>
    <row r="51" spans="2:4" ht="36.5" thickBot="1" x14ac:dyDescent="0.4">
      <c r="B51" s="71" t="s">
        <v>89</v>
      </c>
      <c r="C51" s="72" t="s">
        <v>112</v>
      </c>
      <c r="D51" s="72" t="s">
        <v>113</v>
      </c>
    </row>
    <row r="52" spans="2:4" ht="48.5" thickBot="1" x14ac:dyDescent="0.4">
      <c r="B52" s="71" t="s">
        <v>89</v>
      </c>
      <c r="C52" s="72" t="s">
        <v>114</v>
      </c>
      <c r="D52" s="72" t="s">
        <v>115</v>
      </c>
    </row>
    <row r="53" spans="2:4" ht="36.5" thickBot="1" x14ac:dyDescent="0.4">
      <c r="B53" s="71" t="s">
        <v>89</v>
      </c>
      <c r="C53" s="72" t="s">
        <v>116</v>
      </c>
      <c r="D53" s="72" t="s">
        <v>117</v>
      </c>
    </row>
    <row r="54" spans="2:4" ht="36.5" thickBot="1" x14ac:dyDescent="0.4">
      <c r="B54" s="71" t="s">
        <v>89</v>
      </c>
      <c r="C54" s="72" t="s">
        <v>118</v>
      </c>
      <c r="D54" s="72" t="s">
        <v>119</v>
      </c>
    </row>
    <row r="55" spans="2:4" ht="24.5" thickBot="1" x14ac:dyDescent="0.4">
      <c r="B55" s="71" t="s">
        <v>89</v>
      </c>
      <c r="C55" s="72" t="s">
        <v>120</v>
      </c>
      <c r="D55" s="72" t="s">
        <v>121</v>
      </c>
    </row>
    <row r="56" spans="2:4" ht="12.5" thickBot="1" x14ac:dyDescent="0.4">
      <c r="B56" s="107" t="s">
        <v>122</v>
      </c>
      <c r="C56" s="108" t="s">
        <v>90</v>
      </c>
      <c r="D56" s="108" t="s">
        <v>22</v>
      </c>
    </row>
    <row r="57" spans="2:4" ht="36.5" thickBot="1" x14ac:dyDescent="0.4">
      <c r="B57" s="71" t="s">
        <v>122</v>
      </c>
      <c r="C57" s="72" t="s">
        <v>123</v>
      </c>
      <c r="D57" s="72" t="s">
        <v>124</v>
      </c>
    </row>
    <row r="58" spans="2:4" ht="12.5" thickBot="1" x14ac:dyDescent="0.4">
      <c r="B58" s="71" t="s">
        <v>122</v>
      </c>
      <c r="C58" s="72" t="s">
        <v>125</v>
      </c>
      <c r="D58" s="72"/>
    </row>
    <row r="59" spans="2:4" ht="24.5" thickBot="1" x14ac:dyDescent="0.4">
      <c r="B59" s="71" t="s">
        <v>122</v>
      </c>
      <c r="C59" s="72" t="s">
        <v>126</v>
      </c>
      <c r="D59" s="72" t="s">
        <v>127</v>
      </c>
    </row>
    <row r="60" spans="2:4" ht="24.5" thickBot="1" x14ac:dyDescent="0.4">
      <c r="B60" s="71" t="s">
        <v>122</v>
      </c>
      <c r="C60" s="72" t="s">
        <v>128</v>
      </c>
      <c r="D60" s="72" t="s">
        <v>129</v>
      </c>
    </row>
    <row r="61" spans="2:4" ht="36.5" thickBot="1" x14ac:dyDescent="0.4">
      <c r="B61" s="71" t="s">
        <v>122</v>
      </c>
      <c r="C61" s="72" t="s">
        <v>130</v>
      </c>
      <c r="D61" s="72"/>
    </row>
    <row r="62" spans="2:4" ht="12.5" thickBot="1" x14ac:dyDescent="0.4">
      <c r="B62" s="71" t="s">
        <v>122</v>
      </c>
      <c r="C62" s="72" t="s">
        <v>131</v>
      </c>
      <c r="D62" s="72"/>
    </row>
    <row r="63" spans="2:4" ht="12.5" thickBot="1" x14ac:dyDescent="0.4">
      <c r="B63" s="107" t="s">
        <v>122</v>
      </c>
      <c r="C63" s="108" t="s">
        <v>69</v>
      </c>
      <c r="D63" s="108" t="s">
        <v>22</v>
      </c>
    </row>
    <row r="64" spans="2:4" ht="24.5" thickBot="1" x14ac:dyDescent="0.4">
      <c r="B64" s="71" t="s">
        <v>122</v>
      </c>
      <c r="C64" s="72" t="s">
        <v>132</v>
      </c>
      <c r="D64" s="72" t="s">
        <v>85</v>
      </c>
    </row>
    <row r="65" spans="2:4" ht="24.5" thickBot="1" x14ac:dyDescent="0.4">
      <c r="B65" s="71" t="s">
        <v>122</v>
      </c>
      <c r="C65" s="72" t="s">
        <v>133</v>
      </c>
      <c r="D65" s="72"/>
    </row>
    <row r="66" spans="2:4" ht="36.5" thickBot="1" x14ac:dyDescent="0.4">
      <c r="B66" s="71" t="s">
        <v>122</v>
      </c>
      <c r="C66" s="72" t="s">
        <v>134</v>
      </c>
      <c r="D66" s="72" t="s">
        <v>135</v>
      </c>
    </row>
    <row r="67" spans="2:4" ht="12.5" thickBot="1" x14ac:dyDescent="0.4">
      <c r="B67" s="71" t="s">
        <v>122</v>
      </c>
      <c r="C67" s="72" t="s">
        <v>136</v>
      </c>
      <c r="D67" s="72"/>
    </row>
    <row r="68" spans="2:4" ht="12.5" thickBot="1" x14ac:dyDescent="0.4">
      <c r="B68" s="109" t="s">
        <v>137</v>
      </c>
      <c r="C68" s="110" t="s">
        <v>90</v>
      </c>
      <c r="D68" s="110" t="s">
        <v>22</v>
      </c>
    </row>
    <row r="69" spans="2:4" ht="12.5" thickBot="1" x14ac:dyDescent="0.4">
      <c r="B69" s="71" t="s">
        <v>137</v>
      </c>
      <c r="C69" s="72" t="s">
        <v>138</v>
      </c>
      <c r="D69" s="72"/>
    </row>
    <row r="70" spans="2:4" ht="12.5" thickBot="1" x14ac:dyDescent="0.4">
      <c r="B70" s="71" t="s">
        <v>137</v>
      </c>
      <c r="C70" s="72" t="s">
        <v>139</v>
      </c>
      <c r="D70" s="72"/>
    </row>
    <row r="71" spans="2:4" ht="12.5" thickBot="1" x14ac:dyDescent="0.4">
      <c r="B71" s="71" t="s">
        <v>137</v>
      </c>
      <c r="C71" s="72" t="s">
        <v>140</v>
      </c>
      <c r="D71" s="72"/>
    </row>
    <row r="72" spans="2:4" ht="12.5" thickBot="1" x14ac:dyDescent="0.4">
      <c r="B72" s="71" t="s">
        <v>137</v>
      </c>
      <c r="C72" s="72" t="s">
        <v>141</v>
      </c>
      <c r="D72" s="72"/>
    </row>
    <row r="73" spans="2:4" ht="12.5" thickBot="1" x14ac:dyDescent="0.4">
      <c r="B73" s="71" t="s">
        <v>137</v>
      </c>
      <c r="C73" s="72" t="s">
        <v>142</v>
      </c>
      <c r="D73" s="72"/>
    </row>
    <row r="74" spans="2:4" ht="12.5" thickBot="1" x14ac:dyDescent="0.4">
      <c r="B74" s="71" t="s">
        <v>137</v>
      </c>
      <c r="C74" s="72" t="s">
        <v>143</v>
      </c>
      <c r="D74" s="72"/>
    </row>
    <row r="75" spans="2:4" ht="12.5" thickBot="1" x14ac:dyDescent="0.4">
      <c r="B75" s="71" t="s">
        <v>137</v>
      </c>
      <c r="C75" s="72" t="s">
        <v>144</v>
      </c>
      <c r="D75" s="72"/>
    </row>
    <row r="76" spans="2:4" ht="12.5" thickBot="1" x14ac:dyDescent="0.4">
      <c r="B76" s="71" t="s">
        <v>137</v>
      </c>
      <c r="C76" s="72" t="s">
        <v>145</v>
      </c>
      <c r="D76" s="72"/>
    </row>
    <row r="77" spans="2:4" ht="12.5" thickBot="1" x14ac:dyDescent="0.4">
      <c r="B77" s="71" t="s">
        <v>137</v>
      </c>
      <c r="C77" s="72" t="s">
        <v>146</v>
      </c>
      <c r="D77" s="72"/>
    </row>
    <row r="78" spans="2:4" ht="12.5" thickBot="1" x14ac:dyDescent="0.4">
      <c r="B78" s="71" t="s">
        <v>137</v>
      </c>
      <c r="C78" s="72" t="s">
        <v>147</v>
      </c>
      <c r="D78" s="72"/>
    </row>
    <row r="79" spans="2:4" ht="12.5" thickBot="1" x14ac:dyDescent="0.4">
      <c r="B79" s="71" t="s">
        <v>137</v>
      </c>
      <c r="C79" s="72" t="s">
        <v>148</v>
      </c>
      <c r="D79" s="72"/>
    </row>
    <row r="80" spans="2:4" ht="12.5" thickBot="1" x14ac:dyDescent="0.4">
      <c r="B80" s="109" t="s">
        <v>137</v>
      </c>
      <c r="C80" s="110" t="s">
        <v>69</v>
      </c>
      <c r="D80" s="110" t="s">
        <v>22</v>
      </c>
    </row>
    <row r="81" spans="2:4" ht="24.5" thickBot="1" x14ac:dyDescent="0.4">
      <c r="B81" s="71" t="s">
        <v>137</v>
      </c>
      <c r="C81" s="72" t="s">
        <v>132</v>
      </c>
      <c r="D81" s="72" t="s">
        <v>85</v>
      </c>
    </row>
    <row r="82" spans="2:4" ht="24.5" thickBot="1" x14ac:dyDescent="0.4">
      <c r="B82" s="71" t="s">
        <v>137</v>
      </c>
      <c r="C82" s="72" t="s">
        <v>133</v>
      </c>
      <c r="D82" s="72"/>
    </row>
    <row r="83" spans="2:4" ht="36.5" thickBot="1" x14ac:dyDescent="0.4">
      <c r="B83" s="71" t="s">
        <v>137</v>
      </c>
      <c r="C83" s="72" t="s">
        <v>134</v>
      </c>
      <c r="D83" s="72" t="s">
        <v>135</v>
      </c>
    </row>
    <row r="84" spans="2:4" ht="12.5" thickBot="1" x14ac:dyDescent="0.4">
      <c r="B84" s="111" t="s">
        <v>137</v>
      </c>
      <c r="C84" s="112" t="s">
        <v>136</v>
      </c>
      <c r="D84" s="112"/>
    </row>
    <row r="85" spans="2:4" ht="24.5" thickBot="1" x14ac:dyDescent="0.4">
      <c r="B85" s="128" t="s">
        <v>149</v>
      </c>
      <c r="C85" s="112" t="s">
        <v>150</v>
      </c>
      <c r="D85" s="112" t="s">
        <v>151</v>
      </c>
    </row>
    <row r="86" spans="2:4" ht="36.5" thickBot="1" x14ac:dyDescent="0.4">
      <c r="B86" s="128" t="s">
        <v>149</v>
      </c>
      <c r="C86" s="112" t="s">
        <v>152</v>
      </c>
      <c r="D86" s="112" t="s">
        <v>153</v>
      </c>
    </row>
    <row r="87" spans="2:4" ht="36.5" thickBot="1" x14ac:dyDescent="0.4">
      <c r="B87" s="128" t="s">
        <v>149</v>
      </c>
      <c r="C87" s="112" t="s">
        <v>154</v>
      </c>
      <c r="D87" s="112" t="s">
        <v>155</v>
      </c>
    </row>
    <row r="88" spans="2:4" ht="24.5" thickBot="1" x14ac:dyDescent="0.4">
      <c r="B88" s="128" t="s">
        <v>149</v>
      </c>
      <c r="C88" s="112" t="s">
        <v>156</v>
      </c>
      <c r="D88" s="112" t="s">
        <v>157</v>
      </c>
    </row>
    <row r="89" spans="2:4" ht="24.5" thickBot="1" x14ac:dyDescent="0.4">
      <c r="B89" s="128" t="s">
        <v>149</v>
      </c>
      <c r="C89" s="112" t="s">
        <v>158</v>
      </c>
      <c r="D89" s="112" t="s">
        <v>159</v>
      </c>
    </row>
    <row r="90" spans="2:4" ht="48.5" thickBot="1" x14ac:dyDescent="0.4">
      <c r="B90" s="128" t="s">
        <v>149</v>
      </c>
      <c r="C90" s="112" t="s">
        <v>160</v>
      </c>
      <c r="D90" s="112" t="s">
        <v>161</v>
      </c>
    </row>
    <row r="91" spans="2:4" ht="48.5" thickBot="1" x14ac:dyDescent="0.4">
      <c r="B91" s="128" t="s">
        <v>149</v>
      </c>
      <c r="C91" s="112" t="s">
        <v>162</v>
      </c>
      <c r="D91" s="112" t="s">
        <v>163</v>
      </c>
    </row>
    <row r="92" spans="2:4" ht="36.5" thickBot="1" x14ac:dyDescent="0.4">
      <c r="B92" s="128" t="s">
        <v>149</v>
      </c>
      <c r="C92" s="112" t="s">
        <v>164</v>
      </c>
      <c r="D92" s="112" t="s">
        <v>165</v>
      </c>
    </row>
    <row r="93" spans="2:4" ht="36.5" thickBot="1" x14ac:dyDescent="0.4">
      <c r="B93" s="128" t="s">
        <v>149</v>
      </c>
      <c r="C93" s="112" t="s">
        <v>166</v>
      </c>
      <c r="D93" s="112" t="s">
        <v>167</v>
      </c>
    </row>
    <row r="94" spans="2:4" ht="36.5" thickBot="1" x14ac:dyDescent="0.4">
      <c r="B94" s="128" t="s">
        <v>149</v>
      </c>
      <c r="C94" s="112" t="s">
        <v>168</v>
      </c>
      <c r="D94" s="112" t="s">
        <v>169</v>
      </c>
    </row>
    <row r="95" spans="2:4" ht="48.5" thickBot="1" x14ac:dyDescent="0.4">
      <c r="B95" s="128" t="s">
        <v>149</v>
      </c>
      <c r="C95" s="112" t="s">
        <v>170</v>
      </c>
      <c r="D95" s="112" t="s">
        <v>171</v>
      </c>
    </row>
    <row r="96" spans="2:4" ht="36" x14ac:dyDescent="0.35">
      <c r="B96" s="128" t="s">
        <v>149</v>
      </c>
      <c r="C96" s="112" t="s">
        <v>172</v>
      </c>
      <c r="D96" s="112" t="s">
        <v>173</v>
      </c>
    </row>
  </sheetData>
  <mergeCells count="1">
    <mergeCell ref="C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B1B56-00D6-4165-A08B-8F7628F3A2AE}">
  <dimension ref="B1:AJ67"/>
  <sheetViews>
    <sheetView showGridLines="0" zoomScaleNormal="100" workbookViewId="0">
      <selection activeCell="T10" sqref="T10"/>
    </sheetView>
  </sheetViews>
  <sheetFormatPr defaultColWidth="8.81640625" defaultRowHeight="12" x14ac:dyDescent="0.35"/>
  <cols>
    <col min="1" max="1" width="2.54296875" style="1" customWidth="1"/>
    <col min="2" max="2" width="13" style="1" bestFit="1" customWidth="1"/>
    <col min="3" max="3" width="26" style="1" customWidth="1"/>
    <col min="4" max="4" width="7" style="1" customWidth="1"/>
    <col min="5" max="5" width="7" style="2" customWidth="1"/>
    <col min="6" max="6" width="7" style="1" customWidth="1"/>
    <col min="7" max="13" width="7" style="2" customWidth="1"/>
    <col min="14" max="14" width="2.453125" style="1" customWidth="1"/>
    <col min="15" max="15" width="8.453125" style="1" customWidth="1"/>
    <col min="16" max="16" width="9.453125" style="1" bestFit="1" customWidth="1"/>
    <col min="17" max="31" width="6.81640625" style="2" customWidth="1"/>
    <col min="32" max="32" width="6.54296875" style="1" customWidth="1"/>
    <col min="33" max="33" width="3.453125" style="2" bestFit="1" customWidth="1"/>
    <col min="34" max="34" width="7.54296875" style="2" bestFit="1" customWidth="1"/>
    <col min="35" max="35" width="21.81640625" style="3" bestFit="1" customWidth="1"/>
    <col min="36" max="36" width="10.81640625" style="1" bestFit="1" customWidth="1"/>
    <col min="37" max="16384" width="8.81640625" style="1"/>
  </cols>
  <sheetData>
    <row r="1" spans="2:36" ht="12.5" thickBot="1" x14ac:dyDescent="0.4"/>
    <row r="2" spans="2:36" x14ac:dyDescent="0.3">
      <c r="B2" s="194" t="s">
        <v>174</v>
      </c>
      <c r="C2" s="195"/>
      <c r="D2" s="195"/>
      <c r="E2" s="195"/>
      <c r="F2" s="195"/>
      <c r="G2" s="195"/>
      <c r="H2" s="195"/>
      <c r="I2" s="195"/>
      <c r="J2" s="195"/>
      <c r="K2" s="195"/>
      <c r="L2" s="195"/>
      <c r="M2" s="196"/>
    </row>
    <row r="3" spans="2:36" s="4" customFormat="1" ht="15.65" customHeight="1" x14ac:dyDescent="0.35">
      <c r="B3" s="197" t="s">
        <v>175</v>
      </c>
      <c r="C3" s="171"/>
      <c r="D3" s="165" t="s">
        <v>176</v>
      </c>
      <c r="E3" s="165"/>
      <c r="F3" s="165"/>
      <c r="G3" s="165"/>
      <c r="H3" s="165"/>
      <c r="I3" s="165"/>
      <c r="J3" s="62" t="s">
        <v>177</v>
      </c>
      <c r="K3" s="165" t="s">
        <v>178</v>
      </c>
      <c r="L3" s="165"/>
      <c r="M3" s="198"/>
      <c r="Q3" s="5"/>
      <c r="R3" s="5"/>
      <c r="S3" s="5"/>
      <c r="T3" s="5"/>
      <c r="U3" s="5"/>
      <c r="V3" s="5"/>
      <c r="W3" s="5"/>
      <c r="X3" s="5"/>
      <c r="Y3" s="5"/>
      <c r="Z3" s="5"/>
      <c r="AA3" s="5"/>
      <c r="AB3" s="5"/>
      <c r="AC3" s="5"/>
      <c r="AD3" s="5"/>
      <c r="AE3" s="5"/>
      <c r="AG3" s="5"/>
      <c r="AH3" s="5"/>
      <c r="AI3" s="6"/>
    </row>
    <row r="4" spans="2:36" x14ac:dyDescent="0.35">
      <c r="B4" s="7" t="s">
        <v>179</v>
      </c>
      <c r="C4" s="8" t="s">
        <v>180</v>
      </c>
      <c r="D4" s="9" t="s">
        <v>181</v>
      </c>
      <c r="E4" s="9" t="s">
        <v>182</v>
      </c>
      <c r="F4" s="9" t="s">
        <v>183</v>
      </c>
      <c r="G4" s="9" t="s">
        <v>184</v>
      </c>
      <c r="H4" s="9" t="s">
        <v>185</v>
      </c>
      <c r="I4" s="9" t="s">
        <v>186</v>
      </c>
      <c r="J4" s="9" t="s">
        <v>187</v>
      </c>
      <c r="K4" s="9" t="s">
        <v>188</v>
      </c>
      <c r="L4" s="9" t="s">
        <v>189</v>
      </c>
      <c r="M4" s="10" t="s">
        <v>190</v>
      </c>
      <c r="Q4" s="2">
        <f>SUM(Q5:Q9)</f>
        <v>15</v>
      </c>
      <c r="R4" s="2">
        <f t="shared" ref="R4:Z4" si="0">SUM(R5:R9)</f>
        <v>15</v>
      </c>
      <c r="S4" s="2">
        <f t="shared" si="0"/>
        <v>15</v>
      </c>
      <c r="T4" s="2">
        <f t="shared" si="0"/>
        <v>15</v>
      </c>
      <c r="U4" s="2">
        <f t="shared" si="0"/>
        <v>15</v>
      </c>
      <c r="V4" s="2">
        <f t="shared" si="0"/>
        <v>15</v>
      </c>
      <c r="W4" s="2">
        <f t="shared" si="0"/>
        <v>15</v>
      </c>
      <c r="X4" s="2">
        <f t="shared" si="0"/>
        <v>13</v>
      </c>
      <c r="Y4" s="2">
        <f t="shared" si="0"/>
        <v>15</v>
      </c>
      <c r="Z4" s="2">
        <f t="shared" si="0"/>
        <v>15</v>
      </c>
      <c r="AA4" s="2">
        <f>SUM(AA5:AA9)</f>
        <v>86</v>
      </c>
      <c r="AB4" s="2">
        <v>148</v>
      </c>
      <c r="AC4" s="2">
        <f>SUM(AC5:AC9)</f>
        <v>148</v>
      </c>
      <c r="AD4" s="2">
        <v>148</v>
      </c>
      <c r="AE4" s="2">
        <f>SUM(AE5:AE10)</f>
        <v>0</v>
      </c>
      <c r="AG4" s="11" t="s">
        <v>191</v>
      </c>
      <c r="AH4" s="11" t="s">
        <v>192</v>
      </c>
      <c r="AI4" s="12" t="s">
        <v>22</v>
      </c>
      <c r="AJ4" s="13" t="s">
        <v>193</v>
      </c>
    </row>
    <row r="5" spans="2:36" x14ac:dyDescent="0.35">
      <c r="B5" s="190" t="s">
        <v>194</v>
      </c>
      <c r="C5" s="14" t="s">
        <v>91</v>
      </c>
      <c r="D5" s="15">
        <v>4</v>
      </c>
      <c r="E5" s="16">
        <v>2</v>
      </c>
      <c r="F5" s="15">
        <v>4</v>
      </c>
      <c r="G5" s="16">
        <v>3</v>
      </c>
      <c r="H5" s="16">
        <v>3</v>
      </c>
      <c r="I5" s="17">
        <v>0</v>
      </c>
      <c r="J5" s="17">
        <v>2</v>
      </c>
      <c r="K5" s="17" t="s">
        <v>195</v>
      </c>
      <c r="L5" s="15">
        <v>3</v>
      </c>
      <c r="M5" s="18">
        <v>2</v>
      </c>
      <c r="O5" s="19" t="s">
        <v>5</v>
      </c>
      <c r="P5" s="20" t="s">
        <v>6</v>
      </c>
      <c r="Q5" s="21">
        <f t="shared" ref="Q5:Z5" si="1">COUNTIF(D$5:D$19,4)</f>
        <v>1</v>
      </c>
      <c r="R5" s="21">
        <f t="shared" si="1"/>
        <v>0</v>
      </c>
      <c r="S5" s="21">
        <f t="shared" si="1"/>
        <v>1</v>
      </c>
      <c r="T5" s="21">
        <f t="shared" si="1"/>
        <v>0</v>
      </c>
      <c r="U5" s="21">
        <f t="shared" si="1"/>
        <v>0</v>
      </c>
      <c r="V5" s="21">
        <f t="shared" si="1"/>
        <v>0</v>
      </c>
      <c r="W5" s="21">
        <f t="shared" si="1"/>
        <v>0</v>
      </c>
      <c r="X5" s="21">
        <f t="shared" si="1"/>
        <v>0</v>
      </c>
      <c r="Y5" s="21">
        <f t="shared" si="1"/>
        <v>0</v>
      </c>
      <c r="Z5" s="21">
        <f t="shared" si="1"/>
        <v>0</v>
      </c>
      <c r="AA5" s="21">
        <v>0</v>
      </c>
      <c r="AB5" s="21">
        <v>0</v>
      </c>
      <c r="AC5" s="21">
        <v>2</v>
      </c>
      <c r="AD5" s="22">
        <v>4</v>
      </c>
      <c r="AE5" s="21"/>
      <c r="AG5" s="23">
        <v>1</v>
      </c>
      <c r="AH5" s="23" t="s">
        <v>196</v>
      </c>
      <c r="AI5" s="24" t="s">
        <v>197</v>
      </c>
      <c r="AJ5" s="25" t="s">
        <v>198</v>
      </c>
    </row>
    <row r="6" spans="2:36" x14ac:dyDescent="0.35">
      <c r="B6" s="191"/>
      <c r="C6" s="14" t="s">
        <v>93</v>
      </c>
      <c r="D6" s="15">
        <v>3</v>
      </c>
      <c r="E6" s="26">
        <v>2</v>
      </c>
      <c r="F6" s="15">
        <v>3</v>
      </c>
      <c r="G6" s="16">
        <v>2</v>
      </c>
      <c r="H6" s="16">
        <v>3</v>
      </c>
      <c r="I6" s="17">
        <v>0</v>
      </c>
      <c r="J6" s="17">
        <v>2</v>
      </c>
      <c r="K6" s="16">
        <v>2</v>
      </c>
      <c r="L6" s="16">
        <v>2</v>
      </c>
      <c r="M6" s="27">
        <v>2</v>
      </c>
      <c r="O6" s="19" t="s">
        <v>7</v>
      </c>
      <c r="P6" s="20" t="s">
        <v>8</v>
      </c>
      <c r="Q6" s="15">
        <f t="shared" ref="Q6:Z6" si="2">COUNTIF(D$5:D$19,3)</f>
        <v>11</v>
      </c>
      <c r="R6" s="15">
        <f t="shared" si="2"/>
        <v>0</v>
      </c>
      <c r="S6" s="15">
        <f t="shared" si="2"/>
        <v>11</v>
      </c>
      <c r="T6" s="15">
        <f t="shared" si="2"/>
        <v>3</v>
      </c>
      <c r="U6" s="15">
        <f t="shared" si="2"/>
        <v>7</v>
      </c>
      <c r="V6" s="15">
        <f t="shared" si="2"/>
        <v>0</v>
      </c>
      <c r="W6" s="15">
        <f t="shared" si="2"/>
        <v>0</v>
      </c>
      <c r="X6" s="15">
        <f t="shared" si="2"/>
        <v>8</v>
      </c>
      <c r="Y6" s="15">
        <f t="shared" si="2"/>
        <v>7</v>
      </c>
      <c r="Z6" s="15">
        <f t="shared" si="2"/>
        <v>1</v>
      </c>
      <c r="AA6" s="15">
        <v>21</v>
      </c>
      <c r="AB6" s="15">
        <v>44.4</v>
      </c>
      <c r="AC6" s="15">
        <v>48</v>
      </c>
      <c r="AD6" s="15">
        <v>47</v>
      </c>
      <c r="AE6" s="15"/>
      <c r="AG6" s="23">
        <v>2</v>
      </c>
      <c r="AH6" s="28" t="s">
        <v>199</v>
      </c>
      <c r="AI6" s="24" t="s">
        <v>200</v>
      </c>
      <c r="AJ6" s="25" t="s">
        <v>201</v>
      </c>
    </row>
    <row r="7" spans="2:36" x14ac:dyDescent="0.35">
      <c r="B7" s="191"/>
      <c r="C7" s="14" t="s">
        <v>95</v>
      </c>
      <c r="D7" s="15">
        <v>3</v>
      </c>
      <c r="E7" s="16">
        <v>2</v>
      </c>
      <c r="F7" s="15">
        <v>3</v>
      </c>
      <c r="G7" s="16">
        <v>3</v>
      </c>
      <c r="H7" s="16">
        <v>2</v>
      </c>
      <c r="I7" s="17">
        <v>0</v>
      </c>
      <c r="J7" s="17">
        <v>2</v>
      </c>
      <c r="K7" s="15">
        <v>3</v>
      </c>
      <c r="L7" s="16">
        <v>3</v>
      </c>
      <c r="M7" s="29">
        <v>2</v>
      </c>
      <c r="O7" s="19" t="s">
        <v>9</v>
      </c>
      <c r="P7" s="20" t="s">
        <v>10</v>
      </c>
      <c r="Q7" s="16">
        <f t="shared" ref="Q7:Z7" si="3">COUNTIF(D$5:D$19,2)</f>
        <v>3</v>
      </c>
      <c r="R7" s="16">
        <f t="shared" si="3"/>
        <v>13</v>
      </c>
      <c r="S7" s="16">
        <f t="shared" si="3"/>
        <v>3</v>
      </c>
      <c r="T7" s="16">
        <f t="shared" si="3"/>
        <v>12</v>
      </c>
      <c r="U7" s="16">
        <f t="shared" si="3"/>
        <v>6</v>
      </c>
      <c r="V7" s="16">
        <f t="shared" si="3"/>
        <v>0</v>
      </c>
      <c r="W7" s="16">
        <f t="shared" si="3"/>
        <v>12</v>
      </c>
      <c r="X7" s="16">
        <f t="shared" si="3"/>
        <v>5</v>
      </c>
      <c r="Y7" s="16">
        <f t="shared" si="3"/>
        <v>8</v>
      </c>
      <c r="Z7" s="16">
        <f t="shared" si="3"/>
        <v>12</v>
      </c>
      <c r="AA7" s="16">
        <v>46</v>
      </c>
      <c r="AB7" s="16">
        <v>59.2</v>
      </c>
      <c r="AC7" s="16">
        <v>74</v>
      </c>
      <c r="AD7" s="16">
        <v>67</v>
      </c>
      <c r="AE7" s="16"/>
      <c r="AG7" s="23">
        <v>3</v>
      </c>
      <c r="AH7" s="28" t="s">
        <v>202</v>
      </c>
      <c r="AI7" s="24" t="s">
        <v>203</v>
      </c>
      <c r="AJ7" s="25" t="s">
        <v>198</v>
      </c>
    </row>
    <row r="8" spans="2:36" x14ac:dyDescent="0.35">
      <c r="B8" s="191"/>
      <c r="C8" s="14" t="s">
        <v>97</v>
      </c>
      <c r="D8" s="16">
        <v>3</v>
      </c>
      <c r="E8" s="16">
        <v>2</v>
      </c>
      <c r="F8" s="15">
        <v>3</v>
      </c>
      <c r="G8" s="16">
        <v>2</v>
      </c>
      <c r="H8" s="26">
        <v>2</v>
      </c>
      <c r="I8" s="17">
        <v>0</v>
      </c>
      <c r="J8" s="17">
        <v>2</v>
      </c>
      <c r="K8" s="17" t="s">
        <v>195</v>
      </c>
      <c r="L8" s="16">
        <v>2</v>
      </c>
      <c r="M8" s="18">
        <v>1</v>
      </c>
      <c r="O8" s="19" t="s">
        <v>11</v>
      </c>
      <c r="P8" s="20" t="s">
        <v>12</v>
      </c>
      <c r="Q8" s="26">
        <f t="shared" ref="Q8:Z8" si="4">COUNTIF(D$5:D$19,1)</f>
        <v>0</v>
      </c>
      <c r="R8" s="26">
        <f t="shared" si="4"/>
        <v>2</v>
      </c>
      <c r="S8" s="26">
        <f t="shared" si="4"/>
        <v>0</v>
      </c>
      <c r="T8" s="26">
        <f t="shared" si="4"/>
        <v>0</v>
      </c>
      <c r="U8" s="26">
        <f t="shared" si="4"/>
        <v>2</v>
      </c>
      <c r="V8" s="26">
        <f t="shared" si="4"/>
        <v>0</v>
      </c>
      <c r="W8" s="26">
        <f t="shared" si="4"/>
        <v>3</v>
      </c>
      <c r="X8" s="26">
        <f t="shared" si="4"/>
        <v>0</v>
      </c>
      <c r="Y8" s="26">
        <f t="shared" si="4"/>
        <v>0</v>
      </c>
      <c r="Z8" s="26">
        <f t="shared" si="4"/>
        <v>2</v>
      </c>
      <c r="AA8" s="26">
        <v>17</v>
      </c>
      <c r="AB8" s="26">
        <v>29.6</v>
      </c>
      <c r="AC8" s="26">
        <v>9</v>
      </c>
      <c r="AD8" s="26">
        <v>22</v>
      </c>
      <c r="AE8" s="26"/>
      <c r="AG8" s="23">
        <v>4</v>
      </c>
      <c r="AH8" s="28" t="s">
        <v>204</v>
      </c>
      <c r="AI8" s="24" t="s">
        <v>205</v>
      </c>
      <c r="AJ8" s="25" t="s">
        <v>198</v>
      </c>
    </row>
    <row r="9" spans="2:36" ht="24" x14ac:dyDescent="0.35">
      <c r="B9" s="192"/>
      <c r="C9" s="30" t="s">
        <v>99</v>
      </c>
      <c r="D9" s="16">
        <v>2</v>
      </c>
      <c r="E9" s="26">
        <v>2</v>
      </c>
      <c r="F9" s="16">
        <v>2</v>
      </c>
      <c r="G9" s="16">
        <v>2</v>
      </c>
      <c r="H9" s="26">
        <v>1</v>
      </c>
      <c r="I9" s="17">
        <v>0</v>
      </c>
      <c r="J9" s="31">
        <v>1</v>
      </c>
      <c r="K9" s="15">
        <v>3</v>
      </c>
      <c r="L9" s="15">
        <v>3</v>
      </c>
      <c r="M9" s="29">
        <v>2</v>
      </c>
      <c r="O9" s="19" t="s">
        <v>13</v>
      </c>
      <c r="P9" s="20" t="s">
        <v>14</v>
      </c>
      <c r="Q9" s="56">
        <f t="shared" ref="Q9:Z9" si="5">COUNTIF(D$5:D$19,0)</f>
        <v>0</v>
      </c>
      <c r="R9" s="56">
        <f t="shared" si="5"/>
        <v>0</v>
      </c>
      <c r="S9" s="56">
        <f t="shared" si="5"/>
        <v>0</v>
      </c>
      <c r="T9" s="56">
        <f t="shared" si="5"/>
        <v>0</v>
      </c>
      <c r="U9" s="56">
        <f t="shared" si="5"/>
        <v>0</v>
      </c>
      <c r="V9" s="56">
        <f t="shared" si="5"/>
        <v>15</v>
      </c>
      <c r="W9" s="56">
        <f t="shared" si="5"/>
        <v>0</v>
      </c>
      <c r="X9" s="56">
        <f t="shared" si="5"/>
        <v>0</v>
      </c>
      <c r="Y9" s="56">
        <f t="shared" si="5"/>
        <v>0</v>
      </c>
      <c r="Z9" s="56">
        <f t="shared" si="5"/>
        <v>0</v>
      </c>
      <c r="AA9" s="56">
        <v>2</v>
      </c>
      <c r="AB9" s="56">
        <v>14.8</v>
      </c>
      <c r="AC9" s="56">
        <v>15</v>
      </c>
      <c r="AD9" s="56">
        <v>8</v>
      </c>
      <c r="AE9" s="56"/>
      <c r="AG9" s="23">
        <v>5</v>
      </c>
      <c r="AH9" s="28">
        <v>45845</v>
      </c>
      <c r="AI9" s="24" t="s">
        <v>206</v>
      </c>
      <c r="AJ9" s="25" t="s">
        <v>207</v>
      </c>
    </row>
    <row r="10" spans="2:36" ht="24.65" customHeight="1" x14ac:dyDescent="0.35">
      <c r="B10" s="199" t="s">
        <v>208</v>
      </c>
      <c r="C10" s="32" t="s">
        <v>102</v>
      </c>
      <c r="D10" s="16">
        <v>2</v>
      </c>
      <c r="E10" s="26">
        <v>1</v>
      </c>
      <c r="F10" s="16">
        <v>3</v>
      </c>
      <c r="G10" s="16">
        <v>2</v>
      </c>
      <c r="H10" s="26">
        <v>1</v>
      </c>
      <c r="I10" s="17">
        <v>0</v>
      </c>
      <c r="J10" s="31">
        <v>1</v>
      </c>
      <c r="K10" s="16">
        <v>2</v>
      </c>
      <c r="L10" s="16">
        <v>2</v>
      </c>
      <c r="M10" s="27">
        <v>1</v>
      </c>
      <c r="O10" s="2"/>
      <c r="P10" s="19" t="s">
        <v>195</v>
      </c>
      <c r="Q10" s="55"/>
      <c r="R10" s="55"/>
      <c r="S10" s="55"/>
      <c r="T10" s="55"/>
      <c r="U10" s="55"/>
      <c r="V10" s="55"/>
      <c r="W10" s="55"/>
      <c r="X10" s="55">
        <v>2</v>
      </c>
      <c r="Y10" s="55"/>
      <c r="Z10" s="55"/>
      <c r="AA10" s="55"/>
      <c r="AB10" s="55"/>
      <c r="AC10" s="55"/>
      <c r="AD10" s="55"/>
      <c r="AE10" s="55"/>
      <c r="AG10" s="3"/>
      <c r="AH10" s="3"/>
      <c r="AJ10" s="3"/>
    </row>
    <row r="11" spans="2:36" ht="36" x14ac:dyDescent="0.35">
      <c r="B11" s="199"/>
      <c r="C11" s="34" t="s">
        <v>104</v>
      </c>
      <c r="D11" s="15">
        <v>3</v>
      </c>
      <c r="E11" s="26">
        <v>2</v>
      </c>
      <c r="F11" s="15">
        <v>3</v>
      </c>
      <c r="G11" s="16">
        <v>2</v>
      </c>
      <c r="H11" s="16">
        <v>2</v>
      </c>
      <c r="I11" s="17">
        <v>0</v>
      </c>
      <c r="J11" s="17">
        <v>2</v>
      </c>
      <c r="K11" s="15">
        <v>3</v>
      </c>
      <c r="L11" s="15">
        <v>3</v>
      </c>
      <c r="M11" s="29">
        <v>2</v>
      </c>
      <c r="O11" s="2"/>
      <c r="P11" s="2"/>
      <c r="Q11" s="19" t="s">
        <v>181</v>
      </c>
      <c r="R11" s="19" t="s">
        <v>182</v>
      </c>
      <c r="S11" s="19" t="s">
        <v>183</v>
      </c>
      <c r="T11" s="19" t="s">
        <v>184</v>
      </c>
      <c r="U11" s="19" t="s">
        <v>185</v>
      </c>
      <c r="V11" s="19" t="s">
        <v>186</v>
      </c>
      <c r="W11" s="19" t="s">
        <v>187</v>
      </c>
      <c r="X11" s="19" t="s">
        <v>188</v>
      </c>
      <c r="Y11" s="19" t="s">
        <v>209</v>
      </c>
      <c r="Z11" s="19" t="s">
        <v>190</v>
      </c>
      <c r="AA11" s="33" t="s">
        <v>0</v>
      </c>
      <c r="AB11" s="33" t="s">
        <v>1</v>
      </c>
      <c r="AC11" s="33" t="s">
        <v>2</v>
      </c>
      <c r="AD11" s="33" t="s">
        <v>3</v>
      </c>
      <c r="AE11" s="33" t="s">
        <v>4</v>
      </c>
      <c r="AG11" s="3"/>
      <c r="AH11" s="3"/>
      <c r="AJ11" s="3"/>
    </row>
    <row r="12" spans="2:36" ht="24" x14ac:dyDescent="0.35">
      <c r="B12" s="199"/>
      <c r="C12" s="34" t="s">
        <v>106</v>
      </c>
      <c r="D12" s="15">
        <v>3</v>
      </c>
      <c r="E12" s="16">
        <v>2</v>
      </c>
      <c r="F12" s="15">
        <v>3</v>
      </c>
      <c r="G12" s="16">
        <v>2</v>
      </c>
      <c r="H12" s="16">
        <v>3</v>
      </c>
      <c r="I12" s="17">
        <v>0</v>
      </c>
      <c r="J12" s="17">
        <v>2</v>
      </c>
      <c r="K12" s="15">
        <v>3</v>
      </c>
      <c r="L12" s="15">
        <v>3</v>
      </c>
      <c r="M12" s="35">
        <v>3</v>
      </c>
      <c r="O12" s="2"/>
      <c r="P12" s="2"/>
    </row>
    <row r="13" spans="2:36" x14ac:dyDescent="0.35">
      <c r="B13" s="199"/>
      <c r="C13" s="34" t="s">
        <v>108</v>
      </c>
      <c r="D13" s="31">
        <v>3</v>
      </c>
      <c r="E13" s="17">
        <v>2</v>
      </c>
      <c r="F13" s="31">
        <v>3</v>
      </c>
      <c r="G13" s="37">
        <v>2</v>
      </c>
      <c r="H13" s="17">
        <v>3</v>
      </c>
      <c r="I13" s="17">
        <v>0</v>
      </c>
      <c r="J13" s="17">
        <v>2</v>
      </c>
      <c r="K13" s="31">
        <v>2</v>
      </c>
      <c r="L13" s="31">
        <v>2</v>
      </c>
      <c r="M13" s="38">
        <v>2</v>
      </c>
      <c r="Y13" s="19" t="s">
        <v>5</v>
      </c>
      <c r="Z13" s="63" t="s">
        <v>6</v>
      </c>
      <c r="AA13" s="36">
        <f>AA5/$AA$4</f>
        <v>0</v>
      </c>
      <c r="AB13" s="36">
        <f>AB5/$AB$4</f>
        <v>0</v>
      </c>
      <c r="AC13" s="36">
        <f>AC5/$AC$4</f>
        <v>1.3513513513513514E-2</v>
      </c>
      <c r="AD13" s="36">
        <f>AD5/$AD$4</f>
        <v>2.7027027027027029E-2</v>
      </c>
      <c r="AE13" s="36" t="e">
        <f>AE5/$AE$4</f>
        <v>#DIV/0!</v>
      </c>
    </row>
    <row r="14" spans="2:36" ht="24" x14ac:dyDescent="0.35">
      <c r="B14" s="199"/>
      <c r="C14" s="34" t="s">
        <v>110</v>
      </c>
      <c r="D14" s="26">
        <v>2</v>
      </c>
      <c r="E14" s="26">
        <v>2</v>
      </c>
      <c r="F14" s="16">
        <v>2</v>
      </c>
      <c r="G14" s="16">
        <v>2</v>
      </c>
      <c r="H14" s="26">
        <v>2</v>
      </c>
      <c r="I14" s="17">
        <v>0</v>
      </c>
      <c r="J14" s="17">
        <v>2</v>
      </c>
      <c r="K14" s="16">
        <v>2</v>
      </c>
      <c r="L14" s="16">
        <v>2</v>
      </c>
      <c r="M14" s="27">
        <v>2</v>
      </c>
      <c r="Y14" s="19" t="s">
        <v>7</v>
      </c>
      <c r="Z14" s="63" t="s">
        <v>8</v>
      </c>
      <c r="AA14" s="57">
        <f>AA6/$AA$4</f>
        <v>0.2441860465116279</v>
      </c>
      <c r="AB14" s="57">
        <f t="shared" ref="AB14:AB17" si="6">AB6/$AB$4</f>
        <v>0.3</v>
      </c>
      <c r="AC14" s="57">
        <f t="shared" ref="AC14:AC17" si="7">AC6/$AC$4</f>
        <v>0.32432432432432434</v>
      </c>
      <c r="AD14" s="57">
        <f t="shared" ref="AD14:AD17" si="8">AD6/$AD$4</f>
        <v>0.31756756756756754</v>
      </c>
      <c r="AE14" s="57" t="e">
        <f t="shared" ref="AE14:AE17" si="9">AE6/$AE$4</f>
        <v>#DIV/0!</v>
      </c>
    </row>
    <row r="15" spans="2:36" ht="24" x14ac:dyDescent="0.35">
      <c r="B15" s="199"/>
      <c r="C15" s="34" t="s">
        <v>112</v>
      </c>
      <c r="D15" s="16">
        <v>3</v>
      </c>
      <c r="E15" s="26">
        <v>1</v>
      </c>
      <c r="F15" s="16">
        <v>3</v>
      </c>
      <c r="G15" s="16">
        <v>2</v>
      </c>
      <c r="H15" s="26">
        <v>2</v>
      </c>
      <c r="I15" s="17">
        <v>0</v>
      </c>
      <c r="J15" s="31">
        <v>1</v>
      </c>
      <c r="K15" s="16">
        <v>3</v>
      </c>
      <c r="L15" s="16">
        <v>2</v>
      </c>
      <c r="M15" s="29">
        <v>2</v>
      </c>
      <c r="Y15" s="19" t="s">
        <v>9</v>
      </c>
      <c r="Z15" s="63" t="s">
        <v>10</v>
      </c>
      <c r="AA15" s="58">
        <f>AA7/$AA$4</f>
        <v>0.53488372093023251</v>
      </c>
      <c r="AB15" s="58">
        <f t="shared" si="6"/>
        <v>0.4</v>
      </c>
      <c r="AC15" s="58">
        <f t="shared" si="7"/>
        <v>0.5</v>
      </c>
      <c r="AD15" s="58">
        <f t="shared" si="8"/>
        <v>0.45270270270270269</v>
      </c>
      <c r="AE15" s="58" t="e">
        <f t="shared" si="9"/>
        <v>#DIV/0!</v>
      </c>
    </row>
    <row r="16" spans="2:36" ht="24" x14ac:dyDescent="0.35">
      <c r="B16" s="199"/>
      <c r="C16" s="32" t="s">
        <v>114</v>
      </c>
      <c r="D16" s="31">
        <v>3</v>
      </c>
      <c r="E16" s="17">
        <v>2</v>
      </c>
      <c r="F16" s="31">
        <v>2</v>
      </c>
      <c r="G16" s="31">
        <v>2</v>
      </c>
      <c r="H16" s="31">
        <v>3</v>
      </c>
      <c r="I16" s="17">
        <v>0</v>
      </c>
      <c r="J16" s="31">
        <v>2</v>
      </c>
      <c r="K16" s="31">
        <v>2</v>
      </c>
      <c r="L16" s="31">
        <v>2</v>
      </c>
      <c r="M16" s="39">
        <v>2</v>
      </c>
      <c r="Y16" s="19" t="s">
        <v>11</v>
      </c>
      <c r="Z16" s="63" t="s">
        <v>12</v>
      </c>
      <c r="AA16" s="59">
        <f>AA8/$AA$4</f>
        <v>0.19767441860465115</v>
      </c>
      <c r="AB16" s="59">
        <f t="shared" si="6"/>
        <v>0.2</v>
      </c>
      <c r="AC16" s="59">
        <f t="shared" si="7"/>
        <v>6.0810810810810814E-2</v>
      </c>
      <c r="AD16" s="59">
        <f t="shared" si="8"/>
        <v>0.14864864864864866</v>
      </c>
      <c r="AE16" s="59" t="e">
        <f t="shared" si="9"/>
        <v>#DIV/0!</v>
      </c>
    </row>
    <row r="17" spans="2:31" x14ac:dyDescent="0.35">
      <c r="B17" s="199"/>
      <c r="C17" s="32" t="s">
        <v>116</v>
      </c>
      <c r="D17" s="31">
        <v>3</v>
      </c>
      <c r="E17" s="17">
        <v>2</v>
      </c>
      <c r="F17" s="31">
        <v>3</v>
      </c>
      <c r="G17" s="31">
        <v>2</v>
      </c>
      <c r="H17" s="31">
        <v>3</v>
      </c>
      <c r="I17" s="17">
        <v>0</v>
      </c>
      <c r="J17" s="31">
        <v>2</v>
      </c>
      <c r="K17" s="31">
        <v>3</v>
      </c>
      <c r="L17" s="31">
        <v>3</v>
      </c>
      <c r="M17" s="39">
        <v>2</v>
      </c>
      <c r="Y17" s="19" t="s">
        <v>13</v>
      </c>
      <c r="Z17" s="63" t="s">
        <v>14</v>
      </c>
      <c r="AA17" s="60">
        <f>AA9/$AA$4</f>
        <v>2.3255813953488372E-2</v>
      </c>
      <c r="AB17" s="60">
        <f t="shared" si="6"/>
        <v>0.1</v>
      </c>
      <c r="AC17" s="60">
        <f t="shared" si="7"/>
        <v>0.10135135135135136</v>
      </c>
      <c r="AD17" s="60">
        <f t="shared" si="8"/>
        <v>5.4054054054054057E-2</v>
      </c>
      <c r="AE17" s="60" t="e">
        <f t="shared" si="9"/>
        <v>#DIV/0!</v>
      </c>
    </row>
    <row r="18" spans="2:31" x14ac:dyDescent="0.35">
      <c r="B18" s="199"/>
      <c r="C18" s="32" t="s">
        <v>118</v>
      </c>
      <c r="D18" s="31">
        <v>3</v>
      </c>
      <c r="E18" s="17">
        <v>2</v>
      </c>
      <c r="F18" s="31">
        <v>3</v>
      </c>
      <c r="G18" s="31">
        <v>2</v>
      </c>
      <c r="H18" s="31">
        <v>3</v>
      </c>
      <c r="I18" s="17">
        <v>0</v>
      </c>
      <c r="J18" s="31">
        <v>2</v>
      </c>
      <c r="K18" s="31">
        <v>3</v>
      </c>
      <c r="L18" s="31">
        <v>2</v>
      </c>
      <c r="M18" s="39">
        <v>2</v>
      </c>
      <c r="Y18" s="165" t="s">
        <v>210</v>
      </c>
      <c r="Z18" s="165"/>
      <c r="AA18" s="64">
        <f>SUM(AA13:AA17)</f>
        <v>1</v>
      </c>
      <c r="AB18" s="64">
        <f>SUM(AB13:AB17)</f>
        <v>0.99999999999999989</v>
      </c>
      <c r="AC18" s="64">
        <f t="shared" ref="AC18:AE18" si="10">SUM(AC13:AC17)</f>
        <v>1</v>
      </c>
      <c r="AD18" s="64">
        <f t="shared" si="10"/>
        <v>1</v>
      </c>
      <c r="AE18" s="64" t="e">
        <f t="shared" si="10"/>
        <v>#DIV/0!</v>
      </c>
    </row>
    <row r="19" spans="2:31" ht="12" customHeight="1" x14ac:dyDescent="0.35">
      <c r="B19" s="199"/>
      <c r="C19" s="32" t="s">
        <v>120</v>
      </c>
      <c r="D19" s="31">
        <v>3</v>
      </c>
      <c r="E19" s="17">
        <v>2</v>
      </c>
      <c r="F19" s="31">
        <v>3</v>
      </c>
      <c r="G19" s="31">
        <v>3</v>
      </c>
      <c r="H19" s="31">
        <v>2</v>
      </c>
      <c r="I19" s="17">
        <v>0</v>
      </c>
      <c r="J19" s="31">
        <v>2</v>
      </c>
      <c r="K19" s="31">
        <v>3</v>
      </c>
      <c r="L19" s="31">
        <v>3</v>
      </c>
      <c r="M19" s="39">
        <v>2</v>
      </c>
      <c r="Y19" s="160" t="s">
        <v>15</v>
      </c>
      <c r="Z19" s="160"/>
      <c r="AA19" s="166">
        <v>0.65</v>
      </c>
      <c r="AB19" s="168"/>
      <c r="AC19" s="168"/>
      <c r="AD19" s="168"/>
      <c r="AE19" s="169"/>
    </row>
    <row r="20" spans="2:31" ht="12.65" customHeight="1" thickBot="1" x14ac:dyDescent="0.4">
      <c r="B20" s="41"/>
      <c r="C20" s="42"/>
      <c r="D20" s="43">
        <f t="shared" ref="D20:J20" si="11">AVERAGE(D5,D6,D7:D19)</f>
        <v>2.8666666666666667</v>
      </c>
      <c r="E20" s="43">
        <f t="shared" si="11"/>
        <v>1.8666666666666667</v>
      </c>
      <c r="F20" s="43">
        <f t="shared" si="11"/>
        <v>2.8666666666666667</v>
      </c>
      <c r="G20" s="43">
        <f t="shared" si="11"/>
        <v>2.2000000000000002</v>
      </c>
      <c r="H20" s="43">
        <f t="shared" si="11"/>
        <v>2.3333333333333335</v>
      </c>
      <c r="I20" s="43">
        <f t="shared" si="11"/>
        <v>0</v>
      </c>
      <c r="J20" s="43">
        <f t="shared" si="11"/>
        <v>1.8</v>
      </c>
      <c r="K20" s="43">
        <f>AVERAGE(K6:K7,K9:K19)</f>
        <v>2.6153846153846154</v>
      </c>
      <c r="L20" s="43">
        <f>AVERAGE(L5:L19)</f>
        <v>2.4666666666666668</v>
      </c>
      <c r="M20" s="44">
        <f>AVERAGE(M5:M19)</f>
        <v>1.9333333333333333</v>
      </c>
      <c r="Y20" s="160" t="s">
        <v>16</v>
      </c>
      <c r="Z20" s="160"/>
      <c r="AA20" s="166">
        <f>AC13+AC14+AC15</f>
        <v>0.83783783783783783</v>
      </c>
      <c r="AB20" s="168"/>
      <c r="AC20" s="168"/>
      <c r="AD20" s="168"/>
      <c r="AE20" s="169"/>
    </row>
    <row r="21" spans="2:31" ht="12.65" customHeight="1" thickBot="1" x14ac:dyDescent="0.4">
      <c r="B21" s="45"/>
      <c r="C21" s="45"/>
      <c r="D21" s="46"/>
      <c r="E21" s="46"/>
      <c r="F21" s="46"/>
      <c r="G21" s="46"/>
      <c r="H21" s="46"/>
      <c r="I21" s="46"/>
      <c r="J21" s="46"/>
      <c r="K21" s="46"/>
      <c r="L21" s="46"/>
      <c r="M21" s="46"/>
      <c r="Y21" s="160" t="s">
        <v>17</v>
      </c>
      <c r="Z21" s="160"/>
      <c r="AA21" s="166">
        <f>SUM(AD13:AD15)</f>
        <v>0.79729729729729726</v>
      </c>
      <c r="AB21" s="168"/>
      <c r="AC21" s="168"/>
      <c r="AD21" s="168"/>
      <c r="AE21" s="169"/>
    </row>
    <row r="22" spans="2:31" x14ac:dyDescent="0.35">
      <c r="B22" s="47" t="s">
        <v>211</v>
      </c>
      <c r="C22" s="48" t="s">
        <v>212</v>
      </c>
      <c r="D22" s="49"/>
      <c r="E22" s="50"/>
      <c r="F22" s="45"/>
      <c r="Y22" s="160" t="s">
        <v>18</v>
      </c>
      <c r="Z22" s="160"/>
      <c r="AA22" s="187">
        <f>AA21-AA19</f>
        <v>0.14729729729729724</v>
      </c>
      <c r="AB22" s="188"/>
      <c r="AC22" s="188"/>
      <c r="AD22" s="188"/>
      <c r="AE22" s="189"/>
    </row>
    <row r="23" spans="2:31" ht="12.5" thickBot="1" x14ac:dyDescent="0.4">
      <c r="B23" s="51" t="s">
        <v>213</v>
      </c>
      <c r="C23" s="52" t="s">
        <v>214</v>
      </c>
      <c r="D23" s="49"/>
      <c r="E23" s="50"/>
      <c r="F23" s="45"/>
    </row>
    <row r="24" spans="2:31" x14ac:dyDescent="0.35">
      <c r="B24" s="45"/>
      <c r="C24" s="45"/>
      <c r="D24" s="45"/>
      <c r="E24" s="50"/>
      <c r="F24" s="45"/>
    </row>
    <row r="25" spans="2:31" x14ac:dyDescent="0.35">
      <c r="B25" s="45"/>
      <c r="C25" s="45"/>
      <c r="D25" s="45"/>
      <c r="E25" s="50"/>
      <c r="F25" s="45"/>
    </row>
    <row r="26" spans="2:31" x14ac:dyDescent="0.35">
      <c r="B26" s="45"/>
      <c r="C26" s="45"/>
      <c r="D26" s="45"/>
      <c r="E26" s="50"/>
      <c r="F26" s="45"/>
    </row>
    <row r="27" spans="2:31" x14ac:dyDescent="0.35">
      <c r="B27" s="45"/>
      <c r="C27" s="45"/>
      <c r="D27" s="45"/>
      <c r="E27" s="50"/>
      <c r="F27" s="45"/>
    </row>
    <row r="43" spans="2:2" x14ac:dyDescent="0.35">
      <c r="B43" s="53" t="s">
        <v>215</v>
      </c>
    </row>
    <row r="44" spans="2:2" x14ac:dyDescent="0.35">
      <c r="B44" s="1" t="s">
        <v>216</v>
      </c>
    </row>
    <row r="45" spans="2:2" x14ac:dyDescent="0.35">
      <c r="B45" s="1" t="s">
        <v>217</v>
      </c>
    </row>
    <row r="46" spans="2:2" x14ac:dyDescent="0.35">
      <c r="B46" s="1" t="s">
        <v>218</v>
      </c>
    </row>
    <row r="48" spans="2:2" x14ac:dyDescent="0.35">
      <c r="B48" s="53" t="s">
        <v>219</v>
      </c>
    </row>
    <row r="49" spans="2:2" x14ac:dyDescent="0.35">
      <c r="B49" s="1" t="s">
        <v>220</v>
      </c>
    </row>
    <row r="50" spans="2:2" x14ac:dyDescent="0.35">
      <c r="B50" s="1" t="s">
        <v>221</v>
      </c>
    </row>
    <row r="51" spans="2:2" x14ac:dyDescent="0.35">
      <c r="B51" s="1" t="s">
        <v>222</v>
      </c>
    </row>
    <row r="53" spans="2:2" x14ac:dyDescent="0.35">
      <c r="B53" s="53" t="s">
        <v>223</v>
      </c>
    </row>
    <row r="54" spans="2:2" x14ac:dyDescent="0.35">
      <c r="B54" s="1" t="s">
        <v>224</v>
      </c>
    </row>
    <row r="55" spans="2:2" x14ac:dyDescent="0.35">
      <c r="B55" s="1" t="s">
        <v>225</v>
      </c>
    </row>
    <row r="57" spans="2:2" x14ac:dyDescent="0.35">
      <c r="B57" s="53" t="s">
        <v>226</v>
      </c>
    </row>
    <row r="58" spans="2:2" x14ac:dyDescent="0.35">
      <c r="B58" s="1" t="s">
        <v>227</v>
      </c>
    </row>
    <row r="59" spans="2:2" x14ac:dyDescent="0.35">
      <c r="B59" s="1" t="s">
        <v>228</v>
      </c>
    </row>
    <row r="60" spans="2:2" x14ac:dyDescent="0.35">
      <c r="B60" s="1" t="s">
        <v>229</v>
      </c>
    </row>
    <row r="62" spans="2:2" x14ac:dyDescent="0.35">
      <c r="B62" s="53" t="s">
        <v>230</v>
      </c>
    </row>
    <row r="63" spans="2:2" x14ac:dyDescent="0.35">
      <c r="B63" s="1" t="s">
        <v>222</v>
      </c>
    </row>
    <row r="65" spans="2:12" x14ac:dyDescent="0.35">
      <c r="B65" s="2"/>
      <c r="C65" s="40" t="s">
        <v>231</v>
      </c>
      <c r="D65" s="2"/>
      <c r="F65" s="2"/>
      <c r="L65" s="40"/>
    </row>
    <row r="66" spans="2:12" x14ac:dyDescent="0.35">
      <c r="B66" s="193" t="s">
        <v>232</v>
      </c>
      <c r="C66" s="193"/>
      <c r="D66" s="193"/>
      <c r="E66" s="193"/>
      <c r="F66" s="193"/>
      <c r="G66" s="193"/>
      <c r="H66" s="193"/>
      <c r="I66" s="193"/>
      <c r="J66" s="193"/>
      <c r="K66" s="193"/>
      <c r="L66" s="193"/>
    </row>
    <row r="67" spans="2:12" x14ac:dyDescent="0.35">
      <c r="B67" s="193" t="s">
        <v>233</v>
      </c>
      <c r="C67" s="193"/>
      <c r="D67" s="193"/>
      <c r="E67" s="193"/>
      <c r="F67" s="193"/>
      <c r="G67" s="193"/>
      <c r="H67" s="193"/>
      <c r="I67" s="193"/>
      <c r="J67" s="193"/>
      <c r="K67" s="193"/>
    </row>
  </sheetData>
  <mergeCells count="17">
    <mergeCell ref="B67:K67"/>
    <mergeCell ref="B66:L66"/>
    <mergeCell ref="B2:M2"/>
    <mergeCell ref="B3:C3"/>
    <mergeCell ref="D3:I3"/>
    <mergeCell ref="K3:M3"/>
    <mergeCell ref="B10:B19"/>
    <mergeCell ref="Y18:Z18"/>
    <mergeCell ref="B5:B9"/>
    <mergeCell ref="Y19:Z19"/>
    <mergeCell ref="Y21:Z21"/>
    <mergeCell ref="Y20:Z20"/>
    <mergeCell ref="Y22:Z22"/>
    <mergeCell ref="AA22:AE22"/>
    <mergeCell ref="AA19:AE19"/>
    <mergeCell ref="AA20:AE20"/>
    <mergeCell ref="AA21:AE21"/>
  </mergeCells>
  <conditionalFormatting sqref="D5:M19">
    <cfRule type="cellIs" dxfId="82" priority="2" operator="equal">
      <formula>4</formula>
    </cfRule>
    <cfRule type="cellIs" dxfId="81" priority="3" operator="equal">
      <formula>3</formula>
    </cfRule>
    <cfRule type="cellIs" dxfId="80" priority="4" operator="equal">
      <formula>2</formula>
    </cfRule>
    <cfRule type="cellIs" dxfId="79" priority="5" operator="equal">
      <formula>1</formula>
    </cfRule>
    <cfRule type="cellIs" dxfId="78" priority="7" operator="equal">
      <formula>0</formula>
    </cfRule>
  </conditionalFormatting>
  <conditionalFormatting sqref="AA21:AE22">
    <cfRule type="cellIs" dxfId="77" priority="1" operator="greaterThanOrEqual">
      <formula>1</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28F93-40F2-495D-B687-242864D8CF34}">
  <dimension ref="B2:AJ26"/>
  <sheetViews>
    <sheetView showGridLines="0" topLeftCell="A10" zoomScale="70" zoomScaleNormal="70" workbookViewId="0">
      <selection activeCell="K51" sqref="K51"/>
    </sheetView>
  </sheetViews>
  <sheetFormatPr defaultColWidth="8.81640625" defaultRowHeight="12" x14ac:dyDescent="0.35"/>
  <cols>
    <col min="1" max="1" width="2.90625" style="1" customWidth="1"/>
    <col min="2" max="2" width="13" style="1" bestFit="1" customWidth="1"/>
    <col min="3" max="3" width="27.453125" style="1" bestFit="1" customWidth="1"/>
    <col min="4" max="4" width="7.81640625" style="1" customWidth="1"/>
    <col min="5" max="6" width="7.81640625" style="2" customWidth="1"/>
    <col min="7" max="7" width="7.81640625" style="1" customWidth="1"/>
    <col min="8" max="8" width="7.81640625" style="2" customWidth="1"/>
    <col min="9" max="9" width="8.6328125" style="2" bestFit="1" customWidth="1"/>
    <col min="10" max="13" width="7.81640625" style="2" customWidth="1"/>
    <col min="14" max="14" width="8.6328125" style="2" bestFit="1" customWidth="1"/>
    <col min="15" max="15" width="7.81640625" style="2" customWidth="1"/>
    <col min="16" max="16" width="2.453125" style="1" customWidth="1"/>
    <col min="17" max="17" width="6.54296875" style="1" bestFit="1" customWidth="1"/>
    <col min="18" max="18" width="9.36328125" style="1" bestFit="1" customWidth="1"/>
    <col min="19" max="36" width="7.54296875" style="2" customWidth="1"/>
    <col min="37" max="16384" width="8.81640625" style="1"/>
  </cols>
  <sheetData>
    <row r="2" spans="2:36" s="4" customFormat="1" x14ac:dyDescent="0.35">
      <c r="B2" s="171" t="s">
        <v>234</v>
      </c>
      <c r="C2" s="171"/>
      <c r="D2" s="172" t="s">
        <v>361</v>
      </c>
      <c r="E2" s="173"/>
      <c r="F2" s="173"/>
      <c r="G2" s="173"/>
      <c r="H2" s="173"/>
      <c r="I2" s="173"/>
      <c r="J2" s="173"/>
      <c r="K2" s="173"/>
      <c r="L2" s="173"/>
      <c r="M2" s="173"/>
      <c r="N2" s="173"/>
      <c r="O2" s="174"/>
      <c r="S2" s="5"/>
      <c r="T2" s="5"/>
      <c r="U2" s="5"/>
      <c r="V2" s="5"/>
      <c r="W2" s="5"/>
      <c r="X2" s="5"/>
      <c r="Y2" s="5"/>
      <c r="Z2" s="5"/>
      <c r="AA2" s="5"/>
      <c r="AB2" s="5"/>
      <c r="AC2" s="5"/>
      <c r="AD2" s="5"/>
      <c r="AE2" s="5"/>
      <c r="AF2" s="5"/>
      <c r="AG2" s="5"/>
      <c r="AH2" s="5"/>
      <c r="AI2" s="5"/>
      <c r="AJ2" s="5"/>
    </row>
    <row r="3" spans="2:36" ht="24" x14ac:dyDescent="0.35">
      <c r="B3" s="145" t="s">
        <v>179</v>
      </c>
      <c r="C3" s="145" t="s">
        <v>180</v>
      </c>
      <c r="D3" s="130" t="s">
        <v>181</v>
      </c>
      <c r="E3" s="130" t="s">
        <v>182</v>
      </c>
      <c r="F3" s="130" t="s">
        <v>235</v>
      </c>
      <c r="G3" s="130" t="s">
        <v>183</v>
      </c>
      <c r="H3" s="130" t="s">
        <v>185</v>
      </c>
      <c r="I3" s="130" t="s">
        <v>236</v>
      </c>
      <c r="J3" s="130" t="s">
        <v>187</v>
      </c>
      <c r="K3" s="130" t="s">
        <v>237</v>
      </c>
      <c r="L3" s="130" t="s">
        <v>238</v>
      </c>
      <c r="M3" s="130" t="s">
        <v>239</v>
      </c>
      <c r="N3" s="146" t="s">
        <v>240</v>
      </c>
      <c r="O3" s="130" t="s">
        <v>190</v>
      </c>
      <c r="S3" s="130" t="str">
        <f>D3</f>
        <v xml:space="preserve">Kirti </v>
      </c>
      <c r="T3" s="130" t="str">
        <f t="shared" ref="T3:AD3" si="0">E3</f>
        <v>Anjali</v>
      </c>
      <c r="U3" s="130" t="str">
        <f t="shared" si="0"/>
        <v>Pooja</v>
      </c>
      <c r="V3" s="130" t="str">
        <f t="shared" si="0"/>
        <v>Shiv</v>
      </c>
      <c r="W3" s="130" t="str">
        <f t="shared" si="0"/>
        <v>Rohit</v>
      </c>
      <c r="X3" s="130" t="str">
        <f t="shared" si="0"/>
        <v>Mahesh D</v>
      </c>
      <c r="Y3" s="130" t="str">
        <f t="shared" si="0"/>
        <v>Freddy</v>
      </c>
      <c r="Z3" s="130" t="str">
        <f t="shared" si="0"/>
        <v>Ajinkya</v>
      </c>
      <c r="AA3" s="130" t="str">
        <f t="shared" si="0"/>
        <v>Pratik</v>
      </c>
      <c r="AB3" s="130" t="str">
        <f t="shared" si="0"/>
        <v>Mayur</v>
      </c>
      <c r="AC3" s="130" t="str">
        <f t="shared" si="0"/>
        <v>Mahesh U</v>
      </c>
      <c r="AD3" s="130" t="str">
        <f t="shared" si="0"/>
        <v>Chetan</v>
      </c>
      <c r="AE3" s="134" t="s">
        <v>0</v>
      </c>
      <c r="AF3" s="134" t="s">
        <v>362</v>
      </c>
      <c r="AG3" s="134" t="s">
        <v>345</v>
      </c>
      <c r="AH3" s="134" t="s">
        <v>350</v>
      </c>
      <c r="AI3" s="134" t="s">
        <v>347</v>
      </c>
      <c r="AJ3" s="134" t="s">
        <v>348</v>
      </c>
    </row>
    <row r="4" spans="2:36" x14ac:dyDescent="0.35">
      <c r="B4" s="202" t="s">
        <v>194</v>
      </c>
      <c r="C4" s="14" t="s">
        <v>91</v>
      </c>
      <c r="D4" s="15"/>
      <c r="E4" s="16"/>
      <c r="F4" s="16"/>
      <c r="G4" s="15"/>
      <c r="H4" s="16"/>
      <c r="I4" s="17"/>
      <c r="J4" s="17"/>
      <c r="K4" s="17"/>
      <c r="L4" s="17"/>
      <c r="M4" s="17"/>
      <c r="N4" s="17"/>
      <c r="O4" s="135"/>
      <c r="Q4" s="19" t="s">
        <v>5</v>
      </c>
      <c r="R4" s="133" t="s">
        <v>6</v>
      </c>
      <c r="S4" s="21">
        <f>COUNTIF(D$4:D$18,4)</f>
        <v>0</v>
      </c>
      <c r="T4" s="21">
        <f t="shared" ref="T4:AD4" si="1">COUNTIF(E$4:E$18,4)</f>
        <v>0</v>
      </c>
      <c r="U4" s="21">
        <f t="shared" si="1"/>
        <v>0</v>
      </c>
      <c r="V4" s="21">
        <f t="shared" si="1"/>
        <v>0</v>
      </c>
      <c r="W4" s="21">
        <f t="shared" si="1"/>
        <v>0</v>
      </c>
      <c r="X4" s="21">
        <f t="shared" si="1"/>
        <v>0</v>
      </c>
      <c r="Y4" s="21">
        <f t="shared" si="1"/>
        <v>0</v>
      </c>
      <c r="Z4" s="21">
        <f t="shared" si="1"/>
        <v>0</v>
      </c>
      <c r="AA4" s="21">
        <f t="shared" si="1"/>
        <v>0</v>
      </c>
      <c r="AB4" s="21">
        <f t="shared" si="1"/>
        <v>0</v>
      </c>
      <c r="AC4" s="21">
        <f t="shared" si="1"/>
        <v>0</v>
      </c>
      <c r="AD4" s="21">
        <f t="shared" si="1"/>
        <v>0</v>
      </c>
      <c r="AE4" s="21">
        <v>0</v>
      </c>
      <c r="AF4" s="21">
        <v>22</v>
      </c>
      <c r="AG4" s="21">
        <v>8</v>
      </c>
      <c r="AH4" s="152">
        <f>SUM(S4:AD4)</f>
        <v>0</v>
      </c>
      <c r="AI4" s="22">
        <v>8</v>
      </c>
      <c r="AJ4" s="21">
        <f>SUM(S4:AD4)</f>
        <v>0</v>
      </c>
    </row>
    <row r="5" spans="2:36" x14ac:dyDescent="0.35">
      <c r="B5" s="203"/>
      <c r="C5" s="14" t="s">
        <v>93</v>
      </c>
      <c r="D5" s="15"/>
      <c r="E5" s="26"/>
      <c r="F5" s="26"/>
      <c r="G5" s="15"/>
      <c r="H5" s="16"/>
      <c r="I5" s="17"/>
      <c r="J5" s="17"/>
      <c r="K5" s="17"/>
      <c r="L5" s="17"/>
      <c r="M5" s="17"/>
      <c r="N5" s="17"/>
      <c r="O5" s="135"/>
      <c r="Q5" s="19" t="s">
        <v>7</v>
      </c>
      <c r="R5" s="133" t="s">
        <v>8</v>
      </c>
      <c r="S5" s="15">
        <f t="shared" ref="S5:AD5" si="2">COUNTIF(D$4:D$18,3)</f>
        <v>0</v>
      </c>
      <c r="T5" s="15">
        <f t="shared" si="2"/>
        <v>0</v>
      </c>
      <c r="U5" s="15">
        <f t="shared" si="2"/>
        <v>0</v>
      </c>
      <c r="V5" s="15">
        <f t="shared" si="2"/>
        <v>0</v>
      </c>
      <c r="W5" s="15">
        <f t="shared" si="2"/>
        <v>0</v>
      </c>
      <c r="X5" s="15">
        <f t="shared" si="2"/>
        <v>0</v>
      </c>
      <c r="Y5" s="15">
        <f t="shared" si="2"/>
        <v>0</v>
      </c>
      <c r="Z5" s="15">
        <f t="shared" si="2"/>
        <v>0</v>
      </c>
      <c r="AA5" s="15">
        <f t="shared" si="2"/>
        <v>0</v>
      </c>
      <c r="AB5" s="15">
        <f t="shared" si="2"/>
        <v>0</v>
      </c>
      <c r="AC5" s="15">
        <f t="shared" si="2"/>
        <v>0</v>
      </c>
      <c r="AD5" s="15">
        <f t="shared" si="2"/>
        <v>0</v>
      </c>
      <c r="AE5" s="15">
        <v>21</v>
      </c>
      <c r="AF5" s="15">
        <v>61</v>
      </c>
      <c r="AG5" s="15">
        <v>47</v>
      </c>
      <c r="AH5" s="15">
        <f>SUM(S5:AD5)</f>
        <v>0</v>
      </c>
      <c r="AI5" s="15">
        <v>47</v>
      </c>
      <c r="AJ5" s="148">
        <f>SUM(S5:AD5)</f>
        <v>0</v>
      </c>
    </row>
    <row r="6" spans="2:36" x14ac:dyDescent="0.35">
      <c r="B6" s="203"/>
      <c r="C6" s="14" t="s">
        <v>95</v>
      </c>
      <c r="D6" s="15"/>
      <c r="E6" s="16"/>
      <c r="F6" s="16"/>
      <c r="G6" s="15"/>
      <c r="H6" s="16"/>
      <c r="I6" s="17"/>
      <c r="J6" s="17"/>
      <c r="K6" s="17"/>
      <c r="L6" s="17"/>
      <c r="M6" s="17"/>
      <c r="N6" s="17"/>
      <c r="O6" s="135"/>
      <c r="Q6" s="19" t="s">
        <v>9</v>
      </c>
      <c r="R6" s="133" t="s">
        <v>10</v>
      </c>
      <c r="S6" s="16">
        <f t="shared" ref="S6:AD6" si="3">COUNTIF(D$4:D$18,2)</f>
        <v>0</v>
      </c>
      <c r="T6" s="16">
        <f t="shared" si="3"/>
        <v>0</v>
      </c>
      <c r="U6" s="16">
        <f t="shared" si="3"/>
        <v>0</v>
      </c>
      <c r="V6" s="16">
        <f t="shared" si="3"/>
        <v>0</v>
      </c>
      <c r="W6" s="16">
        <f t="shared" si="3"/>
        <v>0</v>
      </c>
      <c r="X6" s="16">
        <f t="shared" si="3"/>
        <v>0</v>
      </c>
      <c r="Y6" s="16">
        <f t="shared" si="3"/>
        <v>0</v>
      </c>
      <c r="Z6" s="16">
        <f t="shared" si="3"/>
        <v>0</v>
      </c>
      <c r="AA6" s="16">
        <f t="shared" si="3"/>
        <v>0</v>
      </c>
      <c r="AB6" s="16">
        <f t="shared" si="3"/>
        <v>0</v>
      </c>
      <c r="AC6" s="16">
        <f t="shared" si="3"/>
        <v>0</v>
      </c>
      <c r="AD6" s="16">
        <f t="shared" si="3"/>
        <v>0</v>
      </c>
      <c r="AE6" s="16">
        <v>46</v>
      </c>
      <c r="AF6" s="16">
        <v>41</v>
      </c>
      <c r="AG6" s="16">
        <v>72</v>
      </c>
      <c r="AH6" s="151">
        <f>SUM(S6:AD6)</f>
        <v>0</v>
      </c>
      <c r="AI6" s="16">
        <v>72</v>
      </c>
      <c r="AJ6" s="151">
        <f>SUM(S6:AD6)</f>
        <v>0</v>
      </c>
    </row>
    <row r="7" spans="2:36" x14ac:dyDescent="0.35">
      <c r="B7" s="203"/>
      <c r="C7" s="14" t="s">
        <v>97</v>
      </c>
      <c r="D7" s="16"/>
      <c r="E7" s="16"/>
      <c r="F7" s="16"/>
      <c r="G7" s="15"/>
      <c r="H7" s="26"/>
      <c r="I7" s="17"/>
      <c r="J7" s="17"/>
      <c r="K7" s="129"/>
      <c r="L7" s="129"/>
      <c r="M7" s="129"/>
      <c r="N7" s="129"/>
      <c r="O7" s="136"/>
      <c r="Q7" s="19" t="s">
        <v>11</v>
      </c>
      <c r="R7" s="133" t="s">
        <v>12</v>
      </c>
      <c r="S7" s="26">
        <f t="shared" ref="S7:AD7" si="4">COUNTIF(D$4:D$18,1)</f>
        <v>0</v>
      </c>
      <c r="T7" s="26">
        <f t="shared" si="4"/>
        <v>0</v>
      </c>
      <c r="U7" s="26">
        <f t="shared" si="4"/>
        <v>0</v>
      </c>
      <c r="V7" s="26">
        <f t="shared" si="4"/>
        <v>0</v>
      </c>
      <c r="W7" s="26">
        <f t="shared" si="4"/>
        <v>0</v>
      </c>
      <c r="X7" s="26">
        <f t="shared" si="4"/>
        <v>0</v>
      </c>
      <c r="Y7" s="26">
        <f t="shared" si="4"/>
        <v>0</v>
      </c>
      <c r="Z7" s="26">
        <f t="shared" si="4"/>
        <v>0</v>
      </c>
      <c r="AA7" s="26">
        <f t="shared" si="4"/>
        <v>0</v>
      </c>
      <c r="AB7" s="26">
        <f t="shared" si="4"/>
        <v>0</v>
      </c>
      <c r="AC7" s="26">
        <f t="shared" si="4"/>
        <v>0</v>
      </c>
      <c r="AD7" s="26">
        <f t="shared" si="4"/>
        <v>0</v>
      </c>
      <c r="AE7" s="26">
        <v>17</v>
      </c>
      <c r="AF7" s="26">
        <v>9</v>
      </c>
      <c r="AG7" s="26">
        <v>53</v>
      </c>
      <c r="AH7" s="150">
        <f>SUM(S7:AD7)</f>
        <v>0</v>
      </c>
      <c r="AI7" s="26">
        <v>53</v>
      </c>
      <c r="AJ7" s="150">
        <f>SUM(S7:AD7)</f>
        <v>0</v>
      </c>
    </row>
    <row r="8" spans="2:36" ht="24" x14ac:dyDescent="0.35">
      <c r="B8" s="204"/>
      <c r="C8" s="30" t="s">
        <v>99</v>
      </c>
      <c r="D8" s="16"/>
      <c r="E8" s="26"/>
      <c r="F8" s="26"/>
      <c r="G8" s="16"/>
      <c r="H8" s="26"/>
      <c r="I8" s="17"/>
      <c r="J8" s="31"/>
      <c r="K8" s="31"/>
      <c r="L8" s="31"/>
      <c r="M8" s="31"/>
      <c r="N8" s="31"/>
      <c r="O8" s="135"/>
      <c r="Q8" s="19" t="s">
        <v>13</v>
      </c>
      <c r="R8" s="133" t="s">
        <v>14</v>
      </c>
      <c r="S8" s="56">
        <f t="shared" ref="S8:AD8" si="5">COUNTIF(D$4:D$18,0)</f>
        <v>0</v>
      </c>
      <c r="T8" s="56">
        <f t="shared" si="5"/>
        <v>0</v>
      </c>
      <c r="U8" s="56">
        <f t="shared" si="5"/>
        <v>0</v>
      </c>
      <c r="V8" s="56">
        <f t="shared" si="5"/>
        <v>0</v>
      </c>
      <c r="W8" s="56">
        <f t="shared" si="5"/>
        <v>0</v>
      </c>
      <c r="X8" s="56">
        <f t="shared" si="5"/>
        <v>0</v>
      </c>
      <c r="Y8" s="56">
        <f t="shared" si="5"/>
        <v>0</v>
      </c>
      <c r="Z8" s="56">
        <f t="shared" si="5"/>
        <v>0</v>
      </c>
      <c r="AA8" s="56">
        <f t="shared" si="5"/>
        <v>0</v>
      </c>
      <c r="AB8" s="56">
        <f t="shared" si="5"/>
        <v>0</v>
      </c>
      <c r="AC8" s="56">
        <f t="shared" si="5"/>
        <v>0</v>
      </c>
      <c r="AD8" s="56">
        <f t="shared" si="5"/>
        <v>0</v>
      </c>
      <c r="AE8" s="56">
        <v>2</v>
      </c>
      <c r="AF8" s="56">
        <v>0</v>
      </c>
      <c r="AG8" s="56">
        <v>0</v>
      </c>
      <c r="AH8" s="149">
        <f>SUM(S8:AD8)</f>
        <v>0</v>
      </c>
      <c r="AI8" s="56">
        <v>0</v>
      </c>
      <c r="AJ8" s="149">
        <f>SUM(S8:AD8)</f>
        <v>0</v>
      </c>
    </row>
    <row r="9" spans="2:36" ht="15" customHeight="1" x14ac:dyDescent="0.35">
      <c r="B9" s="201" t="s">
        <v>208</v>
      </c>
      <c r="C9" s="141" t="s">
        <v>102</v>
      </c>
      <c r="D9" s="16"/>
      <c r="E9" s="26"/>
      <c r="F9" s="26"/>
      <c r="G9" s="16"/>
      <c r="H9" s="26"/>
      <c r="I9" s="17"/>
      <c r="J9" s="31"/>
      <c r="K9" s="31"/>
      <c r="L9" s="31"/>
      <c r="M9" s="31"/>
      <c r="N9" s="31"/>
      <c r="O9" s="136"/>
      <c r="Q9" s="2"/>
      <c r="R9" s="2"/>
      <c r="S9" s="130">
        <f>SUM(S4:S8)</f>
        <v>0</v>
      </c>
      <c r="T9" s="130">
        <f t="shared" ref="T9:AI9" si="6">SUM(T4:T8)</f>
        <v>0</v>
      </c>
      <c r="U9" s="130">
        <f t="shared" si="6"/>
        <v>0</v>
      </c>
      <c r="V9" s="130">
        <f t="shared" si="6"/>
        <v>0</v>
      </c>
      <c r="W9" s="130">
        <f t="shared" si="6"/>
        <v>0</v>
      </c>
      <c r="X9" s="130">
        <f t="shared" si="6"/>
        <v>0</v>
      </c>
      <c r="Y9" s="130">
        <f t="shared" si="6"/>
        <v>0</v>
      </c>
      <c r="Z9" s="130">
        <f t="shared" si="6"/>
        <v>0</v>
      </c>
      <c r="AA9" s="130">
        <f t="shared" si="6"/>
        <v>0</v>
      </c>
      <c r="AB9" s="130">
        <f t="shared" si="6"/>
        <v>0</v>
      </c>
      <c r="AC9" s="130">
        <f t="shared" si="6"/>
        <v>0</v>
      </c>
      <c r="AD9" s="130">
        <f t="shared" si="6"/>
        <v>0</v>
      </c>
      <c r="AE9" s="130">
        <f t="shared" si="6"/>
        <v>86</v>
      </c>
      <c r="AF9" s="130">
        <f>SUM(AF4:AF8)</f>
        <v>133</v>
      </c>
      <c r="AG9" s="130">
        <f t="shared" si="6"/>
        <v>180</v>
      </c>
      <c r="AH9" s="130">
        <v>180</v>
      </c>
      <c r="AI9" s="130">
        <f t="shared" si="6"/>
        <v>180</v>
      </c>
      <c r="AJ9" s="130">
        <v>180</v>
      </c>
    </row>
    <row r="10" spans="2:36" ht="36" x14ac:dyDescent="0.35">
      <c r="B10" s="201"/>
      <c r="C10" s="142" t="s">
        <v>104</v>
      </c>
      <c r="D10" s="15"/>
      <c r="E10" s="26"/>
      <c r="F10" s="26"/>
      <c r="G10" s="15"/>
      <c r="H10" s="16"/>
      <c r="I10" s="17"/>
      <c r="J10" s="17"/>
      <c r="K10" s="17"/>
      <c r="L10" s="17"/>
      <c r="M10" s="17"/>
      <c r="N10" s="17"/>
      <c r="O10" s="135"/>
      <c r="Q10" s="2"/>
      <c r="R10" s="2"/>
    </row>
    <row r="11" spans="2:36" ht="24" x14ac:dyDescent="0.35">
      <c r="B11" s="201"/>
      <c r="C11" s="142" t="s">
        <v>106</v>
      </c>
      <c r="D11" s="15"/>
      <c r="E11" s="16"/>
      <c r="F11" s="16"/>
      <c r="G11" s="15"/>
      <c r="H11" s="16"/>
      <c r="I11" s="17"/>
      <c r="J11" s="17"/>
      <c r="K11" s="17"/>
      <c r="L11" s="17"/>
      <c r="M11" s="17"/>
      <c r="N11" s="17"/>
      <c r="O11" s="137"/>
      <c r="Q11" s="2"/>
      <c r="AB11" s="139" t="s">
        <v>364</v>
      </c>
      <c r="AC11" s="178" t="s">
        <v>365</v>
      </c>
      <c r="AD11" s="178"/>
      <c r="AE11" s="140">
        <f>SUM(AE12:AE14)</f>
        <v>0.77906976744186041</v>
      </c>
      <c r="AF11" s="140">
        <f t="shared" ref="AF11:AJ11" si="7">SUM(AF12:AF14)</f>
        <v>0.93233082706766912</v>
      </c>
      <c r="AG11" s="140">
        <f t="shared" si="7"/>
        <v>0.7055555555555556</v>
      </c>
      <c r="AH11" s="140">
        <f t="shared" si="7"/>
        <v>0</v>
      </c>
      <c r="AI11" s="140">
        <f t="shared" si="7"/>
        <v>0.7055555555555556</v>
      </c>
      <c r="AJ11" s="140">
        <f t="shared" si="7"/>
        <v>0</v>
      </c>
    </row>
    <row r="12" spans="2:36" x14ac:dyDescent="0.35">
      <c r="B12" s="201"/>
      <c r="C12" s="142" t="s">
        <v>108</v>
      </c>
      <c r="D12" s="31"/>
      <c r="E12" s="17"/>
      <c r="F12" s="17"/>
      <c r="G12" s="31"/>
      <c r="H12" s="17"/>
      <c r="I12" s="17"/>
      <c r="J12" s="17"/>
      <c r="K12" s="17"/>
      <c r="L12" s="17"/>
      <c r="M12" s="17"/>
      <c r="N12" s="17"/>
      <c r="O12" s="138"/>
      <c r="AB12" s="19" t="s">
        <v>5</v>
      </c>
      <c r="AC12" s="170" t="s">
        <v>6</v>
      </c>
      <c r="AD12" s="170"/>
      <c r="AE12" s="36">
        <f t="shared" ref="AE12:AE17" si="8">AE4/$AE$9</f>
        <v>0</v>
      </c>
      <c r="AF12" s="36">
        <f>AF4/$AF$9</f>
        <v>0.16541353383458646</v>
      </c>
      <c r="AG12" s="36">
        <f>AG4/$AG$9</f>
        <v>4.4444444444444446E-2</v>
      </c>
      <c r="AH12" s="36">
        <f>AH4/$AH$9</f>
        <v>0</v>
      </c>
      <c r="AI12" s="36">
        <f>AI4/$AI$9</f>
        <v>4.4444444444444446E-2</v>
      </c>
      <c r="AJ12" s="36">
        <f>AJ4/$AJ$9</f>
        <v>0</v>
      </c>
    </row>
    <row r="13" spans="2:36" ht="24" x14ac:dyDescent="0.35">
      <c r="B13" s="201"/>
      <c r="C13" s="142" t="s">
        <v>110</v>
      </c>
      <c r="D13" s="26"/>
      <c r="E13" s="26"/>
      <c r="F13" s="26"/>
      <c r="G13" s="16"/>
      <c r="H13" s="26"/>
      <c r="I13" s="17"/>
      <c r="J13" s="17"/>
      <c r="K13" s="17"/>
      <c r="L13" s="17"/>
      <c r="M13" s="17"/>
      <c r="N13" s="17"/>
      <c r="O13" s="135"/>
      <c r="AB13" s="19" t="s">
        <v>7</v>
      </c>
      <c r="AC13" s="170" t="s">
        <v>8</v>
      </c>
      <c r="AD13" s="170"/>
      <c r="AE13" s="57">
        <f t="shared" si="8"/>
        <v>0.2441860465116279</v>
      </c>
      <c r="AF13" s="57">
        <f t="shared" ref="AF13:AF17" si="9">AF5/$AF$9</f>
        <v>0.45864661654135336</v>
      </c>
      <c r="AG13" s="57">
        <f t="shared" ref="AG13:AG16" si="10">AG5/$AG$9</f>
        <v>0.26111111111111113</v>
      </c>
      <c r="AH13" s="57">
        <f t="shared" ref="AH13:AH17" si="11">AH5/$AH$9</f>
        <v>0</v>
      </c>
      <c r="AI13" s="57">
        <f t="shared" ref="AI13:AI17" si="12">AI5/$AI$9</f>
        <v>0.26111111111111113</v>
      </c>
      <c r="AJ13" s="57">
        <f t="shared" ref="AJ13:AJ17" si="13">AJ5/$AJ$9</f>
        <v>0</v>
      </c>
    </row>
    <row r="14" spans="2:36" ht="24" x14ac:dyDescent="0.35">
      <c r="B14" s="201"/>
      <c r="C14" s="142" t="s">
        <v>112</v>
      </c>
      <c r="D14" s="16"/>
      <c r="E14" s="26"/>
      <c r="F14" s="26"/>
      <c r="G14" s="16"/>
      <c r="H14" s="26"/>
      <c r="I14" s="17"/>
      <c r="J14" s="31"/>
      <c r="K14" s="31"/>
      <c r="L14" s="31"/>
      <c r="M14" s="31"/>
      <c r="N14" s="31"/>
      <c r="O14" s="135"/>
      <c r="AB14" s="19" t="s">
        <v>9</v>
      </c>
      <c r="AC14" s="170" t="s">
        <v>10</v>
      </c>
      <c r="AD14" s="170"/>
      <c r="AE14" s="58">
        <f t="shared" si="8"/>
        <v>0.53488372093023251</v>
      </c>
      <c r="AF14" s="58">
        <f t="shared" si="9"/>
        <v>0.30827067669172931</v>
      </c>
      <c r="AG14" s="58">
        <f t="shared" si="10"/>
        <v>0.4</v>
      </c>
      <c r="AH14" s="58">
        <f t="shared" si="11"/>
        <v>0</v>
      </c>
      <c r="AI14" s="58">
        <f t="shared" si="12"/>
        <v>0.4</v>
      </c>
      <c r="AJ14" s="58">
        <f t="shared" si="13"/>
        <v>0</v>
      </c>
    </row>
    <row r="15" spans="2:36" x14ac:dyDescent="0.35">
      <c r="B15" s="201"/>
      <c r="C15" s="144" t="s">
        <v>114</v>
      </c>
      <c r="D15" s="31"/>
      <c r="E15" s="17"/>
      <c r="F15" s="17"/>
      <c r="G15" s="31"/>
      <c r="H15" s="31"/>
      <c r="I15" s="17"/>
      <c r="J15" s="31"/>
      <c r="K15" s="31"/>
      <c r="L15" s="31"/>
      <c r="M15" s="31"/>
      <c r="N15" s="31"/>
      <c r="O15" s="138"/>
      <c r="AB15" s="19" t="s">
        <v>11</v>
      </c>
      <c r="AC15" s="170" t="s">
        <v>12</v>
      </c>
      <c r="AD15" s="170"/>
      <c r="AE15" s="59">
        <f t="shared" si="8"/>
        <v>0.19767441860465115</v>
      </c>
      <c r="AF15" s="59">
        <f t="shared" si="9"/>
        <v>6.7669172932330823E-2</v>
      </c>
      <c r="AG15" s="59">
        <f t="shared" si="10"/>
        <v>0.29444444444444445</v>
      </c>
      <c r="AH15" s="59">
        <f t="shared" si="11"/>
        <v>0</v>
      </c>
      <c r="AI15" s="59">
        <f t="shared" si="12"/>
        <v>0.29444444444444445</v>
      </c>
      <c r="AJ15" s="59">
        <f t="shared" si="13"/>
        <v>0</v>
      </c>
    </row>
    <row r="16" spans="2:36" x14ac:dyDescent="0.35">
      <c r="B16" s="201"/>
      <c r="C16" s="144" t="s">
        <v>116</v>
      </c>
      <c r="D16" s="31"/>
      <c r="E16" s="17"/>
      <c r="F16" s="17"/>
      <c r="G16" s="31"/>
      <c r="H16" s="31"/>
      <c r="I16" s="17"/>
      <c r="J16" s="31"/>
      <c r="K16" s="31"/>
      <c r="L16" s="31"/>
      <c r="M16" s="31"/>
      <c r="N16" s="31"/>
      <c r="O16" s="138"/>
      <c r="AB16" s="19" t="s">
        <v>13</v>
      </c>
      <c r="AC16" s="170" t="s">
        <v>14</v>
      </c>
      <c r="AD16" s="170"/>
      <c r="AE16" s="60">
        <f t="shared" si="8"/>
        <v>2.3255813953488372E-2</v>
      </c>
      <c r="AF16" s="60">
        <f t="shared" si="9"/>
        <v>0</v>
      </c>
      <c r="AG16" s="60">
        <f t="shared" si="10"/>
        <v>0</v>
      </c>
      <c r="AH16" s="60">
        <f t="shared" si="11"/>
        <v>0</v>
      </c>
      <c r="AI16" s="60">
        <f t="shared" si="12"/>
        <v>0</v>
      </c>
      <c r="AJ16" s="60">
        <f t="shared" si="13"/>
        <v>0</v>
      </c>
    </row>
    <row r="17" spans="2:36" x14ac:dyDescent="0.35">
      <c r="B17" s="201"/>
      <c r="C17" s="144" t="s">
        <v>118</v>
      </c>
      <c r="D17" s="31"/>
      <c r="E17" s="17"/>
      <c r="F17" s="17"/>
      <c r="G17" s="31"/>
      <c r="H17" s="31"/>
      <c r="I17" s="17"/>
      <c r="J17" s="31"/>
      <c r="K17" s="31"/>
      <c r="L17" s="31"/>
      <c r="M17" s="31"/>
      <c r="N17" s="31"/>
      <c r="O17" s="138"/>
      <c r="AB17" s="165" t="s">
        <v>210</v>
      </c>
      <c r="AC17" s="165"/>
      <c r="AD17" s="165"/>
      <c r="AE17" s="64">
        <f t="shared" si="8"/>
        <v>1</v>
      </c>
      <c r="AF17" s="64">
        <f t="shared" si="9"/>
        <v>1</v>
      </c>
      <c r="AG17" s="64">
        <f>AG9/$AG$9</f>
        <v>1</v>
      </c>
      <c r="AH17" s="64">
        <f t="shared" si="11"/>
        <v>1</v>
      </c>
      <c r="AI17" s="64">
        <f t="shared" si="12"/>
        <v>1</v>
      </c>
      <c r="AJ17" s="64">
        <f t="shared" si="13"/>
        <v>1</v>
      </c>
    </row>
    <row r="18" spans="2:36" x14ac:dyDescent="0.35">
      <c r="B18" s="201"/>
      <c r="C18" s="144" t="s">
        <v>120</v>
      </c>
      <c r="D18" s="31"/>
      <c r="E18" s="17"/>
      <c r="F18" s="17"/>
      <c r="G18" s="31"/>
      <c r="H18" s="31"/>
      <c r="I18" s="17"/>
      <c r="J18" s="31"/>
      <c r="K18" s="31"/>
      <c r="L18" s="31"/>
      <c r="M18" s="31"/>
      <c r="N18" s="31"/>
      <c r="O18" s="138"/>
      <c r="AB18" s="160" t="s">
        <v>241</v>
      </c>
      <c r="AC18" s="160"/>
      <c r="AD18" s="160"/>
      <c r="AE18" s="166">
        <v>0.7</v>
      </c>
      <c r="AF18" s="167"/>
      <c r="AG18" s="168"/>
      <c r="AH18" s="168"/>
      <c r="AI18" s="168"/>
      <c r="AJ18" s="169"/>
    </row>
    <row r="19" spans="2:36" x14ac:dyDescent="0.35">
      <c r="D19" s="132" t="e">
        <f>AVERAGE(D4:D18)</f>
        <v>#DIV/0!</v>
      </c>
      <c r="E19" s="132" t="e">
        <f t="shared" ref="E19:O19" si="14">AVERAGE(E4:E18)</f>
        <v>#DIV/0!</v>
      </c>
      <c r="F19" s="132" t="e">
        <f t="shared" si="14"/>
        <v>#DIV/0!</v>
      </c>
      <c r="G19" s="132" t="e">
        <f t="shared" si="14"/>
        <v>#DIV/0!</v>
      </c>
      <c r="H19" s="132" t="e">
        <f t="shared" si="14"/>
        <v>#DIV/0!</v>
      </c>
      <c r="I19" s="132" t="e">
        <f t="shared" si="14"/>
        <v>#DIV/0!</v>
      </c>
      <c r="J19" s="132" t="e">
        <f t="shared" si="14"/>
        <v>#DIV/0!</v>
      </c>
      <c r="K19" s="132" t="e">
        <f t="shared" si="14"/>
        <v>#DIV/0!</v>
      </c>
      <c r="L19" s="132" t="e">
        <f t="shared" si="14"/>
        <v>#DIV/0!</v>
      </c>
      <c r="M19" s="132" t="e">
        <f t="shared" si="14"/>
        <v>#DIV/0!</v>
      </c>
      <c r="N19" s="132" t="e">
        <f t="shared" si="14"/>
        <v>#DIV/0!</v>
      </c>
      <c r="O19" s="132" t="e">
        <f t="shared" si="14"/>
        <v>#DIV/0!</v>
      </c>
      <c r="AB19" s="160" t="s">
        <v>16</v>
      </c>
      <c r="AC19" s="160"/>
      <c r="AD19" s="160"/>
      <c r="AE19" s="166"/>
      <c r="AF19" s="167"/>
      <c r="AG19" s="168"/>
      <c r="AH19" s="168"/>
      <c r="AI19" s="168"/>
      <c r="AJ19" s="169"/>
    </row>
    <row r="20" spans="2:36" ht="12.5" thickBot="1" x14ac:dyDescent="0.4">
      <c r="B20" s="45"/>
      <c r="C20" s="45"/>
      <c r="D20" s="46"/>
      <c r="E20" s="46"/>
      <c r="F20" s="46"/>
      <c r="G20" s="46"/>
      <c r="H20" s="46"/>
      <c r="I20" s="46"/>
      <c r="J20" s="46"/>
      <c r="K20" s="46"/>
      <c r="L20" s="46"/>
      <c r="M20" s="46"/>
      <c r="N20" s="46"/>
      <c r="O20" s="46"/>
      <c r="AB20" s="160" t="s">
        <v>360</v>
      </c>
      <c r="AC20" s="160"/>
      <c r="AD20" s="160"/>
      <c r="AE20" s="166">
        <f>SUM(AG12:AG14)</f>
        <v>0.7055555555555556</v>
      </c>
      <c r="AF20" s="167"/>
      <c r="AG20" s="168"/>
      <c r="AH20" s="168"/>
      <c r="AI20" s="168"/>
      <c r="AJ20" s="169"/>
    </row>
    <row r="21" spans="2:36" x14ac:dyDescent="0.35">
      <c r="B21" s="47" t="s">
        <v>211</v>
      </c>
      <c r="C21" s="48" t="s">
        <v>242</v>
      </c>
      <c r="D21" s="49"/>
      <c r="E21" s="50"/>
      <c r="F21" s="50"/>
      <c r="G21" s="45"/>
      <c r="AB21" s="160" t="s">
        <v>363</v>
      </c>
      <c r="AC21" s="160"/>
      <c r="AD21" s="160"/>
      <c r="AE21" s="187">
        <f>AE20-AE18</f>
        <v>5.5555555555556468E-3</v>
      </c>
      <c r="AF21" s="200"/>
      <c r="AG21" s="188"/>
      <c r="AH21" s="188"/>
      <c r="AI21" s="188"/>
      <c r="AJ21" s="189"/>
    </row>
    <row r="22" spans="2:36" ht="12.5" thickBot="1" x14ac:dyDescent="0.4">
      <c r="B22" s="51" t="s">
        <v>213</v>
      </c>
      <c r="C22" s="52" t="s">
        <v>243</v>
      </c>
      <c r="D22" s="49"/>
      <c r="E22" s="50"/>
      <c r="F22" s="50"/>
      <c r="G22" s="45"/>
    </row>
    <row r="23" spans="2:36" x14ac:dyDescent="0.35">
      <c r="B23" s="45"/>
      <c r="C23" s="45"/>
      <c r="D23" s="45"/>
      <c r="E23" s="50"/>
      <c r="F23" s="50"/>
      <c r="G23" s="45"/>
    </row>
    <row r="24" spans="2:36" x14ac:dyDescent="0.35">
      <c r="B24" s="45"/>
      <c r="C24" s="45"/>
      <c r="D24" s="45"/>
      <c r="E24" s="50"/>
      <c r="F24" s="50"/>
      <c r="G24" s="45"/>
    </row>
    <row r="25" spans="2:36" x14ac:dyDescent="0.35">
      <c r="B25" s="45"/>
      <c r="C25" s="45"/>
      <c r="D25" s="45"/>
      <c r="E25" s="50"/>
      <c r="F25" s="50"/>
      <c r="G25" s="45"/>
    </row>
    <row r="26" spans="2:36" x14ac:dyDescent="0.35">
      <c r="B26" s="45"/>
      <c r="C26" s="45"/>
      <c r="D26" s="45"/>
      <c r="E26" s="50"/>
      <c r="F26" s="50"/>
      <c r="G26" s="45"/>
    </row>
  </sheetData>
  <mergeCells count="19">
    <mergeCell ref="B4:B8"/>
    <mergeCell ref="B2:C2"/>
    <mergeCell ref="D2:O2"/>
    <mergeCell ref="AB20:AD20"/>
    <mergeCell ref="AE20:AJ20"/>
    <mergeCell ref="AB21:AD21"/>
    <mergeCell ref="AE21:AJ21"/>
    <mergeCell ref="B9:B18"/>
    <mergeCell ref="AB17:AD17"/>
    <mergeCell ref="AB18:AD18"/>
    <mergeCell ref="AE18:AJ18"/>
    <mergeCell ref="AB19:AD19"/>
    <mergeCell ref="AE19:AJ19"/>
    <mergeCell ref="AC12:AD12"/>
    <mergeCell ref="AC13:AD13"/>
    <mergeCell ref="AC14:AD14"/>
    <mergeCell ref="AC15:AD15"/>
    <mergeCell ref="AC16:AD16"/>
    <mergeCell ref="AC11:AD11"/>
  </mergeCells>
  <phoneticPr fontId="14" type="noConversion"/>
  <conditionalFormatting sqref="D4:N18">
    <cfRule type="cellIs" dxfId="76" priority="1" operator="equal">
      <formula>4</formula>
    </cfRule>
    <cfRule type="cellIs" dxfId="75" priority="2" operator="equal">
      <formula>3</formula>
    </cfRule>
    <cfRule type="cellIs" dxfId="74" priority="3" operator="equal">
      <formula>2</formula>
    </cfRule>
    <cfRule type="cellIs" dxfId="73" priority="4" operator="equal">
      <formula>1</formula>
    </cfRule>
    <cfRule type="cellIs" dxfId="72" priority="5" operator="equal">
      <formula>0</formula>
    </cfRule>
  </conditionalFormatting>
  <conditionalFormatting sqref="AE20:AJ21">
    <cfRule type="cellIs" dxfId="71" priority="6" operator="greaterThanOrEqual">
      <formula>1</formula>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05A1D-D32D-4116-B3C7-C7645ADC26A2}">
  <dimension ref="B1:AA22"/>
  <sheetViews>
    <sheetView showGridLines="0" topLeftCell="B1" zoomScaleNormal="100" workbookViewId="0">
      <selection activeCell="R27" sqref="R27"/>
    </sheetView>
  </sheetViews>
  <sheetFormatPr defaultColWidth="8.81640625" defaultRowHeight="12" x14ac:dyDescent="0.35"/>
  <cols>
    <col min="1" max="1" width="2.54296875" style="1" customWidth="1"/>
    <col min="2" max="2" width="13" style="1" bestFit="1" customWidth="1"/>
    <col min="3" max="3" width="26" style="1" bestFit="1" customWidth="1"/>
    <col min="4" max="4" width="7" style="1" customWidth="1"/>
    <col min="5" max="5" width="7" style="2" customWidth="1"/>
    <col min="6" max="6" width="7" style="1" customWidth="1"/>
    <col min="7" max="10" width="7" style="2" customWidth="1"/>
    <col min="11" max="11" width="2.453125" style="1" customWidth="1"/>
    <col min="12" max="12" width="7.1796875" style="1" customWidth="1"/>
    <col min="13" max="13" width="8.54296875" style="1" bestFit="1" customWidth="1"/>
    <col min="14" max="20" width="6.453125" style="2" customWidth="1"/>
    <col min="21" max="21" width="7.1796875" style="2" customWidth="1"/>
    <col min="22" max="26" width="6.453125" style="2" customWidth="1"/>
    <col min="27" max="27" width="21.81640625" style="3" bestFit="1" customWidth="1"/>
    <col min="28" max="28" width="10.81640625" style="1" bestFit="1" customWidth="1"/>
    <col min="29" max="16384" width="8.81640625" style="1"/>
  </cols>
  <sheetData>
    <row r="1" spans="2:27" ht="12.5" thickBot="1" x14ac:dyDescent="0.4"/>
    <row r="2" spans="2:27" s="4" customFormat="1" x14ac:dyDescent="0.35">
      <c r="B2" s="205" t="s">
        <v>175</v>
      </c>
      <c r="C2" s="206"/>
      <c r="D2" s="207" t="s">
        <v>244</v>
      </c>
      <c r="E2" s="208"/>
      <c r="F2" s="208"/>
      <c r="G2" s="208"/>
      <c r="H2" s="208"/>
      <c r="I2" s="208"/>
      <c r="J2" s="209"/>
      <c r="N2" s="5"/>
      <c r="O2" s="5"/>
      <c r="P2" s="5"/>
      <c r="Q2" s="5"/>
      <c r="R2" s="5"/>
      <c r="S2" s="5"/>
      <c r="T2" s="5"/>
      <c r="U2" s="5"/>
      <c r="V2" s="5"/>
      <c r="W2" s="5"/>
      <c r="X2" s="5"/>
      <c r="Y2" s="5"/>
      <c r="Z2" s="5"/>
      <c r="AA2" s="6"/>
    </row>
    <row r="3" spans="2:27" x14ac:dyDescent="0.35">
      <c r="B3" s="7"/>
      <c r="C3" s="8"/>
      <c r="D3" s="9" t="s">
        <v>245</v>
      </c>
      <c r="E3" s="9" t="s">
        <v>246</v>
      </c>
      <c r="F3" s="9" t="s">
        <v>247</v>
      </c>
      <c r="G3" s="9" t="s">
        <v>248</v>
      </c>
      <c r="H3" s="9" t="s">
        <v>249</v>
      </c>
      <c r="I3" s="9" t="s">
        <v>250</v>
      </c>
      <c r="J3" s="10" t="s">
        <v>251</v>
      </c>
      <c r="N3" s="2">
        <f>SUM(N4:N8)</f>
        <v>11</v>
      </c>
      <c r="O3" s="2">
        <f t="shared" ref="O3:T3" si="0">SUM(O4:O8)</f>
        <v>11</v>
      </c>
      <c r="P3" s="2">
        <f t="shared" si="0"/>
        <v>11</v>
      </c>
      <c r="Q3" s="2">
        <f t="shared" si="0"/>
        <v>11</v>
      </c>
      <c r="R3" s="2">
        <f t="shared" si="0"/>
        <v>11</v>
      </c>
      <c r="S3" s="2">
        <f t="shared" si="0"/>
        <v>11</v>
      </c>
      <c r="T3" s="2">
        <f t="shared" si="0"/>
        <v>11</v>
      </c>
      <c r="U3" s="2">
        <f>SUM(U4:U8)</f>
        <v>34</v>
      </c>
      <c r="V3" s="2">
        <f>SUM(V4:V9)</f>
        <v>77</v>
      </c>
      <c r="W3" s="2">
        <f t="shared" ref="W3:Y3" si="1">SUM(W4:W9)</f>
        <v>77</v>
      </c>
      <c r="X3" s="2">
        <f t="shared" si="1"/>
        <v>77</v>
      </c>
      <c r="Y3" s="2">
        <f t="shared" si="1"/>
        <v>0</v>
      </c>
      <c r="Z3" s="1"/>
      <c r="AA3" s="1"/>
    </row>
    <row r="4" spans="2:27" x14ac:dyDescent="0.35">
      <c r="B4" s="210"/>
      <c r="C4" s="76" t="s">
        <v>252</v>
      </c>
      <c r="D4" s="15">
        <v>4</v>
      </c>
      <c r="E4" s="15">
        <v>3</v>
      </c>
      <c r="F4" s="15">
        <v>2</v>
      </c>
      <c r="G4" s="15">
        <v>2</v>
      </c>
      <c r="H4" s="15">
        <v>1</v>
      </c>
      <c r="I4" s="15">
        <v>2</v>
      </c>
      <c r="J4" s="65">
        <v>1</v>
      </c>
      <c r="L4" s="19" t="s">
        <v>5</v>
      </c>
      <c r="M4" s="20" t="s">
        <v>6</v>
      </c>
      <c r="N4" s="21">
        <f>COUNTIF(D$4:D$14,4)</f>
        <v>5</v>
      </c>
      <c r="O4" s="21">
        <f t="shared" ref="O4:T4" si="2">COUNTIF(E$4:E$14,4)</f>
        <v>0</v>
      </c>
      <c r="P4" s="21">
        <f t="shared" si="2"/>
        <v>0</v>
      </c>
      <c r="Q4" s="21">
        <f t="shared" si="2"/>
        <v>0</v>
      </c>
      <c r="R4" s="21">
        <f t="shared" si="2"/>
        <v>0</v>
      </c>
      <c r="S4" s="21">
        <f t="shared" si="2"/>
        <v>0</v>
      </c>
      <c r="T4" s="21">
        <f t="shared" si="2"/>
        <v>1</v>
      </c>
      <c r="U4" s="21">
        <v>0</v>
      </c>
      <c r="V4" s="21">
        <v>0</v>
      </c>
      <c r="W4" s="21">
        <v>6</v>
      </c>
      <c r="X4" s="21">
        <v>6</v>
      </c>
      <c r="Y4" s="21"/>
      <c r="Z4" s="1"/>
      <c r="AA4" s="1"/>
    </row>
    <row r="5" spans="2:27" x14ac:dyDescent="0.35">
      <c r="B5" s="211"/>
      <c r="C5" s="76" t="s">
        <v>253</v>
      </c>
      <c r="D5" s="15">
        <v>4</v>
      </c>
      <c r="E5" s="15">
        <v>2</v>
      </c>
      <c r="F5" s="15">
        <v>1</v>
      </c>
      <c r="G5" s="15">
        <v>2</v>
      </c>
      <c r="H5" s="15">
        <v>1</v>
      </c>
      <c r="I5" s="15">
        <v>2</v>
      </c>
      <c r="J5" s="65">
        <v>1</v>
      </c>
      <c r="L5" s="19" t="s">
        <v>7</v>
      </c>
      <c r="M5" s="20" t="s">
        <v>8</v>
      </c>
      <c r="N5" s="15">
        <f>COUNTIF(D$4:D$14,3)</f>
        <v>0</v>
      </c>
      <c r="O5" s="15">
        <f t="shared" ref="O5:T5" si="3">COUNTIF(E$4:E$14,3)</f>
        <v>6</v>
      </c>
      <c r="P5" s="15">
        <f t="shared" si="3"/>
        <v>1</v>
      </c>
      <c r="Q5" s="15">
        <f t="shared" si="3"/>
        <v>2</v>
      </c>
      <c r="R5" s="15">
        <f t="shared" si="3"/>
        <v>1</v>
      </c>
      <c r="S5" s="15">
        <f t="shared" si="3"/>
        <v>1</v>
      </c>
      <c r="T5" s="15">
        <f t="shared" si="3"/>
        <v>0</v>
      </c>
      <c r="U5" s="15">
        <v>0</v>
      </c>
      <c r="V5" s="15">
        <v>5</v>
      </c>
      <c r="W5" s="15">
        <v>11</v>
      </c>
      <c r="X5" s="15">
        <v>11</v>
      </c>
      <c r="Y5" s="15"/>
      <c r="Z5" s="1"/>
      <c r="AA5" s="1"/>
    </row>
    <row r="6" spans="2:27" x14ac:dyDescent="0.35">
      <c r="B6" s="211"/>
      <c r="C6" s="76" t="s">
        <v>254</v>
      </c>
      <c r="D6" s="15">
        <v>1</v>
      </c>
      <c r="E6" s="15">
        <v>1</v>
      </c>
      <c r="F6" s="15">
        <v>1</v>
      </c>
      <c r="G6" s="15">
        <v>3</v>
      </c>
      <c r="H6" s="15">
        <v>1</v>
      </c>
      <c r="I6" s="15">
        <v>1</v>
      </c>
      <c r="J6" s="65">
        <v>1</v>
      </c>
      <c r="L6" s="19" t="s">
        <v>9</v>
      </c>
      <c r="M6" s="20" t="s">
        <v>10</v>
      </c>
      <c r="N6" s="16">
        <f>COUNTIF(D$4:D$14,2)</f>
        <v>4</v>
      </c>
      <c r="O6" s="16">
        <f t="shared" ref="O6:T6" si="4">COUNTIF(E$4:E$14,2)</f>
        <v>3</v>
      </c>
      <c r="P6" s="16">
        <f t="shared" si="4"/>
        <v>7</v>
      </c>
      <c r="Q6" s="16">
        <f t="shared" si="4"/>
        <v>7</v>
      </c>
      <c r="R6" s="16">
        <f t="shared" si="4"/>
        <v>2</v>
      </c>
      <c r="S6" s="16">
        <f t="shared" si="4"/>
        <v>8</v>
      </c>
      <c r="T6" s="16">
        <f t="shared" si="4"/>
        <v>4</v>
      </c>
      <c r="U6" s="16">
        <v>13</v>
      </c>
      <c r="V6" s="16">
        <v>31</v>
      </c>
      <c r="W6" s="16">
        <v>35</v>
      </c>
      <c r="X6" s="16">
        <v>40</v>
      </c>
      <c r="Y6" s="16"/>
      <c r="Z6" s="1"/>
      <c r="AA6" s="1"/>
    </row>
    <row r="7" spans="2:27" x14ac:dyDescent="0.35">
      <c r="B7" s="211"/>
      <c r="C7" s="76" t="s">
        <v>255</v>
      </c>
      <c r="D7" s="15">
        <v>4</v>
      </c>
      <c r="E7" s="15">
        <v>3</v>
      </c>
      <c r="F7" s="15">
        <v>2</v>
      </c>
      <c r="G7" s="15">
        <v>2</v>
      </c>
      <c r="H7" s="15">
        <v>1</v>
      </c>
      <c r="I7" s="15">
        <v>2</v>
      </c>
      <c r="J7" s="65">
        <v>1</v>
      </c>
      <c r="L7" s="19" t="s">
        <v>11</v>
      </c>
      <c r="M7" s="20" t="s">
        <v>12</v>
      </c>
      <c r="N7" s="26">
        <f>COUNTIF(D$4:D$14,1)</f>
        <v>2</v>
      </c>
      <c r="O7" s="26">
        <f t="shared" ref="O7:T7" si="5">COUNTIF(E$4:E$14,1)</f>
        <v>2</v>
      </c>
      <c r="P7" s="26">
        <f t="shared" si="5"/>
        <v>3</v>
      </c>
      <c r="Q7" s="26">
        <f t="shared" si="5"/>
        <v>2</v>
      </c>
      <c r="R7" s="26">
        <f t="shared" si="5"/>
        <v>8</v>
      </c>
      <c r="S7" s="26">
        <f t="shared" si="5"/>
        <v>1</v>
      </c>
      <c r="T7" s="26">
        <f t="shared" si="5"/>
        <v>6</v>
      </c>
      <c r="U7" s="26">
        <v>10</v>
      </c>
      <c r="V7" s="26">
        <v>36</v>
      </c>
      <c r="W7" s="26">
        <v>24</v>
      </c>
      <c r="X7" s="26">
        <v>20</v>
      </c>
      <c r="Y7" s="26"/>
      <c r="Z7" s="1"/>
      <c r="AA7" s="1"/>
    </row>
    <row r="8" spans="2:27" x14ac:dyDescent="0.35">
      <c r="B8" s="211"/>
      <c r="C8" s="76" t="s">
        <v>256</v>
      </c>
      <c r="D8" s="15">
        <v>4</v>
      </c>
      <c r="E8" s="15">
        <v>3</v>
      </c>
      <c r="F8" s="15">
        <v>3</v>
      </c>
      <c r="G8" s="15">
        <v>3</v>
      </c>
      <c r="H8" s="15">
        <v>3</v>
      </c>
      <c r="I8" s="15">
        <v>3</v>
      </c>
      <c r="J8" s="65">
        <v>4</v>
      </c>
      <c r="L8" s="19" t="s">
        <v>13</v>
      </c>
      <c r="M8" s="20" t="s">
        <v>14</v>
      </c>
      <c r="N8" s="56">
        <f>COUNTIF(D$4:D$14,0)</f>
        <v>0</v>
      </c>
      <c r="O8" s="56">
        <f t="shared" ref="O8:T8" si="6">COUNTIF(E$4:E$14,0)</f>
        <v>0</v>
      </c>
      <c r="P8" s="56">
        <f t="shared" si="6"/>
        <v>0</v>
      </c>
      <c r="Q8" s="56">
        <f t="shared" si="6"/>
        <v>0</v>
      </c>
      <c r="R8" s="56">
        <f t="shared" si="6"/>
        <v>0</v>
      </c>
      <c r="S8" s="56">
        <f t="shared" si="6"/>
        <v>1</v>
      </c>
      <c r="T8" s="56">
        <f t="shared" si="6"/>
        <v>0</v>
      </c>
      <c r="U8" s="56">
        <v>11</v>
      </c>
      <c r="V8" s="56">
        <v>5</v>
      </c>
      <c r="W8" s="56">
        <v>1</v>
      </c>
      <c r="X8" s="56">
        <v>0</v>
      </c>
      <c r="Y8" s="56"/>
      <c r="Z8" s="1"/>
      <c r="AA8" s="1"/>
    </row>
    <row r="9" spans="2:27" x14ac:dyDescent="0.35">
      <c r="B9" s="212"/>
      <c r="C9" s="77" t="s">
        <v>257</v>
      </c>
      <c r="D9" s="15">
        <v>1</v>
      </c>
      <c r="E9" s="15">
        <v>1</v>
      </c>
      <c r="F9" s="15">
        <v>1</v>
      </c>
      <c r="G9" s="15">
        <v>1</v>
      </c>
      <c r="H9" s="15">
        <v>1</v>
      </c>
      <c r="I9" s="15">
        <v>0</v>
      </c>
      <c r="J9" s="65">
        <v>1</v>
      </c>
      <c r="L9" s="2"/>
      <c r="M9" s="19" t="s">
        <v>195</v>
      </c>
      <c r="N9" s="55"/>
      <c r="O9" s="55"/>
      <c r="P9" s="55"/>
      <c r="Q9" s="55"/>
      <c r="R9" s="55"/>
      <c r="S9" s="55"/>
      <c r="T9" s="55"/>
      <c r="U9" s="55"/>
      <c r="V9" s="55"/>
      <c r="W9" s="55"/>
      <c r="X9" s="55"/>
      <c r="Y9" s="55"/>
      <c r="Z9" s="1"/>
      <c r="AA9" s="1"/>
    </row>
    <row r="10" spans="2:27" ht="24" x14ac:dyDescent="0.35">
      <c r="B10" s="78"/>
      <c r="C10" s="76" t="s">
        <v>258</v>
      </c>
      <c r="D10" s="15">
        <v>4</v>
      </c>
      <c r="E10" s="15">
        <v>3</v>
      </c>
      <c r="F10" s="15">
        <v>2</v>
      </c>
      <c r="G10" s="15">
        <v>2</v>
      </c>
      <c r="H10" s="15">
        <v>1</v>
      </c>
      <c r="I10" s="15">
        <v>2</v>
      </c>
      <c r="J10" s="65">
        <v>1</v>
      </c>
      <c r="L10" s="2"/>
      <c r="M10" s="2"/>
      <c r="N10" s="19" t="str">
        <f>D3</f>
        <v>Jena</v>
      </c>
      <c r="O10" s="19" t="str">
        <f t="shared" ref="O10:T10" si="7">E3</f>
        <v>Nishita</v>
      </c>
      <c r="P10" s="19" t="str">
        <f t="shared" si="7"/>
        <v>Nutan</v>
      </c>
      <c r="Q10" s="19" t="str">
        <f t="shared" si="7"/>
        <v>Sagar</v>
      </c>
      <c r="R10" s="19" t="str">
        <f t="shared" si="7"/>
        <v>Mukesh</v>
      </c>
      <c r="S10" s="19" t="str">
        <f t="shared" si="7"/>
        <v>Kishore</v>
      </c>
      <c r="T10" s="19" t="str">
        <f t="shared" si="7"/>
        <v>Riddin</v>
      </c>
      <c r="U10" s="33" t="s">
        <v>0</v>
      </c>
      <c r="V10" s="33" t="s">
        <v>1</v>
      </c>
      <c r="W10" s="33" t="s">
        <v>2</v>
      </c>
      <c r="X10" s="33" t="s">
        <v>3</v>
      </c>
      <c r="Y10" s="33" t="s">
        <v>4</v>
      </c>
      <c r="Z10" s="1"/>
      <c r="AA10" s="1"/>
    </row>
    <row r="11" spans="2:27" ht="24" x14ac:dyDescent="0.35">
      <c r="B11" s="79"/>
      <c r="C11" s="77" t="s">
        <v>166</v>
      </c>
      <c r="D11" s="15">
        <v>2</v>
      </c>
      <c r="E11" s="15">
        <v>3</v>
      </c>
      <c r="F11" s="15">
        <v>2</v>
      </c>
      <c r="G11" s="15">
        <v>2</v>
      </c>
      <c r="H11" s="15">
        <v>2</v>
      </c>
      <c r="I11" s="15">
        <v>2</v>
      </c>
      <c r="J11" s="65">
        <v>2</v>
      </c>
      <c r="L11" s="2"/>
      <c r="M11" s="2"/>
    </row>
    <row r="12" spans="2:27" ht="24" x14ac:dyDescent="0.35">
      <c r="B12" s="79"/>
      <c r="C12" s="77" t="s">
        <v>168</v>
      </c>
      <c r="D12" s="15">
        <v>2</v>
      </c>
      <c r="E12" s="15">
        <v>2</v>
      </c>
      <c r="F12" s="15">
        <v>2</v>
      </c>
      <c r="G12" s="15">
        <v>1</v>
      </c>
      <c r="H12" s="15">
        <v>1</v>
      </c>
      <c r="I12" s="15">
        <v>2</v>
      </c>
      <c r="J12" s="65">
        <v>2</v>
      </c>
      <c r="S12" s="19" t="s">
        <v>5</v>
      </c>
      <c r="T12" s="54" t="s">
        <v>6</v>
      </c>
      <c r="U12" s="36">
        <f>U4/$U$3</f>
        <v>0</v>
      </c>
      <c r="V12" s="36">
        <f>V4/$V$3</f>
        <v>0</v>
      </c>
      <c r="W12" s="36">
        <f>W4/$W$3</f>
        <v>7.792207792207792E-2</v>
      </c>
      <c r="X12" s="36">
        <f>X4/$X$3</f>
        <v>7.792207792207792E-2</v>
      </c>
      <c r="Y12" s="36" t="e">
        <f>Y4/$Y$3</f>
        <v>#DIV/0!</v>
      </c>
      <c r="Z12" s="1"/>
      <c r="AA12" s="1"/>
    </row>
    <row r="13" spans="2:27" ht="24" x14ac:dyDescent="0.35">
      <c r="B13" s="79"/>
      <c r="C13" s="77" t="s">
        <v>170</v>
      </c>
      <c r="D13" s="15">
        <v>2</v>
      </c>
      <c r="E13" s="15">
        <v>2</v>
      </c>
      <c r="F13" s="15">
        <v>2</v>
      </c>
      <c r="G13" s="15">
        <v>2</v>
      </c>
      <c r="H13" s="15">
        <v>1</v>
      </c>
      <c r="I13" s="15">
        <v>2</v>
      </c>
      <c r="J13" s="65">
        <v>2</v>
      </c>
      <c r="S13" s="19" t="s">
        <v>7</v>
      </c>
      <c r="T13" s="54" t="s">
        <v>8</v>
      </c>
      <c r="U13" s="57">
        <f>U5/$U$3</f>
        <v>0</v>
      </c>
      <c r="V13" s="57">
        <f>V5/$V$3</f>
        <v>6.4935064935064929E-2</v>
      </c>
      <c r="W13" s="57">
        <f t="shared" ref="W13:W16" si="8">W5/$W$3</f>
        <v>0.14285714285714285</v>
      </c>
      <c r="X13" s="57">
        <f t="shared" ref="X13:X16" si="9">X5/$X$3</f>
        <v>0.14285714285714285</v>
      </c>
      <c r="Y13" s="57" t="e">
        <f t="shared" ref="Y13:Y16" si="10">Y5/$Y$3</f>
        <v>#DIV/0!</v>
      </c>
      <c r="Z13" s="1"/>
      <c r="AA13" s="1"/>
    </row>
    <row r="14" spans="2:27" ht="24" x14ac:dyDescent="0.35">
      <c r="B14" s="79"/>
      <c r="C14" s="77" t="s">
        <v>172</v>
      </c>
      <c r="D14" s="15">
        <v>2</v>
      </c>
      <c r="E14" s="15">
        <v>3</v>
      </c>
      <c r="F14" s="15">
        <v>2</v>
      </c>
      <c r="G14" s="15">
        <v>2</v>
      </c>
      <c r="H14" s="15">
        <v>2</v>
      </c>
      <c r="I14" s="15">
        <v>2</v>
      </c>
      <c r="J14" s="65">
        <v>2</v>
      </c>
      <c r="S14" s="19" t="s">
        <v>9</v>
      </c>
      <c r="T14" s="54" t="s">
        <v>10</v>
      </c>
      <c r="U14" s="58">
        <f>U6/$U$3</f>
        <v>0.38235294117647056</v>
      </c>
      <c r="V14" s="58">
        <f t="shared" ref="V14:V16" si="11">V6/$V$3</f>
        <v>0.40259740259740262</v>
      </c>
      <c r="W14" s="58">
        <f t="shared" si="8"/>
        <v>0.45454545454545453</v>
      </c>
      <c r="X14" s="58">
        <f t="shared" si="9"/>
        <v>0.51948051948051943</v>
      </c>
      <c r="Y14" s="58" t="e">
        <f t="shared" si="10"/>
        <v>#DIV/0!</v>
      </c>
      <c r="Z14" s="1"/>
      <c r="AA14" s="1"/>
    </row>
    <row r="15" spans="2:27" ht="24.5" thickBot="1" x14ac:dyDescent="0.4">
      <c r="B15" s="41"/>
      <c r="C15" s="42"/>
      <c r="D15" s="43">
        <f t="shared" ref="D15:J15" si="12">AVERAGE(D4:D14)</f>
        <v>2.7272727272727271</v>
      </c>
      <c r="E15" s="43">
        <f t="shared" si="12"/>
        <v>2.3636363636363638</v>
      </c>
      <c r="F15" s="43">
        <f t="shared" si="12"/>
        <v>1.8181818181818181</v>
      </c>
      <c r="G15" s="43">
        <f t="shared" si="12"/>
        <v>2</v>
      </c>
      <c r="H15" s="43">
        <f t="shared" si="12"/>
        <v>1.3636363636363635</v>
      </c>
      <c r="I15" s="43">
        <f t="shared" si="12"/>
        <v>1.8181818181818181</v>
      </c>
      <c r="J15" s="44">
        <f t="shared" si="12"/>
        <v>1.6363636363636365</v>
      </c>
      <c r="S15" s="19" t="s">
        <v>11</v>
      </c>
      <c r="T15" s="54" t="s">
        <v>12</v>
      </c>
      <c r="U15" s="59">
        <f>U7/$U$3</f>
        <v>0.29411764705882354</v>
      </c>
      <c r="V15" s="59">
        <f t="shared" si="11"/>
        <v>0.46753246753246752</v>
      </c>
      <c r="W15" s="59">
        <f t="shared" si="8"/>
        <v>0.31168831168831168</v>
      </c>
      <c r="X15" s="59">
        <f t="shared" si="9"/>
        <v>0.25974025974025972</v>
      </c>
      <c r="Y15" s="59" t="e">
        <f t="shared" si="10"/>
        <v>#DIV/0!</v>
      </c>
      <c r="Z15" s="1"/>
      <c r="AA15" s="1"/>
    </row>
    <row r="16" spans="2:27" ht="12.5" thickBot="1" x14ac:dyDescent="0.4">
      <c r="B16" s="45"/>
      <c r="C16" s="45"/>
      <c r="D16" s="46"/>
      <c r="E16" s="46"/>
      <c r="F16" s="46"/>
      <c r="G16" s="46"/>
      <c r="H16" s="46"/>
      <c r="I16" s="46"/>
      <c r="J16" s="46"/>
      <c r="S16" s="19" t="s">
        <v>13</v>
      </c>
      <c r="T16" s="54" t="s">
        <v>14</v>
      </c>
      <c r="U16" s="60">
        <f>U8/$U$3</f>
        <v>0.3235294117647059</v>
      </c>
      <c r="V16" s="60">
        <f t="shared" si="11"/>
        <v>6.4935064935064929E-2</v>
      </c>
      <c r="W16" s="60">
        <f t="shared" si="8"/>
        <v>1.2987012987012988E-2</v>
      </c>
      <c r="X16" s="60">
        <f t="shared" si="9"/>
        <v>0</v>
      </c>
      <c r="Y16" s="60" t="e">
        <f t="shared" si="10"/>
        <v>#DIV/0!</v>
      </c>
      <c r="Z16" s="1"/>
      <c r="AA16" s="1"/>
    </row>
    <row r="17" spans="2:26" x14ac:dyDescent="0.35">
      <c r="B17" s="47" t="s">
        <v>211</v>
      </c>
      <c r="C17" s="48" t="s">
        <v>259</v>
      </c>
      <c r="D17" s="49"/>
      <c r="E17" s="50"/>
      <c r="F17" s="45"/>
      <c r="S17" s="165" t="s">
        <v>210</v>
      </c>
      <c r="T17" s="165"/>
      <c r="U17" s="64">
        <f>SUM(U12:U16)</f>
        <v>1</v>
      </c>
      <c r="V17" s="64">
        <f t="shared" ref="V17:Y17" si="13">SUM(V12:V16)</f>
        <v>1</v>
      </c>
      <c r="W17" s="64">
        <f t="shared" si="13"/>
        <v>1</v>
      </c>
      <c r="X17" s="64">
        <f t="shared" si="13"/>
        <v>0.99999999999999989</v>
      </c>
      <c r="Y17" s="64" t="e">
        <f t="shared" si="13"/>
        <v>#DIV/0!</v>
      </c>
      <c r="Z17" s="61"/>
    </row>
    <row r="18" spans="2:26" ht="12.5" thickBot="1" x14ac:dyDescent="0.4">
      <c r="B18" s="51" t="s">
        <v>213</v>
      </c>
      <c r="C18" s="52" t="s">
        <v>260</v>
      </c>
      <c r="D18" s="49"/>
      <c r="E18" s="50"/>
      <c r="F18" s="45"/>
      <c r="S18" s="160" t="s">
        <v>15</v>
      </c>
      <c r="T18" s="160"/>
      <c r="U18" s="166">
        <v>0.65</v>
      </c>
      <c r="V18" s="168"/>
      <c r="W18" s="168"/>
      <c r="X18" s="168"/>
      <c r="Y18" s="169"/>
    </row>
    <row r="19" spans="2:26" x14ac:dyDescent="0.35">
      <c r="B19" s="45"/>
      <c r="C19" s="45"/>
      <c r="D19" s="45"/>
      <c r="E19" s="50"/>
      <c r="F19" s="45"/>
      <c r="S19" s="160" t="s">
        <v>16</v>
      </c>
      <c r="T19" s="160"/>
      <c r="U19" s="166">
        <f>W12+W13+W14</f>
        <v>0.67532467532467533</v>
      </c>
      <c r="V19" s="168"/>
      <c r="W19" s="168"/>
      <c r="X19" s="168"/>
      <c r="Y19" s="169"/>
    </row>
    <row r="20" spans="2:26" x14ac:dyDescent="0.35">
      <c r="B20" s="45"/>
      <c r="C20" s="45"/>
      <c r="D20" s="45"/>
      <c r="E20" s="50"/>
      <c r="F20" s="45"/>
      <c r="S20" s="160" t="s">
        <v>17</v>
      </c>
      <c r="T20" s="160"/>
      <c r="U20" s="166">
        <f>SUM(X12:X14)</f>
        <v>0.74025974025974017</v>
      </c>
      <c r="V20" s="168"/>
      <c r="W20" s="168"/>
      <c r="X20" s="168"/>
      <c r="Y20" s="169"/>
    </row>
    <row r="21" spans="2:26" x14ac:dyDescent="0.35">
      <c r="B21" s="45"/>
      <c r="C21" s="45"/>
      <c r="D21" s="45"/>
      <c r="E21" s="50"/>
      <c r="F21" s="45"/>
      <c r="S21" s="160" t="s">
        <v>18</v>
      </c>
      <c r="T21" s="160"/>
      <c r="U21" s="187">
        <f>U19-U18</f>
        <v>2.5324675324675305E-2</v>
      </c>
      <c r="V21" s="188"/>
      <c r="W21" s="188"/>
      <c r="X21" s="188"/>
      <c r="Y21" s="189"/>
    </row>
    <row r="22" spans="2:26" x14ac:dyDescent="0.35">
      <c r="B22" s="45"/>
      <c r="C22" s="45"/>
      <c r="D22" s="45"/>
      <c r="E22" s="50"/>
      <c r="F22" s="45"/>
    </row>
  </sheetData>
  <mergeCells count="12">
    <mergeCell ref="S21:T21"/>
    <mergeCell ref="U21:Y21"/>
    <mergeCell ref="B2:C2"/>
    <mergeCell ref="D2:J2"/>
    <mergeCell ref="B4:B9"/>
    <mergeCell ref="S17:T17"/>
    <mergeCell ref="S18:T18"/>
    <mergeCell ref="U18:Y18"/>
    <mergeCell ref="S19:T19"/>
    <mergeCell ref="U19:Y19"/>
    <mergeCell ref="S20:T20"/>
    <mergeCell ref="U20:Y20"/>
  </mergeCells>
  <conditionalFormatting sqref="D4:J14">
    <cfRule type="cellIs" dxfId="70" priority="3" operator="equal">
      <formula>4</formula>
    </cfRule>
    <cfRule type="cellIs" dxfId="69" priority="4" operator="equal">
      <formula>3</formula>
    </cfRule>
    <cfRule type="cellIs" dxfId="68" priority="5" operator="equal">
      <formula>2</formula>
    </cfRule>
    <cfRule type="cellIs" dxfId="67" priority="6" operator="equal">
      <formula>1</formula>
    </cfRule>
    <cfRule type="cellIs" dxfId="66" priority="7" operator="equal">
      <formula>0</formula>
    </cfRule>
  </conditionalFormatting>
  <conditionalFormatting sqref="U20:Y21">
    <cfRule type="cellIs" dxfId="65" priority="1" operator="greaterThanOrEqual">
      <formula>1</formula>
    </cfRule>
  </conditionalFormatting>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2D4B8-101B-4809-8970-1D3987CFA156}">
  <dimension ref="B1:Z23"/>
  <sheetViews>
    <sheetView showGridLines="0" topLeftCell="D1" zoomScaleNormal="100" workbookViewId="0">
      <selection activeCell="I23" sqref="I23"/>
    </sheetView>
  </sheetViews>
  <sheetFormatPr defaultColWidth="8.81640625" defaultRowHeight="12" x14ac:dyDescent="0.35"/>
  <cols>
    <col min="1" max="1" width="2.54296875" style="1" customWidth="1"/>
    <col min="2" max="2" width="13" style="1" bestFit="1" customWidth="1"/>
    <col min="3" max="3" width="42.1796875" style="1" bestFit="1" customWidth="1"/>
    <col min="4" max="4" width="8.453125" style="1" customWidth="1"/>
    <col min="5" max="5" width="8.453125" style="2" customWidth="1"/>
    <col min="6" max="6" width="8.453125" style="1" customWidth="1"/>
    <col min="7" max="10" width="8.453125" style="2" customWidth="1"/>
    <col min="11" max="11" width="2.453125" style="1" customWidth="1"/>
    <col min="12" max="12" width="6.54296875" style="1" bestFit="1" customWidth="1"/>
    <col min="13" max="13" width="8.54296875" style="1" bestFit="1" customWidth="1"/>
    <col min="14" max="19" width="7.453125" style="2" customWidth="1"/>
    <col min="20" max="20" width="10.453125" style="2" customWidth="1"/>
    <col min="21" max="25" width="7.453125" style="2" customWidth="1"/>
    <col min="26" max="26" width="6.1796875" style="2" bestFit="1" customWidth="1"/>
    <col min="27" max="27" width="6.54296875" style="1" customWidth="1"/>
    <col min="28" max="16384" width="8.81640625" style="1"/>
  </cols>
  <sheetData>
    <row r="1" spans="2:26" ht="12.5" thickBot="1" x14ac:dyDescent="0.4"/>
    <row r="2" spans="2:26" s="4" customFormat="1" x14ac:dyDescent="0.35">
      <c r="B2" s="205" t="s">
        <v>175</v>
      </c>
      <c r="C2" s="206"/>
      <c r="D2" s="207" t="s">
        <v>261</v>
      </c>
      <c r="E2" s="208"/>
      <c r="F2" s="208"/>
      <c r="G2" s="208"/>
      <c r="H2" s="208"/>
      <c r="I2" s="208"/>
      <c r="J2" s="209"/>
      <c r="N2" s="5"/>
      <c r="O2" s="5"/>
      <c r="P2" s="5"/>
      <c r="Q2" s="5"/>
      <c r="R2" s="5"/>
      <c r="S2" s="5"/>
      <c r="T2" s="5"/>
      <c r="U2" s="5"/>
      <c r="V2" s="5"/>
      <c r="W2" s="5"/>
      <c r="X2" s="5"/>
      <c r="Y2" s="5"/>
      <c r="Z2" s="5"/>
    </row>
    <row r="3" spans="2:26" x14ac:dyDescent="0.35">
      <c r="B3" s="7"/>
      <c r="C3" s="8"/>
      <c r="D3" s="9" t="s">
        <v>235</v>
      </c>
      <c r="E3" s="9" t="s">
        <v>262</v>
      </c>
      <c r="F3" s="9" t="s">
        <v>263</v>
      </c>
      <c r="G3" s="9" t="s">
        <v>264</v>
      </c>
      <c r="H3" s="9" t="s">
        <v>265</v>
      </c>
      <c r="I3" s="9" t="s">
        <v>266</v>
      </c>
      <c r="J3" s="10" t="s">
        <v>267</v>
      </c>
      <c r="N3" s="2">
        <f>SUM(N4:N8)</f>
        <v>11</v>
      </c>
      <c r="O3" s="2">
        <f t="shared" ref="O3:Y3" si="0">SUM(O4:O8)</f>
        <v>12</v>
      </c>
      <c r="P3" s="2">
        <f t="shared" si="0"/>
        <v>10</v>
      </c>
      <c r="Q3" s="2">
        <f t="shared" si="0"/>
        <v>10</v>
      </c>
      <c r="R3" s="2">
        <f t="shared" si="0"/>
        <v>12</v>
      </c>
      <c r="S3" s="2">
        <f t="shared" si="0"/>
        <v>12</v>
      </c>
      <c r="T3" s="2">
        <f t="shared" si="0"/>
        <v>12</v>
      </c>
      <c r="U3" s="2">
        <f t="shared" si="0"/>
        <v>67</v>
      </c>
      <c r="V3" s="2">
        <f t="shared" si="0"/>
        <v>79</v>
      </c>
      <c r="W3" s="2">
        <f t="shared" si="0"/>
        <v>79</v>
      </c>
      <c r="X3" s="2">
        <f t="shared" si="0"/>
        <v>79</v>
      </c>
      <c r="Y3" s="2">
        <f t="shared" si="0"/>
        <v>0</v>
      </c>
      <c r="Z3" s="1"/>
    </row>
    <row r="4" spans="2:26" x14ac:dyDescent="0.35">
      <c r="B4" s="210"/>
      <c r="C4" s="76" t="s">
        <v>150</v>
      </c>
      <c r="D4" s="15">
        <v>3</v>
      </c>
      <c r="E4" s="15">
        <v>3</v>
      </c>
      <c r="F4" s="15">
        <v>3</v>
      </c>
      <c r="G4" s="15">
        <v>0</v>
      </c>
      <c r="H4" s="15">
        <v>1</v>
      </c>
      <c r="I4" s="15">
        <v>2</v>
      </c>
      <c r="J4" s="15">
        <v>2</v>
      </c>
      <c r="L4" s="19" t="s">
        <v>5</v>
      </c>
      <c r="M4" s="20" t="s">
        <v>6</v>
      </c>
      <c r="N4" s="21">
        <f>COUNTIF(D$4:D$15,4)</f>
        <v>0</v>
      </c>
      <c r="O4" s="21">
        <f t="shared" ref="O4:T4" si="1">COUNTIF(E$4:E$15,4)</f>
        <v>0</v>
      </c>
      <c r="P4" s="21">
        <f t="shared" si="1"/>
        <v>0</v>
      </c>
      <c r="Q4" s="21">
        <f t="shared" si="1"/>
        <v>0</v>
      </c>
      <c r="R4" s="21">
        <f t="shared" si="1"/>
        <v>0</v>
      </c>
      <c r="S4" s="21">
        <f t="shared" si="1"/>
        <v>0</v>
      </c>
      <c r="T4" s="21">
        <f t="shared" si="1"/>
        <v>0</v>
      </c>
      <c r="U4" s="80">
        <v>0</v>
      </c>
      <c r="V4" s="80">
        <v>0</v>
      </c>
      <c r="W4" s="80">
        <v>0</v>
      </c>
      <c r="X4" s="80">
        <v>0</v>
      </c>
      <c r="Y4" s="80"/>
      <c r="Z4" s="1"/>
    </row>
    <row r="5" spans="2:26" x14ac:dyDescent="0.35">
      <c r="B5" s="211"/>
      <c r="C5" s="76" t="s">
        <v>152</v>
      </c>
      <c r="D5" s="15">
        <v>2</v>
      </c>
      <c r="E5" s="15">
        <v>3</v>
      </c>
      <c r="F5" s="15">
        <v>3</v>
      </c>
      <c r="G5" s="15">
        <v>1</v>
      </c>
      <c r="H5" s="15">
        <v>3</v>
      </c>
      <c r="I5" s="15">
        <v>3</v>
      </c>
      <c r="J5" s="15">
        <v>1</v>
      </c>
      <c r="L5" s="19" t="s">
        <v>7</v>
      </c>
      <c r="M5" s="20" t="s">
        <v>8</v>
      </c>
      <c r="N5" s="15">
        <f>COUNTIF(D$4:D$15,3)</f>
        <v>8</v>
      </c>
      <c r="O5" s="15">
        <f t="shared" ref="O5:T5" si="2">COUNTIF(E$4:E$15,3)</f>
        <v>5</v>
      </c>
      <c r="P5" s="15">
        <f t="shared" si="2"/>
        <v>3</v>
      </c>
      <c r="Q5" s="15">
        <f t="shared" si="2"/>
        <v>0</v>
      </c>
      <c r="R5" s="15">
        <f t="shared" si="2"/>
        <v>2</v>
      </c>
      <c r="S5" s="15">
        <f t="shared" si="2"/>
        <v>7</v>
      </c>
      <c r="T5" s="15">
        <f t="shared" si="2"/>
        <v>1</v>
      </c>
      <c r="U5" s="15">
        <v>17</v>
      </c>
      <c r="V5" s="15">
        <v>26</v>
      </c>
      <c r="W5" s="15">
        <v>26</v>
      </c>
      <c r="X5" s="15">
        <v>29</v>
      </c>
      <c r="Y5" s="15"/>
      <c r="Z5" s="1"/>
    </row>
    <row r="6" spans="2:26" x14ac:dyDescent="0.35">
      <c r="B6" s="211"/>
      <c r="C6" s="76" t="s">
        <v>154</v>
      </c>
      <c r="D6" s="37">
        <v>1</v>
      </c>
      <c r="E6" s="15">
        <v>1</v>
      </c>
      <c r="F6" s="37" t="s">
        <v>195</v>
      </c>
      <c r="G6" s="15">
        <v>0</v>
      </c>
      <c r="H6" s="15">
        <v>1</v>
      </c>
      <c r="I6" s="15">
        <v>3</v>
      </c>
      <c r="J6" s="15">
        <v>1</v>
      </c>
      <c r="L6" s="19" t="s">
        <v>9</v>
      </c>
      <c r="M6" s="20" t="s">
        <v>10</v>
      </c>
      <c r="N6" s="16">
        <f>COUNTIF(D$4:D$15,2)</f>
        <v>1</v>
      </c>
      <c r="O6" s="16">
        <f t="shared" ref="O6:T6" si="3">COUNTIF(E$4:E$15,2)</f>
        <v>5</v>
      </c>
      <c r="P6" s="16">
        <f t="shared" si="3"/>
        <v>5</v>
      </c>
      <c r="Q6" s="16">
        <f t="shared" si="3"/>
        <v>0</v>
      </c>
      <c r="R6" s="16">
        <f t="shared" si="3"/>
        <v>4</v>
      </c>
      <c r="S6" s="16">
        <f t="shared" si="3"/>
        <v>3</v>
      </c>
      <c r="T6" s="16">
        <f t="shared" si="3"/>
        <v>6</v>
      </c>
      <c r="U6" s="16">
        <v>23</v>
      </c>
      <c r="V6" s="16">
        <v>24</v>
      </c>
      <c r="W6" s="16">
        <v>24</v>
      </c>
      <c r="X6" s="16">
        <v>32</v>
      </c>
      <c r="Y6" s="16"/>
      <c r="Z6" s="1"/>
    </row>
    <row r="7" spans="2:26" x14ac:dyDescent="0.35">
      <c r="B7" s="211"/>
      <c r="C7" s="76" t="s">
        <v>156</v>
      </c>
      <c r="D7" s="15">
        <v>3</v>
      </c>
      <c r="E7" s="15">
        <v>3</v>
      </c>
      <c r="F7" s="15">
        <v>3</v>
      </c>
      <c r="G7" s="15">
        <v>1</v>
      </c>
      <c r="H7" s="15">
        <v>2</v>
      </c>
      <c r="I7" s="15">
        <v>3</v>
      </c>
      <c r="J7" s="15">
        <v>2</v>
      </c>
      <c r="L7" s="19" t="s">
        <v>11</v>
      </c>
      <c r="M7" s="20" t="s">
        <v>12</v>
      </c>
      <c r="N7" s="26">
        <f>COUNTIF(D$4:D$15,1)</f>
        <v>2</v>
      </c>
      <c r="O7" s="26">
        <f t="shared" ref="O7:T7" si="4">COUNTIF(E$4:E$15,1)</f>
        <v>2</v>
      </c>
      <c r="P7" s="26">
        <f t="shared" si="4"/>
        <v>2</v>
      </c>
      <c r="Q7" s="26">
        <f t="shared" si="4"/>
        <v>3</v>
      </c>
      <c r="R7" s="26">
        <f t="shared" si="4"/>
        <v>6</v>
      </c>
      <c r="S7" s="26">
        <f t="shared" si="4"/>
        <v>2</v>
      </c>
      <c r="T7" s="26">
        <f t="shared" si="4"/>
        <v>5</v>
      </c>
      <c r="U7" s="26">
        <v>22</v>
      </c>
      <c r="V7" s="26">
        <v>22</v>
      </c>
      <c r="W7" s="26">
        <v>22</v>
      </c>
      <c r="X7" s="26">
        <v>11</v>
      </c>
      <c r="Y7" s="26"/>
      <c r="Z7" s="1"/>
    </row>
    <row r="8" spans="2:26" x14ac:dyDescent="0.35">
      <c r="B8" s="211"/>
      <c r="C8" s="76" t="s">
        <v>268</v>
      </c>
      <c r="D8" s="37" t="s">
        <v>195</v>
      </c>
      <c r="E8" s="15">
        <v>2</v>
      </c>
      <c r="F8" s="37" t="s">
        <v>195</v>
      </c>
      <c r="G8" s="15">
        <v>0</v>
      </c>
      <c r="H8" s="15">
        <v>2</v>
      </c>
      <c r="I8" s="15">
        <v>3</v>
      </c>
      <c r="J8" s="15">
        <v>1</v>
      </c>
      <c r="L8" s="19" t="s">
        <v>13</v>
      </c>
      <c r="M8" s="20" t="s">
        <v>14</v>
      </c>
      <c r="N8" s="81">
        <f>COUNTIF(D$4:D$15,0)</f>
        <v>0</v>
      </c>
      <c r="O8" s="81">
        <f t="shared" ref="O8:T8" si="5">COUNTIF(E$4:E$15,0)</f>
        <v>0</v>
      </c>
      <c r="P8" s="81">
        <f t="shared" si="5"/>
        <v>0</v>
      </c>
      <c r="Q8" s="81">
        <f t="shared" si="5"/>
        <v>7</v>
      </c>
      <c r="R8" s="81">
        <f t="shared" si="5"/>
        <v>0</v>
      </c>
      <c r="S8" s="81">
        <f t="shared" si="5"/>
        <v>0</v>
      </c>
      <c r="T8" s="81">
        <f t="shared" si="5"/>
        <v>0</v>
      </c>
      <c r="U8" s="81">
        <v>5</v>
      </c>
      <c r="V8" s="81">
        <v>7</v>
      </c>
      <c r="W8" s="81">
        <v>7</v>
      </c>
      <c r="X8" s="81">
        <v>7</v>
      </c>
      <c r="Y8" s="81"/>
      <c r="Z8" s="1"/>
    </row>
    <row r="9" spans="2:26" x14ac:dyDescent="0.35">
      <c r="B9" s="212"/>
      <c r="C9" s="76" t="s">
        <v>160</v>
      </c>
      <c r="D9" s="15">
        <v>3</v>
      </c>
      <c r="E9" s="15">
        <v>3</v>
      </c>
      <c r="F9" s="15">
        <v>2</v>
      </c>
      <c r="G9" s="15">
        <v>1</v>
      </c>
      <c r="H9" s="15">
        <v>3</v>
      </c>
      <c r="I9" s="15">
        <v>3</v>
      </c>
      <c r="J9" s="15">
        <v>1</v>
      </c>
      <c r="L9" s="2"/>
      <c r="M9" s="19" t="s">
        <v>195</v>
      </c>
      <c r="N9" s="55">
        <v>1</v>
      </c>
      <c r="O9" s="55">
        <v>0</v>
      </c>
      <c r="P9" s="55">
        <v>2</v>
      </c>
      <c r="Q9" s="55">
        <v>2</v>
      </c>
      <c r="R9" s="55">
        <v>0</v>
      </c>
      <c r="S9" s="55">
        <v>0</v>
      </c>
      <c r="T9" s="55">
        <v>1</v>
      </c>
      <c r="U9" s="55">
        <v>5</v>
      </c>
      <c r="V9" s="55">
        <v>5</v>
      </c>
      <c r="W9" s="55">
        <v>5</v>
      </c>
      <c r="X9" s="55">
        <v>5</v>
      </c>
      <c r="Y9" s="55"/>
      <c r="Z9" s="1"/>
    </row>
    <row r="10" spans="2:26" ht="24" x14ac:dyDescent="0.35">
      <c r="B10" s="78"/>
      <c r="C10" s="76" t="s">
        <v>162</v>
      </c>
      <c r="D10" s="15">
        <v>3</v>
      </c>
      <c r="E10" s="15">
        <v>1</v>
      </c>
      <c r="F10" s="15">
        <v>2</v>
      </c>
      <c r="G10" s="37" t="s">
        <v>195</v>
      </c>
      <c r="H10" s="15">
        <v>1</v>
      </c>
      <c r="I10" s="15">
        <v>3</v>
      </c>
      <c r="J10" s="37">
        <v>1</v>
      </c>
      <c r="L10" s="2"/>
      <c r="M10" s="2"/>
      <c r="N10" s="19" t="s">
        <v>235</v>
      </c>
      <c r="O10" s="19" t="s">
        <v>262</v>
      </c>
      <c r="P10" s="19" t="s">
        <v>263</v>
      </c>
      <c r="Q10" s="19" t="s">
        <v>264</v>
      </c>
      <c r="R10" s="19" t="s">
        <v>265</v>
      </c>
      <c r="S10" s="19" t="s">
        <v>266</v>
      </c>
      <c r="T10" s="19" t="s">
        <v>267</v>
      </c>
      <c r="U10" s="33" t="s">
        <v>0</v>
      </c>
      <c r="V10" s="33" t="s">
        <v>1</v>
      </c>
      <c r="W10" s="33" t="s">
        <v>2</v>
      </c>
      <c r="X10" s="33" t="s">
        <v>3</v>
      </c>
      <c r="Y10" s="33" t="s">
        <v>4</v>
      </c>
      <c r="Z10" s="1"/>
    </row>
    <row r="11" spans="2:26" x14ac:dyDescent="0.35">
      <c r="B11" s="79"/>
      <c r="C11" s="76" t="s">
        <v>164</v>
      </c>
      <c r="D11" s="15">
        <v>3</v>
      </c>
      <c r="E11" s="15">
        <v>3</v>
      </c>
      <c r="F11" s="15">
        <v>2</v>
      </c>
      <c r="G11" s="37" t="s">
        <v>195</v>
      </c>
      <c r="H11" s="15">
        <v>1</v>
      </c>
      <c r="I11" s="15">
        <v>3</v>
      </c>
      <c r="J11" s="15">
        <v>2</v>
      </c>
      <c r="L11" s="2"/>
      <c r="M11" s="2"/>
      <c r="U11" s="33"/>
      <c r="V11" s="33"/>
      <c r="W11" s="33"/>
      <c r="X11" s="33"/>
      <c r="Y11" s="33"/>
    </row>
    <row r="12" spans="2:26" x14ac:dyDescent="0.35">
      <c r="B12" s="79"/>
      <c r="C12" s="76" t="s">
        <v>166</v>
      </c>
      <c r="D12" s="15">
        <v>3</v>
      </c>
      <c r="E12" s="15">
        <v>2</v>
      </c>
      <c r="F12" s="15">
        <v>2</v>
      </c>
      <c r="G12" s="15">
        <v>0</v>
      </c>
      <c r="H12" s="15">
        <v>1</v>
      </c>
      <c r="I12" s="15">
        <v>2</v>
      </c>
      <c r="J12" s="15">
        <v>2</v>
      </c>
      <c r="S12" s="19" t="s">
        <v>5</v>
      </c>
      <c r="T12" s="54" t="s">
        <v>6</v>
      </c>
      <c r="U12" s="82">
        <f>U4/$U$3</f>
        <v>0</v>
      </c>
      <c r="V12" s="82">
        <f>V4/$V$3</f>
        <v>0</v>
      </c>
      <c r="W12" s="82">
        <f>W4/$W$3</f>
        <v>0</v>
      </c>
      <c r="X12" s="82">
        <f>X4/$X$3</f>
        <v>0</v>
      </c>
      <c r="Y12" s="82"/>
    </row>
    <row r="13" spans="2:26" x14ac:dyDescent="0.35">
      <c r="B13" s="79"/>
      <c r="C13" s="76" t="s">
        <v>168</v>
      </c>
      <c r="D13" s="15">
        <v>1</v>
      </c>
      <c r="E13" s="15">
        <v>2</v>
      </c>
      <c r="F13" s="15">
        <v>1</v>
      </c>
      <c r="G13" s="15">
        <v>0</v>
      </c>
      <c r="H13" s="15">
        <v>1</v>
      </c>
      <c r="I13" s="15">
        <v>1</v>
      </c>
      <c r="J13" s="15">
        <v>2</v>
      </c>
      <c r="S13" s="19" t="s">
        <v>7</v>
      </c>
      <c r="T13" s="54" t="s">
        <v>8</v>
      </c>
      <c r="U13" s="57">
        <f>U5/$U$3</f>
        <v>0.2537313432835821</v>
      </c>
      <c r="V13" s="57">
        <f t="shared" ref="V13:V16" si="6">V5/$V$3</f>
        <v>0.32911392405063289</v>
      </c>
      <c r="W13" s="57">
        <f t="shared" ref="W13:W16" si="7">W5/$W$3</f>
        <v>0.32911392405063289</v>
      </c>
      <c r="X13" s="57">
        <f t="shared" ref="X13:X16" si="8">X5/$X$3</f>
        <v>0.36708860759493672</v>
      </c>
      <c r="Y13" s="57"/>
    </row>
    <row r="14" spans="2:26" x14ac:dyDescent="0.35">
      <c r="B14" s="79"/>
      <c r="C14" s="76" t="s">
        <v>170</v>
      </c>
      <c r="D14" s="15">
        <v>3</v>
      </c>
      <c r="E14" s="15">
        <v>2</v>
      </c>
      <c r="F14" s="15">
        <v>2</v>
      </c>
      <c r="G14" s="15">
        <v>0</v>
      </c>
      <c r="H14" s="15">
        <v>2</v>
      </c>
      <c r="I14" s="15">
        <v>2</v>
      </c>
      <c r="J14" s="15">
        <v>2</v>
      </c>
      <c r="S14" s="19" t="s">
        <v>9</v>
      </c>
      <c r="T14" s="54" t="s">
        <v>10</v>
      </c>
      <c r="U14" s="58">
        <f>U6/$U$3</f>
        <v>0.34328358208955223</v>
      </c>
      <c r="V14" s="58">
        <f t="shared" si="6"/>
        <v>0.30379746835443039</v>
      </c>
      <c r="W14" s="58">
        <f t="shared" si="7"/>
        <v>0.30379746835443039</v>
      </c>
      <c r="X14" s="58">
        <f t="shared" si="8"/>
        <v>0.4050632911392405</v>
      </c>
      <c r="Y14" s="58"/>
    </row>
    <row r="15" spans="2:26" x14ac:dyDescent="0.35">
      <c r="B15" s="79"/>
      <c r="C15" s="76" t="s">
        <v>172</v>
      </c>
      <c r="D15" s="15">
        <v>3</v>
      </c>
      <c r="E15" s="15">
        <v>2</v>
      </c>
      <c r="F15" s="15">
        <v>1</v>
      </c>
      <c r="G15" s="15">
        <v>0</v>
      </c>
      <c r="H15" s="15">
        <v>2</v>
      </c>
      <c r="I15" s="15">
        <v>1</v>
      </c>
      <c r="J15" s="15">
        <v>3</v>
      </c>
      <c r="S15" s="19" t="s">
        <v>11</v>
      </c>
      <c r="T15" s="54" t="s">
        <v>12</v>
      </c>
      <c r="U15" s="59">
        <f>U7/$U$3</f>
        <v>0.32835820895522388</v>
      </c>
      <c r="V15" s="59">
        <f t="shared" si="6"/>
        <v>0.27848101265822783</v>
      </c>
      <c r="W15" s="59">
        <f t="shared" si="7"/>
        <v>0.27848101265822783</v>
      </c>
      <c r="X15" s="59">
        <f t="shared" si="8"/>
        <v>0.13924050632911392</v>
      </c>
      <c r="Y15" s="59"/>
    </row>
    <row r="16" spans="2:26" ht="12.5" thickBot="1" x14ac:dyDescent="0.4">
      <c r="B16" s="41"/>
      <c r="C16" s="42"/>
      <c r="D16" s="43">
        <f t="shared" ref="D16:J16" si="9">AVERAGE(D4:D15)</f>
        <v>2.5454545454545454</v>
      </c>
      <c r="E16" s="43">
        <f t="shared" si="9"/>
        <v>2.25</v>
      </c>
      <c r="F16" s="43">
        <f t="shared" si="9"/>
        <v>2.1</v>
      </c>
      <c r="G16" s="43">
        <f t="shared" si="9"/>
        <v>0.3</v>
      </c>
      <c r="H16" s="43">
        <f t="shared" si="9"/>
        <v>1.6666666666666667</v>
      </c>
      <c r="I16" s="43">
        <f t="shared" si="9"/>
        <v>2.4166666666666665</v>
      </c>
      <c r="J16" s="44">
        <f t="shared" si="9"/>
        <v>1.6666666666666667</v>
      </c>
      <c r="S16" s="19" t="s">
        <v>13</v>
      </c>
      <c r="T16" s="54" t="s">
        <v>14</v>
      </c>
      <c r="U16" s="83">
        <f>U8/$U$3</f>
        <v>7.4626865671641784E-2</v>
      </c>
      <c r="V16" s="83">
        <f t="shared" si="6"/>
        <v>8.8607594936708861E-2</v>
      </c>
      <c r="W16" s="83">
        <f t="shared" si="7"/>
        <v>8.8607594936708861E-2</v>
      </c>
      <c r="X16" s="83">
        <f t="shared" si="8"/>
        <v>8.8607594936708861E-2</v>
      </c>
      <c r="Y16" s="83"/>
    </row>
    <row r="17" spans="2:25" ht="12.5" thickBot="1" x14ac:dyDescent="0.4">
      <c r="B17" s="45"/>
      <c r="C17" s="45"/>
      <c r="D17" s="46"/>
      <c r="E17" s="46"/>
      <c r="F17" s="46"/>
      <c r="G17" s="46"/>
      <c r="H17" s="46"/>
      <c r="I17" s="46"/>
      <c r="J17" s="46"/>
      <c r="S17" s="165" t="s">
        <v>210</v>
      </c>
      <c r="T17" s="165"/>
      <c r="U17" s="64">
        <f>SUM(U12:U16)</f>
        <v>1</v>
      </c>
      <c r="V17" s="64">
        <f t="shared" ref="V17:X17" si="10">SUM(V12:V16)</f>
        <v>1</v>
      </c>
      <c r="W17" s="64">
        <f t="shared" si="10"/>
        <v>1</v>
      </c>
      <c r="X17" s="64">
        <f t="shared" si="10"/>
        <v>1</v>
      </c>
      <c r="Y17" s="64"/>
    </row>
    <row r="18" spans="2:25" x14ac:dyDescent="0.35">
      <c r="B18" s="47" t="s">
        <v>211</v>
      </c>
      <c r="C18" s="48" t="s">
        <v>269</v>
      </c>
      <c r="D18" s="49"/>
      <c r="E18" s="50"/>
      <c r="F18" s="45"/>
      <c r="S18" s="160" t="s">
        <v>15</v>
      </c>
      <c r="T18" s="160"/>
      <c r="U18" s="166">
        <v>0.65</v>
      </c>
      <c r="V18" s="168"/>
      <c r="W18" s="168"/>
      <c r="X18" s="168"/>
      <c r="Y18" s="169"/>
    </row>
    <row r="19" spans="2:25" ht="12.5" thickBot="1" x14ac:dyDescent="0.4">
      <c r="B19" s="51" t="s">
        <v>213</v>
      </c>
      <c r="C19" s="52" t="s">
        <v>270</v>
      </c>
      <c r="D19" s="49"/>
      <c r="E19" s="50"/>
      <c r="F19" s="45"/>
      <c r="S19" s="160" t="s">
        <v>16</v>
      </c>
      <c r="T19" s="160"/>
      <c r="U19" s="166">
        <f>W12+W13+W14</f>
        <v>0.63291139240506333</v>
      </c>
      <c r="V19" s="168"/>
      <c r="W19" s="168"/>
      <c r="X19" s="168"/>
      <c r="Y19" s="169"/>
    </row>
    <row r="20" spans="2:25" x14ac:dyDescent="0.35">
      <c r="B20" s="45"/>
      <c r="C20" s="45"/>
      <c r="D20" s="45"/>
      <c r="E20" s="50"/>
      <c r="F20" s="45"/>
      <c r="S20" s="160" t="s">
        <v>17</v>
      </c>
      <c r="T20" s="160"/>
      <c r="U20" s="166">
        <f>SUM(X12:X14)</f>
        <v>0.77215189873417722</v>
      </c>
      <c r="V20" s="168"/>
      <c r="W20" s="168"/>
      <c r="X20" s="168"/>
      <c r="Y20" s="169"/>
    </row>
    <row r="21" spans="2:25" x14ac:dyDescent="0.35">
      <c r="B21" s="45"/>
      <c r="C21" s="45"/>
      <c r="D21" s="45"/>
      <c r="E21" s="50"/>
      <c r="F21" s="45"/>
      <c r="S21" s="160" t="s">
        <v>18</v>
      </c>
      <c r="T21" s="160"/>
      <c r="U21" s="187">
        <f>U19-U18</f>
        <v>-1.7088607594936689E-2</v>
      </c>
      <c r="V21" s="188"/>
      <c r="W21" s="188"/>
      <c r="X21" s="188"/>
      <c r="Y21" s="189"/>
    </row>
    <row r="22" spans="2:25" x14ac:dyDescent="0.35">
      <c r="B22" s="45"/>
      <c r="C22" s="45"/>
      <c r="D22" s="45"/>
      <c r="E22" s="50"/>
      <c r="F22" s="45"/>
    </row>
    <row r="23" spans="2:25" x14ac:dyDescent="0.35">
      <c r="B23" s="45"/>
      <c r="C23" s="45"/>
      <c r="D23" s="45"/>
      <c r="E23" s="50"/>
      <c r="F23" s="45"/>
    </row>
  </sheetData>
  <mergeCells count="12">
    <mergeCell ref="S21:T21"/>
    <mergeCell ref="U21:Y21"/>
    <mergeCell ref="B2:C2"/>
    <mergeCell ref="D2:J2"/>
    <mergeCell ref="B4:B9"/>
    <mergeCell ref="S17:T17"/>
    <mergeCell ref="S18:T18"/>
    <mergeCell ref="U18:Y18"/>
    <mergeCell ref="S19:T19"/>
    <mergeCell ref="U19:Y19"/>
    <mergeCell ref="S20:T20"/>
    <mergeCell ref="U20:Y20"/>
  </mergeCells>
  <conditionalFormatting sqref="D4:F5 G4:J9 E6 D7:F7 E8 D9:F15 H10:I10 H11:J11 G12:J15">
    <cfRule type="cellIs" priority="3" operator="equal">
      <formula>"NA"</formula>
    </cfRule>
    <cfRule type="cellIs" dxfId="64" priority="4" operator="equal">
      <formula>4</formula>
    </cfRule>
    <cfRule type="cellIs" dxfId="63" priority="5" operator="equal">
      <formula>3</formula>
    </cfRule>
    <cfRule type="cellIs" dxfId="62" priority="6" operator="equal">
      <formula>2</formula>
    </cfRule>
    <cfRule type="cellIs" dxfId="61" priority="7" operator="equal">
      <formula>1</formula>
    </cfRule>
    <cfRule type="cellIs" dxfId="60" priority="8" operator="equal">
      <formula>0</formula>
    </cfRule>
  </conditionalFormatting>
  <conditionalFormatting sqref="U20:Y21">
    <cfRule type="cellIs" dxfId="59" priority="1" operator="greaterThanOrEqual">
      <formula>1</formula>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AD3B0-7141-461E-A829-D006C9FDAED5}">
  <dimension ref="B2:AH22"/>
  <sheetViews>
    <sheetView showGridLines="0" zoomScaleNormal="100" workbookViewId="0">
      <selection activeCell="M14" sqref="D4:M14"/>
    </sheetView>
  </sheetViews>
  <sheetFormatPr defaultColWidth="8.81640625" defaultRowHeight="12" x14ac:dyDescent="0.35"/>
  <cols>
    <col min="1" max="1" width="2.90625" style="1" customWidth="1"/>
    <col min="2" max="2" width="13" style="1" bestFit="1" customWidth="1"/>
    <col min="3" max="3" width="27.453125" style="1" bestFit="1" customWidth="1"/>
    <col min="4" max="4" width="7.81640625" style="1" customWidth="1"/>
    <col min="5" max="6" width="7.81640625" style="2" customWidth="1"/>
    <col min="7" max="7" width="7.81640625" style="1" customWidth="1"/>
    <col min="8" max="13" width="7.81640625" style="2" customWidth="1"/>
    <col min="14" max="14" width="2.453125" style="1" customWidth="1"/>
    <col min="15" max="15" width="6.54296875" style="1" bestFit="1" customWidth="1"/>
    <col min="16" max="16" width="9.36328125" style="1" bestFit="1" customWidth="1"/>
    <col min="17" max="34" width="7.54296875" style="2" customWidth="1"/>
    <col min="35" max="16384" width="8.81640625" style="1"/>
  </cols>
  <sheetData>
    <row r="2" spans="2:34" s="4" customFormat="1" x14ac:dyDescent="0.35">
      <c r="B2" s="171" t="s">
        <v>234</v>
      </c>
      <c r="C2" s="171"/>
      <c r="D2" s="165" t="s">
        <v>368</v>
      </c>
      <c r="E2" s="165"/>
      <c r="F2" s="165"/>
      <c r="G2" s="165"/>
      <c r="H2" s="165"/>
      <c r="I2" s="165"/>
      <c r="J2" s="165"/>
      <c r="K2" s="165"/>
      <c r="L2" s="165"/>
      <c r="M2" s="165"/>
      <c r="Q2" s="5"/>
      <c r="R2" s="5"/>
      <c r="S2" s="5"/>
      <c r="T2" s="5"/>
      <c r="U2" s="5"/>
      <c r="V2" s="5"/>
      <c r="W2" s="5"/>
      <c r="X2" s="5"/>
      <c r="Y2" s="5"/>
      <c r="Z2" s="5"/>
      <c r="AA2" s="5"/>
      <c r="AB2" s="5"/>
      <c r="AC2" s="5"/>
      <c r="AD2" s="5"/>
      <c r="AE2" s="5"/>
      <c r="AF2" s="5"/>
      <c r="AG2" s="5"/>
      <c r="AH2" s="5"/>
    </row>
    <row r="3" spans="2:34" ht="24" x14ac:dyDescent="0.35">
      <c r="B3" s="8"/>
      <c r="C3" s="8"/>
      <c r="D3" s="9" t="s">
        <v>245</v>
      </c>
      <c r="E3" s="9" t="s">
        <v>246</v>
      </c>
      <c r="F3" s="9" t="s">
        <v>247</v>
      </c>
      <c r="G3" s="9" t="s">
        <v>248</v>
      </c>
      <c r="H3" s="9" t="s">
        <v>249</v>
      </c>
      <c r="I3" s="9" t="s">
        <v>250</v>
      </c>
      <c r="J3" s="9" t="s">
        <v>366</v>
      </c>
      <c r="K3" s="9" t="s">
        <v>367</v>
      </c>
      <c r="L3" s="9">
        <v>577554</v>
      </c>
      <c r="M3" s="9">
        <v>566004</v>
      </c>
      <c r="Q3" s="130" t="str">
        <f t="shared" ref="Q3:Z3" si="0">D3</f>
        <v>Jena</v>
      </c>
      <c r="R3" s="130" t="str">
        <f t="shared" si="0"/>
        <v>Nishita</v>
      </c>
      <c r="S3" s="130" t="str">
        <f t="shared" si="0"/>
        <v>Nutan</v>
      </c>
      <c r="T3" s="130" t="str">
        <f t="shared" si="0"/>
        <v>Sagar</v>
      </c>
      <c r="U3" s="130" t="str">
        <f t="shared" si="0"/>
        <v>Mukesh</v>
      </c>
      <c r="V3" s="130" t="str">
        <f t="shared" si="0"/>
        <v>Kishore</v>
      </c>
      <c r="W3" s="130" t="str">
        <f t="shared" si="0"/>
        <v>Gitimaya</v>
      </c>
      <c r="X3" s="130" t="str">
        <f t="shared" si="0"/>
        <v>Krishna</v>
      </c>
      <c r="Y3" s="130">
        <f t="shared" si="0"/>
        <v>577554</v>
      </c>
      <c r="Z3" s="130">
        <f t="shared" si="0"/>
        <v>566004</v>
      </c>
      <c r="AA3" s="130"/>
      <c r="AB3" s="130"/>
      <c r="AC3" s="134" t="s">
        <v>0</v>
      </c>
      <c r="AD3" s="134" t="s">
        <v>362</v>
      </c>
      <c r="AE3" s="134" t="s">
        <v>345</v>
      </c>
      <c r="AF3" s="134" t="s">
        <v>350</v>
      </c>
      <c r="AG3" s="134" t="s">
        <v>347</v>
      </c>
      <c r="AH3" s="134" t="s">
        <v>348</v>
      </c>
    </row>
    <row r="4" spans="2:34" x14ac:dyDescent="0.35">
      <c r="B4" s="175"/>
      <c r="C4" s="141" t="s">
        <v>252</v>
      </c>
      <c r="D4" s="15"/>
      <c r="E4" s="16"/>
      <c r="F4" s="16"/>
      <c r="G4" s="15"/>
      <c r="H4" s="16"/>
      <c r="I4" s="17"/>
      <c r="J4" s="17"/>
      <c r="K4" s="17"/>
      <c r="L4" s="17"/>
      <c r="M4" s="17"/>
      <c r="O4" s="19" t="s">
        <v>5</v>
      </c>
      <c r="P4" s="133" t="s">
        <v>6</v>
      </c>
      <c r="Q4" s="21">
        <f t="shared" ref="Q4:Z4" si="1">COUNTIF(D$4:D$14,4)</f>
        <v>0</v>
      </c>
      <c r="R4" s="21">
        <f t="shared" si="1"/>
        <v>0</v>
      </c>
      <c r="S4" s="21">
        <f t="shared" si="1"/>
        <v>0</v>
      </c>
      <c r="T4" s="21">
        <f t="shared" si="1"/>
        <v>0</v>
      </c>
      <c r="U4" s="21">
        <f t="shared" si="1"/>
        <v>0</v>
      </c>
      <c r="V4" s="21">
        <f t="shared" si="1"/>
        <v>0</v>
      </c>
      <c r="W4" s="21">
        <f t="shared" si="1"/>
        <v>0</v>
      </c>
      <c r="X4" s="21">
        <f t="shared" si="1"/>
        <v>0</v>
      </c>
      <c r="Y4" s="21">
        <f t="shared" si="1"/>
        <v>0</v>
      </c>
      <c r="Z4" s="21">
        <f t="shared" si="1"/>
        <v>0</v>
      </c>
      <c r="AA4" s="21"/>
      <c r="AB4" s="21"/>
      <c r="AC4" s="21">
        <v>0</v>
      </c>
      <c r="AD4" s="21">
        <v>14</v>
      </c>
      <c r="AE4" s="21">
        <f>SUM(Q4:Z4)</f>
        <v>0</v>
      </c>
      <c r="AF4" s="21"/>
      <c r="AG4" s="22">
        <v>14</v>
      </c>
      <c r="AH4" s="21"/>
    </row>
    <row r="5" spans="2:34" x14ac:dyDescent="0.35">
      <c r="B5" s="176"/>
      <c r="C5" s="141" t="s">
        <v>253</v>
      </c>
      <c r="D5" s="15"/>
      <c r="E5" s="26"/>
      <c r="F5" s="26"/>
      <c r="G5" s="15"/>
      <c r="H5" s="16"/>
      <c r="I5" s="17"/>
      <c r="J5" s="17"/>
      <c r="K5" s="17"/>
      <c r="L5" s="17"/>
      <c r="M5" s="17"/>
      <c r="O5" s="19" t="s">
        <v>7</v>
      </c>
      <c r="P5" s="133" t="s">
        <v>8</v>
      </c>
      <c r="Q5" s="15">
        <f t="shared" ref="Q5:Z5" si="2">COUNTIF(D$4:D$14,3)</f>
        <v>0</v>
      </c>
      <c r="R5" s="15">
        <f t="shared" si="2"/>
        <v>0</v>
      </c>
      <c r="S5" s="15">
        <f t="shared" si="2"/>
        <v>0</v>
      </c>
      <c r="T5" s="15">
        <f t="shared" si="2"/>
        <v>0</v>
      </c>
      <c r="U5" s="15">
        <f t="shared" si="2"/>
        <v>0</v>
      </c>
      <c r="V5" s="15">
        <f t="shared" si="2"/>
        <v>0</v>
      </c>
      <c r="W5" s="15">
        <f t="shared" si="2"/>
        <v>0</v>
      </c>
      <c r="X5" s="15">
        <f t="shared" si="2"/>
        <v>0</v>
      </c>
      <c r="Y5" s="15">
        <f t="shared" si="2"/>
        <v>0</v>
      </c>
      <c r="Z5" s="15">
        <f t="shared" si="2"/>
        <v>0</v>
      </c>
      <c r="AA5" s="15"/>
      <c r="AB5" s="15"/>
      <c r="AC5" s="15">
        <v>0</v>
      </c>
      <c r="AD5" s="15">
        <v>18</v>
      </c>
      <c r="AE5" s="15">
        <f t="shared" ref="AE5:AE8" si="3">SUM(Q5:Z5)</f>
        <v>0</v>
      </c>
      <c r="AF5" s="15"/>
      <c r="AG5" s="15">
        <v>18</v>
      </c>
      <c r="AH5" s="15"/>
    </row>
    <row r="6" spans="2:34" x14ac:dyDescent="0.35">
      <c r="B6" s="176"/>
      <c r="C6" s="141" t="s">
        <v>254</v>
      </c>
      <c r="D6" s="15"/>
      <c r="E6" s="16"/>
      <c r="F6" s="16"/>
      <c r="G6" s="15"/>
      <c r="H6" s="16"/>
      <c r="I6" s="17"/>
      <c r="J6" s="17"/>
      <c r="K6" s="17"/>
      <c r="L6" s="17"/>
      <c r="M6" s="17"/>
      <c r="O6" s="19" t="s">
        <v>9</v>
      </c>
      <c r="P6" s="133" t="s">
        <v>10</v>
      </c>
      <c r="Q6" s="16">
        <f t="shared" ref="Q6:Z6" si="4">COUNTIF(D$4:D$14,2)</f>
        <v>0</v>
      </c>
      <c r="R6" s="16">
        <f t="shared" si="4"/>
        <v>0</v>
      </c>
      <c r="S6" s="16">
        <f t="shared" si="4"/>
        <v>0</v>
      </c>
      <c r="T6" s="16">
        <f t="shared" si="4"/>
        <v>0</v>
      </c>
      <c r="U6" s="16">
        <f t="shared" si="4"/>
        <v>0</v>
      </c>
      <c r="V6" s="16">
        <f t="shared" si="4"/>
        <v>0</v>
      </c>
      <c r="W6" s="16">
        <f t="shared" si="4"/>
        <v>0</v>
      </c>
      <c r="X6" s="16">
        <f t="shared" si="4"/>
        <v>0</v>
      </c>
      <c r="Y6" s="16">
        <f t="shared" si="4"/>
        <v>0</v>
      </c>
      <c r="Z6" s="16">
        <f t="shared" si="4"/>
        <v>0</v>
      </c>
      <c r="AA6" s="16"/>
      <c r="AB6" s="16"/>
      <c r="AC6" s="16">
        <v>13</v>
      </c>
      <c r="AD6" s="16">
        <v>21</v>
      </c>
      <c r="AE6" s="16">
        <f t="shared" si="3"/>
        <v>0</v>
      </c>
      <c r="AF6" s="16"/>
      <c r="AG6" s="16">
        <v>21</v>
      </c>
      <c r="AH6" s="16"/>
    </row>
    <row r="7" spans="2:34" x14ac:dyDescent="0.35">
      <c r="B7" s="176"/>
      <c r="C7" s="141" t="s">
        <v>255</v>
      </c>
      <c r="D7" s="16"/>
      <c r="E7" s="16"/>
      <c r="F7" s="16"/>
      <c r="G7" s="15"/>
      <c r="H7" s="26"/>
      <c r="I7" s="17"/>
      <c r="J7" s="17"/>
      <c r="K7" s="17"/>
      <c r="L7" s="17"/>
      <c r="M7" s="17"/>
      <c r="O7" s="19" t="s">
        <v>11</v>
      </c>
      <c r="P7" s="133" t="s">
        <v>12</v>
      </c>
      <c r="Q7" s="26">
        <f t="shared" ref="Q7:Z7" si="5">COUNTIF(D$4:D$14,1)</f>
        <v>0</v>
      </c>
      <c r="R7" s="26">
        <f t="shared" si="5"/>
        <v>0</v>
      </c>
      <c r="S7" s="26">
        <f t="shared" si="5"/>
        <v>0</v>
      </c>
      <c r="T7" s="26">
        <f t="shared" si="5"/>
        <v>0</v>
      </c>
      <c r="U7" s="26">
        <f t="shared" si="5"/>
        <v>0</v>
      </c>
      <c r="V7" s="26">
        <f t="shared" si="5"/>
        <v>0</v>
      </c>
      <c r="W7" s="26">
        <f t="shared" si="5"/>
        <v>0</v>
      </c>
      <c r="X7" s="26">
        <f t="shared" si="5"/>
        <v>0</v>
      </c>
      <c r="Y7" s="26">
        <f t="shared" si="5"/>
        <v>0</v>
      </c>
      <c r="Z7" s="26">
        <f t="shared" si="5"/>
        <v>0</v>
      </c>
      <c r="AA7" s="26"/>
      <c r="AB7" s="26"/>
      <c r="AC7" s="26">
        <v>10</v>
      </c>
      <c r="AD7" s="26">
        <v>12</v>
      </c>
      <c r="AE7" s="26">
        <f t="shared" si="3"/>
        <v>0</v>
      </c>
      <c r="AF7" s="26"/>
      <c r="AG7" s="26">
        <v>56</v>
      </c>
      <c r="AH7" s="26"/>
    </row>
    <row r="8" spans="2:34" x14ac:dyDescent="0.35">
      <c r="B8" s="177"/>
      <c r="C8" s="142" t="s">
        <v>256</v>
      </c>
      <c r="D8" s="16"/>
      <c r="E8" s="26"/>
      <c r="F8" s="26"/>
      <c r="G8" s="16"/>
      <c r="H8" s="26"/>
      <c r="I8" s="17"/>
      <c r="J8" s="17"/>
      <c r="K8" s="17"/>
      <c r="L8" s="17"/>
      <c r="M8" s="17"/>
      <c r="O8" s="19" t="s">
        <v>13</v>
      </c>
      <c r="P8" s="133" t="s">
        <v>14</v>
      </c>
      <c r="Q8" s="56">
        <f t="shared" ref="Q8:Z8" si="6">COUNTIF(D$4:D$14,0)</f>
        <v>0</v>
      </c>
      <c r="R8" s="56">
        <f t="shared" si="6"/>
        <v>0</v>
      </c>
      <c r="S8" s="56">
        <f t="shared" si="6"/>
        <v>0</v>
      </c>
      <c r="T8" s="56">
        <f t="shared" si="6"/>
        <v>0</v>
      </c>
      <c r="U8" s="56">
        <f t="shared" si="6"/>
        <v>0</v>
      </c>
      <c r="V8" s="56">
        <f t="shared" si="6"/>
        <v>0</v>
      </c>
      <c r="W8" s="56">
        <f t="shared" si="6"/>
        <v>0</v>
      </c>
      <c r="X8" s="56">
        <f t="shared" si="6"/>
        <v>0</v>
      </c>
      <c r="Y8" s="56">
        <f t="shared" si="6"/>
        <v>0</v>
      </c>
      <c r="Z8" s="56">
        <f t="shared" si="6"/>
        <v>0</v>
      </c>
      <c r="AA8" s="56"/>
      <c r="AB8" s="56"/>
      <c r="AC8" s="56">
        <v>11</v>
      </c>
      <c r="AD8" s="56">
        <v>1</v>
      </c>
      <c r="AE8" s="56">
        <f t="shared" si="3"/>
        <v>0</v>
      </c>
      <c r="AF8" s="56"/>
      <c r="AG8" s="56">
        <v>1</v>
      </c>
      <c r="AH8" s="56"/>
    </row>
    <row r="9" spans="2:34" ht="15" customHeight="1" x14ac:dyDescent="0.35">
      <c r="B9" s="141"/>
      <c r="C9" s="141" t="s">
        <v>257</v>
      </c>
      <c r="D9" s="16"/>
      <c r="E9" s="26"/>
      <c r="F9" s="26"/>
      <c r="G9" s="16"/>
      <c r="H9" s="26"/>
      <c r="I9" s="17"/>
      <c r="J9" s="17"/>
      <c r="K9" s="17"/>
      <c r="L9" s="17"/>
      <c r="M9" s="17"/>
      <c r="O9" s="2"/>
      <c r="P9" s="2"/>
      <c r="Q9" s="130">
        <f>SUM(Q4:Q8)</f>
        <v>0</v>
      </c>
      <c r="R9" s="130">
        <f t="shared" ref="R9:AE9" si="7">SUM(R4:R8)</f>
        <v>0</v>
      </c>
      <c r="S9" s="130">
        <f t="shared" si="7"/>
        <v>0</v>
      </c>
      <c r="T9" s="130">
        <f t="shared" si="7"/>
        <v>0</v>
      </c>
      <c r="U9" s="130">
        <f t="shared" si="7"/>
        <v>0</v>
      </c>
      <c r="V9" s="130">
        <f t="shared" si="7"/>
        <v>0</v>
      </c>
      <c r="W9" s="130">
        <f t="shared" si="7"/>
        <v>0</v>
      </c>
      <c r="X9" s="130">
        <f t="shared" si="7"/>
        <v>0</v>
      </c>
      <c r="Y9" s="130">
        <f t="shared" si="7"/>
        <v>0</v>
      </c>
      <c r="Z9" s="130">
        <f t="shared" si="7"/>
        <v>0</v>
      </c>
      <c r="AA9" s="130"/>
      <c r="AB9" s="130"/>
      <c r="AC9" s="130">
        <f t="shared" si="7"/>
        <v>34</v>
      </c>
      <c r="AD9" s="130">
        <f>SUM(AD4:AD8)</f>
        <v>66</v>
      </c>
      <c r="AE9" s="130">
        <f t="shared" si="7"/>
        <v>0</v>
      </c>
      <c r="AF9" s="130">
        <v>110</v>
      </c>
      <c r="AG9" s="130">
        <f t="shared" ref="AG9" si="8">SUM(AG4:AG8)</f>
        <v>110</v>
      </c>
      <c r="AH9" s="130">
        <v>110</v>
      </c>
    </row>
    <row r="10" spans="2:34" x14ac:dyDescent="0.35">
      <c r="B10" s="141"/>
      <c r="C10" s="142" t="s">
        <v>258</v>
      </c>
      <c r="D10" s="15"/>
      <c r="E10" s="26"/>
      <c r="F10" s="26"/>
      <c r="G10" s="15"/>
      <c r="H10" s="16"/>
      <c r="I10" s="17"/>
      <c r="J10" s="17"/>
      <c r="K10" s="17"/>
      <c r="L10" s="17"/>
      <c r="M10" s="17"/>
      <c r="O10" s="2"/>
      <c r="P10" s="2"/>
    </row>
    <row r="11" spans="2:34" ht="24" x14ac:dyDescent="0.35">
      <c r="B11" s="141"/>
      <c r="C11" s="142" t="s">
        <v>166</v>
      </c>
      <c r="D11" s="15"/>
      <c r="E11" s="16"/>
      <c r="F11" s="16"/>
      <c r="G11" s="15"/>
      <c r="H11" s="16"/>
      <c r="I11" s="17"/>
      <c r="J11" s="17"/>
      <c r="K11" s="17"/>
      <c r="L11" s="17"/>
      <c r="M11" s="17"/>
      <c r="O11" s="2"/>
      <c r="Z11" s="139" t="s">
        <v>364</v>
      </c>
      <c r="AA11" s="178" t="s">
        <v>365</v>
      </c>
      <c r="AB11" s="178"/>
      <c r="AC11" s="140">
        <f>SUM(AC12:AC14)</f>
        <v>0.38235294117647056</v>
      </c>
      <c r="AD11" s="140">
        <f t="shared" ref="AD11:AH11" si="9">SUM(AD12:AD14)</f>
        <v>0.80303030303030298</v>
      </c>
      <c r="AE11" s="140" t="e">
        <f t="shared" si="9"/>
        <v>#DIV/0!</v>
      </c>
      <c r="AF11" s="140">
        <f t="shared" si="9"/>
        <v>0</v>
      </c>
      <c r="AG11" s="140">
        <f t="shared" si="9"/>
        <v>0.48181818181818181</v>
      </c>
      <c r="AH11" s="140">
        <f t="shared" si="9"/>
        <v>0</v>
      </c>
    </row>
    <row r="12" spans="2:34" ht="24" x14ac:dyDescent="0.35">
      <c r="B12" s="141"/>
      <c r="C12" s="142" t="s">
        <v>168</v>
      </c>
      <c r="D12" s="31"/>
      <c r="E12" s="17"/>
      <c r="F12" s="17"/>
      <c r="G12" s="31"/>
      <c r="H12" s="17"/>
      <c r="I12" s="17"/>
      <c r="J12" s="17"/>
      <c r="K12" s="17"/>
      <c r="L12" s="17"/>
      <c r="M12" s="17"/>
      <c r="Z12" s="19" t="s">
        <v>5</v>
      </c>
      <c r="AA12" s="170" t="s">
        <v>6</v>
      </c>
      <c r="AB12" s="170"/>
      <c r="AC12" s="36">
        <f t="shared" ref="AC12:AC17" si="10">AC4/$AC$9</f>
        <v>0</v>
      </c>
      <c r="AD12" s="36">
        <f>AD4/$AD$9</f>
        <v>0.21212121212121213</v>
      </c>
      <c r="AE12" s="36" t="e">
        <f>AE4/$AE$9</f>
        <v>#DIV/0!</v>
      </c>
      <c r="AF12" s="36">
        <f>AF4/$AF$9</f>
        <v>0</v>
      </c>
      <c r="AG12" s="36">
        <f>AG4/$AG$9</f>
        <v>0.12727272727272726</v>
      </c>
      <c r="AH12" s="36">
        <f>AH4/$AH$9</f>
        <v>0</v>
      </c>
    </row>
    <row r="13" spans="2:34" ht="24" x14ac:dyDescent="0.35">
      <c r="B13" s="141"/>
      <c r="C13" s="143" t="s">
        <v>170</v>
      </c>
      <c r="D13" s="26"/>
      <c r="E13" s="26"/>
      <c r="F13" s="26"/>
      <c r="G13" s="16"/>
      <c r="H13" s="26"/>
      <c r="I13" s="17"/>
      <c r="J13" s="17"/>
      <c r="K13" s="17"/>
      <c r="L13" s="17"/>
      <c r="M13" s="17"/>
      <c r="Z13" s="19" t="s">
        <v>7</v>
      </c>
      <c r="AA13" s="170" t="s">
        <v>8</v>
      </c>
      <c r="AB13" s="170"/>
      <c r="AC13" s="57">
        <f t="shared" si="10"/>
        <v>0</v>
      </c>
      <c r="AD13" s="57">
        <f t="shared" ref="AD13:AD17" si="11">AD5/$AD$9</f>
        <v>0.27272727272727271</v>
      </c>
      <c r="AE13" s="57" t="e">
        <f t="shared" ref="AE13:AE16" si="12">AE5/$AE$9</f>
        <v>#DIV/0!</v>
      </c>
      <c r="AF13" s="57">
        <f t="shared" ref="AF13:AF17" si="13">AF5/$AF$9</f>
        <v>0</v>
      </c>
      <c r="AG13" s="57">
        <f t="shared" ref="AG13:AG17" si="14">AG5/$AG$9</f>
        <v>0.16363636363636364</v>
      </c>
      <c r="AH13" s="57">
        <f t="shared" ref="AH13:AH17" si="15">AH5/$AH$9</f>
        <v>0</v>
      </c>
    </row>
    <row r="14" spans="2:34" x14ac:dyDescent="0.35">
      <c r="B14" s="141"/>
      <c r="C14" s="143" t="s">
        <v>172</v>
      </c>
      <c r="D14" s="16"/>
      <c r="E14" s="26"/>
      <c r="F14" s="26"/>
      <c r="G14" s="16"/>
      <c r="H14" s="26"/>
      <c r="I14" s="17"/>
      <c r="J14" s="17"/>
      <c r="K14" s="17"/>
      <c r="L14" s="17"/>
      <c r="M14" s="17"/>
      <c r="Z14" s="19" t="s">
        <v>9</v>
      </c>
      <c r="AA14" s="170" t="s">
        <v>10</v>
      </c>
      <c r="AB14" s="170"/>
      <c r="AC14" s="58">
        <f t="shared" si="10"/>
        <v>0.38235294117647056</v>
      </c>
      <c r="AD14" s="58">
        <f t="shared" si="11"/>
        <v>0.31818181818181818</v>
      </c>
      <c r="AE14" s="58" t="e">
        <f t="shared" si="12"/>
        <v>#DIV/0!</v>
      </c>
      <c r="AF14" s="58">
        <f t="shared" si="13"/>
        <v>0</v>
      </c>
      <c r="AG14" s="58">
        <f t="shared" si="14"/>
        <v>0.19090909090909092</v>
      </c>
      <c r="AH14" s="58">
        <f t="shared" si="15"/>
        <v>0</v>
      </c>
    </row>
    <row r="15" spans="2:34" x14ac:dyDescent="0.35">
      <c r="D15" s="132" t="e">
        <f t="shared" ref="D15:M15" si="16">AVERAGE(D4:D14)</f>
        <v>#DIV/0!</v>
      </c>
      <c r="E15" s="132" t="e">
        <f t="shared" si="16"/>
        <v>#DIV/0!</v>
      </c>
      <c r="F15" s="132" t="e">
        <f t="shared" si="16"/>
        <v>#DIV/0!</v>
      </c>
      <c r="G15" s="132" t="e">
        <f t="shared" si="16"/>
        <v>#DIV/0!</v>
      </c>
      <c r="H15" s="132" t="e">
        <f t="shared" si="16"/>
        <v>#DIV/0!</v>
      </c>
      <c r="I15" s="132" t="e">
        <f t="shared" si="16"/>
        <v>#DIV/0!</v>
      </c>
      <c r="J15" s="132" t="e">
        <f t="shared" si="16"/>
        <v>#DIV/0!</v>
      </c>
      <c r="K15" s="132" t="e">
        <f t="shared" si="16"/>
        <v>#DIV/0!</v>
      </c>
      <c r="L15" s="132" t="e">
        <f t="shared" si="16"/>
        <v>#DIV/0!</v>
      </c>
      <c r="M15" s="132" t="e">
        <f t="shared" si="16"/>
        <v>#DIV/0!</v>
      </c>
      <c r="Z15" s="19" t="s">
        <v>11</v>
      </c>
      <c r="AA15" s="170" t="s">
        <v>12</v>
      </c>
      <c r="AB15" s="170"/>
      <c r="AC15" s="59">
        <f t="shared" si="10"/>
        <v>0.29411764705882354</v>
      </c>
      <c r="AD15" s="59">
        <f t="shared" si="11"/>
        <v>0.18181818181818182</v>
      </c>
      <c r="AE15" s="59" t="e">
        <f t="shared" si="12"/>
        <v>#DIV/0!</v>
      </c>
      <c r="AF15" s="59">
        <f t="shared" si="13"/>
        <v>0</v>
      </c>
      <c r="AG15" s="59">
        <f t="shared" si="14"/>
        <v>0.50909090909090904</v>
      </c>
      <c r="AH15" s="59">
        <f t="shared" si="15"/>
        <v>0</v>
      </c>
    </row>
    <row r="16" spans="2:34" ht="12.5" thickBot="1" x14ac:dyDescent="0.4">
      <c r="B16" s="45"/>
      <c r="C16" s="45"/>
      <c r="D16" s="46"/>
      <c r="E16" s="46"/>
      <c r="F16" s="46"/>
      <c r="G16" s="46"/>
      <c r="H16" s="46"/>
      <c r="I16" s="46"/>
      <c r="J16" s="46"/>
      <c r="K16" s="46"/>
      <c r="L16" s="46"/>
      <c r="M16" s="46"/>
      <c r="Z16" s="19" t="s">
        <v>13</v>
      </c>
      <c r="AA16" s="170" t="s">
        <v>14</v>
      </c>
      <c r="AB16" s="170"/>
      <c r="AC16" s="60">
        <f t="shared" si="10"/>
        <v>0.3235294117647059</v>
      </c>
      <c r="AD16" s="60">
        <f t="shared" si="11"/>
        <v>1.5151515151515152E-2</v>
      </c>
      <c r="AE16" s="60" t="e">
        <f t="shared" si="12"/>
        <v>#DIV/0!</v>
      </c>
      <c r="AF16" s="60">
        <f t="shared" si="13"/>
        <v>0</v>
      </c>
      <c r="AG16" s="60">
        <f t="shared" si="14"/>
        <v>9.0909090909090905E-3</v>
      </c>
      <c r="AH16" s="60">
        <f t="shared" si="15"/>
        <v>0</v>
      </c>
    </row>
    <row r="17" spans="2:34" x14ac:dyDescent="0.35">
      <c r="B17" s="47" t="s">
        <v>211</v>
      </c>
      <c r="C17" s="48" t="s">
        <v>259</v>
      </c>
      <c r="D17" s="49"/>
      <c r="E17" s="50"/>
      <c r="F17" s="50"/>
      <c r="G17" s="45"/>
      <c r="Z17" s="165" t="s">
        <v>210</v>
      </c>
      <c r="AA17" s="165"/>
      <c r="AB17" s="165"/>
      <c r="AC17" s="64">
        <f t="shared" si="10"/>
        <v>1</v>
      </c>
      <c r="AD17" s="64">
        <f t="shared" si="11"/>
        <v>1</v>
      </c>
      <c r="AE17" s="64" t="e">
        <f>AE9/$AE$9</f>
        <v>#DIV/0!</v>
      </c>
      <c r="AF17" s="64">
        <f t="shared" si="13"/>
        <v>1</v>
      </c>
      <c r="AG17" s="64">
        <f t="shared" si="14"/>
        <v>1</v>
      </c>
      <c r="AH17" s="64">
        <f t="shared" si="15"/>
        <v>1</v>
      </c>
    </row>
    <row r="18" spans="2:34" ht="12.5" thickBot="1" x14ac:dyDescent="0.4">
      <c r="B18" s="51" t="s">
        <v>213</v>
      </c>
      <c r="C18" s="52" t="s">
        <v>260</v>
      </c>
      <c r="D18" s="49"/>
      <c r="E18" s="50"/>
      <c r="F18" s="50"/>
      <c r="G18" s="45"/>
      <c r="Z18" s="160" t="s">
        <v>241</v>
      </c>
      <c r="AA18" s="160"/>
      <c r="AB18" s="160"/>
      <c r="AC18" s="166">
        <v>0.7</v>
      </c>
      <c r="AD18" s="167"/>
      <c r="AE18" s="168"/>
      <c r="AF18" s="168"/>
      <c r="AG18" s="168"/>
      <c r="AH18" s="169"/>
    </row>
    <row r="19" spans="2:34" x14ac:dyDescent="0.35">
      <c r="B19" s="45"/>
      <c r="C19" s="45"/>
      <c r="D19" s="45"/>
      <c r="E19" s="50"/>
      <c r="F19" s="50"/>
      <c r="G19" s="45"/>
      <c r="Z19" s="160" t="s">
        <v>16</v>
      </c>
      <c r="AA19" s="160"/>
      <c r="AB19" s="160"/>
      <c r="AC19" s="166"/>
      <c r="AD19" s="167"/>
      <c r="AE19" s="168"/>
      <c r="AF19" s="168"/>
      <c r="AG19" s="168"/>
      <c r="AH19" s="169"/>
    </row>
    <row r="20" spans="2:34" x14ac:dyDescent="0.35">
      <c r="B20" s="45"/>
      <c r="C20" s="45"/>
      <c r="D20" s="45"/>
      <c r="E20" s="50"/>
      <c r="F20" s="50"/>
      <c r="G20" s="45"/>
      <c r="Z20" s="160" t="s">
        <v>360</v>
      </c>
      <c r="AA20" s="160"/>
      <c r="AB20" s="160"/>
      <c r="AC20" s="166" t="e">
        <f>SUM(AE12:AE14)</f>
        <v>#DIV/0!</v>
      </c>
      <c r="AD20" s="167"/>
      <c r="AE20" s="168"/>
      <c r="AF20" s="168"/>
      <c r="AG20" s="168"/>
      <c r="AH20" s="169"/>
    </row>
    <row r="21" spans="2:34" x14ac:dyDescent="0.35">
      <c r="B21" s="45"/>
      <c r="C21" s="45"/>
      <c r="D21" s="45"/>
      <c r="E21" s="50"/>
      <c r="F21" s="50"/>
      <c r="G21" s="45"/>
      <c r="Z21" s="160" t="s">
        <v>363</v>
      </c>
      <c r="AA21" s="160"/>
      <c r="AB21" s="160"/>
      <c r="AC21" s="161" t="e">
        <f>AC18-AC20</f>
        <v>#DIV/0!</v>
      </c>
      <c r="AD21" s="162"/>
      <c r="AE21" s="163"/>
      <c r="AF21" s="163"/>
      <c r="AG21" s="163"/>
      <c r="AH21" s="164"/>
    </row>
    <row r="22" spans="2:34" x14ac:dyDescent="0.35">
      <c r="B22" s="45"/>
      <c r="C22" s="45"/>
      <c r="D22" s="45"/>
      <c r="E22" s="50"/>
      <c r="F22" s="50"/>
      <c r="G22" s="45"/>
    </row>
  </sheetData>
  <mergeCells count="18">
    <mergeCell ref="AA13:AB13"/>
    <mergeCell ref="AA14:AB14"/>
    <mergeCell ref="AA15:AB15"/>
    <mergeCell ref="AA16:AB16"/>
    <mergeCell ref="B2:C2"/>
    <mergeCell ref="D2:M2"/>
    <mergeCell ref="B4:B8"/>
    <mergeCell ref="AA11:AB11"/>
    <mergeCell ref="AA12:AB12"/>
    <mergeCell ref="Z21:AB21"/>
    <mergeCell ref="AC21:AH21"/>
    <mergeCell ref="Z17:AB17"/>
    <mergeCell ref="Z18:AB18"/>
    <mergeCell ref="AC18:AH18"/>
    <mergeCell ref="Z19:AB19"/>
    <mergeCell ref="AC19:AH19"/>
    <mergeCell ref="Z20:AB20"/>
    <mergeCell ref="AC20:AH20"/>
  </mergeCells>
  <conditionalFormatting sqref="D4:M14">
    <cfRule type="cellIs" dxfId="58" priority="1" operator="equal">
      <formula>4</formula>
    </cfRule>
    <cfRule type="cellIs" dxfId="57" priority="2" operator="equal">
      <formula>3</formula>
    </cfRule>
    <cfRule type="cellIs" dxfId="56" priority="3" operator="equal">
      <formula>2</formula>
    </cfRule>
    <cfRule type="cellIs" dxfId="55" priority="4" operator="equal">
      <formula>1</formula>
    </cfRule>
    <cfRule type="cellIs" dxfId="54" priority="5" operator="equal">
      <formula>0</formula>
    </cfRule>
  </conditionalFormatting>
  <conditionalFormatting sqref="AC20:AH21">
    <cfRule type="cellIs" dxfId="53" priority="6" operator="greaterThanOrEqual">
      <formula>1</formula>
    </cfRule>
  </conditionalFormatting>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03FEF-8A09-4947-A0EB-0E15AC689B0F}">
  <dimension ref="B2:AI23"/>
  <sheetViews>
    <sheetView showGridLines="0" topLeftCell="A18" zoomScaleNormal="100" workbookViewId="0">
      <selection activeCell="E1" sqref="E1:E1048576"/>
    </sheetView>
  </sheetViews>
  <sheetFormatPr defaultColWidth="8.81640625" defaultRowHeight="12" x14ac:dyDescent="0.35"/>
  <cols>
    <col min="1" max="1" width="2.90625" style="1" customWidth="1"/>
    <col min="2" max="2" width="13" style="1" bestFit="1" customWidth="1"/>
    <col min="3" max="3" width="27.36328125" style="1" customWidth="1"/>
    <col min="4" max="4" width="7.81640625" style="1" customWidth="1"/>
    <col min="5" max="6" width="7.81640625" style="2" customWidth="1"/>
    <col min="7" max="7" width="7.81640625" style="1" customWidth="1"/>
    <col min="8" max="9" width="7.81640625" style="2" customWidth="1"/>
    <col min="10" max="10" width="8" style="2" customWidth="1"/>
    <col min="11" max="14" width="7.81640625" style="2" customWidth="1"/>
    <col min="15" max="15" width="2.453125" style="1" customWidth="1"/>
    <col min="16" max="16" width="6.54296875" style="1" customWidth="1"/>
    <col min="17" max="17" width="9.36328125" style="1" customWidth="1"/>
    <col min="18" max="23" width="7.54296875" style="2" customWidth="1"/>
    <col min="24" max="24" width="8.453125" style="2" customWidth="1"/>
    <col min="25" max="35" width="7.54296875" style="2" customWidth="1"/>
    <col min="36" max="16384" width="8.81640625" style="1"/>
  </cols>
  <sheetData>
    <row r="2" spans="2:35" s="4" customFormat="1" x14ac:dyDescent="0.35">
      <c r="B2" s="171" t="s">
        <v>234</v>
      </c>
      <c r="C2" s="171"/>
      <c r="D2" s="172" t="s">
        <v>369</v>
      </c>
      <c r="E2" s="173"/>
      <c r="F2" s="173"/>
      <c r="G2" s="173"/>
      <c r="H2" s="173"/>
      <c r="I2" s="173"/>
      <c r="J2" s="173"/>
      <c r="K2" s="173"/>
      <c r="L2" s="173"/>
      <c r="M2" s="173"/>
      <c r="N2" s="174"/>
      <c r="R2" s="5"/>
      <c r="S2" s="5"/>
      <c r="T2" s="5"/>
      <c r="U2" s="5"/>
      <c r="V2" s="5"/>
      <c r="W2" s="5"/>
      <c r="X2" s="5"/>
      <c r="Y2" s="5"/>
      <c r="Z2" s="5"/>
      <c r="AA2" s="5"/>
      <c r="AB2" s="5"/>
      <c r="AC2" s="5"/>
      <c r="AD2" s="5"/>
      <c r="AE2" s="5"/>
      <c r="AF2" s="5"/>
      <c r="AG2" s="5"/>
      <c r="AH2" s="5"/>
      <c r="AI2" s="5"/>
    </row>
    <row r="3" spans="2:35" ht="24" x14ac:dyDescent="0.35">
      <c r="B3" s="145"/>
      <c r="C3" s="145"/>
      <c r="D3" s="130" t="s">
        <v>235</v>
      </c>
      <c r="E3" s="130" t="s">
        <v>262</v>
      </c>
      <c r="F3" s="130" t="s">
        <v>263</v>
      </c>
      <c r="G3" s="130" t="s">
        <v>271</v>
      </c>
      <c r="H3" s="130" t="s">
        <v>265</v>
      </c>
      <c r="I3" s="130" t="s">
        <v>266</v>
      </c>
      <c r="J3" s="130" t="s">
        <v>267</v>
      </c>
      <c r="K3" s="130"/>
      <c r="L3" s="130"/>
      <c r="M3" s="146"/>
      <c r="N3" s="130"/>
      <c r="R3" s="130" t="str">
        <f>D3</f>
        <v>Pooja</v>
      </c>
      <c r="S3" s="130" t="str">
        <f>E3</f>
        <v>Laxman</v>
      </c>
      <c r="T3" s="130" t="str">
        <f>F3</f>
        <v>Haseeb</v>
      </c>
      <c r="U3" s="130" t="str">
        <f>G3</f>
        <v>Vaibhav</v>
      </c>
      <c r="V3" s="130" t="str">
        <f>H3</f>
        <v>Sourabh</v>
      </c>
      <c r="W3" s="130" t="str">
        <f>I3</f>
        <v>Shubham</v>
      </c>
      <c r="X3" s="130" t="str">
        <f>J3</f>
        <v>Vedanand</v>
      </c>
      <c r="Y3" s="130"/>
      <c r="Z3" s="130"/>
      <c r="AA3" s="130"/>
      <c r="AB3" s="130"/>
      <c r="AC3" s="130"/>
      <c r="AD3" s="134" t="s">
        <v>0</v>
      </c>
      <c r="AE3" s="134" t="s">
        <v>362</v>
      </c>
      <c r="AF3" s="134" t="s">
        <v>345</v>
      </c>
      <c r="AG3" s="134" t="s">
        <v>350</v>
      </c>
      <c r="AH3" s="134" t="s">
        <v>347</v>
      </c>
      <c r="AI3" s="134" t="s">
        <v>348</v>
      </c>
    </row>
    <row r="4" spans="2:35" x14ac:dyDescent="0.35">
      <c r="B4" s="175"/>
      <c r="C4" s="141" t="s">
        <v>150</v>
      </c>
      <c r="D4" s="15"/>
      <c r="E4" s="15"/>
      <c r="F4" s="15"/>
      <c r="G4" s="15"/>
      <c r="H4" s="15"/>
      <c r="I4" s="15"/>
      <c r="J4" s="15"/>
      <c r="K4" s="17"/>
      <c r="L4" s="17"/>
      <c r="M4" s="17"/>
      <c r="N4" s="17"/>
      <c r="P4" s="19" t="s">
        <v>5</v>
      </c>
      <c r="Q4" s="133" t="s">
        <v>6</v>
      </c>
      <c r="R4" s="21">
        <f>COUNTIF(D$4:D$15,4)</f>
        <v>0</v>
      </c>
      <c r="S4" s="21">
        <f>COUNTIF(E$4:E$15,4)</f>
        <v>0</v>
      </c>
      <c r="T4" s="21">
        <f>COUNTIF(F$4:F$15,4)</f>
        <v>0</v>
      </c>
      <c r="U4" s="21">
        <f>COUNTIF(G$4:G$15,4)</f>
        <v>0</v>
      </c>
      <c r="V4" s="21">
        <f>COUNTIF(H$4:H$15,4)</f>
        <v>0</v>
      </c>
      <c r="W4" s="21">
        <f>COUNTIF(I$4:I$15,4)</f>
        <v>0</v>
      </c>
      <c r="X4" s="21">
        <f>COUNTIF(J$4:J$15,4)</f>
        <v>0</v>
      </c>
      <c r="Y4" s="21"/>
      <c r="Z4" s="21"/>
      <c r="AA4" s="21"/>
      <c r="AB4" s="21"/>
      <c r="AC4" s="21"/>
      <c r="AD4" s="21">
        <v>0</v>
      </c>
      <c r="AE4" s="21">
        <v>2</v>
      </c>
      <c r="AF4" s="21">
        <f>SUM(R4:X4)</f>
        <v>0</v>
      </c>
      <c r="AG4" s="21"/>
      <c r="AH4" s="22">
        <v>2</v>
      </c>
      <c r="AI4" s="21"/>
    </row>
    <row r="5" spans="2:35" x14ac:dyDescent="0.35">
      <c r="B5" s="176"/>
      <c r="C5" s="141" t="s">
        <v>152</v>
      </c>
      <c r="D5" s="15"/>
      <c r="E5" s="15"/>
      <c r="F5" s="15"/>
      <c r="G5" s="15"/>
      <c r="H5" s="15"/>
      <c r="I5" s="15"/>
      <c r="J5" s="15"/>
      <c r="K5" s="17"/>
      <c r="L5" s="17"/>
      <c r="M5" s="17"/>
      <c r="N5" s="17"/>
      <c r="P5" s="19" t="s">
        <v>7</v>
      </c>
      <c r="Q5" s="133" t="s">
        <v>8</v>
      </c>
      <c r="R5" s="15">
        <f>COUNTIF(D$4:D$15,3)</f>
        <v>0</v>
      </c>
      <c r="S5" s="15">
        <f>COUNTIF(E$4:E$15,3)</f>
        <v>0</v>
      </c>
      <c r="T5" s="15">
        <f>COUNTIF(F$4:F$15,3)</f>
        <v>0</v>
      </c>
      <c r="U5" s="15">
        <f>COUNTIF(G$4:G$15,3)</f>
        <v>0</v>
      </c>
      <c r="V5" s="15">
        <f>COUNTIF(H$4:H$15,3)</f>
        <v>0</v>
      </c>
      <c r="W5" s="15">
        <f>COUNTIF(I$4:I$15,3)</f>
        <v>0</v>
      </c>
      <c r="X5" s="15">
        <f>COUNTIF(J$4:J$15,3)</f>
        <v>0</v>
      </c>
      <c r="Y5" s="15"/>
      <c r="Z5" s="15"/>
      <c r="AA5" s="15"/>
      <c r="AB5" s="15"/>
      <c r="AC5" s="15"/>
      <c r="AD5" s="15">
        <v>17</v>
      </c>
      <c r="AE5" s="15">
        <v>26</v>
      </c>
      <c r="AF5" s="15">
        <f>SUM(R5:X5)</f>
        <v>0</v>
      </c>
      <c r="AG5" s="15"/>
      <c r="AH5" s="15">
        <v>26</v>
      </c>
      <c r="AI5" s="15"/>
    </row>
    <row r="6" spans="2:35" x14ac:dyDescent="0.35">
      <c r="B6" s="176"/>
      <c r="C6" s="141" t="s">
        <v>154</v>
      </c>
      <c r="D6" s="15"/>
      <c r="E6" s="15"/>
      <c r="F6" s="37"/>
      <c r="G6" s="15"/>
      <c r="H6" s="15"/>
      <c r="I6" s="15"/>
      <c r="J6" s="15"/>
      <c r="K6" s="17"/>
      <c r="L6" s="17"/>
      <c r="M6" s="17"/>
      <c r="N6" s="17"/>
      <c r="P6" s="19" t="s">
        <v>9</v>
      </c>
      <c r="Q6" s="133" t="s">
        <v>10</v>
      </c>
      <c r="R6" s="16">
        <f>COUNTIF(D$4:D$15,2)</f>
        <v>0</v>
      </c>
      <c r="S6" s="16">
        <f>COUNTIF(E$4:E$15,2)</f>
        <v>0</v>
      </c>
      <c r="T6" s="16">
        <f>COUNTIF(F$4:F$15,2)</f>
        <v>0</v>
      </c>
      <c r="U6" s="16">
        <f>COUNTIF(G$4:G$15,2)</f>
        <v>0</v>
      </c>
      <c r="V6" s="16">
        <f>COUNTIF(H$4:H$15,2)</f>
        <v>0</v>
      </c>
      <c r="W6" s="16">
        <f>COUNTIF(I$4:I$15,2)</f>
        <v>0</v>
      </c>
      <c r="X6" s="16">
        <f>COUNTIF(J$4:J$15,2)</f>
        <v>0</v>
      </c>
      <c r="Y6" s="16"/>
      <c r="Z6" s="16"/>
      <c r="AA6" s="16"/>
      <c r="AB6" s="16"/>
      <c r="AC6" s="16"/>
      <c r="AD6" s="16">
        <v>23</v>
      </c>
      <c r="AE6" s="16">
        <v>31</v>
      </c>
      <c r="AF6" s="16">
        <f>SUM(R6:X6)</f>
        <v>0</v>
      </c>
      <c r="AG6" s="16"/>
      <c r="AH6" s="16">
        <v>30</v>
      </c>
      <c r="AI6" s="16"/>
    </row>
    <row r="7" spans="2:35" x14ac:dyDescent="0.35">
      <c r="B7" s="176"/>
      <c r="C7" s="141" t="s">
        <v>156</v>
      </c>
      <c r="D7" s="15"/>
      <c r="E7" s="15"/>
      <c r="F7" s="15"/>
      <c r="G7" s="15"/>
      <c r="H7" s="15"/>
      <c r="I7" s="15"/>
      <c r="J7" s="15"/>
      <c r="K7" s="129"/>
      <c r="L7" s="129"/>
      <c r="M7" s="129"/>
      <c r="N7" s="129"/>
      <c r="P7" s="19" t="s">
        <v>11</v>
      </c>
      <c r="Q7" s="133" t="s">
        <v>12</v>
      </c>
      <c r="R7" s="26">
        <f>COUNTIF(D$4:D$15,1)</f>
        <v>0</v>
      </c>
      <c r="S7" s="26">
        <f>COUNTIF(E$4:E$15,1)</f>
        <v>0</v>
      </c>
      <c r="T7" s="26">
        <f>COUNTIF(F$4:F$15,1)</f>
        <v>0</v>
      </c>
      <c r="U7" s="26">
        <f>COUNTIF(G$4:G$15,1)</f>
        <v>0</v>
      </c>
      <c r="V7" s="26">
        <f>COUNTIF(H$4:H$15,1)</f>
        <v>0</v>
      </c>
      <c r="W7" s="26">
        <f>COUNTIF(I$4:I$15,1)</f>
        <v>0</v>
      </c>
      <c r="X7" s="26">
        <f>COUNTIF(J$4:J$15,1)</f>
        <v>0</v>
      </c>
      <c r="Y7" s="26"/>
      <c r="Z7" s="26"/>
      <c r="AA7" s="26"/>
      <c r="AB7" s="26"/>
      <c r="AC7" s="26"/>
      <c r="AD7" s="26">
        <v>22</v>
      </c>
      <c r="AE7" s="26">
        <v>10</v>
      </c>
      <c r="AF7" s="26">
        <f>SUM(R7:X7)</f>
        <v>0</v>
      </c>
      <c r="AG7" s="26"/>
      <c r="AH7" s="26">
        <v>23</v>
      </c>
      <c r="AI7" s="26"/>
    </row>
    <row r="8" spans="2:35" x14ac:dyDescent="0.35">
      <c r="B8" s="177"/>
      <c r="C8" s="142" t="s">
        <v>382</v>
      </c>
      <c r="D8" s="37"/>
      <c r="E8" s="15"/>
      <c r="F8" s="37"/>
      <c r="G8" s="15"/>
      <c r="H8" s="15"/>
      <c r="I8" s="15"/>
      <c r="J8" s="15"/>
      <c r="K8" s="31"/>
      <c r="L8" s="31"/>
      <c r="M8" s="31"/>
      <c r="N8" s="31"/>
      <c r="P8" s="19" t="s">
        <v>13</v>
      </c>
      <c r="Q8" s="133" t="s">
        <v>14</v>
      </c>
      <c r="R8" s="56">
        <f>COUNTIF(D$4:D$15,0)</f>
        <v>0</v>
      </c>
      <c r="S8" s="56">
        <f>COUNTIF(E$4:E$15,0)</f>
        <v>0</v>
      </c>
      <c r="T8" s="56">
        <f>COUNTIF(F$4:F$15,0)</f>
        <v>0</v>
      </c>
      <c r="U8" s="56">
        <f>COUNTIF(G$4:G$15,0)</f>
        <v>0</v>
      </c>
      <c r="V8" s="56">
        <f>COUNTIF(H$4:H$15,0)</f>
        <v>0</v>
      </c>
      <c r="W8" s="56">
        <f>COUNTIF(I$4:I$15,0)</f>
        <v>0</v>
      </c>
      <c r="X8" s="56">
        <f>COUNTIF(J$4:J$15,0)</f>
        <v>0</v>
      </c>
      <c r="Y8" s="56"/>
      <c r="Z8" s="56"/>
      <c r="AA8" s="56"/>
      <c r="AB8" s="56"/>
      <c r="AC8" s="56"/>
      <c r="AD8" s="56">
        <v>5</v>
      </c>
      <c r="AE8" s="56">
        <v>0</v>
      </c>
      <c r="AF8" s="56">
        <f>SUM(R8:X8)</f>
        <v>0</v>
      </c>
      <c r="AG8" s="56"/>
      <c r="AH8" s="56">
        <v>0</v>
      </c>
      <c r="AI8" s="56"/>
    </row>
    <row r="9" spans="2:35" ht="15" customHeight="1" x14ac:dyDescent="0.35">
      <c r="B9" s="141"/>
      <c r="C9" s="141" t="s">
        <v>160</v>
      </c>
      <c r="D9" s="15"/>
      <c r="E9" s="15"/>
      <c r="F9" s="15"/>
      <c r="G9" s="15"/>
      <c r="H9" s="15"/>
      <c r="I9" s="15"/>
      <c r="J9" s="15"/>
      <c r="K9" s="31"/>
      <c r="L9" s="31"/>
      <c r="M9" s="31"/>
      <c r="N9" s="31"/>
      <c r="P9" s="2"/>
      <c r="Q9" s="2"/>
      <c r="R9" s="130">
        <f>SUM(R4:R8)</f>
        <v>0</v>
      </c>
      <c r="S9" s="130">
        <f t="shared" ref="S9:AH9" si="0">SUM(S4:S8)</f>
        <v>0</v>
      </c>
      <c r="T9" s="130">
        <f t="shared" si="0"/>
        <v>0</v>
      </c>
      <c r="U9" s="130">
        <f t="shared" si="0"/>
        <v>0</v>
      </c>
      <c r="V9" s="130">
        <f t="shared" si="0"/>
        <v>0</v>
      </c>
      <c r="W9" s="130">
        <f t="shared" si="0"/>
        <v>0</v>
      </c>
      <c r="X9" s="130">
        <f t="shared" si="0"/>
        <v>0</v>
      </c>
      <c r="Y9" s="130"/>
      <c r="Z9" s="130"/>
      <c r="AA9" s="130"/>
      <c r="AB9" s="130"/>
      <c r="AC9" s="130"/>
      <c r="AD9" s="130">
        <f t="shared" si="0"/>
        <v>67</v>
      </c>
      <c r="AE9" s="130">
        <f>SUM(AE4:AE8)</f>
        <v>69</v>
      </c>
      <c r="AF9" s="130">
        <f>SUM(AF4:AF8)</f>
        <v>0</v>
      </c>
      <c r="AG9" s="130">
        <v>81</v>
      </c>
      <c r="AH9" s="130">
        <f t="shared" si="0"/>
        <v>81</v>
      </c>
      <c r="AI9" s="130">
        <v>81</v>
      </c>
    </row>
    <row r="10" spans="2:35" x14ac:dyDescent="0.35">
      <c r="B10" s="141"/>
      <c r="C10" s="142" t="s">
        <v>162</v>
      </c>
      <c r="D10" s="15"/>
      <c r="E10" s="15"/>
      <c r="F10" s="15"/>
      <c r="G10" s="15"/>
      <c r="H10" s="15"/>
      <c r="I10" s="15"/>
      <c r="J10" s="15"/>
      <c r="K10" s="17"/>
      <c r="L10" s="17"/>
      <c r="M10" s="17"/>
      <c r="N10" s="17"/>
      <c r="P10" s="2"/>
      <c r="Q10" s="2"/>
    </row>
    <row r="11" spans="2:35" x14ac:dyDescent="0.35">
      <c r="B11" s="141"/>
      <c r="C11" s="142" t="s">
        <v>164</v>
      </c>
      <c r="D11" s="15"/>
      <c r="E11" s="15"/>
      <c r="F11" s="15"/>
      <c r="G11" s="15"/>
      <c r="H11" s="15"/>
      <c r="I11" s="15"/>
      <c r="J11" s="15"/>
      <c r="K11" s="17"/>
      <c r="L11" s="17"/>
      <c r="M11" s="17"/>
      <c r="N11" s="17"/>
      <c r="P11" s="2"/>
      <c r="AA11" s="139" t="s">
        <v>364</v>
      </c>
      <c r="AB11" s="178" t="s">
        <v>365</v>
      </c>
      <c r="AC11" s="178"/>
      <c r="AD11" s="140">
        <f>SUM(AD12:AD14)</f>
        <v>0.59701492537313428</v>
      </c>
      <c r="AE11" s="140">
        <f t="shared" ref="AE11:AI11" si="1">SUM(AE12:AE14)</f>
        <v>0.85507246376811596</v>
      </c>
      <c r="AF11" s="140" t="e">
        <f t="shared" si="1"/>
        <v>#DIV/0!</v>
      </c>
      <c r="AG11" s="140">
        <f t="shared" si="1"/>
        <v>0</v>
      </c>
      <c r="AH11" s="140">
        <f t="shared" si="1"/>
        <v>0.71604938271604934</v>
      </c>
      <c r="AI11" s="140">
        <f t="shared" si="1"/>
        <v>0</v>
      </c>
    </row>
    <row r="12" spans="2:35" ht="24" x14ac:dyDescent="0.35">
      <c r="B12" s="141"/>
      <c r="C12" s="142" t="s">
        <v>166</v>
      </c>
      <c r="D12" s="15"/>
      <c r="E12" s="15"/>
      <c r="F12" s="15"/>
      <c r="G12" s="15"/>
      <c r="H12" s="15"/>
      <c r="I12" s="15"/>
      <c r="J12" s="15"/>
      <c r="K12" s="17"/>
      <c r="L12" s="17"/>
      <c r="M12" s="17"/>
      <c r="N12" s="17"/>
      <c r="AA12" s="19" t="s">
        <v>5</v>
      </c>
      <c r="AB12" s="170" t="s">
        <v>6</v>
      </c>
      <c r="AC12" s="170"/>
      <c r="AD12" s="36">
        <f t="shared" ref="AD12:AD17" si="2">AD4/$AD$9</f>
        <v>0</v>
      </c>
      <c r="AE12" s="36">
        <f>AE4/$AE$9</f>
        <v>2.8985507246376812E-2</v>
      </c>
      <c r="AF12" s="36" t="e">
        <f t="shared" ref="AF12:AF17" si="3">AF4/$AF$9</f>
        <v>#DIV/0!</v>
      </c>
      <c r="AG12" s="36">
        <f>AG4/$AG$9</f>
        <v>0</v>
      </c>
      <c r="AH12" s="36">
        <f>AH4/$AH$9</f>
        <v>2.4691358024691357E-2</v>
      </c>
      <c r="AI12" s="36">
        <f>AI4/$AI$9</f>
        <v>0</v>
      </c>
    </row>
    <row r="13" spans="2:35" ht="24" x14ac:dyDescent="0.35">
      <c r="B13" s="141"/>
      <c r="C13" s="142" t="s">
        <v>168</v>
      </c>
      <c r="D13" s="15"/>
      <c r="E13" s="15"/>
      <c r="F13" s="15"/>
      <c r="G13" s="15"/>
      <c r="H13" s="15"/>
      <c r="I13" s="15"/>
      <c r="J13" s="15"/>
      <c r="K13" s="17"/>
      <c r="L13" s="17"/>
      <c r="M13" s="17"/>
      <c r="N13" s="17"/>
      <c r="AA13" s="19" t="s">
        <v>7</v>
      </c>
      <c r="AB13" s="170" t="s">
        <v>8</v>
      </c>
      <c r="AC13" s="170"/>
      <c r="AD13" s="57">
        <f t="shared" si="2"/>
        <v>0.2537313432835821</v>
      </c>
      <c r="AE13" s="57">
        <f t="shared" ref="AE13:AE17" si="4">AE5/$AE$9</f>
        <v>0.37681159420289856</v>
      </c>
      <c r="AF13" s="57" t="e">
        <f t="shared" si="3"/>
        <v>#DIV/0!</v>
      </c>
      <c r="AG13" s="57">
        <f t="shared" ref="AG13:AG17" si="5">AG5/$AG$9</f>
        <v>0</v>
      </c>
      <c r="AH13" s="57">
        <f t="shared" ref="AH13:AH17" si="6">AH5/$AH$9</f>
        <v>0.32098765432098764</v>
      </c>
      <c r="AI13" s="57">
        <f t="shared" ref="AI13:AI17" si="7">AI5/$AI$9</f>
        <v>0</v>
      </c>
    </row>
    <row r="14" spans="2:35" ht="24" x14ac:dyDescent="0.35">
      <c r="B14" s="141"/>
      <c r="C14" s="142" t="s">
        <v>170</v>
      </c>
      <c r="D14" s="15"/>
      <c r="E14" s="15"/>
      <c r="F14" s="15"/>
      <c r="G14" s="15"/>
      <c r="H14" s="15"/>
      <c r="I14" s="15"/>
      <c r="J14" s="15"/>
      <c r="K14" s="31"/>
      <c r="L14" s="31"/>
      <c r="M14" s="31"/>
      <c r="N14" s="31"/>
      <c r="AA14" s="19" t="s">
        <v>9</v>
      </c>
      <c r="AB14" s="170" t="s">
        <v>10</v>
      </c>
      <c r="AC14" s="170"/>
      <c r="AD14" s="58">
        <f t="shared" si="2"/>
        <v>0.34328358208955223</v>
      </c>
      <c r="AE14" s="58">
        <f t="shared" si="4"/>
        <v>0.44927536231884058</v>
      </c>
      <c r="AF14" s="58" t="e">
        <f t="shared" si="3"/>
        <v>#DIV/0!</v>
      </c>
      <c r="AG14" s="58">
        <f t="shared" si="5"/>
        <v>0</v>
      </c>
      <c r="AH14" s="58">
        <f t="shared" si="6"/>
        <v>0.37037037037037035</v>
      </c>
      <c r="AI14" s="58">
        <f t="shared" si="7"/>
        <v>0</v>
      </c>
    </row>
    <row r="15" spans="2:35" x14ac:dyDescent="0.35">
      <c r="B15" s="141"/>
      <c r="C15" s="144" t="s">
        <v>172</v>
      </c>
      <c r="D15" s="15"/>
      <c r="E15" s="15"/>
      <c r="F15" s="15"/>
      <c r="G15" s="15"/>
      <c r="H15" s="15"/>
      <c r="I15" s="15"/>
      <c r="J15" s="15"/>
      <c r="K15" s="31"/>
      <c r="L15" s="31"/>
      <c r="M15" s="31"/>
      <c r="N15" s="31"/>
      <c r="AA15" s="19" t="s">
        <v>11</v>
      </c>
      <c r="AB15" s="170" t="s">
        <v>12</v>
      </c>
      <c r="AC15" s="170"/>
      <c r="AD15" s="59">
        <f t="shared" si="2"/>
        <v>0.32835820895522388</v>
      </c>
      <c r="AE15" s="59">
        <f t="shared" si="4"/>
        <v>0.14492753623188406</v>
      </c>
      <c r="AF15" s="59" t="e">
        <f t="shared" si="3"/>
        <v>#DIV/0!</v>
      </c>
      <c r="AG15" s="59">
        <f t="shared" si="5"/>
        <v>0</v>
      </c>
      <c r="AH15" s="59">
        <f t="shared" si="6"/>
        <v>0.2839506172839506</v>
      </c>
      <c r="AI15" s="59">
        <f t="shared" si="7"/>
        <v>0</v>
      </c>
    </row>
    <row r="16" spans="2:35" x14ac:dyDescent="0.35">
      <c r="D16" s="132" t="e">
        <f>AVERAGE(D4:D15)</f>
        <v>#DIV/0!</v>
      </c>
      <c r="E16" s="132" t="e">
        <f t="shared" ref="E16:J16" si="8">AVERAGE(E4:E15)</f>
        <v>#DIV/0!</v>
      </c>
      <c r="F16" s="132" t="e">
        <f t="shared" si="8"/>
        <v>#DIV/0!</v>
      </c>
      <c r="G16" s="132" t="e">
        <f t="shared" si="8"/>
        <v>#DIV/0!</v>
      </c>
      <c r="H16" s="132" t="e">
        <f t="shared" si="8"/>
        <v>#DIV/0!</v>
      </c>
      <c r="I16" s="132" t="e">
        <f t="shared" si="8"/>
        <v>#DIV/0!</v>
      </c>
      <c r="J16" s="132" t="e">
        <f t="shared" si="8"/>
        <v>#DIV/0!</v>
      </c>
      <c r="K16" s="132"/>
      <c r="L16" s="132"/>
      <c r="M16" s="132"/>
      <c r="N16" s="132"/>
      <c r="AA16" s="19" t="s">
        <v>13</v>
      </c>
      <c r="AB16" s="170" t="s">
        <v>14</v>
      </c>
      <c r="AC16" s="170"/>
      <c r="AD16" s="60">
        <f t="shared" si="2"/>
        <v>7.4626865671641784E-2</v>
      </c>
      <c r="AE16" s="60">
        <f t="shared" si="4"/>
        <v>0</v>
      </c>
      <c r="AF16" s="60" t="e">
        <f t="shared" si="3"/>
        <v>#DIV/0!</v>
      </c>
      <c r="AG16" s="60">
        <f t="shared" si="5"/>
        <v>0</v>
      </c>
      <c r="AH16" s="60">
        <f t="shared" si="6"/>
        <v>0</v>
      </c>
      <c r="AI16" s="60">
        <f t="shared" si="7"/>
        <v>0</v>
      </c>
    </row>
    <row r="17" spans="2:35" ht="12.5" thickBot="1" x14ac:dyDescent="0.4">
      <c r="B17" s="45"/>
      <c r="C17" s="45"/>
      <c r="D17" s="46"/>
      <c r="E17" s="46"/>
      <c r="F17" s="46"/>
      <c r="G17" s="46"/>
      <c r="H17" s="46"/>
      <c r="I17" s="46"/>
      <c r="J17" s="46"/>
      <c r="K17" s="46"/>
      <c r="L17" s="46"/>
      <c r="M17" s="46"/>
      <c r="N17" s="46"/>
      <c r="AA17" s="165" t="s">
        <v>210</v>
      </c>
      <c r="AB17" s="165"/>
      <c r="AC17" s="165"/>
      <c r="AD17" s="64">
        <f t="shared" si="2"/>
        <v>1</v>
      </c>
      <c r="AE17" s="64">
        <f t="shared" si="4"/>
        <v>1</v>
      </c>
      <c r="AF17" s="64" t="e">
        <f t="shared" si="3"/>
        <v>#DIV/0!</v>
      </c>
      <c r="AG17" s="64">
        <f t="shared" si="5"/>
        <v>1</v>
      </c>
      <c r="AH17" s="64">
        <f t="shared" si="6"/>
        <v>1</v>
      </c>
      <c r="AI17" s="64">
        <f t="shared" si="7"/>
        <v>1</v>
      </c>
    </row>
    <row r="18" spans="2:35" x14ac:dyDescent="0.35">
      <c r="B18" s="47" t="s">
        <v>211</v>
      </c>
      <c r="C18" s="48" t="s">
        <v>269</v>
      </c>
      <c r="D18" s="49"/>
      <c r="E18" s="50"/>
      <c r="F18" s="50"/>
      <c r="G18" s="45"/>
      <c r="AA18" s="160" t="s">
        <v>241</v>
      </c>
      <c r="AB18" s="160"/>
      <c r="AC18" s="160"/>
      <c r="AD18" s="166">
        <v>0.86</v>
      </c>
      <c r="AE18" s="167"/>
      <c r="AF18" s="168"/>
      <c r="AG18" s="168"/>
      <c r="AH18" s="168"/>
      <c r="AI18" s="169"/>
    </row>
    <row r="19" spans="2:35" ht="12.5" thickBot="1" x14ac:dyDescent="0.4">
      <c r="B19" s="51" t="s">
        <v>213</v>
      </c>
      <c r="C19" s="52" t="s">
        <v>272</v>
      </c>
      <c r="D19" s="49"/>
      <c r="E19" s="50"/>
      <c r="F19" s="50"/>
      <c r="G19" s="45"/>
      <c r="AA19" s="160" t="s">
        <v>16</v>
      </c>
      <c r="AB19" s="160"/>
      <c r="AC19" s="160"/>
      <c r="AD19" s="166"/>
      <c r="AE19" s="167"/>
      <c r="AF19" s="168"/>
      <c r="AG19" s="168"/>
      <c r="AH19" s="168"/>
      <c r="AI19" s="169"/>
    </row>
    <row r="20" spans="2:35" x14ac:dyDescent="0.35">
      <c r="B20" s="45"/>
      <c r="C20" s="45"/>
      <c r="D20" s="45"/>
      <c r="E20" s="50"/>
      <c r="F20" s="50"/>
      <c r="G20" s="45"/>
      <c r="AA20" s="160" t="s">
        <v>360</v>
      </c>
      <c r="AB20" s="160"/>
      <c r="AC20" s="160"/>
      <c r="AD20" s="166" t="e">
        <f>SUM(AF12:AF14)</f>
        <v>#DIV/0!</v>
      </c>
      <c r="AE20" s="167"/>
      <c r="AF20" s="168"/>
      <c r="AG20" s="168"/>
      <c r="AH20" s="168"/>
      <c r="AI20" s="169"/>
    </row>
    <row r="21" spans="2:35" x14ac:dyDescent="0.35">
      <c r="B21" s="45"/>
      <c r="C21" s="45"/>
      <c r="D21" s="45"/>
      <c r="E21" s="50"/>
      <c r="F21" s="50"/>
      <c r="G21" s="45"/>
      <c r="AA21" s="160" t="s">
        <v>363</v>
      </c>
      <c r="AB21" s="160"/>
      <c r="AC21" s="160"/>
      <c r="AD21" s="161" t="e">
        <f>AD18-AD20</f>
        <v>#DIV/0!</v>
      </c>
      <c r="AE21" s="162"/>
      <c r="AF21" s="163"/>
      <c r="AG21" s="163"/>
      <c r="AH21" s="163"/>
      <c r="AI21" s="164"/>
    </row>
    <row r="22" spans="2:35" x14ac:dyDescent="0.35">
      <c r="B22" s="45"/>
      <c r="C22" s="45"/>
      <c r="D22" s="45"/>
      <c r="E22" s="50"/>
      <c r="F22" s="50"/>
      <c r="G22" s="45"/>
    </row>
    <row r="23" spans="2:35" x14ac:dyDescent="0.35">
      <c r="B23" s="45"/>
      <c r="C23" s="45"/>
      <c r="D23" s="45"/>
      <c r="E23" s="50"/>
      <c r="F23" s="50"/>
      <c r="G23" s="45"/>
    </row>
  </sheetData>
  <mergeCells count="18">
    <mergeCell ref="AB13:AC13"/>
    <mergeCell ref="AB14:AC14"/>
    <mergeCell ref="AB15:AC15"/>
    <mergeCell ref="AB16:AC16"/>
    <mergeCell ref="B2:C2"/>
    <mergeCell ref="D2:N2"/>
    <mergeCell ref="B4:B8"/>
    <mergeCell ref="AB11:AC11"/>
    <mergeCell ref="AB12:AC12"/>
    <mergeCell ref="AA21:AC21"/>
    <mergeCell ref="AD21:AI21"/>
    <mergeCell ref="AA17:AC17"/>
    <mergeCell ref="AA18:AC18"/>
    <mergeCell ref="AD18:AI18"/>
    <mergeCell ref="AA19:AC19"/>
    <mergeCell ref="AD19:AI19"/>
    <mergeCell ref="AA20:AC20"/>
    <mergeCell ref="AD20:AI20"/>
  </mergeCells>
  <conditionalFormatting sqref="E8 G6:M15 D6:E6 D7:F7 D9:F15 D4:M5">
    <cfRule type="cellIs" dxfId="52" priority="6" operator="equal">
      <formula>4</formula>
    </cfRule>
    <cfRule type="cellIs" dxfId="51" priority="7" operator="equal">
      <formula>3</formula>
    </cfRule>
    <cfRule type="cellIs" dxfId="50" priority="8" operator="equal">
      <formula>2</formula>
    </cfRule>
    <cfRule type="cellIs" dxfId="49" priority="9" operator="equal">
      <formula>1</formula>
    </cfRule>
    <cfRule type="cellIs" dxfId="48" priority="10" operator="equal">
      <formula>0</formula>
    </cfRule>
  </conditionalFormatting>
  <conditionalFormatting sqref="N4:N15">
    <cfRule type="cellIs" dxfId="47" priority="1" operator="equal">
      <formula>4</formula>
    </cfRule>
    <cfRule type="cellIs" dxfId="46" priority="2" operator="equal">
      <formula>3</formula>
    </cfRule>
    <cfRule type="cellIs" dxfId="45" priority="3" operator="equal">
      <formula>2</formula>
    </cfRule>
    <cfRule type="cellIs" dxfId="44" priority="4" operator="equal">
      <formula>1</formula>
    </cfRule>
    <cfRule type="cellIs" dxfId="43" priority="5" operator="equal">
      <formula>0</formula>
    </cfRule>
  </conditionalFormatting>
  <conditionalFormatting sqref="AD20:AI21">
    <cfRule type="cellIs" dxfId="42" priority="11" operator="greaterThanOrEqual">
      <formula>1</formula>
    </cfRule>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5E665-070B-4650-AB85-0F2126BD671B}">
  <dimension ref="B1:W23"/>
  <sheetViews>
    <sheetView showGridLines="0" zoomScaleNormal="100" workbookViewId="0">
      <selection activeCell="T9" sqref="T9"/>
    </sheetView>
  </sheetViews>
  <sheetFormatPr defaultColWidth="8.81640625" defaultRowHeight="12" x14ac:dyDescent="0.35"/>
  <cols>
    <col min="1" max="1" width="2.54296875" style="1" customWidth="1"/>
    <col min="2" max="2" width="13" style="1" bestFit="1" customWidth="1"/>
    <col min="3" max="3" width="35.453125" style="1" bestFit="1" customWidth="1"/>
    <col min="4" max="4" width="8.453125" style="1" customWidth="1"/>
    <col min="5" max="5" width="8.453125" style="2" customWidth="1"/>
    <col min="6" max="6" width="8.453125" style="1" customWidth="1"/>
    <col min="7" max="8" width="8.453125" style="2" customWidth="1"/>
    <col min="9" max="9" width="2.453125" style="1" customWidth="1"/>
    <col min="10" max="10" width="6.54296875" style="1" bestFit="1" customWidth="1"/>
    <col min="11" max="11" width="8.54296875" style="1" bestFit="1" customWidth="1"/>
    <col min="12" max="21" width="7.54296875" style="2" customWidth="1"/>
    <col min="22" max="23" width="6.1796875" style="2" bestFit="1" customWidth="1"/>
    <col min="24" max="24" width="6.54296875" style="1" customWidth="1"/>
    <col min="25" max="16384" width="8.81640625" style="1"/>
  </cols>
  <sheetData>
    <row r="1" spans="2:23" ht="12.5" thickBot="1" x14ac:dyDescent="0.4"/>
    <row r="2" spans="2:23" s="4" customFormat="1" x14ac:dyDescent="0.35">
      <c r="B2" s="205" t="s">
        <v>175</v>
      </c>
      <c r="C2" s="206"/>
      <c r="D2" s="207" t="s">
        <v>273</v>
      </c>
      <c r="E2" s="208"/>
      <c r="F2" s="208"/>
      <c r="G2" s="208"/>
      <c r="H2" s="209"/>
      <c r="L2" s="5"/>
      <c r="M2" s="5"/>
      <c r="N2" s="5"/>
      <c r="O2" s="5"/>
      <c r="P2" s="5"/>
      <c r="Q2" s="5"/>
      <c r="R2" s="5"/>
      <c r="S2" s="5"/>
      <c r="T2" s="5"/>
      <c r="U2" s="5"/>
      <c r="V2" s="5"/>
      <c r="W2" s="5"/>
    </row>
    <row r="3" spans="2:23" x14ac:dyDescent="0.35">
      <c r="B3" s="7" t="s">
        <v>179</v>
      </c>
      <c r="C3" s="8"/>
      <c r="D3" s="9" t="s">
        <v>274</v>
      </c>
      <c r="E3" s="9" t="s">
        <v>275</v>
      </c>
      <c r="F3" s="9" t="s">
        <v>186</v>
      </c>
      <c r="G3" s="9" t="s">
        <v>276</v>
      </c>
      <c r="H3" s="10" t="s">
        <v>277</v>
      </c>
      <c r="L3" s="2">
        <f>SUM(L4:L8)</f>
        <v>12</v>
      </c>
      <c r="M3" s="2">
        <f t="shared" ref="M3:U3" si="0">SUM(M4:M8)</f>
        <v>12</v>
      </c>
      <c r="N3" s="2">
        <f t="shared" si="0"/>
        <v>12</v>
      </c>
      <c r="O3" s="2">
        <f t="shared" si="0"/>
        <v>12</v>
      </c>
      <c r="P3" s="2">
        <f t="shared" si="0"/>
        <v>12</v>
      </c>
      <c r="Q3" s="2">
        <f t="shared" si="0"/>
        <v>21</v>
      </c>
      <c r="R3" s="2">
        <f t="shared" si="0"/>
        <v>48</v>
      </c>
      <c r="S3" s="2">
        <f>SUM(S4:S8)</f>
        <v>48</v>
      </c>
      <c r="T3" s="2">
        <f t="shared" si="0"/>
        <v>60</v>
      </c>
      <c r="U3" s="2">
        <f t="shared" si="0"/>
        <v>0</v>
      </c>
      <c r="V3" s="1"/>
      <c r="W3" s="1"/>
    </row>
    <row r="4" spans="2:23" x14ac:dyDescent="0.35">
      <c r="B4" s="210"/>
      <c r="C4" s="76" t="s">
        <v>278</v>
      </c>
      <c r="D4" s="37">
        <v>0</v>
      </c>
      <c r="E4" s="37">
        <v>1</v>
      </c>
      <c r="F4" s="37">
        <v>2</v>
      </c>
      <c r="G4" s="37">
        <v>1</v>
      </c>
      <c r="H4" s="65">
        <v>0</v>
      </c>
      <c r="J4" s="19" t="s">
        <v>5</v>
      </c>
      <c r="K4" s="20" t="s">
        <v>6</v>
      </c>
      <c r="L4" s="21">
        <f>COUNTIF(D$4:D$15,4)</f>
        <v>0</v>
      </c>
      <c r="M4" s="21">
        <f t="shared" ref="M4:O4" si="1">COUNTIF(E$4:E$15,4)</f>
        <v>0</v>
      </c>
      <c r="N4" s="21">
        <f t="shared" si="1"/>
        <v>0</v>
      </c>
      <c r="O4" s="21">
        <f t="shared" si="1"/>
        <v>0</v>
      </c>
      <c r="P4" s="21">
        <f>COUNTIF(H$4:H$15,4)</f>
        <v>0</v>
      </c>
      <c r="Q4" s="21">
        <v>0</v>
      </c>
      <c r="R4" s="21">
        <v>0</v>
      </c>
      <c r="S4" s="21">
        <v>0</v>
      </c>
      <c r="T4" s="21">
        <v>0</v>
      </c>
      <c r="U4" s="21"/>
      <c r="V4" s="1"/>
      <c r="W4" s="1"/>
    </row>
    <row r="5" spans="2:23" x14ac:dyDescent="0.35">
      <c r="B5" s="211"/>
      <c r="C5" s="76" t="s">
        <v>279</v>
      </c>
      <c r="D5" s="37">
        <v>0</v>
      </c>
      <c r="E5" s="37">
        <v>0</v>
      </c>
      <c r="F5" s="37">
        <v>1</v>
      </c>
      <c r="G5" s="37">
        <v>2</v>
      </c>
      <c r="H5" s="65">
        <v>0</v>
      </c>
      <c r="J5" s="19" t="s">
        <v>7</v>
      </c>
      <c r="K5" s="20" t="s">
        <v>8</v>
      </c>
      <c r="L5" s="15">
        <f>COUNTIF(D$4:D$15,3)</f>
        <v>0</v>
      </c>
      <c r="M5" s="15">
        <f t="shared" ref="M5:O5" si="2">COUNTIF(E$4:E$15,3)</f>
        <v>0</v>
      </c>
      <c r="N5" s="15">
        <f t="shared" si="2"/>
        <v>0</v>
      </c>
      <c r="O5" s="15">
        <f t="shared" si="2"/>
        <v>2</v>
      </c>
      <c r="P5" s="15">
        <f>COUNTIF(H$4:H$15,3)</f>
        <v>0</v>
      </c>
      <c r="Q5" s="15">
        <v>0</v>
      </c>
      <c r="R5" s="15">
        <v>2</v>
      </c>
      <c r="S5" s="15">
        <v>2</v>
      </c>
      <c r="T5" s="15">
        <v>2</v>
      </c>
      <c r="U5" s="15"/>
      <c r="V5" s="1"/>
      <c r="W5" s="1"/>
    </row>
    <row r="6" spans="2:23" x14ac:dyDescent="0.35">
      <c r="B6" s="211"/>
      <c r="C6" s="76" t="s">
        <v>280</v>
      </c>
      <c r="D6" s="37">
        <v>0</v>
      </c>
      <c r="E6" s="37">
        <v>1</v>
      </c>
      <c r="F6" s="37">
        <v>2</v>
      </c>
      <c r="G6" s="37">
        <v>1</v>
      </c>
      <c r="H6" s="65">
        <v>0</v>
      </c>
      <c r="J6" s="19" t="s">
        <v>9</v>
      </c>
      <c r="K6" s="20" t="s">
        <v>10</v>
      </c>
      <c r="L6" s="16">
        <f>COUNTIF(D$4:D$15,2)</f>
        <v>1</v>
      </c>
      <c r="M6" s="16">
        <f t="shared" ref="M6:O6" si="3">COUNTIF(E$4:E$15,2)</f>
        <v>2</v>
      </c>
      <c r="N6" s="16">
        <f t="shared" si="3"/>
        <v>10</v>
      </c>
      <c r="O6" s="16">
        <f t="shared" si="3"/>
        <v>4</v>
      </c>
      <c r="P6" s="16">
        <f>COUNTIF(H$4:H$15,2)</f>
        <v>0</v>
      </c>
      <c r="Q6" s="16">
        <v>12</v>
      </c>
      <c r="R6" s="16">
        <v>17</v>
      </c>
      <c r="S6" s="16">
        <v>17</v>
      </c>
      <c r="T6" s="16">
        <v>17</v>
      </c>
      <c r="U6" s="16"/>
      <c r="V6" s="1"/>
      <c r="W6" s="1"/>
    </row>
    <row r="7" spans="2:23" x14ac:dyDescent="0.35">
      <c r="B7" s="211"/>
      <c r="C7" s="76" t="s">
        <v>281</v>
      </c>
      <c r="D7" s="37">
        <v>0</v>
      </c>
      <c r="E7" s="37">
        <v>1</v>
      </c>
      <c r="F7" s="37">
        <v>2</v>
      </c>
      <c r="G7" s="37">
        <v>2</v>
      </c>
      <c r="H7" s="65">
        <v>0</v>
      </c>
      <c r="J7" s="19" t="s">
        <v>11</v>
      </c>
      <c r="K7" s="20" t="s">
        <v>12</v>
      </c>
      <c r="L7" s="26">
        <f>COUNTIF(D$4:D$15,1)</f>
        <v>3</v>
      </c>
      <c r="M7" s="26">
        <f t="shared" ref="M7:O7" si="4">COUNTIF(E$4:E$15,1)</f>
        <v>7</v>
      </c>
      <c r="N7" s="26">
        <f t="shared" si="4"/>
        <v>2</v>
      </c>
      <c r="O7" s="26">
        <f t="shared" si="4"/>
        <v>5</v>
      </c>
      <c r="P7" s="26">
        <f>COUNTIF(H$4:H$15,1)</f>
        <v>0</v>
      </c>
      <c r="Q7" s="26">
        <v>7</v>
      </c>
      <c r="R7" s="26">
        <v>17</v>
      </c>
      <c r="S7" s="26">
        <v>17</v>
      </c>
      <c r="T7" s="26">
        <v>17</v>
      </c>
      <c r="U7" s="26"/>
      <c r="V7" s="1"/>
      <c r="W7" s="1"/>
    </row>
    <row r="8" spans="2:23" x14ac:dyDescent="0.35">
      <c r="B8" s="211"/>
      <c r="C8" s="76" t="s">
        <v>282</v>
      </c>
      <c r="D8" s="37">
        <v>0</v>
      </c>
      <c r="E8" s="37">
        <v>1</v>
      </c>
      <c r="F8" s="37">
        <v>2</v>
      </c>
      <c r="G8" s="37">
        <v>1</v>
      </c>
      <c r="H8" s="65">
        <v>0</v>
      </c>
      <c r="J8" s="19" t="s">
        <v>13</v>
      </c>
      <c r="K8" s="20" t="s">
        <v>14</v>
      </c>
      <c r="L8" s="81">
        <f>COUNTIF(D$4:D$15,0)</f>
        <v>8</v>
      </c>
      <c r="M8" s="81">
        <f t="shared" ref="M8:O8" si="5">COUNTIF(E$4:E$15,0)</f>
        <v>3</v>
      </c>
      <c r="N8" s="81">
        <f t="shared" si="5"/>
        <v>0</v>
      </c>
      <c r="O8" s="81">
        <f t="shared" si="5"/>
        <v>1</v>
      </c>
      <c r="P8" s="81">
        <f>COUNTIF(H$4:H$15,0)</f>
        <v>12</v>
      </c>
      <c r="Q8" s="81">
        <v>2</v>
      </c>
      <c r="R8" s="81">
        <v>12</v>
      </c>
      <c r="S8" s="81">
        <v>12</v>
      </c>
      <c r="T8" s="81">
        <v>24</v>
      </c>
      <c r="U8" s="81"/>
      <c r="V8" s="1"/>
      <c r="W8" s="1"/>
    </row>
    <row r="9" spans="2:23" x14ac:dyDescent="0.35">
      <c r="B9" s="212"/>
      <c r="C9" s="76" t="s">
        <v>283</v>
      </c>
      <c r="D9" s="37">
        <v>0</v>
      </c>
      <c r="E9" s="37">
        <v>2</v>
      </c>
      <c r="F9" s="37">
        <v>2</v>
      </c>
      <c r="G9" s="37">
        <v>1</v>
      </c>
      <c r="H9" s="65">
        <v>0</v>
      </c>
      <c r="J9" s="2"/>
      <c r="K9" s="19" t="s">
        <v>195</v>
      </c>
      <c r="L9" s="55">
        <v>0</v>
      </c>
      <c r="M9" s="55">
        <v>0</v>
      </c>
      <c r="N9" s="55">
        <v>0</v>
      </c>
      <c r="O9" s="55">
        <v>0</v>
      </c>
      <c r="P9" s="55">
        <v>0</v>
      </c>
      <c r="Q9" s="55">
        <v>1</v>
      </c>
      <c r="R9" s="55">
        <v>0</v>
      </c>
      <c r="S9" s="55">
        <v>0</v>
      </c>
      <c r="T9" s="55">
        <v>0</v>
      </c>
      <c r="U9" s="55"/>
      <c r="V9" s="1"/>
      <c r="W9" s="1"/>
    </row>
    <row r="10" spans="2:23" ht="24" x14ac:dyDescent="0.35">
      <c r="B10" s="78"/>
      <c r="C10" s="76" t="s">
        <v>284</v>
      </c>
      <c r="D10" s="37">
        <v>0</v>
      </c>
      <c r="E10" s="37">
        <v>0</v>
      </c>
      <c r="F10" s="37">
        <v>1</v>
      </c>
      <c r="G10" s="37">
        <v>1</v>
      </c>
      <c r="H10" s="65">
        <v>0</v>
      </c>
      <c r="J10" s="2"/>
      <c r="K10" s="2"/>
      <c r="L10" s="19" t="str">
        <f>D3</f>
        <v>Manasvini</v>
      </c>
      <c r="M10" s="19" t="str">
        <f>E3</f>
        <v>Shreya</v>
      </c>
      <c r="N10" s="19" t="str">
        <f>F3</f>
        <v>Mahesh</v>
      </c>
      <c r="O10" s="19" t="str">
        <f>G3</f>
        <v>Swami</v>
      </c>
      <c r="P10" s="19" t="str">
        <f>H3</f>
        <v>Pankaj</v>
      </c>
      <c r="Q10" s="33" t="s">
        <v>0</v>
      </c>
      <c r="R10" s="33" t="s">
        <v>1</v>
      </c>
      <c r="S10" s="33" t="s">
        <v>2</v>
      </c>
      <c r="T10" s="33" t="s">
        <v>3</v>
      </c>
      <c r="U10" s="33" t="s">
        <v>4</v>
      </c>
      <c r="V10" s="1"/>
      <c r="W10" s="1"/>
    </row>
    <row r="11" spans="2:23" x14ac:dyDescent="0.35">
      <c r="B11" s="79"/>
      <c r="C11" s="76" t="s">
        <v>285</v>
      </c>
      <c r="D11" s="37">
        <v>0</v>
      </c>
      <c r="E11" s="37">
        <v>0</v>
      </c>
      <c r="F11" s="37">
        <v>2</v>
      </c>
      <c r="G11" s="37">
        <v>0</v>
      </c>
      <c r="H11" s="65">
        <v>0</v>
      </c>
      <c r="J11" s="2"/>
      <c r="K11" s="2"/>
    </row>
    <row r="12" spans="2:23" x14ac:dyDescent="0.35">
      <c r="B12" s="79"/>
      <c r="C12" s="76" t="s">
        <v>286</v>
      </c>
      <c r="D12" s="37">
        <v>1</v>
      </c>
      <c r="E12" s="37">
        <v>2</v>
      </c>
      <c r="F12" s="37">
        <v>2</v>
      </c>
      <c r="G12" s="37">
        <v>2</v>
      </c>
      <c r="H12" s="65">
        <v>0</v>
      </c>
      <c r="O12" s="19" t="s">
        <v>5</v>
      </c>
      <c r="P12" s="54" t="s">
        <v>6</v>
      </c>
      <c r="Q12" s="82">
        <f>Q4/$Q$3</f>
        <v>0</v>
      </c>
      <c r="R12" s="82">
        <f>R4/$R$3</f>
        <v>0</v>
      </c>
      <c r="S12" s="82">
        <f>S4/$S$3</f>
        <v>0</v>
      </c>
      <c r="T12" s="82">
        <f>T4/$T$3</f>
        <v>0</v>
      </c>
      <c r="U12" s="82" t="e">
        <f>U4/$U$3</f>
        <v>#DIV/0!</v>
      </c>
    </row>
    <row r="13" spans="2:23" x14ac:dyDescent="0.35">
      <c r="B13" s="79"/>
      <c r="C13" s="76" t="s">
        <v>287</v>
      </c>
      <c r="D13" s="37">
        <v>1</v>
      </c>
      <c r="E13" s="37">
        <v>1</v>
      </c>
      <c r="F13" s="37">
        <v>2</v>
      </c>
      <c r="G13" s="37">
        <v>3</v>
      </c>
      <c r="H13" s="65">
        <v>0</v>
      </c>
      <c r="O13" s="19" t="s">
        <v>7</v>
      </c>
      <c r="P13" s="54" t="s">
        <v>8</v>
      </c>
      <c r="Q13" s="57">
        <f>Q5/$Q$3</f>
        <v>0</v>
      </c>
      <c r="R13" s="57">
        <f t="shared" ref="R13:R16" si="6">R5/$R$3</f>
        <v>4.1666666666666664E-2</v>
      </c>
      <c r="S13" s="57">
        <f t="shared" ref="S13:S16" si="7">S5/$S$3</f>
        <v>4.1666666666666664E-2</v>
      </c>
      <c r="T13" s="57">
        <f t="shared" ref="T13:T16" si="8">T5/$T$3</f>
        <v>3.3333333333333333E-2</v>
      </c>
      <c r="U13" s="57" t="e">
        <f t="shared" ref="U13:U16" si="9">U5/$U$3</f>
        <v>#DIV/0!</v>
      </c>
    </row>
    <row r="14" spans="2:23" ht="24" x14ac:dyDescent="0.35">
      <c r="B14" s="79"/>
      <c r="C14" s="76" t="s">
        <v>170</v>
      </c>
      <c r="D14" s="37">
        <v>1</v>
      </c>
      <c r="E14" s="37">
        <v>1</v>
      </c>
      <c r="F14" s="37">
        <v>2</v>
      </c>
      <c r="G14" s="37">
        <v>3</v>
      </c>
      <c r="H14" s="65">
        <v>0</v>
      </c>
      <c r="O14" s="19" t="s">
        <v>9</v>
      </c>
      <c r="P14" s="54" t="s">
        <v>10</v>
      </c>
      <c r="Q14" s="58">
        <f>Q6/$Q$3</f>
        <v>0.5714285714285714</v>
      </c>
      <c r="R14" s="58">
        <f t="shared" si="6"/>
        <v>0.35416666666666669</v>
      </c>
      <c r="S14" s="58">
        <f t="shared" si="7"/>
        <v>0.35416666666666669</v>
      </c>
      <c r="T14" s="58">
        <f t="shared" si="8"/>
        <v>0.28333333333333333</v>
      </c>
      <c r="U14" s="58" t="e">
        <f t="shared" si="9"/>
        <v>#DIV/0!</v>
      </c>
    </row>
    <row r="15" spans="2:23" ht="24" x14ac:dyDescent="0.35">
      <c r="B15" s="79"/>
      <c r="C15" s="76" t="s">
        <v>288</v>
      </c>
      <c r="D15" s="37">
        <v>2</v>
      </c>
      <c r="E15" s="37">
        <v>1</v>
      </c>
      <c r="F15" s="37">
        <v>2</v>
      </c>
      <c r="G15" s="37">
        <v>2</v>
      </c>
      <c r="H15" s="65">
        <v>0</v>
      </c>
      <c r="O15" s="19" t="s">
        <v>11</v>
      </c>
      <c r="P15" s="54" t="s">
        <v>12</v>
      </c>
      <c r="Q15" s="59">
        <f>Q7/$Q$3</f>
        <v>0.33333333333333331</v>
      </c>
      <c r="R15" s="59">
        <f t="shared" si="6"/>
        <v>0.35416666666666669</v>
      </c>
      <c r="S15" s="59">
        <f t="shared" si="7"/>
        <v>0.35416666666666669</v>
      </c>
      <c r="T15" s="59">
        <f t="shared" si="8"/>
        <v>0.28333333333333333</v>
      </c>
      <c r="U15" s="59" t="e">
        <f t="shared" si="9"/>
        <v>#DIV/0!</v>
      </c>
    </row>
    <row r="16" spans="2:23" ht="12.5" thickBot="1" x14ac:dyDescent="0.4">
      <c r="B16" s="41"/>
      <c r="C16" s="42"/>
      <c r="D16" s="43">
        <f>AVERAGE(D4:D15)</f>
        <v>0.41666666666666669</v>
      </c>
      <c r="E16" s="43">
        <f>AVERAGE(E4:E15)</f>
        <v>0.91666666666666663</v>
      </c>
      <c r="F16" s="43">
        <f>AVERAGE(F4:F15)</f>
        <v>1.8333333333333333</v>
      </c>
      <c r="G16" s="43">
        <f>AVERAGE(G4:G15)</f>
        <v>1.5833333333333333</v>
      </c>
      <c r="H16" s="44">
        <f>AVERAGE(H4:H15)</f>
        <v>0</v>
      </c>
      <c r="O16" s="19" t="s">
        <v>13</v>
      </c>
      <c r="P16" s="54" t="s">
        <v>14</v>
      </c>
      <c r="Q16" s="83">
        <f>Q8/$Q$3</f>
        <v>9.5238095238095233E-2</v>
      </c>
      <c r="R16" s="83">
        <f t="shared" si="6"/>
        <v>0.25</v>
      </c>
      <c r="S16" s="83">
        <f t="shared" si="7"/>
        <v>0.25</v>
      </c>
      <c r="T16" s="83">
        <f t="shared" si="8"/>
        <v>0.4</v>
      </c>
      <c r="U16" s="83" t="e">
        <f t="shared" si="9"/>
        <v>#DIV/0!</v>
      </c>
    </row>
    <row r="17" spans="2:21" ht="12.5" thickBot="1" x14ac:dyDescent="0.4">
      <c r="B17" s="45"/>
      <c r="C17" s="45"/>
      <c r="D17" s="46"/>
      <c r="E17" s="46"/>
      <c r="F17" s="46"/>
      <c r="G17" s="46"/>
      <c r="H17" s="46"/>
      <c r="O17" s="165" t="s">
        <v>210</v>
      </c>
      <c r="P17" s="165"/>
      <c r="Q17" s="64">
        <f>SUM(Q12:Q16)</f>
        <v>0.99999999999999989</v>
      </c>
      <c r="R17" s="64">
        <f t="shared" ref="R17:U17" si="10">SUM(R12:R16)</f>
        <v>1</v>
      </c>
      <c r="S17" s="64">
        <f t="shared" si="10"/>
        <v>1</v>
      </c>
      <c r="T17" s="64">
        <f t="shared" si="10"/>
        <v>1</v>
      </c>
      <c r="U17" s="64" t="e">
        <f t="shared" si="10"/>
        <v>#DIV/0!</v>
      </c>
    </row>
    <row r="18" spans="2:21" x14ac:dyDescent="0.35">
      <c r="B18" s="47" t="s">
        <v>211</v>
      </c>
      <c r="C18" s="48" t="s">
        <v>188</v>
      </c>
      <c r="D18" s="49"/>
      <c r="E18" s="50"/>
      <c r="F18" s="45"/>
      <c r="O18" s="160" t="s">
        <v>15</v>
      </c>
      <c r="P18" s="160"/>
      <c r="Q18" s="166">
        <v>0.65</v>
      </c>
      <c r="R18" s="168"/>
      <c r="S18" s="168"/>
      <c r="T18" s="168"/>
      <c r="U18" s="169"/>
    </row>
    <row r="19" spans="2:21" ht="12.5" thickBot="1" x14ac:dyDescent="0.4">
      <c r="B19" s="51" t="s">
        <v>213</v>
      </c>
      <c r="C19" s="52" t="s">
        <v>289</v>
      </c>
      <c r="D19" s="49"/>
      <c r="E19" s="50"/>
      <c r="F19" s="45"/>
      <c r="O19" s="160" t="s">
        <v>16</v>
      </c>
      <c r="P19" s="160"/>
      <c r="Q19" s="166">
        <f>S12+S13+S14</f>
        <v>0.39583333333333337</v>
      </c>
      <c r="R19" s="168"/>
      <c r="S19" s="168"/>
      <c r="T19" s="168"/>
      <c r="U19" s="169"/>
    </row>
    <row r="20" spans="2:21" x14ac:dyDescent="0.35">
      <c r="B20" s="45"/>
      <c r="C20" s="45"/>
      <c r="D20" s="45"/>
      <c r="E20" s="50"/>
      <c r="F20" s="45"/>
      <c r="O20" s="160" t="s">
        <v>17</v>
      </c>
      <c r="P20" s="160"/>
      <c r="Q20" s="166">
        <f>SUM(T12:T14)</f>
        <v>0.31666666666666665</v>
      </c>
      <c r="R20" s="168"/>
      <c r="S20" s="168"/>
      <c r="T20" s="168"/>
      <c r="U20" s="169"/>
    </row>
    <row r="21" spans="2:21" x14ac:dyDescent="0.35">
      <c r="B21" s="45"/>
      <c r="C21" s="45"/>
      <c r="D21" s="45"/>
      <c r="E21" s="50"/>
      <c r="F21" s="45"/>
      <c r="O21" s="160" t="s">
        <v>18</v>
      </c>
      <c r="P21" s="160"/>
      <c r="Q21" s="161">
        <f>Q19-Q18</f>
        <v>-0.25416666666666665</v>
      </c>
      <c r="R21" s="163"/>
      <c r="S21" s="163"/>
      <c r="T21" s="163"/>
      <c r="U21" s="164"/>
    </row>
    <row r="22" spans="2:21" x14ac:dyDescent="0.35">
      <c r="B22" s="45"/>
      <c r="C22" s="45"/>
      <c r="D22" s="45"/>
      <c r="E22" s="50"/>
      <c r="F22" s="45"/>
    </row>
    <row r="23" spans="2:21" x14ac:dyDescent="0.35">
      <c r="B23" s="45"/>
      <c r="C23" s="45"/>
      <c r="D23" s="45"/>
      <c r="E23" s="50"/>
      <c r="F23" s="45"/>
    </row>
  </sheetData>
  <mergeCells count="12">
    <mergeCell ref="O21:P21"/>
    <mergeCell ref="Q21:U21"/>
    <mergeCell ref="B2:C2"/>
    <mergeCell ref="D2:H2"/>
    <mergeCell ref="B4:B9"/>
    <mergeCell ref="O17:P17"/>
    <mergeCell ref="O18:P18"/>
    <mergeCell ref="Q18:U18"/>
    <mergeCell ref="O19:P19"/>
    <mergeCell ref="Q19:U19"/>
    <mergeCell ref="O20:P20"/>
    <mergeCell ref="Q20:U20"/>
  </mergeCells>
  <conditionalFormatting sqref="D4:H15">
    <cfRule type="cellIs" priority="3" operator="equal">
      <formula>"NA"</formula>
    </cfRule>
    <cfRule type="cellIs" dxfId="41" priority="4" operator="equal">
      <formula>4</formula>
    </cfRule>
    <cfRule type="cellIs" dxfId="40" priority="5" operator="equal">
      <formula>3</formula>
    </cfRule>
    <cfRule type="cellIs" dxfId="39" priority="6" operator="equal">
      <formula>2</formula>
    </cfRule>
    <cfRule type="cellIs" dxfId="38" priority="7" operator="equal">
      <formula>1</formula>
    </cfRule>
    <cfRule type="cellIs" dxfId="37" priority="8" operator="equal">
      <formula>0</formula>
    </cfRule>
  </conditionalFormatting>
  <conditionalFormatting sqref="Q20:U21">
    <cfRule type="cellIs" dxfId="36" priority="1" operator="greaterThanOrEqual">
      <formula>1</formula>
    </cfRule>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DE1B8-7967-44B5-89B9-3B357E772CA4}">
  <dimension ref="B2:AJ23"/>
  <sheetViews>
    <sheetView showGridLines="0" topLeftCell="P1" zoomScaleNormal="100" workbookViewId="0">
      <selection activeCell="X17" sqref="X17"/>
    </sheetView>
  </sheetViews>
  <sheetFormatPr defaultColWidth="8.81640625" defaultRowHeight="12" x14ac:dyDescent="0.35"/>
  <cols>
    <col min="1" max="1" width="2.90625" style="1" customWidth="1"/>
    <col min="2" max="2" width="13" style="1" bestFit="1" customWidth="1"/>
    <col min="3" max="3" width="37.08984375" style="1" bestFit="1" customWidth="1"/>
    <col min="4" max="4" width="8.81640625" style="1" customWidth="1"/>
    <col min="5" max="6" width="8.81640625" style="2" customWidth="1"/>
    <col min="7" max="7" width="8.81640625" style="1" customWidth="1"/>
    <col min="8" max="8" width="8.81640625" style="2" customWidth="1"/>
    <col min="9" max="15" width="7.81640625" style="2" customWidth="1"/>
    <col min="16" max="16" width="2.453125" style="1" customWidth="1"/>
    <col min="17" max="17" width="6.54296875" style="1" bestFit="1" customWidth="1"/>
    <col min="18" max="18" width="9.36328125" style="1" bestFit="1" customWidth="1"/>
    <col min="19" max="23" width="8.6328125" style="2" customWidth="1"/>
    <col min="24" max="36" width="7.54296875" style="2" customWidth="1"/>
    <col min="37" max="16384" width="8.81640625" style="1"/>
  </cols>
  <sheetData>
    <row r="2" spans="2:36" s="4" customFormat="1" x14ac:dyDescent="0.35">
      <c r="B2" s="171" t="s">
        <v>234</v>
      </c>
      <c r="C2" s="171"/>
      <c r="D2" s="172" t="s">
        <v>370</v>
      </c>
      <c r="E2" s="173"/>
      <c r="F2" s="173"/>
      <c r="G2" s="173"/>
      <c r="H2" s="173"/>
      <c r="I2" s="173"/>
      <c r="J2" s="173"/>
      <c r="K2" s="173"/>
      <c r="L2" s="173"/>
      <c r="M2" s="173"/>
      <c r="N2" s="173"/>
      <c r="O2" s="174"/>
      <c r="S2" s="5"/>
      <c r="T2" s="5"/>
      <c r="U2" s="5"/>
      <c r="V2" s="5"/>
      <c r="W2" s="5"/>
      <c r="X2" s="5"/>
      <c r="Y2" s="5"/>
      <c r="Z2" s="5"/>
      <c r="AA2" s="5"/>
      <c r="AB2" s="5"/>
      <c r="AC2" s="5"/>
      <c r="AD2" s="5"/>
      <c r="AE2" s="5"/>
      <c r="AF2" s="5"/>
      <c r="AG2" s="5"/>
      <c r="AH2" s="5"/>
      <c r="AI2" s="5"/>
      <c r="AJ2" s="5"/>
    </row>
    <row r="3" spans="2:36" ht="24" x14ac:dyDescent="0.35">
      <c r="B3" s="145"/>
      <c r="C3" s="145"/>
      <c r="D3" s="130" t="s">
        <v>274</v>
      </c>
      <c r="E3" s="130" t="s">
        <v>275</v>
      </c>
      <c r="F3" s="130" t="s">
        <v>186</v>
      </c>
      <c r="G3" s="134">
        <v>584652</v>
      </c>
      <c r="H3" s="130" t="s">
        <v>277</v>
      </c>
      <c r="I3" s="130" t="s">
        <v>342</v>
      </c>
      <c r="J3" s="130"/>
      <c r="K3" s="130"/>
      <c r="L3" s="130"/>
      <c r="M3" s="130"/>
      <c r="N3" s="146"/>
      <c r="O3" s="130"/>
      <c r="S3" s="130" t="str">
        <f>D3</f>
        <v>Manasvini</v>
      </c>
      <c r="T3" s="130" t="str">
        <f t="shared" ref="T3:AD3" si="0">E3</f>
        <v>Shreya</v>
      </c>
      <c r="U3" s="130" t="str">
        <f t="shared" si="0"/>
        <v>Mahesh</v>
      </c>
      <c r="V3" s="130">
        <f t="shared" si="0"/>
        <v>584652</v>
      </c>
      <c r="W3" s="130" t="str">
        <f t="shared" si="0"/>
        <v>Pankaj</v>
      </c>
      <c r="X3" s="130" t="str">
        <f t="shared" si="0"/>
        <v>Raghu</v>
      </c>
      <c r="Y3" s="130">
        <f t="shared" si="0"/>
        <v>0</v>
      </c>
      <c r="Z3" s="130">
        <f t="shared" si="0"/>
        <v>0</v>
      </c>
      <c r="AA3" s="130">
        <f t="shared" si="0"/>
        <v>0</v>
      </c>
      <c r="AB3" s="130">
        <f t="shared" si="0"/>
        <v>0</v>
      </c>
      <c r="AC3" s="130">
        <f t="shared" si="0"/>
        <v>0</v>
      </c>
      <c r="AD3" s="130">
        <f t="shared" si="0"/>
        <v>0</v>
      </c>
      <c r="AE3" s="134" t="s">
        <v>0</v>
      </c>
      <c r="AF3" s="134" t="s">
        <v>362</v>
      </c>
      <c r="AG3" s="134" t="s">
        <v>345</v>
      </c>
      <c r="AH3" s="134" t="s">
        <v>350</v>
      </c>
      <c r="AI3" s="134" t="s">
        <v>347</v>
      </c>
      <c r="AJ3" s="134" t="s">
        <v>348</v>
      </c>
    </row>
    <row r="4" spans="2:36" ht="14.5" x14ac:dyDescent="0.35">
      <c r="B4" s="175"/>
      <c r="C4" s="141" t="s">
        <v>278</v>
      </c>
      <c r="D4" s="15">
        <v>1</v>
      </c>
      <c r="E4" s="16">
        <v>2</v>
      </c>
      <c r="F4" s="16">
        <v>3</v>
      </c>
      <c r="G4" s="15">
        <v>1</v>
      </c>
      <c r="H4" s="16">
        <v>2</v>
      </c>
      <c r="I4" s="156">
        <v>3</v>
      </c>
      <c r="J4" s="17"/>
      <c r="K4" s="17"/>
      <c r="L4" s="17"/>
      <c r="M4" s="17"/>
      <c r="N4" s="17"/>
      <c r="O4" s="17"/>
      <c r="Q4" s="19" t="s">
        <v>5</v>
      </c>
      <c r="R4" s="133" t="s">
        <v>6</v>
      </c>
      <c r="S4" s="21"/>
      <c r="T4" s="21"/>
      <c r="U4" s="21"/>
      <c r="V4" s="21"/>
      <c r="W4" s="21"/>
      <c r="X4" s="21"/>
      <c r="Y4" s="21"/>
      <c r="Z4" s="21">
        <f t="shared" ref="S4:AD4" si="1">COUNTIF(K$4:K$15,4)</f>
        <v>0</v>
      </c>
      <c r="AA4" s="21">
        <f t="shared" si="1"/>
        <v>0</v>
      </c>
      <c r="AB4" s="21">
        <f t="shared" si="1"/>
        <v>0</v>
      </c>
      <c r="AC4" s="21">
        <f t="shared" si="1"/>
        <v>0</v>
      </c>
      <c r="AD4" s="21">
        <f t="shared" si="1"/>
        <v>0</v>
      </c>
      <c r="AE4" s="21">
        <v>0</v>
      </c>
      <c r="AF4" s="21">
        <v>0</v>
      </c>
      <c r="AG4" s="21">
        <f>SUM(S4:W4)</f>
        <v>0</v>
      </c>
      <c r="AH4" s="21"/>
      <c r="AI4" s="22">
        <v>0</v>
      </c>
      <c r="AJ4" s="21"/>
    </row>
    <row r="5" spans="2:36" ht="14.5" x14ac:dyDescent="0.35">
      <c r="B5" s="176"/>
      <c r="C5" s="141" t="s">
        <v>279</v>
      </c>
      <c r="D5" s="15">
        <v>0</v>
      </c>
      <c r="E5" s="26">
        <v>1</v>
      </c>
      <c r="F5" s="26">
        <v>2</v>
      </c>
      <c r="G5" s="15">
        <v>0</v>
      </c>
      <c r="H5" s="16">
        <v>2</v>
      </c>
      <c r="I5" s="154">
        <v>2</v>
      </c>
      <c r="J5" s="17"/>
      <c r="K5" s="17"/>
      <c r="L5" s="17"/>
      <c r="M5" s="17"/>
      <c r="N5" s="17"/>
      <c r="O5" s="17"/>
      <c r="Q5" s="19" t="s">
        <v>7</v>
      </c>
      <c r="R5" s="133" t="s">
        <v>8</v>
      </c>
      <c r="S5" s="15"/>
      <c r="T5" s="15"/>
      <c r="U5" s="15"/>
      <c r="V5" s="15"/>
      <c r="W5" s="15"/>
      <c r="X5" s="15"/>
      <c r="Y5" s="15"/>
      <c r="Z5" s="15">
        <f t="shared" ref="S5:AD5" si="2">COUNTIF(K$4:K$15,3)</f>
        <v>0</v>
      </c>
      <c r="AA5" s="15">
        <f t="shared" si="2"/>
        <v>0</v>
      </c>
      <c r="AB5" s="15">
        <f t="shared" si="2"/>
        <v>0</v>
      </c>
      <c r="AC5" s="15">
        <f t="shared" si="2"/>
        <v>0</v>
      </c>
      <c r="AD5" s="15">
        <f t="shared" si="2"/>
        <v>0</v>
      </c>
      <c r="AE5" s="15">
        <v>0</v>
      </c>
      <c r="AF5" s="15">
        <v>1</v>
      </c>
      <c r="AG5" s="15">
        <f t="shared" ref="AG5:AG8" si="3">SUM(S5:W5)</f>
        <v>0</v>
      </c>
      <c r="AH5" s="15"/>
      <c r="AI5" s="15">
        <v>7</v>
      </c>
      <c r="AJ5" s="15"/>
    </row>
    <row r="6" spans="2:36" ht="14.5" x14ac:dyDescent="0.35">
      <c r="B6" s="176"/>
      <c r="C6" s="141" t="s">
        <v>280</v>
      </c>
      <c r="D6" s="15">
        <v>1</v>
      </c>
      <c r="E6" s="16">
        <v>2</v>
      </c>
      <c r="F6" s="16">
        <v>2</v>
      </c>
      <c r="G6" s="15">
        <v>1</v>
      </c>
      <c r="H6" s="16">
        <v>2</v>
      </c>
      <c r="I6" s="154">
        <v>2</v>
      </c>
      <c r="J6" s="17"/>
      <c r="K6" s="17"/>
      <c r="L6" s="17"/>
      <c r="M6" s="17"/>
      <c r="N6" s="17"/>
      <c r="O6" s="17"/>
      <c r="Q6" s="19" t="s">
        <v>9</v>
      </c>
      <c r="R6" s="133" t="s">
        <v>10</v>
      </c>
      <c r="S6" s="16"/>
      <c r="T6" s="16"/>
      <c r="U6" s="16"/>
      <c r="V6" s="16"/>
      <c r="W6" s="16"/>
      <c r="X6" s="16"/>
      <c r="Y6" s="16"/>
      <c r="Z6" s="16">
        <f t="shared" ref="S6:AD6" si="4">COUNTIF(K$4:K$15,2)</f>
        <v>0</v>
      </c>
      <c r="AA6" s="16">
        <f t="shared" si="4"/>
        <v>0</v>
      </c>
      <c r="AB6" s="16">
        <f t="shared" si="4"/>
        <v>0</v>
      </c>
      <c r="AC6" s="16">
        <f t="shared" si="4"/>
        <v>0</v>
      </c>
      <c r="AD6" s="16">
        <f t="shared" si="4"/>
        <v>0</v>
      </c>
      <c r="AE6" s="16">
        <v>12</v>
      </c>
      <c r="AF6" s="16">
        <v>24</v>
      </c>
      <c r="AG6" s="16">
        <f t="shared" si="3"/>
        <v>0</v>
      </c>
      <c r="AH6" s="16"/>
      <c r="AI6" s="16">
        <v>30</v>
      </c>
      <c r="AJ6" s="16"/>
    </row>
    <row r="7" spans="2:36" ht="14.5" x14ac:dyDescent="0.35">
      <c r="B7" s="176"/>
      <c r="C7" s="141" t="s">
        <v>281</v>
      </c>
      <c r="D7" s="16">
        <v>0</v>
      </c>
      <c r="E7" s="16">
        <v>2</v>
      </c>
      <c r="F7" s="16">
        <v>3</v>
      </c>
      <c r="G7" s="15">
        <v>2</v>
      </c>
      <c r="H7" s="26">
        <v>3</v>
      </c>
      <c r="I7" s="154">
        <v>3</v>
      </c>
      <c r="J7" s="17"/>
      <c r="K7" s="129"/>
      <c r="L7" s="129"/>
      <c r="M7" s="129"/>
      <c r="N7" s="129"/>
      <c r="O7" s="129"/>
      <c r="Q7" s="19" t="s">
        <v>11</v>
      </c>
      <c r="R7" s="133" t="s">
        <v>12</v>
      </c>
      <c r="S7" s="26"/>
      <c r="T7" s="26"/>
      <c r="U7" s="26"/>
      <c r="V7" s="26"/>
      <c r="W7" s="26"/>
      <c r="X7" s="26"/>
      <c r="Y7" s="26"/>
      <c r="Z7" s="26">
        <f t="shared" ref="S7:AD7" si="5">COUNTIF(K$4:K$15,1)</f>
        <v>0</v>
      </c>
      <c r="AA7" s="26">
        <f t="shared" si="5"/>
        <v>0</v>
      </c>
      <c r="AB7" s="26">
        <f t="shared" si="5"/>
        <v>0</v>
      </c>
      <c r="AC7" s="26">
        <f t="shared" si="5"/>
        <v>0</v>
      </c>
      <c r="AD7" s="26">
        <f t="shared" si="5"/>
        <v>0</v>
      </c>
      <c r="AE7" s="26">
        <v>7</v>
      </c>
      <c r="AF7" s="26">
        <v>11</v>
      </c>
      <c r="AG7" s="26">
        <f t="shared" si="3"/>
        <v>0</v>
      </c>
      <c r="AH7" s="26"/>
      <c r="AI7" s="26">
        <v>7</v>
      </c>
      <c r="AJ7" s="26"/>
    </row>
    <row r="8" spans="2:36" ht="14.5" x14ac:dyDescent="0.35">
      <c r="B8" s="177"/>
      <c r="C8" s="142" t="s">
        <v>282</v>
      </c>
      <c r="D8" s="16">
        <v>1</v>
      </c>
      <c r="E8" s="26">
        <v>2</v>
      </c>
      <c r="F8" s="26">
        <v>3</v>
      </c>
      <c r="G8" s="16">
        <v>2</v>
      </c>
      <c r="H8" s="26">
        <v>3</v>
      </c>
      <c r="I8" s="155">
        <v>3</v>
      </c>
      <c r="J8" s="31"/>
      <c r="K8" s="31"/>
      <c r="L8" s="31"/>
      <c r="M8" s="31"/>
      <c r="N8" s="31"/>
      <c r="O8" s="31"/>
      <c r="Q8" s="19" t="s">
        <v>13</v>
      </c>
      <c r="R8" s="133" t="s">
        <v>14</v>
      </c>
      <c r="S8" s="56"/>
      <c r="T8" s="56"/>
      <c r="U8" s="56"/>
      <c r="V8" s="56"/>
      <c r="W8" s="56"/>
      <c r="X8" s="56"/>
      <c r="Y8" s="56"/>
      <c r="Z8" s="56">
        <f t="shared" ref="S8:AD8" si="6">COUNTIF(K$4:K$15,0)</f>
        <v>0</v>
      </c>
      <c r="AA8" s="56">
        <f t="shared" si="6"/>
        <v>0</v>
      </c>
      <c r="AB8" s="56">
        <f t="shared" si="6"/>
        <v>0</v>
      </c>
      <c r="AC8" s="56">
        <f t="shared" si="6"/>
        <v>0</v>
      </c>
      <c r="AD8" s="56">
        <f t="shared" si="6"/>
        <v>0</v>
      </c>
      <c r="AE8" s="56">
        <v>2</v>
      </c>
      <c r="AF8" s="56">
        <v>12</v>
      </c>
      <c r="AG8" s="56">
        <f t="shared" si="3"/>
        <v>0</v>
      </c>
      <c r="AH8" s="56"/>
      <c r="AI8" s="56">
        <v>4</v>
      </c>
      <c r="AJ8" s="56"/>
    </row>
    <row r="9" spans="2:36" ht="14.5" x14ac:dyDescent="0.35">
      <c r="B9" s="141"/>
      <c r="C9" s="141" t="s">
        <v>283</v>
      </c>
      <c r="D9" s="16">
        <v>2</v>
      </c>
      <c r="E9" s="26">
        <v>2</v>
      </c>
      <c r="F9" s="26">
        <v>2</v>
      </c>
      <c r="G9" s="16">
        <v>2</v>
      </c>
      <c r="H9" s="26">
        <v>2</v>
      </c>
      <c r="I9" s="155">
        <v>2</v>
      </c>
      <c r="J9" s="31"/>
      <c r="K9" s="31"/>
      <c r="L9" s="31"/>
      <c r="M9" s="31"/>
      <c r="N9" s="31"/>
      <c r="O9" s="31"/>
      <c r="Q9" s="2"/>
      <c r="R9" s="2"/>
      <c r="S9" s="130">
        <f>SUM(S4:S8)</f>
        <v>0</v>
      </c>
      <c r="T9" s="130">
        <f t="shared" ref="T9:AG9" si="7">SUM(T4:T8)</f>
        <v>0</v>
      </c>
      <c r="U9" s="130">
        <f t="shared" si="7"/>
        <v>0</v>
      </c>
      <c r="V9" s="130">
        <f t="shared" si="7"/>
        <v>0</v>
      </c>
      <c r="W9" s="130">
        <f t="shared" si="7"/>
        <v>0</v>
      </c>
      <c r="X9" s="130">
        <f t="shared" si="7"/>
        <v>0</v>
      </c>
      <c r="Y9" s="130">
        <f t="shared" si="7"/>
        <v>0</v>
      </c>
      <c r="Z9" s="130">
        <f t="shared" si="7"/>
        <v>0</v>
      </c>
      <c r="AA9" s="130">
        <f t="shared" si="7"/>
        <v>0</v>
      </c>
      <c r="AB9" s="130">
        <f t="shared" si="7"/>
        <v>0</v>
      </c>
      <c r="AC9" s="130">
        <f t="shared" si="7"/>
        <v>0</v>
      </c>
      <c r="AD9" s="130">
        <f t="shared" si="7"/>
        <v>0</v>
      </c>
      <c r="AE9" s="130">
        <f t="shared" si="7"/>
        <v>21</v>
      </c>
      <c r="AF9" s="130">
        <f>SUM(AF4:AF8)</f>
        <v>48</v>
      </c>
      <c r="AG9" s="130">
        <f t="shared" si="7"/>
        <v>0</v>
      </c>
      <c r="AH9" s="130">
        <v>48</v>
      </c>
      <c r="AI9" s="130">
        <f t="shared" ref="AI9" si="8">SUM(AI4:AI8)</f>
        <v>48</v>
      </c>
      <c r="AJ9" s="130">
        <v>48</v>
      </c>
    </row>
    <row r="10" spans="2:36" ht="14.5" x14ac:dyDescent="0.35">
      <c r="B10" s="141"/>
      <c r="C10" s="142" t="s">
        <v>284</v>
      </c>
      <c r="D10" s="15">
        <v>0</v>
      </c>
      <c r="E10" s="26">
        <v>1</v>
      </c>
      <c r="F10" s="26">
        <v>1</v>
      </c>
      <c r="G10" s="15">
        <v>1</v>
      </c>
      <c r="H10" s="16">
        <v>2</v>
      </c>
      <c r="I10" s="155">
        <v>2</v>
      </c>
      <c r="J10" s="17"/>
      <c r="K10" s="17"/>
      <c r="L10" s="17"/>
      <c r="M10" s="17"/>
      <c r="N10" s="17"/>
      <c r="O10" s="17"/>
      <c r="Q10" s="2"/>
      <c r="R10" s="2"/>
    </row>
    <row r="11" spans="2:36" ht="14.5" x14ac:dyDescent="0.35">
      <c r="B11" s="141"/>
      <c r="C11" s="142" t="s">
        <v>285</v>
      </c>
      <c r="D11" s="15">
        <v>0</v>
      </c>
      <c r="E11" s="16">
        <v>1</v>
      </c>
      <c r="F11" s="16">
        <v>2</v>
      </c>
      <c r="G11" s="15">
        <v>0</v>
      </c>
      <c r="H11" s="16">
        <v>2</v>
      </c>
      <c r="I11" s="153">
        <v>1</v>
      </c>
      <c r="J11" s="17"/>
      <c r="K11" s="17"/>
      <c r="L11" s="17"/>
      <c r="M11" s="17"/>
      <c r="N11" s="17"/>
      <c r="O11" s="17"/>
      <c r="Q11" s="2"/>
      <c r="AB11" s="139" t="s">
        <v>364</v>
      </c>
      <c r="AC11" s="178" t="s">
        <v>365</v>
      </c>
      <c r="AD11" s="178"/>
      <c r="AE11" s="140">
        <f>SUM(AE12:AE14)</f>
        <v>0.5714285714285714</v>
      </c>
      <c r="AF11" s="140">
        <f t="shared" ref="AF11:AJ11" si="9">SUM(AF12:AF14)</f>
        <v>0.52083333333333337</v>
      </c>
      <c r="AG11" s="140" t="e">
        <f t="shared" si="9"/>
        <v>#DIV/0!</v>
      </c>
      <c r="AH11" s="140">
        <f t="shared" si="9"/>
        <v>0</v>
      </c>
      <c r="AI11" s="140">
        <f t="shared" si="9"/>
        <v>0.77083333333333337</v>
      </c>
      <c r="AJ11" s="140">
        <f t="shared" si="9"/>
        <v>0</v>
      </c>
    </row>
    <row r="12" spans="2:36" ht="14.5" x14ac:dyDescent="0.35">
      <c r="B12" s="141"/>
      <c r="C12" s="142" t="s">
        <v>286</v>
      </c>
      <c r="D12" s="31">
        <v>2</v>
      </c>
      <c r="E12" s="17">
        <v>2</v>
      </c>
      <c r="F12" s="17">
        <v>2</v>
      </c>
      <c r="G12" s="31">
        <v>2</v>
      </c>
      <c r="H12" s="17">
        <v>2</v>
      </c>
      <c r="I12" s="154">
        <v>2</v>
      </c>
      <c r="J12" s="17"/>
      <c r="K12" s="17"/>
      <c r="L12" s="17"/>
      <c r="M12" s="17"/>
      <c r="N12" s="17"/>
      <c r="O12" s="17"/>
      <c r="AB12" s="19" t="s">
        <v>5</v>
      </c>
      <c r="AC12" s="170" t="s">
        <v>6</v>
      </c>
      <c r="AD12" s="170"/>
      <c r="AE12" s="36">
        <f t="shared" ref="AE12:AE17" si="10">AE4/$AE$9</f>
        <v>0</v>
      </c>
      <c r="AF12" s="36">
        <f>AF4/$AF$9</f>
        <v>0</v>
      </c>
      <c r="AG12" s="36" t="e">
        <f>AG4/$AG$9</f>
        <v>#DIV/0!</v>
      </c>
      <c r="AH12" s="36">
        <f>AH4/$AH$9</f>
        <v>0</v>
      </c>
      <c r="AI12" s="36">
        <f>AI4/$AI$9</f>
        <v>0</v>
      </c>
      <c r="AJ12" s="36">
        <f>AJ4/$AJ$9</f>
        <v>0</v>
      </c>
    </row>
    <row r="13" spans="2:36" ht="14.5" x14ac:dyDescent="0.35">
      <c r="B13" s="141"/>
      <c r="C13" s="142" t="s">
        <v>287</v>
      </c>
      <c r="D13" s="26">
        <v>2</v>
      </c>
      <c r="E13" s="26">
        <v>2</v>
      </c>
      <c r="F13" s="26">
        <v>3</v>
      </c>
      <c r="G13" s="16">
        <v>2</v>
      </c>
      <c r="H13" s="26">
        <v>2</v>
      </c>
      <c r="I13" s="157">
        <v>2</v>
      </c>
      <c r="J13" s="17"/>
      <c r="K13" s="17"/>
      <c r="L13" s="17"/>
      <c r="M13" s="17"/>
      <c r="N13" s="17"/>
      <c r="O13" s="17"/>
      <c r="AB13" s="19" t="s">
        <v>7</v>
      </c>
      <c r="AC13" s="170" t="s">
        <v>8</v>
      </c>
      <c r="AD13" s="170"/>
      <c r="AE13" s="57">
        <f t="shared" si="10"/>
        <v>0</v>
      </c>
      <c r="AF13" s="57">
        <f t="shared" ref="AF13:AF17" si="11">AF5/$AF$9</f>
        <v>2.0833333333333332E-2</v>
      </c>
      <c r="AG13" s="57" t="e">
        <f t="shared" ref="AG13:AG16" si="12">AG5/$AG$9</f>
        <v>#DIV/0!</v>
      </c>
      <c r="AH13" s="57">
        <f t="shared" ref="AH13:AH17" si="13">AH5/$AH$9</f>
        <v>0</v>
      </c>
      <c r="AI13" s="57">
        <f t="shared" ref="AI13:AI17" si="14">AI5/$AI$9</f>
        <v>0.14583333333333334</v>
      </c>
      <c r="AJ13" s="57">
        <f t="shared" ref="AJ13:AJ17" si="15">AJ5/$AJ$9</f>
        <v>0</v>
      </c>
    </row>
    <row r="14" spans="2:36" ht="14.5" x14ac:dyDescent="0.35">
      <c r="B14" s="141"/>
      <c r="C14" s="142" t="s">
        <v>170</v>
      </c>
      <c r="D14" s="16">
        <v>2</v>
      </c>
      <c r="E14" s="26">
        <v>2</v>
      </c>
      <c r="F14" s="26">
        <v>3</v>
      </c>
      <c r="G14" s="16">
        <v>2</v>
      </c>
      <c r="H14" s="26">
        <v>2</v>
      </c>
      <c r="I14" s="157">
        <v>2</v>
      </c>
      <c r="J14" s="31"/>
      <c r="K14" s="31"/>
      <c r="L14" s="31"/>
      <c r="M14" s="31"/>
      <c r="N14" s="31"/>
      <c r="O14" s="31"/>
      <c r="AB14" s="19" t="s">
        <v>9</v>
      </c>
      <c r="AC14" s="170" t="s">
        <v>10</v>
      </c>
      <c r="AD14" s="170"/>
      <c r="AE14" s="58">
        <f t="shared" si="10"/>
        <v>0.5714285714285714</v>
      </c>
      <c r="AF14" s="58">
        <f t="shared" si="11"/>
        <v>0.5</v>
      </c>
      <c r="AG14" s="58" t="e">
        <f t="shared" si="12"/>
        <v>#DIV/0!</v>
      </c>
      <c r="AH14" s="58">
        <f t="shared" si="13"/>
        <v>0</v>
      </c>
      <c r="AI14" s="58">
        <f t="shared" si="14"/>
        <v>0.625</v>
      </c>
      <c r="AJ14" s="58">
        <f t="shared" si="15"/>
        <v>0</v>
      </c>
    </row>
    <row r="15" spans="2:36" ht="14.5" x14ac:dyDescent="0.35">
      <c r="B15" s="141"/>
      <c r="C15" s="144" t="s">
        <v>288</v>
      </c>
      <c r="D15" s="31">
        <v>2</v>
      </c>
      <c r="E15" s="17">
        <v>2</v>
      </c>
      <c r="F15" s="17">
        <v>2</v>
      </c>
      <c r="G15" s="31">
        <v>2</v>
      </c>
      <c r="H15" s="31">
        <v>2</v>
      </c>
      <c r="I15" s="154">
        <v>2</v>
      </c>
      <c r="J15" s="31"/>
      <c r="K15" s="31"/>
      <c r="L15" s="31"/>
      <c r="M15" s="31"/>
      <c r="N15" s="31"/>
      <c r="O15" s="31"/>
      <c r="AB15" s="19" t="s">
        <v>11</v>
      </c>
      <c r="AC15" s="170" t="s">
        <v>12</v>
      </c>
      <c r="AD15" s="170"/>
      <c r="AE15" s="59">
        <f t="shared" si="10"/>
        <v>0.33333333333333331</v>
      </c>
      <c r="AF15" s="59">
        <f t="shared" si="11"/>
        <v>0.22916666666666666</v>
      </c>
      <c r="AG15" s="59" t="e">
        <f t="shared" si="12"/>
        <v>#DIV/0!</v>
      </c>
      <c r="AH15" s="59">
        <f t="shared" si="13"/>
        <v>0</v>
      </c>
      <c r="AI15" s="59">
        <f t="shared" si="14"/>
        <v>0.14583333333333334</v>
      </c>
      <c r="AJ15" s="59">
        <f t="shared" si="15"/>
        <v>0</v>
      </c>
    </row>
    <row r="16" spans="2:36" ht="12.5" thickBot="1" x14ac:dyDescent="0.35">
      <c r="D16" s="132">
        <f>AVERAGE(D4:D15)</f>
        <v>1.0833333333333333</v>
      </c>
      <c r="E16" s="132">
        <f t="shared" ref="E16:H16" si="16">AVERAGE(E4:E15)</f>
        <v>1.75</v>
      </c>
      <c r="F16" s="132">
        <f t="shared" si="16"/>
        <v>2.3333333333333335</v>
      </c>
      <c r="G16" s="132">
        <f>AVERAGE(G4:G15)</f>
        <v>1.4166666666666667</v>
      </c>
      <c r="H16" s="132">
        <f t="shared" si="16"/>
        <v>2.1666666666666665</v>
      </c>
      <c r="I16" s="158">
        <v>2.2000000000000002</v>
      </c>
      <c r="J16" s="132"/>
      <c r="K16" s="132"/>
      <c r="L16" s="132"/>
      <c r="M16" s="132"/>
      <c r="N16" s="132"/>
      <c r="O16" s="132"/>
      <c r="AB16" s="19" t="s">
        <v>13</v>
      </c>
      <c r="AC16" s="170" t="s">
        <v>14</v>
      </c>
      <c r="AD16" s="170"/>
      <c r="AE16" s="60">
        <f t="shared" si="10"/>
        <v>9.5238095238095233E-2</v>
      </c>
      <c r="AF16" s="60">
        <f t="shared" si="11"/>
        <v>0.25</v>
      </c>
      <c r="AG16" s="60" t="e">
        <f t="shared" si="12"/>
        <v>#DIV/0!</v>
      </c>
      <c r="AH16" s="60">
        <f t="shared" si="13"/>
        <v>0</v>
      </c>
      <c r="AI16" s="60">
        <f t="shared" si="14"/>
        <v>8.3333333333333329E-2</v>
      </c>
      <c r="AJ16" s="60">
        <f t="shared" si="15"/>
        <v>0</v>
      </c>
    </row>
    <row r="17" spans="2:36" ht="12.5" thickBot="1" x14ac:dyDescent="0.4">
      <c r="B17" s="45"/>
      <c r="C17" s="45"/>
      <c r="D17" s="46"/>
      <c r="E17" s="46"/>
      <c r="F17" s="46"/>
      <c r="G17" s="46"/>
      <c r="H17" s="46"/>
      <c r="I17" s="46"/>
      <c r="J17" s="46"/>
      <c r="K17" s="46"/>
      <c r="L17" s="46"/>
      <c r="M17" s="46"/>
      <c r="N17" s="46"/>
      <c r="O17" s="46"/>
      <c r="AB17" s="165" t="s">
        <v>210</v>
      </c>
      <c r="AC17" s="165"/>
      <c r="AD17" s="165"/>
      <c r="AE17" s="64">
        <f t="shared" si="10"/>
        <v>1</v>
      </c>
      <c r="AF17" s="64">
        <f t="shared" si="11"/>
        <v>1</v>
      </c>
      <c r="AG17" s="64" t="e">
        <f>AG9/$AG$9</f>
        <v>#DIV/0!</v>
      </c>
      <c r="AH17" s="64">
        <f t="shared" si="13"/>
        <v>1</v>
      </c>
      <c r="AI17" s="64">
        <f t="shared" si="14"/>
        <v>1</v>
      </c>
      <c r="AJ17" s="64">
        <f t="shared" si="15"/>
        <v>1</v>
      </c>
    </row>
    <row r="18" spans="2:36" x14ac:dyDescent="0.35">
      <c r="B18" s="47" t="s">
        <v>211</v>
      </c>
      <c r="C18" s="48" t="s">
        <v>188</v>
      </c>
      <c r="D18" s="49"/>
      <c r="E18" s="50"/>
      <c r="F18" s="50"/>
      <c r="G18" s="45"/>
      <c r="AB18" s="160" t="s">
        <v>241</v>
      </c>
      <c r="AC18" s="160"/>
      <c r="AD18" s="160"/>
      <c r="AE18" s="166">
        <v>0.7</v>
      </c>
      <c r="AF18" s="167"/>
      <c r="AG18" s="168"/>
      <c r="AH18" s="168"/>
      <c r="AI18" s="168"/>
      <c r="AJ18" s="169"/>
    </row>
    <row r="19" spans="2:36" ht="12.5" thickBot="1" x14ac:dyDescent="0.4">
      <c r="B19" s="51" t="s">
        <v>213</v>
      </c>
      <c r="C19" s="52" t="s">
        <v>289</v>
      </c>
      <c r="D19" s="49"/>
      <c r="E19" s="50"/>
      <c r="F19" s="50"/>
      <c r="G19" s="45"/>
      <c r="AB19" s="160" t="s">
        <v>16</v>
      </c>
      <c r="AC19" s="160"/>
      <c r="AD19" s="160"/>
      <c r="AE19" s="166"/>
      <c r="AF19" s="167"/>
      <c r="AG19" s="168"/>
      <c r="AH19" s="168"/>
      <c r="AI19" s="168"/>
      <c r="AJ19" s="169"/>
    </row>
    <row r="20" spans="2:36" x14ac:dyDescent="0.35">
      <c r="B20" s="45"/>
      <c r="C20" s="45"/>
      <c r="D20" s="45"/>
      <c r="E20" s="50"/>
      <c r="F20" s="50"/>
      <c r="G20" s="45"/>
      <c r="AB20" s="160" t="s">
        <v>360</v>
      </c>
      <c r="AC20" s="160"/>
      <c r="AD20" s="160"/>
      <c r="AE20" s="166" t="e">
        <f>SUM(AG12:AG14)</f>
        <v>#DIV/0!</v>
      </c>
      <c r="AF20" s="167"/>
      <c r="AG20" s="168"/>
      <c r="AH20" s="168"/>
      <c r="AI20" s="168"/>
      <c r="AJ20" s="169"/>
    </row>
    <row r="21" spans="2:36" x14ac:dyDescent="0.35">
      <c r="B21" s="45"/>
      <c r="C21" s="45"/>
      <c r="D21" s="45"/>
      <c r="E21" s="50"/>
      <c r="F21" s="50"/>
      <c r="G21" s="45"/>
      <c r="AB21" s="160" t="s">
        <v>363</v>
      </c>
      <c r="AC21" s="160"/>
      <c r="AD21" s="160"/>
      <c r="AE21" s="187" t="e">
        <f>AE18-AE20</f>
        <v>#DIV/0!</v>
      </c>
      <c r="AF21" s="200"/>
      <c r="AG21" s="188"/>
      <c r="AH21" s="188"/>
      <c r="AI21" s="188"/>
      <c r="AJ21" s="189"/>
    </row>
    <row r="22" spans="2:36" x14ac:dyDescent="0.35">
      <c r="B22" s="45"/>
      <c r="C22" s="45"/>
      <c r="D22" s="45"/>
      <c r="E22" s="50"/>
      <c r="F22" s="50"/>
      <c r="G22" s="45"/>
    </row>
    <row r="23" spans="2:36" x14ac:dyDescent="0.35">
      <c r="B23" s="45"/>
      <c r="C23" s="45"/>
      <c r="D23" s="45"/>
      <c r="E23" s="50"/>
      <c r="F23" s="50"/>
      <c r="G23" s="45"/>
    </row>
  </sheetData>
  <mergeCells count="18">
    <mergeCell ref="AC13:AD13"/>
    <mergeCell ref="AC14:AD14"/>
    <mergeCell ref="AC15:AD15"/>
    <mergeCell ref="AC16:AD16"/>
    <mergeCell ref="B2:C2"/>
    <mergeCell ref="D2:O2"/>
    <mergeCell ref="B4:B8"/>
    <mergeCell ref="AC11:AD11"/>
    <mergeCell ref="AC12:AD12"/>
    <mergeCell ref="AB21:AD21"/>
    <mergeCell ref="AE21:AJ21"/>
    <mergeCell ref="AB17:AD17"/>
    <mergeCell ref="AB18:AD18"/>
    <mergeCell ref="AE18:AJ18"/>
    <mergeCell ref="AB19:AD19"/>
    <mergeCell ref="AE19:AJ19"/>
    <mergeCell ref="AB20:AD20"/>
    <mergeCell ref="AE20:AJ20"/>
  </mergeCells>
  <conditionalFormatting sqref="D4:H15 J4:O15">
    <cfRule type="cellIs" dxfId="35" priority="1" operator="equal">
      <formula>4</formula>
    </cfRule>
    <cfRule type="cellIs" dxfId="34" priority="2" operator="equal">
      <formula>3</formula>
    </cfRule>
    <cfRule type="cellIs" dxfId="33" priority="3" operator="equal">
      <formula>2</formula>
    </cfRule>
    <cfRule type="cellIs" dxfId="32" priority="4" operator="equal">
      <formula>1</formula>
    </cfRule>
    <cfRule type="cellIs" dxfId="31" priority="5" operator="equal">
      <formula>0</formula>
    </cfRule>
  </conditionalFormatting>
  <conditionalFormatting sqref="AE20:AJ21">
    <cfRule type="cellIs" dxfId="30" priority="11" operator="greaterThanOrEqual">
      <formula>1</formula>
    </cfRule>
  </conditionalFormatting>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3598B-D757-4CEF-BE5C-85A19D0ECA04}">
  <dimension ref="B2:AJ25"/>
  <sheetViews>
    <sheetView showGridLines="0" zoomScaleNormal="100" workbookViewId="0">
      <selection activeCell="D4" sqref="D4:K17"/>
    </sheetView>
  </sheetViews>
  <sheetFormatPr defaultColWidth="8.81640625" defaultRowHeight="12" x14ac:dyDescent="0.35"/>
  <cols>
    <col min="1" max="1" width="2.90625" style="1" customWidth="1"/>
    <col min="2" max="2" width="13" style="1" bestFit="1" customWidth="1"/>
    <col min="3" max="3" width="40.08984375" style="1" customWidth="1"/>
    <col min="4" max="4" width="7.81640625" style="1" customWidth="1"/>
    <col min="5" max="6" width="7.81640625" style="2" customWidth="1"/>
    <col min="7" max="7" width="7.81640625" style="1" customWidth="1"/>
    <col min="8" max="15" width="7.81640625" style="2" customWidth="1"/>
    <col min="16" max="16" width="2.453125" style="1" customWidth="1"/>
    <col min="17" max="17" width="6.54296875" style="1" bestFit="1" customWidth="1"/>
    <col min="18" max="18" width="9.36328125" style="1" bestFit="1" customWidth="1"/>
    <col min="19" max="36" width="7.54296875" style="2" customWidth="1"/>
    <col min="37" max="16384" width="8.81640625" style="1"/>
  </cols>
  <sheetData>
    <row r="2" spans="2:36" s="4" customFormat="1" x14ac:dyDescent="0.35">
      <c r="B2" s="171" t="s">
        <v>234</v>
      </c>
      <c r="C2" s="171"/>
      <c r="D2" s="172" t="s">
        <v>371</v>
      </c>
      <c r="E2" s="173"/>
      <c r="F2" s="173"/>
      <c r="G2" s="173"/>
      <c r="H2" s="173"/>
      <c r="I2" s="173"/>
      <c r="J2" s="173"/>
      <c r="K2" s="173"/>
      <c r="L2" s="173"/>
      <c r="M2" s="173"/>
      <c r="N2" s="173"/>
      <c r="O2" s="174"/>
      <c r="S2" s="5"/>
      <c r="T2" s="5"/>
      <c r="U2" s="5"/>
      <c r="V2" s="5"/>
      <c r="W2" s="5"/>
      <c r="X2" s="5"/>
      <c r="Y2" s="5"/>
      <c r="Z2" s="5"/>
      <c r="AA2" s="5"/>
      <c r="AB2" s="5"/>
      <c r="AC2" s="5"/>
      <c r="AD2" s="5"/>
      <c r="AE2" s="5"/>
      <c r="AF2" s="5"/>
      <c r="AG2" s="5"/>
      <c r="AH2" s="5"/>
      <c r="AI2" s="5"/>
      <c r="AJ2" s="5"/>
    </row>
    <row r="3" spans="2:36" ht="24" x14ac:dyDescent="0.35">
      <c r="B3" s="145"/>
      <c r="C3" s="145" t="s">
        <v>318</v>
      </c>
      <c r="D3" s="130" t="s">
        <v>319</v>
      </c>
      <c r="E3" s="130" t="s">
        <v>335</v>
      </c>
      <c r="F3" s="130" t="s">
        <v>320</v>
      </c>
      <c r="G3" s="130" t="s">
        <v>321</v>
      </c>
      <c r="H3" s="130" t="s">
        <v>322</v>
      </c>
      <c r="I3" s="130" t="s">
        <v>323</v>
      </c>
      <c r="J3" s="130" t="s">
        <v>356</v>
      </c>
      <c r="K3" s="130" t="s">
        <v>355</v>
      </c>
      <c r="L3" s="130">
        <v>578622</v>
      </c>
      <c r="M3" s="130"/>
      <c r="N3" s="146"/>
      <c r="O3" s="130"/>
      <c r="S3" s="130" t="str">
        <f>D3</f>
        <v>Kevin</v>
      </c>
      <c r="T3" s="130" t="str">
        <f t="shared" ref="T3:AD3" si="0">E3</f>
        <v>Vivek</v>
      </c>
      <c r="U3" s="130" t="str">
        <f t="shared" si="0"/>
        <v>Mahaveer</v>
      </c>
      <c r="V3" s="130" t="str">
        <f t="shared" si="0"/>
        <v>Vinayak</v>
      </c>
      <c r="W3" s="130" t="str">
        <f t="shared" si="0"/>
        <v>Subhash</v>
      </c>
      <c r="X3" s="130" t="str">
        <f t="shared" si="0"/>
        <v>Akash</v>
      </c>
      <c r="Y3" s="130" t="str">
        <f t="shared" si="0"/>
        <v xml:space="preserve">Dinesh </v>
      </c>
      <c r="Z3" s="130" t="str">
        <f t="shared" si="0"/>
        <v>Rutuja</v>
      </c>
      <c r="AA3" s="130">
        <f t="shared" si="0"/>
        <v>578622</v>
      </c>
      <c r="AB3" s="130">
        <f t="shared" si="0"/>
        <v>0</v>
      </c>
      <c r="AC3" s="130">
        <f t="shared" si="0"/>
        <v>0</v>
      </c>
      <c r="AD3" s="130">
        <f t="shared" si="0"/>
        <v>0</v>
      </c>
      <c r="AE3" s="134" t="s">
        <v>0</v>
      </c>
      <c r="AF3" s="134" t="s">
        <v>362</v>
      </c>
      <c r="AG3" s="134" t="s">
        <v>345</v>
      </c>
      <c r="AH3" s="134" t="s">
        <v>350</v>
      </c>
      <c r="AI3" s="134" t="s">
        <v>347</v>
      </c>
      <c r="AJ3" s="134" t="s">
        <v>348</v>
      </c>
    </row>
    <row r="4" spans="2:36" ht="24" x14ac:dyDescent="0.35">
      <c r="B4" s="175"/>
      <c r="C4" s="142" t="s">
        <v>337</v>
      </c>
      <c r="D4" s="15"/>
      <c r="E4" s="16"/>
      <c r="F4" s="129"/>
      <c r="G4" s="129"/>
      <c r="H4" s="16"/>
      <c r="I4" s="17"/>
      <c r="J4" s="17"/>
      <c r="K4" s="17"/>
      <c r="L4" s="17">
        <v>0</v>
      </c>
      <c r="M4" s="17"/>
      <c r="N4" s="17"/>
      <c r="O4" s="17"/>
      <c r="Q4" s="19" t="s">
        <v>5</v>
      </c>
      <c r="R4" s="133" t="s">
        <v>6</v>
      </c>
      <c r="S4" s="21">
        <f t="shared" ref="S4:AD4" si="1">COUNTIF(D$4:D$17,4)</f>
        <v>0</v>
      </c>
      <c r="T4" s="21">
        <f t="shared" si="1"/>
        <v>0</v>
      </c>
      <c r="U4" s="21">
        <f t="shared" si="1"/>
        <v>0</v>
      </c>
      <c r="V4" s="21">
        <f t="shared" si="1"/>
        <v>0</v>
      </c>
      <c r="W4" s="21">
        <f t="shared" si="1"/>
        <v>0</v>
      </c>
      <c r="X4" s="21">
        <f t="shared" si="1"/>
        <v>0</v>
      </c>
      <c r="Y4" s="21">
        <f t="shared" si="1"/>
        <v>0</v>
      </c>
      <c r="Z4" s="21">
        <f t="shared" si="1"/>
        <v>0</v>
      </c>
      <c r="AA4" s="21">
        <f t="shared" si="1"/>
        <v>0</v>
      </c>
      <c r="AB4" s="21">
        <f t="shared" si="1"/>
        <v>0</v>
      </c>
      <c r="AC4" s="21">
        <f t="shared" si="1"/>
        <v>0</v>
      </c>
      <c r="AD4" s="21">
        <f t="shared" si="1"/>
        <v>0</v>
      </c>
      <c r="AE4" s="21">
        <v>0</v>
      </c>
      <c r="AF4" s="21">
        <v>0</v>
      </c>
      <c r="AG4" s="21">
        <v>0</v>
      </c>
      <c r="AH4" s="21"/>
      <c r="AI4" s="22">
        <v>0</v>
      </c>
      <c r="AJ4" s="21"/>
    </row>
    <row r="5" spans="2:36" x14ac:dyDescent="0.35">
      <c r="B5" s="176"/>
      <c r="C5" s="142" t="s">
        <v>351</v>
      </c>
      <c r="D5" s="15"/>
      <c r="E5" s="26"/>
      <c r="F5" s="26"/>
      <c r="G5" s="15"/>
      <c r="H5" s="16"/>
      <c r="I5" s="17"/>
      <c r="J5" s="17"/>
      <c r="K5" s="17"/>
      <c r="L5" s="17">
        <v>0</v>
      </c>
      <c r="M5" s="17"/>
      <c r="N5" s="17"/>
      <c r="O5" s="17"/>
      <c r="Q5" s="19" t="s">
        <v>7</v>
      </c>
      <c r="R5" s="133" t="s">
        <v>8</v>
      </c>
      <c r="S5" s="15">
        <f t="shared" ref="S5:AD5" si="2">COUNTIF(D$4:D$17,3)</f>
        <v>0</v>
      </c>
      <c r="T5" s="15">
        <f t="shared" si="2"/>
        <v>0</v>
      </c>
      <c r="U5" s="15">
        <f t="shared" si="2"/>
        <v>0</v>
      </c>
      <c r="V5" s="15">
        <f t="shared" si="2"/>
        <v>0</v>
      </c>
      <c r="W5" s="15">
        <f t="shared" si="2"/>
        <v>0</v>
      </c>
      <c r="X5" s="15">
        <f t="shared" si="2"/>
        <v>0</v>
      </c>
      <c r="Y5" s="15">
        <f t="shared" si="2"/>
        <v>0</v>
      </c>
      <c r="Z5" s="15">
        <f t="shared" si="2"/>
        <v>0</v>
      </c>
      <c r="AA5" s="15">
        <f t="shared" si="2"/>
        <v>0</v>
      </c>
      <c r="AB5" s="15">
        <f t="shared" si="2"/>
        <v>0</v>
      </c>
      <c r="AC5" s="15">
        <f t="shared" si="2"/>
        <v>0</v>
      </c>
      <c r="AD5" s="15">
        <f t="shared" si="2"/>
        <v>0</v>
      </c>
      <c r="AE5" s="15">
        <v>0</v>
      </c>
      <c r="AF5" s="15">
        <v>0</v>
      </c>
      <c r="AG5" s="15">
        <v>8</v>
      </c>
      <c r="AH5" s="15"/>
      <c r="AI5" s="15">
        <v>11</v>
      </c>
      <c r="AJ5" s="15"/>
    </row>
    <row r="6" spans="2:36" x14ac:dyDescent="0.35">
      <c r="B6" s="176"/>
      <c r="C6" s="142" t="s">
        <v>338</v>
      </c>
      <c r="D6" s="15"/>
      <c r="E6" s="16"/>
      <c r="F6" s="16"/>
      <c r="G6" s="15"/>
      <c r="H6" s="16"/>
      <c r="I6" s="17"/>
      <c r="J6" s="17"/>
      <c r="K6" s="17"/>
      <c r="L6" s="17">
        <v>0</v>
      </c>
      <c r="M6" s="17"/>
      <c r="N6" s="17"/>
      <c r="O6" s="17"/>
      <c r="Q6" s="19" t="s">
        <v>9</v>
      </c>
      <c r="R6" s="133" t="s">
        <v>10</v>
      </c>
      <c r="S6" s="16">
        <f t="shared" ref="S6:AD6" si="3">COUNTIF(D$4:D$17,2)</f>
        <v>0</v>
      </c>
      <c r="T6" s="16">
        <f t="shared" si="3"/>
        <v>0</v>
      </c>
      <c r="U6" s="16">
        <f t="shared" si="3"/>
        <v>0</v>
      </c>
      <c r="V6" s="16">
        <f t="shared" si="3"/>
        <v>0</v>
      </c>
      <c r="W6" s="16">
        <f t="shared" si="3"/>
        <v>0</v>
      </c>
      <c r="X6" s="16">
        <f t="shared" si="3"/>
        <v>0</v>
      </c>
      <c r="Y6" s="16">
        <f t="shared" si="3"/>
        <v>0</v>
      </c>
      <c r="Z6" s="16">
        <f t="shared" si="3"/>
        <v>0</v>
      </c>
      <c r="AA6" s="16">
        <f t="shared" si="3"/>
        <v>0</v>
      </c>
      <c r="AB6" s="16">
        <f t="shared" si="3"/>
        <v>0</v>
      </c>
      <c r="AC6" s="16">
        <f t="shared" si="3"/>
        <v>0</v>
      </c>
      <c r="AD6" s="16">
        <f t="shared" si="3"/>
        <v>0</v>
      </c>
      <c r="AE6" s="16">
        <v>6</v>
      </c>
      <c r="AF6" s="16">
        <v>34</v>
      </c>
      <c r="AG6" s="16">
        <v>39</v>
      </c>
      <c r="AH6" s="16"/>
      <c r="AI6" s="16">
        <v>50</v>
      </c>
      <c r="AJ6" s="16"/>
    </row>
    <row r="7" spans="2:36" ht="24" x14ac:dyDescent="0.35">
      <c r="B7" s="176"/>
      <c r="C7" s="142" t="s">
        <v>358</v>
      </c>
      <c r="D7" s="16"/>
      <c r="E7" s="129"/>
      <c r="F7" s="129"/>
      <c r="G7" s="129"/>
      <c r="H7" s="26"/>
      <c r="I7" s="17"/>
      <c r="J7" s="17"/>
      <c r="K7" s="129"/>
      <c r="L7" s="17">
        <v>0</v>
      </c>
      <c r="M7" s="129"/>
      <c r="N7" s="129"/>
      <c r="O7" s="17"/>
      <c r="Q7" s="19" t="s">
        <v>11</v>
      </c>
      <c r="R7" s="133" t="s">
        <v>12</v>
      </c>
      <c r="S7" s="26">
        <f t="shared" ref="S7:AD7" si="4">COUNTIF(D$4:D$17,1)</f>
        <v>0</v>
      </c>
      <c r="T7" s="26">
        <f t="shared" si="4"/>
        <v>0</v>
      </c>
      <c r="U7" s="26">
        <f t="shared" si="4"/>
        <v>0</v>
      </c>
      <c r="V7" s="26">
        <f t="shared" si="4"/>
        <v>0</v>
      </c>
      <c r="W7" s="26">
        <f t="shared" si="4"/>
        <v>0</v>
      </c>
      <c r="X7" s="26">
        <f t="shared" si="4"/>
        <v>0</v>
      </c>
      <c r="Y7" s="26">
        <f t="shared" si="4"/>
        <v>0</v>
      </c>
      <c r="Z7" s="26">
        <f t="shared" si="4"/>
        <v>0</v>
      </c>
      <c r="AA7" s="26">
        <f t="shared" si="4"/>
        <v>0</v>
      </c>
      <c r="AB7" s="26">
        <f t="shared" si="4"/>
        <v>0</v>
      </c>
      <c r="AC7" s="26">
        <f t="shared" si="4"/>
        <v>0</v>
      </c>
      <c r="AD7" s="26">
        <f t="shared" si="4"/>
        <v>0</v>
      </c>
      <c r="AE7" s="26">
        <v>1</v>
      </c>
      <c r="AF7" s="26">
        <v>29</v>
      </c>
      <c r="AG7" s="26">
        <v>36</v>
      </c>
      <c r="AH7" s="26"/>
      <c r="AI7" s="26">
        <v>32</v>
      </c>
      <c r="AJ7" s="26"/>
    </row>
    <row r="8" spans="2:36" x14ac:dyDescent="0.35">
      <c r="B8" s="177"/>
      <c r="C8" s="142" t="s">
        <v>166</v>
      </c>
      <c r="D8" s="16"/>
      <c r="E8" s="26"/>
      <c r="F8" s="26"/>
      <c r="G8" s="16"/>
      <c r="H8" s="26"/>
      <c r="I8" s="17"/>
      <c r="J8" s="31"/>
      <c r="K8" s="31"/>
      <c r="L8" s="17">
        <v>0</v>
      </c>
      <c r="M8" s="31"/>
      <c r="N8" s="31"/>
      <c r="O8" s="17"/>
      <c r="Q8" s="19" t="s">
        <v>13</v>
      </c>
      <c r="R8" s="133" t="s">
        <v>14</v>
      </c>
      <c r="S8" s="56">
        <f t="shared" ref="S8:AD8" si="5">COUNTIF(D$4:D$17,0)</f>
        <v>0</v>
      </c>
      <c r="T8" s="56">
        <f t="shared" si="5"/>
        <v>0</v>
      </c>
      <c r="U8" s="56">
        <f t="shared" si="5"/>
        <v>0</v>
      </c>
      <c r="V8" s="56">
        <f t="shared" si="5"/>
        <v>0</v>
      </c>
      <c r="W8" s="56">
        <f t="shared" si="5"/>
        <v>0</v>
      </c>
      <c r="X8" s="56">
        <f t="shared" si="5"/>
        <v>0</v>
      </c>
      <c r="Y8" s="56">
        <f t="shared" si="5"/>
        <v>0</v>
      </c>
      <c r="Z8" s="56">
        <f t="shared" si="5"/>
        <v>0</v>
      </c>
      <c r="AA8" s="56">
        <f t="shared" si="5"/>
        <v>14</v>
      </c>
      <c r="AB8" s="56">
        <f t="shared" si="5"/>
        <v>0</v>
      </c>
      <c r="AC8" s="56">
        <f t="shared" si="5"/>
        <v>0</v>
      </c>
      <c r="AD8" s="56">
        <f t="shared" si="5"/>
        <v>0</v>
      </c>
      <c r="AE8" s="56">
        <v>9</v>
      </c>
      <c r="AF8" s="56">
        <v>3</v>
      </c>
      <c r="AG8" s="56">
        <v>0</v>
      </c>
      <c r="AH8" s="56"/>
      <c r="AI8" s="56">
        <v>0</v>
      </c>
      <c r="AJ8" s="56"/>
    </row>
    <row r="9" spans="2:36" x14ac:dyDescent="0.35">
      <c r="B9" s="141"/>
      <c r="C9" s="142" t="s">
        <v>170</v>
      </c>
      <c r="D9" s="16"/>
      <c r="E9" s="26"/>
      <c r="F9" s="26"/>
      <c r="G9" s="16"/>
      <c r="H9" s="26"/>
      <c r="I9" s="17"/>
      <c r="J9" s="31"/>
      <c r="K9" s="31"/>
      <c r="L9" s="17">
        <v>0</v>
      </c>
      <c r="M9" s="31"/>
      <c r="N9" s="31"/>
      <c r="O9" s="17"/>
      <c r="Q9" s="2"/>
      <c r="R9" s="2"/>
      <c r="S9" s="130">
        <f>SUM(S4:S8)</f>
        <v>0</v>
      </c>
      <c r="T9" s="130">
        <f t="shared" ref="T9:AI9" si="6">SUM(T4:T8)</f>
        <v>0</v>
      </c>
      <c r="U9" s="130">
        <f t="shared" si="6"/>
        <v>0</v>
      </c>
      <c r="V9" s="130">
        <f t="shared" si="6"/>
        <v>0</v>
      </c>
      <c r="W9" s="130">
        <f t="shared" si="6"/>
        <v>0</v>
      </c>
      <c r="X9" s="130">
        <f t="shared" si="6"/>
        <v>0</v>
      </c>
      <c r="Y9" s="130">
        <f t="shared" si="6"/>
        <v>0</v>
      </c>
      <c r="Z9" s="130">
        <f t="shared" si="6"/>
        <v>0</v>
      </c>
      <c r="AA9" s="130">
        <f t="shared" si="6"/>
        <v>14</v>
      </c>
      <c r="AB9" s="130">
        <f t="shared" si="6"/>
        <v>0</v>
      </c>
      <c r="AC9" s="130">
        <f t="shared" si="6"/>
        <v>0</v>
      </c>
      <c r="AD9" s="130">
        <f t="shared" si="6"/>
        <v>0</v>
      </c>
      <c r="AE9" s="130">
        <f t="shared" si="6"/>
        <v>16</v>
      </c>
      <c r="AF9" s="130">
        <f>SUM(AF4:AF8)</f>
        <v>66</v>
      </c>
      <c r="AG9" s="130">
        <f t="shared" si="6"/>
        <v>83</v>
      </c>
      <c r="AH9" s="130">
        <v>83</v>
      </c>
      <c r="AI9" s="130">
        <f t="shared" si="6"/>
        <v>93</v>
      </c>
      <c r="AJ9" s="130">
        <v>93</v>
      </c>
    </row>
    <row r="10" spans="2:36" ht="24" x14ac:dyDescent="0.35">
      <c r="B10" s="141"/>
      <c r="C10" s="142" t="s">
        <v>339</v>
      </c>
      <c r="D10" s="129"/>
      <c r="E10" s="26"/>
      <c r="F10" s="26"/>
      <c r="G10" s="15"/>
      <c r="H10" s="16"/>
      <c r="I10" s="17"/>
      <c r="J10" s="17"/>
      <c r="K10" s="17"/>
      <c r="L10" s="17">
        <v>0</v>
      </c>
      <c r="M10" s="17"/>
      <c r="N10" s="17"/>
      <c r="O10" s="17"/>
      <c r="Q10" s="2"/>
      <c r="R10" s="2"/>
    </row>
    <row r="11" spans="2:36" ht="36" x14ac:dyDescent="0.35">
      <c r="B11" s="141"/>
      <c r="C11" s="142" t="s">
        <v>352</v>
      </c>
      <c r="D11" s="129"/>
      <c r="E11" s="16"/>
      <c r="F11" s="16"/>
      <c r="G11" s="15"/>
      <c r="H11" s="16"/>
      <c r="I11" s="17"/>
      <c r="J11" s="17"/>
      <c r="K11" s="17"/>
      <c r="L11" s="17">
        <v>0</v>
      </c>
      <c r="M11" s="17"/>
      <c r="N11" s="17"/>
      <c r="O11" s="17"/>
      <c r="Q11" s="2"/>
      <c r="AB11" s="139" t="s">
        <v>364</v>
      </c>
      <c r="AC11" s="178" t="s">
        <v>365</v>
      </c>
      <c r="AD11" s="178"/>
      <c r="AE11" s="140">
        <f>SUM(AE12:AE14)</f>
        <v>0.375</v>
      </c>
      <c r="AF11" s="140">
        <f t="shared" ref="AF11:AJ11" si="7">SUM(AF12:AF14)</f>
        <v>0.51515151515151514</v>
      </c>
      <c r="AG11" s="140">
        <f t="shared" si="7"/>
        <v>0.5662650602409639</v>
      </c>
      <c r="AH11" s="140">
        <f t="shared" si="7"/>
        <v>0</v>
      </c>
      <c r="AI11" s="140">
        <f t="shared" si="7"/>
        <v>0.65591397849462363</v>
      </c>
      <c r="AJ11" s="140">
        <f t="shared" si="7"/>
        <v>0</v>
      </c>
    </row>
    <row r="12" spans="2:36" ht="48" x14ac:dyDescent="0.35">
      <c r="B12" s="141"/>
      <c r="C12" s="142" t="s">
        <v>353</v>
      </c>
      <c r="D12" s="31"/>
      <c r="E12" s="17"/>
      <c r="F12" s="17"/>
      <c r="G12" s="31"/>
      <c r="H12" s="17"/>
      <c r="I12" s="17"/>
      <c r="J12" s="17"/>
      <c r="K12" s="17"/>
      <c r="L12" s="17">
        <v>0</v>
      </c>
      <c r="M12" s="17"/>
      <c r="N12" s="17"/>
      <c r="O12" s="17"/>
      <c r="AB12" s="19" t="s">
        <v>5</v>
      </c>
      <c r="AC12" s="170" t="s">
        <v>6</v>
      </c>
      <c r="AD12" s="170"/>
      <c r="AE12" s="36">
        <f t="shared" ref="AE12:AE17" si="8">AE4/$AE$9</f>
        <v>0</v>
      </c>
      <c r="AF12" s="36">
        <f>AF4/$AF$9</f>
        <v>0</v>
      </c>
      <c r="AG12" s="36">
        <f>AG4/$AG$9</f>
        <v>0</v>
      </c>
      <c r="AH12" s="36">
        <f>AH4/$AH$9</f>
        <v>0</v>
      </c>
      <c r="AI12" s="36">
        <f>AI4/$AI$9</f>
        <v>0</v>
      </c>
      <c r="AJ12" s="36">
        <f>AJ4/$AJ$9</f>
        <v>0</v>
      </c>
    </row>
    <row r="13" spans="2:36" ht="24" x14ac:dyDescent="0.35">
      <c r="B13" s="141"/>
      <c r="C13" s="142" t="s">
        <v>357</v>
      </c>
      <c r="D13" s="26"/>
      <c r="E13" s="26"/>
      <c r="F13" s="26"/>
      <c r="G13" s="16"/>
      <c r="H13" s="26"/>
      <c r="I13" s="17"/>
      <c r="J13" s="17"/>
      <c r="K13" s="17"/>
      <c r="L13" s="17">
        <v>0</v>
      </c>
      <c r="M13" s="17"/>
      <c r="N13" s="17"/>
      <c r="O13" s="17"/>
      <c r="AB13" s="19" t="s">
        <v>7</v>
      </c>
      <c r="AC13" s="170" t="s">
        <v>8</v>
      </c>
      <c r="AD13" s="170"/>
      <c r="AE13" s="57">
        <f t="shared" si="8"/>
        <v>0</v>
      </c>
      <c r="AF13" s="57">
        <f t="shared" ref="AF13:AF17" si="9">AF5/$AF$9</f>
        <v>0</v>
      </c>
      <c r="AG13" s="57">
        <f t="shared" ref="AG13:AG16" si="10">AG5/$AG$9</f>
        <v>9.6385542168674704E-2</v>
      </c>
      <c r="AH13" s="57">
        <f t="shared" ref="AH13:AH17" si="11">AH5/$AH$9</f>
        <v>0</v>
      </c>
      <c r="AI13" s="57">
        <f t="shared" ref="AI13:AI17" si="12">AI5/$AI$9</f>
        <v>0.11827956989247312</v>
      </c>
      <c r="AJ13" s="57">
        <f t="shared" ref="AJ13:AJ17" si="13">AJ5/$AJ$9</f>
        <v>0</v>
      </c>
    </row>
    <row r="14" spans="2:36" x14ac:dyDescent="0.35">
      <c r="B14" s="141"/>
      <c r="C14" s="142" t="s">
        <v>354</v>
      </c>
      <c r="D14" s="16"/>
      <c r="E14" s="129"/>
      <c r="F14" s="129"/>
      <c r="G14" s="129"/>
      <c r="H14" s="26"/>
      <c r="I14" s="17"/>
      <c r="J14" s="31"/>
      <c r="K14" s="31"/>
      <c r="L14" s="17">
        <v>0</v>
      </c>
      <c r="M14" s="31"/>
      <c r="N14" s="31"/>
      <c r="O14" s="17"/>
      <c r="AB14" s="19" t="s">
        <v>9</v>
      </c>
      <c r="AC14" s="170" t="s">
        <v>10</v>
      </c>
      <c r="AD14" s="170"/>
      <c r="AE14" s="58">
        <f t="shared" si="8"/>
        <v>0.375</v>
      </c>
      <c r="AF14" s="58">
        <f t="shared" si="9"/>
        <v>0.51515151515151514</v>
      </c>
      <c r="AG14" s="58">
        <f t="shared" si="10"/>
        <v>0.46987951807228917</v>
      </c>
      <c r="AH14" s="58">
        <f t="shared" si="11"/>
        <v>0</v>
      </c>
      <c r="AI14" s="58">
        <f t="shared" si="12"/>
        <v>0.5376344086021505</v>
      </c>
      <c r="AJ14" s="58">
        <f t="shared" si="13"/>
        <v>0</v>
      </c>
    </row>
    <row r="15" spans="2:36" x14ac:dyDescent="0.35">
      <c r="B15" s="141"/>
      <c r="C15" s="143" t="s">
        <v>340</v>
      </c>
      <c r="D15" s="31"/>
      <c r="E15" s="17"/>
      <c r="F15" s="17"/>
      <c r="G15" s="31"/>
      <c r="H15" s="31"/>
      <c r="I15" s="17"/>
      <c r="J15" s="31"/>
      <c r="K15" s="31"/>
      <c r="L15" s="17">
        <v>0</v>
      </c>
      <c r="M15" s="31"/>
      <c r="N15" s="31"/>
      <c r="O15" s="17"/>
      <c r="AB15" s="19" t="s">
        <v>11</v>
      </c>
      <c r="AC15" s="170" t="s">
        <v>12</v>
      </c>
      <c r="AD15" s="170"/>
      <c r="AE15" s="59">
        <f t="shared" si="8"/>
        <v>6.25E-2</v>
      </c>
      <c r="AF15" s="59">
        <f t="shared" si="9"/>
        <v>0.43939393939393939</v>
      </c>
      <c r="AG15" s="59">
        <f t="shared" si="10"/>
        <v>0.43373493975903615</v>
      </c>
      <c r="AH15" s="59">
        <f t="shared" si="11"/>
        <v>0</v>
      </c>
      <c r="AI15" s="59">
        <f t="shared" si="12"/>
        <v>0.34408602150537637</v>
      </c>
      <c r="AJ15" s="59">
        <f t="shared" si="13"/>
        <v>0</v>
      </c>
    </row>
    <row r="16" spans="2:36" x14ac:dyDescent="0.35">
      <c r="B16" s="141"/>
      <c r="C16" s="143" t="s">
        <v>341</v>
      </c>
      <c r="D16" s="31"/>
      <c r="E16" s="17"/>
      <c r="F16" s="17"/>
      <c r="G16" s="31"/>
      <c r="H16" s="31"/>
      <c r="I16" s="17"/>
      <c r="J16" s="31"/>
      <c r="K16" s="31"/>
      <c r="L16" s="17">
        <v>0</v>
      </c>
      <c r="M16" s="31"/>
      <c r="N16" s="31"/>
      <c r="O16" s="17"/>
      <c r="AB16" s="19" t="s">
        <v>13</v>
      </c>
      <c r="AC16" s="170" t="s">
        <v>14</v>
      </c>
      <c r="AD16" s="170"/>
      <c r="AE16" s="60">
        <f t="shared" si="8"/>
        <v>0.5625</v>
      </c>
      <c r="AF16" s="60">
        <f>AF8/$AF$9</f>
        <v>4.5454545454545456E-2</v>
      </c>
      <c r="AG16" s="60">
        <f t="shared" si="10"/>
        <v>0</v>
      </c>
      <c r="AH16" s="60">
        <f t="shared" si="11"/>
        <v>0</v>
      </c>
      <c r="AI16" s="60">
        <f t="shared" si="12"/>
        <v>0</v>
      </c>
      <c r="AJ16" s="60">
        <f t="shared" si="13"/>
        <v>0</v>
      </c>
    </row>
    <row r="17" spans="2:36" ht="36" x14ac:dyDescent="0.35">
      <c r="B17" s="141"/>
      <c r="C17" s="143" t="s">
        <v>359</v>
      </c>
      <c r="D17" s="31"/>
      <c r="E17" s="17"/>
      <c r="F17" s="17"/>
      <c r="G17" s="31"/>
      <c r="H17" s="31"/>
      <c r="I17" s="17"/>
      <c r="J17" s="31"/>
      <c r="K17" s="31"/>
      <c r="L17" s="17">
        <v>0</v>
      </c>
      <c r="M17" s="31"/>
      <c r="N17" s="31"/>
      <c r="O17" s="17"/>
      <c r="AB17" s="165" t="s">
        <v>210</v>
      </c>
      <c r="AC17" s="165"/>
      <c r="AD17" s="165"/>
      <c r="AE17" s="64">
        <f t="shared" si="8"/>
        <v>1</v>
      </c>
      <c r="AF17" s="64">
        <f t="shared" si="9"/>
        <v>1</v>
      </c>
      <c r="AG17" s="64">
        <f>AG9/$AG$9</f>
        <v>1</v>
      </c>
      <c r="AH17" s="64">
        <f t="shared" si="11"/>
        <v>1</v>
      </c>
      <c r="AI17" s="64">
        <f t="shared" si="12"/>
        <v>1</v>
      </c>
      <c r="AJ17" s="64">
        <f t="shared" si="13"/>
        <v>1</v>
      </c>
    </row>
    <row r="18" spans="2:36" x14ac:dyDescent="0.35">
      <c r="D18" s="132" t="e">
        <f>AVERAGE(D4:D17)</f>
        <v>#DIV/0!</v>
      </c>
      <c r="E18" s="132" t="e">
        <f t="shared" ref="E18:L18" si="14">AVERAGE(E4:E17)</f>
        <v>#DIV/0!</v>
      </c>
      <c r="F18" s="132" t="e">
        <f t="shared" si="14"/>
        <v>#DIV/0!</v>
      </c>
      <c r="G18" s="132" t="e">
        <f t="shared" si="14"/>
        <v>#DIV/0!</v>
      </c>
      <c r="H18" s="132" t="e">
        <f t="shared" si="14"/>
        <v>#DIV/0!</v>
      </c>
      <c r="I18" s="132" t="e">
        <f t="shared" si="14"/>
        <v>#DIV/0!</v>
      </c>
      <c r="J18" s="132" t="e">
        <f t="shared" si="14"/>
        <v>#DIV/0!</v>
      </c>
      <c r="K18" s="132" t="e">
        <f t="shared" si="14"/>
        <v>#DIV/0!</v>
      </c>
      <c r="L18" s="132">
        <f t="shared" si="14"/>
        <v>0</v>
      </c>
      <c r="M18" s="132"/>
      <c r="N18" s="132"/>
      <c r="O18" s="132"/>
      <c r="AB18" s="160" t="s">
        <v>241</v>
      </c>
      <c r="AC18" s="160"/>
      <c r="AD18" s="160"/>
      <c r="AE18" s="166">
        <v>0.7</v>
      </c>
      <c r="AF18" s="167"/>
      <c r="AG18" s="168"/>
      <c r="AH18" s="168"/>
      <c r="AI18" s="168"/>
      <c r="AJ18" s="169"/>
    </row>
    <row r="19" spans="2:36" ht="12.5" thickBot="1" x14ac:dyDescent="0.4">
      <c r="B19" s="45"/>
      <c r="C19" s="45"/>
      <c r="D19" s="46"/>
      <c r="E19" s="46"/>
      <c r="F19" s="46"/>
      <c r="G19" s="46"/>
      <c r="H19" s="46"/>
      <c r="I19" s="46"/>
      <c r="J19" s="46"/>
      <c r="K19" s="46"/>
      <c r="L19" s="46"/>
      <c r="M19" s="46"/>
      <c r="N19" s="46"/>
      <c r="O19" s="46"/>
      <c r="AB19" s="160" t="s">
        <v>16</v>
      </c>
      <c r="AC19" s="160"/>
      <c r="AD19" s="160"/>
      <c r="AE19" s="166"/>
      <c r="AF19" s="167"/>
      <c r="AG19" s="168"/>
      <c r="AH19" s="168"/>
      <c r="AI19" s="168"/>
      <c r="AJ19" s="169"/>
    </row>
    <row r="20" spans="2:36" x14ac:dyDescent="0.35">
      <c r="B20" s="47" t="s">
        <v>211</v>
      </c>
      <c r="C20" s="48" t="s">
        <v>336</v>
      </c>
      <c r="D20" s="49"/>
      <c r="E20" s="50"/>
      <c r="F20" s="50"/>
      <c r="G20" s="45"/>
      <c r="AB20" s="160" t="s">
        <v>360</v>
      </c>
      <c r="AC20" s="160"/>
      <c r="AD20" s="160"/>
      <c r="AE20" s="166">
        <f>SUM(AG12:AG14)</f>
        <v>0.5662650602409639</v>
      </c>
      <c r="AF20" s="167"/>
      <c r="AG20" s="168"/>
      <c r="AH20" s="168"/>
      <c r="AI20" s="168"/>
      <c r="AJ20" s="169"/>
    </row>
    <row r="21" spans="2:36" ht="12.5" thickBot="1" x14ac:dyDescent="0.4">
      <c r="B21" s="51" t="s">
        <v>213</v>
      </c>
      <c r="C21" s="52" t="s">
        <v>324</v>
      </c>
      <c r="D21" s="49"/>
      <c r="E21" s="50"/>
      <c r="F21" s="50"/>
      <c r="G21" s="45"/>
      <c r="AB21" s="160" t="s">
        <v>363</v>
      </c>
      <c r="AC21" s="160"/>
      <c r="AD21" s="160"/>
      <c r="AE21" s="161">
        <f>AE18-AE20</f>
        <v>0.13373493975903605</v>
      </c>
      <c r="AF21" s="162"/>
      <c r="AG21" s="163"/>
      <c r="AH21" s="163"/>
      <c r="AI21" s="163"/>
      <c r="AJ21" s="164"/>
    </row>
    <row r="22" spans="2:36" x14ac:dyDescent="0.35">
      <c r="B22" s="45"/>
      <c r="C22" s="45"/>
      <c r="D22" s="45"/>
      <c r="E22" s="50"/>
      <c r="F22" s="50"/>
      <c r="G22" s="45"/>
    </row>
    <row r="23" spans="2:36" x14ac:dyDescent="0.35">
      <c r="B23" s="45"/>
      <c r="C23" s="45"/>
      <c r="D23" s="45"/>
      <c r="E23" s="50"/>
      <c r="F23" s="50"/>
      <c r="G23" s="45"/>
    </row>
    <row r="24" spans="2:36" x14ac:dyDescent="0.35">
      <c r="B24" s="45"/>
      <c r="C24" s="45"/>
      <c r="D24" s="45"/>
      <c r="E24" s="50"/>
      <c r="F24" s="50"/>
      <c r="G24" s="45"/>
    </row>
    <row r="25" spans="2:36" x14ac:dyDescent="0.35">
      <c r="B25" s="45"/>
      <c r="C25" s="45"/>
      <c r="D25" s="45"/>
      <c r="E25" s="50"/>
      <c r="F25" s="50"/>
      <c r="G25" s="45"/>
    </row>
  </sheetData>
  <mergeCells count="18">
    <mergeCell ref="AC13:AD13"/>
    <mergeCell ref="AC14:AD14"/>
    <mergeCell ref="AC15:AD15"/>
    <mergeCell ref="AC16:AD16"/>
    <mergeCell ref="B2:C2"/>
    <mergeCell ref="D2:O2"/>
    <mergeCell ref="B4:B8"/>
    <mergeCell ref="AC11:AD11"/>
    <mergeCell ref="AC12:AD12"/>
    <mergeCell ref="AB21:AD21"/>
    <mergeCell ref="AE21:AJ21"/>
    <mergeCell ref="AB17:AD17"/>
    <mergeCell ref="AB18:AD18"/>
    <mergeCell ref="AE18:AJ18"/>
    <mergeCell ref="AB19:AD19"/>
    <mergeCell ref="AE19:AJ19"/>
    <mergeCell ref="AB20:AD20"/>
    <mergeCell ref="AE20:AJ20"/>
  </mergeCells>
  <conditionalFormatting sqref="D4:O17">
    <cfRule type="cellIs" dxfId="29" priority="1" operator="equal">
      <formula>4</formula>
    </cfRule>
    <cfRule type="cellIs" dxfId="28" priority="2" operator="equal">
      <formula>3</formula>
    </cfRule>
    <cfRule type="cellIs" dxfId="27" priority="3" operator="equal">
      <formula>2</formula>
    </cfRule>
    <cfRule type="cellIs" dxfId="26" priority="4" operator="equal">
      <formula>1</formula>
    </cfRule>
    <cfRule type="cellIs" dxfId="25" priority="5" operator="equal">
      <formula>0</formula>
    </cfRule>
  </conditionalFormatting>
  <conditionalFormatting sqref="AE20:AJ21">
    <cfRule type="cellIs" dxfId="24" priority="11" operator="greaterThanOrEqual">
      <formula>1</formula>
    </cfRule>
  </conditionalFormatting>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D1BD5-AA3C-42C2-8B93-6C529F27A147}">
  <dimension ref="B2:AJ27"/>
  <sheetViews>
    <sheetView showGridLines="0" zoomScaleNormal="100" workbookViewId="0">
      <selection activeCell="D4" sqref="D4:K19"/>
    </sheetView>
  </sheetViews>
  <sheetFormatPr defaultColWidth="8.81640625" defaultRowHeight="12" x14ac:dyDescent="0.35"/>
  <cols>
    <col min="1" max="1" width="2.90625" style="1" customWidth="1"/>
    <col min="2" max="2" width="13" style="1" bestFit="1" customWidth="1"/>
    <col min="3" max="3" width="27.453125" style="1" bestFit="1" customWidth="1"/>
    <col min="4" max="4" width="7.81640625" style="1" customWidth="1"/>
    <col min="5" max="6" width="7.81640625" style="2" customWidth="1"/>
    <col min="7" max="7" width="7.81640625" style="1" customWidth="1"/>
    <col min="8" max="15" width="7.81640625" style="2" customWidth="1"/>
    <col min="16" max="16" width="2.453125" style="1" customWidth="1"/>
    <col min="17" max="17" width="6.54296875" style="1" bestFit="1" customWidth="1"/>
    <col min="18" max="18" width="9.36328125" style="1" bestFit="1" customWidth="1"/>
    <col min="19" max="36" width="7.54296875" style="2" customWidth="1"/>
    <col min="37" max="16384" width="8.81640625" style="1"/>
  </cols>
  <sheetData>
    <row r="2" spans="2:36" s="4" customFormat="1" x14ac:dyDescent="0.35">
      <c r="B2" s="171" t="s">
        <v>234</v>
      </c>
      <c r="C2" s="171"/>
      <c r="D2" s="172" t="s">
        <v>372</v>
      </c>
      <c r="E2" s="173"/>
      <c r="F2" s="173"/>
      <c r="G2" s="173"/>
      <c r="H2" s="173"/>
      <c r="I2" s="173"/>
      <c r="J2" s="173"/>
      <c r="K2" s="173"/>
      <c r="L2" s="173"/>
      <c r="M2" s="173"/>
      <c r="N2" s="173"/>
      <c r="O2" s="174"/>
      <c r="S2" s="5"/>
      <c r="T2" s="5"/>
      <c r="U2" s="5"/>
      <c r="V2" s="5"/>
      <c r="W2" s="5"/>
      <c r="X2" s="5"/>
      <c r="Y2" s="5"/>
      <c r="Z2" s="5"/>
      <c r="AA2" s="5"/>
      <c r="AB2" s="5"/>
      <c r="AC2" s="5"/>
      <c r="AD2" s="5"/>
      <c r="AE2" s="5"/>
      <c r="AF2" s="5"/>
      <c r="AG2" s="5"/>
      <c r="AH2" s="5"/>
      <c r="AI2" s="5"/>
      <c r="AJ2" s="5"/>
    </row>
    <row r="3" spans="2:36" ht="24" x14ac:dyDescent="0.35">
      <c r="B3" s="145"/>
      <c r="C3" s="145"/>
      <c r="D3" s="130" t="s">
        <v>306</v>
      </c>
      <c r="E3" s="130" t="s">
        <v>307</v>
      </c>
      <c r="F3" s="130" t="s">
        <v>230</v>
      </c>
      <c r="G3" s="130" t="s">
        <v>373</v>
      </c>
      <c r="H3" s="130" t="s">
        <v>308</v>
      </c>
      <c r="I3" s="130" t="s">
        <v>344</v>
      </c>
      <c r="J3" s="130" t="s">
        <v>374</v>
      </c>
      <c r="K3" s="130" t="s">
        <v>309</v>
      </c>
      <c r="L3" s="130"/>
      <c r="M3" s="130"/>
      <c r="N3" s="146"/>
      <c r="O3" s="130"/>
      <c r="S3" s="130" t="str">
        <f>D3</f>
        <v>Mrunal</v>
      </c>
      <c r="T3" s="130" t="str">
        <f t="shared" ref="T3:AD3" si="0">E3</f>
        <v>Rajkumar</v>
      </c>
      <c r="U3" s="130" t="str">
        <f t="shared" si="0"/>
        <v>Kirti</v>
      </c>
      <c r="V3" s="130" t="str">
        <f t="shared" si="0"/>
        <v>Vinay</v>
      </c>
      <c r="W3" s="130" t="str">
        <f t="shared" si="0"/>
        <v>Madhuri</v>
      </c>
      <c r="X3" s="130" t="str">
        <f t="shared" si="0"/>
        <v>Kola</v>
      </c>
      <c r="Y3" s="130" t="str">
        <f t="shared" si="0"/>
        <v>Bindu</v>
      </c>
      <c r="Z3" s="130" t="str">
        <f t="shared" si="0"/>
        <v>Avani</v>
      </c>
      <c r="AA3" s="130">
        <f t="shared" si="0"/>
        <v>0</v>
      </c>
      <c r="AB3" s="130">
        <f t="shared" si="0"/>
        <v>0</v>
      </c>
      <c r="AC3" s="130">
        <f t="shared" si="0"/>
        <v>0</v>
      </c>
      <c r="AD3" s="130">
        <f t="shared" si="0"/>
        <v>0</v>
      </c>
      <c r="AE3" s="134" t="s">
        <v>0</v>
      </c>
      <c r="AF3" s="134" t="s">
        <v>362</v>
      </c>
      <c r="AG3" s="134" t="s">
        <v>345</v>
      </c>
      <c r="AH3" s="134" t="s">
        <v>350</v>
      </c>
      <c r="AI3" s="134" t="s">
        <v>347</v>
      </c>
      <c r="AJ3" s="134" t="s">
        <v>348</v>
      </c>
    </row>
    <row r="4" spans="2:36" x14ac:dyDescent="0.35">
      <c r="B4" s="213" t="s">
        <v>298</v>
      </c>
      <c r="C4" s="142" t="s">
        <v>123</v>
      </c>
      <c r="D4" s="15"/>
      <c r="E4" s="16"/>
      <c r="F4" s="16"/>
      <c r="G4" s="15"/>
      <c r="H4" s="31"/>
      <c r="I4" s="17"/>
      <c r="J4" s="17"/>
      <c r="K4" s="17"/>
      <c r="L4" s="17"/>
      <c r="M4" s="17"/>
      <c r="N4" s="17"/>
      <c r="O4" s="17"/>
      <c r="Q4" s="19" t="s">
        <v>5</v>
      </c>
      <c r="R4" s="133" t="s">
        <v>6</v>
      </c>
      <c r="S4" s="21">
        <f t="shared" ref="S4:AA4" si="1">COUNTIF(D$4:D$19,4)</f>
        <v>0</v>
      </c>
      <c r="T4" s="21">
        <f t="shared" si="1"/>
        <v>0</v>
      </c>
      <c r="U4" s="21">
        <f t="shared" si="1"/>
        <v>0</v>
      </c>
      <c r="V4" s="21">
        <f t="shared" si="1"/>
        <v>0</v>
      </c>
      <c r="W4" s="21">
        <f t="shared" si="1"/>
        <v>0</v>
      </c>
      <c r="X4" s="21">
        <f t="shared" si="1"/>
        <v>0</v>
      </c>
      <c r="Y4" s="21">
        <f t="shared" si="1"/>
        <v>0</v>
      </c>
      <c r="Z4" s="21">
        <f t="shared" si="1"/>
        <v>0</v>
      </c>
      <c r="AA4" s="21">
        <f t="shared" si="1"/>
        <v>0</v>
      </c>
      <c r="AB4" s="21">
        <f t="shared" ref="AB4:AD4" si="2">COUNTIF(M$4:M$19,4)</f>
        <v>0</v>
      </c>
      <c r="AC4" s="21">
        <f t="shared" si="2"/>
        <v>0</v>
      </c>
      <c r="AD4" s="21">
        <f t="shared" si="2"/>
        <v>0</v>
      </c>
      <c r="AE4" s="21">
        <v>0</v>
      </c>
      <c r="AF4" s="21">
        <v>0</v>
      </c>
      <c r="AG4" s="21">
        <v>8</v>
      </c>
      <c r="AH4" s="21"/>
      <c r="AI4" s="22">
        <v>8</v>
      </c>
      <c r="AJ4" s="21"/>
    </row>
    <row r="5" spans="2:36" x14ac:dyDescent="0.35">
      <c r="B5" s="213"/>
      <c r="C5" s="142" t="s">
        <v>125</v>
      </c>
      <c r="D5" s="15"/>
      <c r="E5" s="26"/>
      <c r="F5" s="26"/>
      <c r="G5" s="15"/>
      <c r="H5" s="16"/>
      <c r="I5" s="17"/>
      <c r="J5" s="17"/>
      <c r="K5" s="17"/>
      <c r="L5" s="17"/>
      <c r="M5" s="17"/>
      <c r="N5" s="17"/>
      <c r="O5" s="17"/>
      <c r="Q5" s="19" t="s">
        <v>7</v>
      </c>
      <c r="R5" s="133" t="s">
        <v>8</v>
      </c>
      <c r="S5" s="15">
        <f>COUNTIF(D$4:D$19,3)</f>
        <v>0</v>
      </c>
      <c r="T5" s="15">
        <f t="shared" ref="T5:AD5" si="3">COUNTIF(E$4:E$19,3)</f>
        <v>0</v>
      </c>
      <c r="U5" s="15">
        <f>COUNTIF(F$4:F$19,3)</f>
        <v>0</v>
      </c>
      <c r="V5" s="15">
        <f t="shared" si="3"/>
        <v>0</v>
      </c>
      <c r="W5" s="15">
        <f t="shared" si="3"/>
        <v>0</v>
      </c>
      <c r="X5" s="15">
        <f t="shared" si="3"/>
        <v>0</v>
      </c>
      <c r="Y5" s="15">
        <f t="shared" si="3"/>
        <v>0</v>
      </c>
      <c r="Z5" s="15">
        <f t="shared" si="3"/>
        <v>0</v>
      </c>
      <c r="AA5" s="15">
        <f t="shared" si="3"/>
        <v>0</v>
      </c>
      <c r="AB5" s="15">
        <f t="shared" si="3"/>
        <v>0</v>
      </c>
      <c r="AC5" s="15">
        <f t="shared" si="3"/>
        <v>0</v>
      </c>
      <c r="AD5" s="15">
        <f t="shared" si="3"/>
        <v>0</v>
      </c>
      <c r="AE5" s="15">
        <v>0</v>
      </c>
      <c r="AF5" s="15">
        <v>1</v>
      </c>
      <c r="AG5" s="15">
        <v>47</v>
      </c>
      <c r="AH5" s="15"/>
      <c r="AI5" s="15">
        <v>47</v>
      </c>
      <c r="AJ5" s="15"/>
    </row>
    <row r="6" spans="2:36" ht="24" x14ac:dyDescent="0.35">
      <c r="B6" s="213"/>
      <c r="C6" s="142" t="s">
        <v>126</v>
      </c>
      <c r="D6" s="15"/>
      <c r="E6" s="16"/>
      <c r="F6" s="16"/>
      <c r="G6" s="15"/>
      <c r="H6" s="16"/>
      <c r="I6" s="17"/>
      <c r="J6" s="17"/>
      <c r="K6" s="17"/>
      <c r="L6" s="17"/>
      <c r="M6" s="17"/>
      <c r="N6" s="17"/>
      <c r="O6" s="17"/>
      <c r="Q6" s="19" t="s">
        <v>9</v>
      </c>
      <c r="R6" s="133" t="s">
        <v>10</v>
      </c>
      <c r="S6" s="16">
        <f>COUNTIF(D$4:D$19,2)</f>
        <v>0</v>
      </c>
      <c r="T6" s="16">
        <f t="shared" ref="T6:AD6" si="4">COUNTIF(E$4:E$19,2)</f>
        <v>0</v>
      </c>
      <c r="U6" s="16">
        <f>COUNTIF(F$4:F$19,2)</f>
        <v>0</v>
      </c>
      <c r="V6" s="16">
        <f t="shared" si="4"/>
        <v>0</v>
      </c>
      <c r="W6" s="16">
        <f t="shared" si="4"/>
        <v>0</v>
      </c>
      <c r="X6" s="16">
        <f t="shared" si="4"/>
        <v>0</v>
      </c>
      <c r="Y6" s="16">
        <f t="shared" si="4"/>
        <v>0</v>
      </c>
      <c r="Z6" s="16">
        <f t="shared" si="4"/>
        <v>0</v>
      </c>
      <c r="AA6" s="16">
        <f t="shared" si="4"/>
        <v>0</v>
      </c>
      <c r="AB6" s="16">
        <f t="shared" si="4"/>
        <v>0</v>
      </c>
      <c r="AC6" s="16">
        <f t="shared" si="4"/>
        <v>0</v>
      </c>
      <c r="AD6" s="16">
        <f t="shared" si="4"/>
        <v>0</v>
      </c>
      <c r="AE6" s="16">
        <v>13</v>
      </c>
      <c r="AF6" s="16">
        <v>39</v>
      </c>
      <c r="AG6" s="16">
        <v>72</v>
      </c>
      <c r="AH6" s="16"/>
      <c r="AI6" s="16">
        <v>72</v>
      </c>
      <c r="AJ6" s="16"/>
    </row>
    <row r="7" spans="2:36" x14ac:dyDescent="0.35">
      <c r="B7" s="213"/>
      <c r="C7" s="142" t="s">
        <v>128</v>
      </c>
      <c r="D7" s="16"/>
      <c r="E7" s="16"/>
      <c r="F7" s="16"/>
      <c r="G7" s="15"/>
      <c r="H7" s="26"/>
      <c r="I7" s="17"/>
      <c r="J7" s="17"/>
      <c r="K7" s="17"/>
      <c r="L7" s="17"/>
      <c r="M7" s="17"/>
      <c r="N7" s="17"/>
      <c r="O7" s="129"/>
      <c r="Q7" s="19" t="s">
        <v>11</v>
      </c>
      <c r="R7" s="133" t="s">
        <v>12</v>
      </c>
      <c r="S7" s="26">
        <f t="shared" ref="S7" si="5">COUNTIF(D$4:D$18,1)</f>
        <v>0</v>
      </c>
      <c r="T7" s="26">
        <f t="shared" ref="T7" si="6">COUNTIF(E$4:E$18,1)</f>
        <v>0</v>
      </c>
      <c r="U7" s="26">
        <f>COUNTIF(F$4:F$18,1)</f>
        <v>0</v>
      </c>
      <c r="V7" s="26">
        <f t="shared" ref="V7" si="7">COUNTIF(G$4:G$18,1)</f>
        <v>0</v>
      </c>
      <c r="W7" s="26">
        <f t="shared" ref="W7" si="8">COUNTIF(H$4:H$18,1)</f>
        <v>0</v>
      </c>
      <c r="X7" s="26">
        <f t="shared" ref="X7" si="9">COUNTIF(I$4:I$18,1)</f>
        <v>0</v>
      </c>
      <c r="Y7" s="26">
        <f t="shared" ref="Y7" si="10">COUNTIF(J$4:J$18,1)</f>
        <v>0</v>
      </c>
      <c r="Z7" s="26">
        <f t="shared" ref="Z7" si="11">COUNTIF(K$4:K$18,1)</f>
        <v>0</v>
      </c>
      <c r="AA7" s="26">
        <f t="shared" ref="AA7" si="12">COUNTIF(L$4:L$18,1)</f>
        <v>0</v>
      </c>
      <c r="AB7" s="26">
        <f t="shared" ref="AB7" si="13">COUNTIF(M$4:M$18,1)</f>
        <v>0</v>
      </c>
      <c r="AC7" s="26">
        <f t="shared" ref="AC7" si="14">COUNTIF(N$4:N$18,1)</f>
        <v>0</v>
      </c>
      <c r="AD7" s="26">
        <f t="shared" ref="AD7" si="15">COUNTIF(O$4:O$18,1)</f>
        <v>0</v>
      </c>
      <c r="AE7" s="26">
        <v>10</v>
      </c>
      <c r="AF7" s="26">
        <v>24</v>
      </c>
      <c r="AG7" s="26">
        <v>53</v>
      </c>
      <c r="AH7" s="26"/>
      <c r="AI7" s="26">
        <v>53</v>
      </c>
      <c r="AJ7" s="26"/>
    </row>
    <row r="8" spans="2:36" ht="36" x14ac:dyDescent="0.35">
      <c r="B8" s="213"/>
      <c r="C8" s="142" t="s">
        <v>130</v>
      </c>
      <c r="D8" s="16"/>
      <c r="E8" s="26"/>
      <c r="F8" s="26"/>
      <c r="G8" s="16"/>
      <c r="H8" s="26"/>
      <c r="I8" s="17"/>
      <c r="J8" s="31"/>
      <c r="K8" s="31"/>
      <c r="L8" s="31"/>
      <c r="M8" s="31"/>
      <c r="N8" s="31"/>
      <c r="O8" s="31"/>
      <c r="Q8" s="19" t="s">
        <v>13</v>
      </c>
      <c r="R8" s="133" t="s">
        <v>14</v>
      </c>
      <c r="S8" s="56">
        <f>COUNTIF(D$4:D$19,0)</f>
        <v>0</v>
      </c>
      <c r="T8" s="56">
        <f t="shared" ref="T8:AD8" si="16">COUNTIF(E$4:E$19,0)</f>
        <v>0</v>
      </c>
      <c r="U8" s="56">
        <f>COUNTIF(F$4:F$19,0)</f>
        <v>0</v>
      </c>
      <c r="V8" s="56">
        <f t="shared" si="16"/>
        <v>0</v>
      </c>
      <c r="W8" s="56">
        <f t="shared" si="16"/>
        <v>0</v>
      </c>
      <c r="X8" s="56">
        <f t="shared" si="16"/>
        <v>0</v>
      </c>
      <c r="Y8" s="56">
        <f t="shared" si="16"/>
        <v>0</v>
      </c>
      <c r="Z8" s="56">
        <f t="shared" si="16"/>
        <v>0</v>
      </c>
      <c r="AA8" s="56">
        <f t="shared" si="16"/>
        <v>0</v>
      </c>
      <c r="AB8" s="56">
        <f t="shared" si="16"/>
        <v>0</v>
      </c>
      <c r="AC8" s="56">
        <f t="shared" si="16"/>
        <v>0</v>
      </c>
      <c r="AD8" s="56">
        <f t="shared" si="16"/>
        <v>0</v>
      </c>
      <c r="AE8" s="56">
        <v>11</v>
      </c>
      <c r="AF8" s="56">
        <v>7</v>
      </c>
      <c r="AG8" s="56">
        <v>0</v>
      </c>
      <c r="AH8" s="56"/>
      <c r="AI8" s="56">
        <v>0</v>
      </c>
      <c r="AJ8" s="56"/>
    </row>
    <row r="9" spans="2:36" x14ac:dyDescent="0.35">
      <c r="B9" s="213"/>
      <c r="C9" s="142" t="s">
        <v>310</v>
      </c>
      <c r="D9" s="16"/>
      <c r="E9" s="26"/>
      <c r="F9" s="26"/>
      <c r="G9" s="16"/>
      <c r="H9" s="26"/>
      <c r="I9" s="17"/>
      <c r="J9" s="31"/>
      <c r="K9" s="31"/>
      <c r="L9" s="31"/>
      <c r="M9" s="31"/>
      <c r="N9" s="31"/>
      <c r="O9" s="31"/>
      <c r="Q9" s="2"/>
      <c r="R9" s="2"/>
      <c r="S9" s="130">
        <f>SUM(S4:S8)</f>
        <v>0</v>
      </c>
      <c r="T9" s="130">
        <f t="shared" ref="T9:AI9" si="17">SUM(T4:T8)</f>
        <v>0</v>
      </c>
      <c r="U9" s="130">
        <f>SUM(U4:U8)</f>
        <v>0</v>
      </c>
      <c r="V9" s="130">
        <f t="shared" si="17"/>
        <v>0</v>
      </c>
      <c r="W9" s="130">
        <f t="shared" si="17"/>
        <v>0</v>
      </c>
      <c r="X9" s="130">
        <f t="shared" si="17"/>
        <v>0</v>
      </c>
      <c r="Y9" s="130">
        <f t="shared" si="17"/>
        <v>0</v>
      </c>
      <c r="Z9" s="130">
        <f t="shared" si="17"/>
        <v>0</v>
      </c>
      <c r="AA9" s="130">
        <f t="shared" si="17"/>
        <v>0</v>
      </c>
      <c r="AB9" s="130">
        <f t="shared" si="17"/>
        <v>0</v>
      </c>
      <c r="AC9" s="130">
        <f t="shared" si="17"/>
        <v>0</v>
      </c>
      <c r="AD9" s="130">
        <f t="shared" si="17"/>
        <v>0</v>
      </c>
      <c r="AE9" s="130">
        <f t="shared" si="17"/>
        <v>34</v>
      </c>
      <c r="AF9" s="130">
        <f>SUM(AF4:AF8)</f>
        <v>71</v>
      </c>
      <c r="AG9" s="130">
        <f t="shared" si="17"/>
        <v>180</v>
      </c>
      <c r="AH9" s="130">
        <v>180</v>
      </c>
      <c r="AI9" s="130">
        <f t="shared" si="17"/>
        <v>180</v>
      </c>
      <c r="AJ9" s="130">
        <v>180</v>
      </c>
    </row>
    <row r="10" spans="2:36" x14ac:dyDescent="0.35">
      <c r="B10" s="213"/>
      <c r="C10" s="142" t="s">
        <v>349</v>
      </c>
      <c r="D10" s="31"/>
      <c r="E10" s="31"/>
      <c r="F10" s="31"/>
      <c r="G10" s="31"/>
      <c r="H10" s="16"/>
      <c r="I10" s="17"/>
      <c r="J10" s="17"/>
      <c r="K10" s="17"/>
      <c r="L10" s="17"/>
      <c r="M10" s="17"/>
      <c r="N10" s="17"/>
      <c r="O10" s="17"/>
      <c r="Q10" s="2"/>
      <c r="R10" s="2"/>
    </row>
    <row r="11" spans="2:36" ht="24" x14ac:dyDescent="0.35">
      <c r="B11" s="213"/>
      <c r="C11" s="142" t="s">
        <v>311</v>
      </c>
      <c r="D11" s="31"/>
      <c r="E11" s="16"/>
      <c r="F11" s="16"/>
      <c r="G11" s="31"/>
      <c r="H11" s="16"/>
      <c r="I11" s="17"/>
      <c r="J11" s="17"/>
      <c r="K11" s="17"/>
      <c r="L11" s="17"/>
      <c r="M11" s="17"/>
      <c r="N11" s="17"/>
      <c r="O11" s="17"/>
      <c r="Q11" s="2"/>
      <c r="AB11" s="139" t="s">
        <v>364</v>
      </c>
      <c r="AC11" s="178" t="s">
        <v>365</v>
      </c>
      <c r="AD11" s="178"/>
      <c r="AE11" s="140">
        <f>SUM(AE12:AE14)</f>
        <v>0.38235294117647056</v>
      </c>
      <c r="AF11" s="140">
        <f t="shared" ref="AF11:AJ11" si="18">SUM(AF12:AF14)</f>
        <v>0.56338028169014087</v>
      </c>
      <c r="AG11" s="140">
        <f>SUM(AG12:AG14)</f>
        <v>0.7055555555555556</v>
      </c>
      <c r="AH11" s="140">
        <f t="shared" si="18"/>
        <v>0</v>
      </c>
      <c r="AI11" s="140">
        <f t="shared" si="18"/>
        <v>0.7055555555555556</v>
      </c>
      <c r="AJ11" s="140">
        <f t="shared" si="18"/>
        <v>0</v>
      </c>
    </row>
    <row r="12" spans="2:36" ht="24" x14ac:dyDescent="0.35">
      <c r="B12" s="213"/>
      <c r="C12" s="142" t="s">
        <v>312</v>
      </c>
      <c r="D12" s="31"/>
      <c r="E12" s="17"/>
      <c r="F12" s="17"/>
      <c r="G12" s="31"/>
      <c r="H12" s="17"/>
      <c r="I12" s="17"/>
      <c r="J12" s="17"/>
      <c r="K12" s="17"/>
      <c r="L12" s="17"/>
      <c r="M12" s="17"/>
      <c r="N12" s="17"/>
      <c r="O12" s="17"/>
      <c r="AB12" s="19" t="s">
        <v>5</v>
      </c>
      <c r="AC12" s="170" t="s">
        <v>6</v>
      </c>
      <c r="AD12" s="170"/>
      <c r="AE12" s="36">
        <f t="shared" ref="AE12:AE17" si="19">AE4/$AE$9</f>
        <v>0</v>
      </c>
      <c r="AF12" s="36">
        <f>AF4/$AF$9</f>
        <v>0</v>
      </c>
      <c r="AG12" s="36">
        <f>AG4/$AG$9</f>
        <v>4.4444444444444446E-2</v>
      </c>
      <c r="AH12" s="36">
        <f>AH4/$AH$9</f>
        <v>0</v>
      </c>
      <c r="AI12" s="36">
        <f>AI4/$AI$9</f>
        <v>4.4444444444444446E-2</v>
      </c>
      <c r="AJ12" s="36">
        <f>AJ4/$AJ$9</f>
        <v>0</v>
      </c>
    </row>
    <row r="13" spans="2:36" ht="24" x14ac:dyDescent="0.35">
      <c r="B13" s="213"/>
      <c r="C13" s="142" t="s">
        <v>313</v>
      </c>
      <c r="D13" s="31"/>
      <c r="E13" s="26"/>
      <c r="F13" s="26"/>
      <c r="G13" s="31"/>
      <c r="H13" s="26"/>
      <c r="I13" s="17"/>
      <c r="J13" s="17"/>
      <c r="K13" s="17"/>
      <c r="L13" s="17"/>
      <c r="M13" s="17"/>
      <c r="N13" s="17"/>
      <c r="O13" s="17"/>
      <c r="AB13" s="19" t="s">
        <v>7</v>
      </c>
      <c r="AC13" s="170" t="s">
        <v>8</v>
      </c>
      <c r="AD13" s="170"/>
      <c r="AE13" s="57">
        <f t="shared" si="19"/>
        <v>0</v>
      </c>
      <c r="AF13" s="57">
        <f t="shared" ref="AF13:AF17" si="20">AF5/$AF$9</f>
        <v>1.4084507042253521E-2</v>
      </c>
      <c r="AG13" s="57">
        <f t="shared" ref="AG13:AG16" si="21">AG5/$AG$9</f>
        <v>0.26111111111111113</v>
      </c>
      <c r="AH13" s="57">
        <f t="shared" ref="AH13:AH17" si="22">AH5/$AH$9</f>
        <v>0</v>
      </c>
      <c r="AI13" s="57">
        <f t="shared" ref="AI13:AI17" si="23">AI5/$AI$9</f>
        <v>0.26111111111111113</v>
      </c>
      <c r="AJ13" s="57">
        <f t="shared" ref="AJ13:AJ17" si="24">AJ5/$AJ$9</f>
        <v>0</v>
      </c>
    </row>
    <row r="14" spans="2:36" ht="24" x14ac:dyDescent="0.35">
      <c r="B14" s="213"/>
      <c r="C14" s="142" t="s">
        <v>314</v>
      </c>
      <c r="D14" s="31"/>
      <c r="E14" s="31"/>
      <c r="F14" s="26"/>
      <c r="G14" s="31"/>
      <c r="H14" s="26"/>
      <c r="I14" s="17"/>
      <c r="J14" s="31"/>
      <c r="K14" s="31"/>
      <c r="L14" s="31"/>
      <c r="M14" s="31"/>
      <c r="N14" s="31"/>
      <c r="O14" s="31"/>
      <c r="AB14" s="19" t="s">
        <v>9</v>
      </c>
      <c r="AC14" s="170" t="s">
        <v>10</v>
      </c>
      <c r="AD14" s="170"/>
      <c r="AE14" s="58">
        <f t="shared" si="19"/>
        <v>0.38235294117647056</v>
      </c>
      <c r="AF14" s="58">
        <f t="shared" si="20"/>
        <v>0.54929577464788737</v>
      </c>
      <c r="AG14" s="58">
        <f t="shared" si="21"/>
        <v>0.4</v>
      </c>
      <c r="AH14" s="58">
        <f t="shared" si="22"/>
        <v>0</v>
      </c>
      <c r="AI14" s="58">
        <f t="shared" si="23"/>
        <v>0.4</v>
      </c>
      <c r="AJ14" s="58">
        <f t="shared" si="24"/>
        <v>0</v>
      </c>
    </row>
    <row r="15" spans="2:36" x14ac:dyDescent="0.35">
      <c r="B15" s="213" t="s">
        <v>301</v>
      </c>
      <c r="C15" s="142" t="s">
        <v>315</v>
      </c>
      <c r="D15" s="31"/>
      <c r="E15" s="17"/>
      <c r="F15" s="17"/>
      <c r="G15" s="31"/>
      <c r="H15" s="31"/>
      <c r="I15" s="17"/>
      <c r="J15" s="31"/>
      <c r="K15" s="31"/>
      <c r="L15" s="31"/>
      <c r="M15" s="31"/>
      <c r="N15" s="31"/>
      <c r="O15" s="31"/>
      <c r="AB15" s="19" t="s">
        <v>11</v>
      </c>
      <c r="AC15" s="170" t="s">
        <v>12</v>
      </c>
      <c r="AD15" s="170"/>
      <c r="AE15" s="59">
        <f t="shared" si="19"/>
        <v>0.29411764705882354</v>
      </c>
      <c r="AF15" s="59">
        <f t="shared" si="20"/>
        <v>0.3380281690140845</v>
      </c>
      <c r="AG15" s="59">
        <f t="shared" si="21"/>
        <v>0.29444444444444445</v>
      </c>
      <c r="AH15" s="59">
        <f t="shared" si="22"/>
        <v>0</v>
      </c>
      <c r="AI15" s="59">
        <f t="shared" si="23"/>
        <v>0.29444444444444445</v>
      </c>
      <c r="AJ15" s="59">
        <f t="shared" si="24"/>
        <v>0</v>
      </c>
    </row>
    <row r="16" spans="2:36" ht="24" x14ac:dyDescent="0.35">
      <c r="B16" s="213"/>
      <c r="C16" s="142" t="s">
        <v>302</v>
      </c>
      <c r="D16" s="31"/>
      <c r="E16" s="17"/>
      <c r="F16" s="17"/>
      <c r="G16" s="31"/>
      <c r="H16" s="31"/>
      <c r="I16" s="17"/>
      <c r="J16" s="31"/>
      <c r="K16" s="31"/>
      <c r="L16" s="31"/>
      <c r="M16" s="31"/>
      <c r="N16" s="31"/>
      <c r="O16" s="31"/>
      <c r="AB16" s="19" t="s">
        <v>13</v>
      </c>
      <c r="AC16" s="170" t="s">
        <v>14</v>
      </c>
      <c r="AD16" s="170"/>
      <c r="AE16" s="60">
        <f t="shared" si="19"/>
        <v>0.3235294117647059</v>
      </c>
      <c r="AF16" s="60">
        <f t="shared" si="20"/>
        <v>9.8591549295774641E-2</v>
      </c>
      <c r="AG16" s="60">
        <f t="shared" si="21"/>
        <v>0</v>
      </c>
      <c r="AH16" s="60">
        <f t="shared" si="22"/>
        <v>0</v>
      </c>
      <c r="AI16" s="60">
        <f t="shared" si="23"/>
        <v>0</v>
      </c>
      <c r="AJ16" s="60">
        <f t="shared" si="24"/>
        <v>0</v>
      </c>
    </row>
    <row r="17" spans="2:36" ht="24" x14ac:dyDescent="0.35">
      <c r="B17" s="213"/>
      <c r="C17" s="142" t="s">
        <v>133</v>
      </c>
      <c r="D17" s="31"/>
      <c r="E17" s="17"/>
      <c r="F17" s="17"/>
      <c r="G17" s="31"/>
      <c r="H17" s="31"/>
      <c r="I17" s="17"/>
      <c r="J17" s="31"/>
      <c r="K17" s="31"/>
      <c r="L17" s="31"/>
      <c r="M17" s="31"/>
      <c r="N17" s="31"/>
      <c r="O17" s="31"/>
      <c r="AB17" s="165" t="s">
        <v>210</v>
      </c>
      <c r="AC17" s="165"/>
      <c r="AD17" s="165"/>
      <c r="AE17" s="64">
        <f t="shared" si="19"/>
        <v>1</v>
      </c>
      <c r="AF17" s="64">
        <f t="shared" si="20"/>
        <v>1</v>
      </c>
      <c r="AG17" s="64">
        <f>AG9/$AG$9</f>
        <v>1</v>
      </c>
      <c r="AH17" s="64">
        <f t="shared" si="22"/>
        <v>1</v>
      </c>
      <c r="AI17" s="64">
        <f t="shared" si="23"/>
        <v>1</v>
      </c>
      <c r="AJ17" s="64">
        <f t="shared" si="24"/>
        <v>1</v>
      </c>
    </row>
    <row r="18" spans="2:36" ht="24" x14ac:dyDescent="0.35">
      <c r="B18" s="213"/>
      <c r="C18" s="142" t="s">
        <v>303</v>
      </c>
      <c r="D18" s="31"/>
      <c r="E18" s="17"/>
      <c r="F18" s="17"/>
      <c r="G18" s="31"/>
      <c r="H18" s="31"/>
      <c r="I18" s="17"/>
      <c r="J18" s="31"/>
      <c r="K18" s="31"/>
      <c r="L18" s="31"/>
      <c r="M18" s="31"/>
      <c r="N18" s="31"/>
      <c r="O18" s="31"/>
      <c r="AB18" s="160" t="s">
        <v>241</v>
      </c>
      <c r="AC18" s="160"/>
      <c r="AD18" s="160"/>
      <c r="AE18" s="166">
        <v>0.7</v>
      </c>
      <c r="AF18" s="167"/>
      <c r="AG18" s="168"/>
      <c r="AH18" s="168"/>
      <c r="AI18" s="168"/>
      <c r="AJ18" s="169"/>
    </row>
    <row r="19" spans="2:36" x14ac:dyDescent="0.35">
      <c r="B19" s="213"/>
      <c r="C19" s="142" t="s">
        <v>304</v>
      </c>
      <c r="D19" s="31"/>
      <c r="E19" s="17"/>
      <c r="F19" s="17"/>
      <c r="G19" s="31"/>
      <c r="H19" s="31"/>
      <c r="I19" s="17"/>
      <c r="J19" s="31"/>
      <c r="K19" s="31"/>
      <c r="L19" s="31"/>
      <c r="M19" s="31"/>
      <c r="N19" s="31"/>
      <c r="O19" s="31"/>
      <c r="AB19" s="160" t="s">
        <v>16</v>
      </c>
      <c r="AC19" s="160"/>
      <c r="AD19" s="160"/>
      <c r="AE19" s="166"/>
      <c r="AF19" s="167"/>
      <c r="AG19" s="168"/>
      <c r="AH19" s="168"/>
      <c r="AI19" s="168"/>
      <c r="AJ19" s="169"/>
    </row>
    <row r="20" spans="2:36" x14ac:dyDescent="0.35">
      <c r="D20" s="132" t="e">
        <f>AVERAGE(D4:D19)</f>
        <v>#DIV/0!</v>
      </c>
      <c r="E20" s="132" t="e">
        <f t="shared" ref="E20:K20" si="25">AVERAGE(E4:E19)</f>
        <v>#DIV/0!</v>
      </c>
      <c r="F20" s="132" t="e">
        <f t="shared" si="25"/>
        <v>#DIV/0!</v>
      </c>
      <c r="G20" s="132" t="e">
        <f t="shared" si="25"/>
        <v>#DIV/0!</v>
      </c>
      <c r="H20" s="132" t="e">
        <f t="shared" si="25"/>
        <v>#DIV/0!</v>
      </c>
      <c r="I20" s="132" t="e">
        <f t="shared" si="25"/>
        <v>#DIV/0!</v>
      </c>
      <c r="J20" s="132" t="e">
        <f t="shared" si="25"/>
        <v>#DIV/0!</v>
      </c>
      <c r="K20" s="132" t="e">
        <f t="shared" si="25"/>
        <v>#DIV/0!</v>
      </c>
      <c r="L20" s="132"/>
      <c r="M20" s="132"/>
      <c r="N20" s="132"/>
      <c r="O20" s="132"/>
      <c r="AB20" s="160" t="s">
        <v>360</v>
      </c>
      <c r="AC20" s="160"/>
      <c r="AD20" s="160"/>
      <c r="AE20" s="166">
        <f>SUM(AG12:AG14)</f>
        <v>0.7055555555555556</v>
      </c>
      <c r="AF20" s="167"/>
      <c r="AG20" s="168"/>
      <c r="AH20" s="168"/>
      <c r="AI20" s="168"/>
      <c r="AJ20" s="169"/>
    </row>
    <row r="21" spans="2:36" ht="12.5" thickBot="1" x14ac:dyDescent="0.4">
      <c r="B21" s="45"/>
      <c r="C21" s="45"/>
      <c r="D21" s="46"/>
      <c r="E21" s="46"/>
      <c r="F21" s="46"/>
      <c r="G21" s="46"/>
      <c r="H21" s="46"/>
      <c r="I21" s="46"/>
      <c r="J21" s="46"/>
      <c r="K21" s="46"/>
      <c r="L21" s="46"/>
      <c r="M21" s="46"/>
      <c r="N21" s="46"/>
      <c r="O21" s="46"/>
      <c r="AB21" s="160" t="s">
        <v>363</v>
      </c>
      <c r="AC21" s="160"/>
      <c r="AD21" s="160"/>
      <c r="AE21" s="161">
        <f>AE18-AE20</f>
        <v>-5.5555555555556468E-3</v>
      </c>
      <c r="AF21" s="162"/>
      <c r="AG21" s="163"/>
      <c r="AH21" s="163"/>
      <c r="AI21" s="163"/>
      <c r="AJ21" s="164"/>
    </row>
    <row r="22" spans="2:36" x14ac:dyDescent="0.35">
      <c r="B22" s="47" t="s">
        <v>211</v>
      </c>
      <c r="C22" s="48" t="s">
        <v>299</v>
      </c>
      <c r="D22" s="49"/>
      <c r="E22" s="50"/>
      <c r="F22" s="50"/>
      <c r="G22" s="45"/>
    </row>
    <row r="23" spans="2:36" ht="12.5" thickBot="1" x14ac:dyDescent="0.4">
      <c r="B23" s="51" t="s">
        <v>213</v>
      </c>
      <c r="C23" s="52" t="s">
        <v>316</v>
      </c>
      <c r="D23" s="49"/>
      <c r="E23" s="50"/>
      <c r="F23" s="50"/>
      <c r="G23" s="45"/>
    </row>
    <row r="24" spans="2:36" x14ac:dyDescent="0.35">
      <c r="B24" s="45"/>
      <c r="C24" s="45"/>
      <c r="D24" s="45"/>
      <c r="E24" s="50"/>
      <c r="F24" s="50"/>
      <c r="G24" s="45"/>
    </row>
    <row r="25" spans="2:36" x14ac:dyDescent="0.35">
      <c r="B25" s="45"/>
      <c r="C25" s="45"/>
      <c r="D25" s="45"/>
      <c r="E25" s="50"/>
      <c r="F25" s="50"/>
      <c r="G25" s="45"/>
    </row>
    <row r="26" spans="2:36" x14ac:dyDescent="0.35">
      <c r="B26" s="45"/>
      <c r="C26" s="45"/>
      <c r="D26" s="45"/>
      <c r="E26" s="50"/>
      <c r="F26" s="50"/>
      <c r="G26" s="45"/>
    </row>
    <row r="27" spans="2:36" x14ac:dyDescent="0.35">
      <c r="B27" s="45"/>
      <c r="C27" s="45"/>
      <c r="D27" s="45"/>
      <c r="E27" s="50"/>
      <c r="F27" s="50"/>
      <c r="G27" s="45"/>
    </row>
  </sheetData>
  <mergeCells count="19">
    <mergeCell ref="B2:C2"/>
    <mergeCell ref="D2:O2"/>
    <mergeCell ref="AC11:AD11"/>
    <mergeCell ref="AC12:AD12"/>
    <mergeCell ref="AC13:AD13"/>
    <mergeCell ref="AB21:AD21"/>
    <mergeCell ref="AE21:AJ21"/>
    <mergeCell ref="B4:B14"/>
    <mergeCell ref="B15:B19"/>
    <mergeCell ref="AB17:AD17"/>
    <mergeCell ref="AB18:AD18"/>
    <mergeCell ref="AE18:AJ18"/>
    <mergeCell ref="AB19:AD19"/>
    <mergeCell ref="AE19:AJ19"/>
    <mergeCell ref="AB20:AD20"/>
    <mergeCell ref="AE20:AJ20"/>
    <mergeCell ref="AC14:AD14"/>
    <mergeCell ref="AC15:AD15"/>
    <mergeCell ref="AC16:AD16"/>
  </mergeCells>
  <conditionalFormatting sqref="D4:O19">
    <cfRule type="cellIs" dxfId="23" priority="1" operator="equal">
      <formula>4</formula>
    </cfRule>
    <cfRule type="cellIs" dxfId="22" priority="2" operator="equal">
      <formula>3</formula>
    </cfRule>
    <cfRule type="cellIs" dxfId="21" priority="3" operator="equal">
      <formula>2</formula>
    </cfRule>
    <cfRule type="cellIs" dxfId="20" priority="4" operator="equal">
      <formula>1</formula>
    </cfRule>
    <cfRule type="cellIs" dxfId="19" priority="5" operator="equal">
      <formula>0</formula>
    </cfRule>
  </conditionalFormatting>
  <conditionalFormatting sqref="AE20:AJ21">
    <cfRule type="cellIs" dxfId="18" priority="11" operator="greaterThanOrEqual">
      <formula>1</formula>
    </cfRule>
  </conditionalFormatting>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3CE17-461C-4B7B-A29B-5BFD86BFBF12}">
  <dimension ref="B2:AJ26"/>
  <sheetViews>
    <sheetView showGridLines="0" zoomScaleNormal="100" workbookViewId="0">
      <selection activeCell="D4" sqref="D4:L18"/>
    </sheetView>
  </sheetViews>
  <sheetFormatPr defaultColWidth="8.81640625" defaultRowHeight="12" x14ac:dyDescent="0.35"/>
  <cols>
    <col min="1" max="1" width="2.90625" style="1" customWidth="1"/>
    <col min="2" max="2" width="13" style="1" bestFit="1" customWidth="1"/>
    <col min="3" max="3" width="27.453125" style="1" bestFit="1" customWidth="1"/>
    <col min="4" max="4" width="9" style="1" customWidth="1"/>
    <col min="5" max="6" width="8.54296875" style="2" customWidth="1"/>
    <col min="7" max="7" width="8.54296875" style="1" customWidth="1"/>
    <col min="8" max="12" width="8.54296875" style="2" customWidth="1"/>
    <col min="13" max="15" width="7.81640625" style="2" customWidth="1"/>
    <col min="16" max="16" width="2.453125" style="1" customWidth="1"/>
    <col min="17" max="17" width="6.54296875" style="1" bestFit="1" customWidth="1"/>
    <col min="18" max="18" width="9.36328125" style="1" bestFit="1" customWidth="1"/>
    <col min="19" max="19" width="9.08984375" style="2" customWidth="1"/>
    <col min="20" max="27" width="8.6328125" style="2" customWidth="1"/>
    <col min="28" max="36" width="7.54296875" style="2" customWidth="1"/>
    <col min="37" max="16384" width="8.81640625" style="1"/>
  </cols>
  <sheetData>
    <row r="2" spans="2:36" s="4" customFormat="1" x14ac:dyDescent="0.35">
      <c r="B2" s="171" t="s">
        <v>234</v>
      </c>
      <c r="C2" s="171"/>
      <c r="D2" s="172" t="s">
        <v>290</v>
      </c>
      <c r="E2" s="173"/>
      <c r="F2" s="173"/>
      <c r="G2" s="173"/>
      <c r="H2" s="173"/>
      <c r="I2" s="173"/>
      <c r="J2" s="173"/>
      <c r="K2" s="173"/>
      <c r="L2" s="173"/>
      <c r="M2" s="173"/>
      <c r="N2" s="173"/>
      <c r="O2" s="174"/>
      <c r="S2" s="5"/>
      <c r="T2" s="5"/>
      <c r="U2" s="5"/>
      <c r="V2" s="5"/>
      <c r="W2" s="5"/>
      <c r="X2" s="5"/>
      <c r="Y2" s="5"/>
      <c r="Z2" s="5"/>
      <c r="AA2" s="5"/>
      <c r="AB2" s="5"/>
      <c r="AC2" s="5"/>
      <c r="AD2" s="5"/>
      <c r="AE2" s="5"/>
      <c r="AF2" s="5"/>
      <c r="AG2" s="5"/>
      <c r="AH2" s="5"/>
      <c r="AI2" s="5"/>
      <c r="AJ2" s="5"/>
    </row>
    <row r="3" spans="2:36" ht="24" x14ac:dyDescent="0.35">
      <c r="B3" s="145"/>
      <c r="C3" s="145"/>
      <c r="D3" s="130" t="s">
        <v>291</v>
      </c>
      <c r="E3" s="130" t="s">
        <v>292</v>
      </c>
      <c r="F3" s="130" t="s">
        <v>293</v>
      </c>
      <c r="G3" s="130" t="s">
        <v>294</v>
      </c>
      <c r="H3" s="130" t="s">
        <v>295</v>
      </c>
      <c r="I3" s="130" t="s">
        <v>296</v>
      </c>
      <c r="J3" s="130" t="s">
        <v>343</v>
      </c>
      <c r="K3" s="130" t="s">
        <v>323</v>
      </c>
      <c r="L3" s="130" t="s">
        <v>297</v>
      </c>
      <c r="M3" s="130"/>
      <c r="N3" s="146"/>
      <c r="O3" s="130"/>
      <c r="S3" s="130" t="str">
        <f>D3</f>
        <v>Vaishnavi L</v>
      </c>
      <c r="T3" s="130" t="str">
        <f t="shared" ref="T3:AD3" si="0">E3</f>
        <v>Suvidha</v>
      </c>
      <c r="U3" s="130" t="str">
        <f t="shared" si="0"/>
        <v>Namrata</v>
      </c>
      <c r="V3" s="130" t="str">
        <f t="shared" si="0"/>
        <v>Rahul</v>
      </c>
      <c r="W3" s="130" t="str">
        <f t="shared" si="0"/>
        <v>Vaishnavi J</v>
      </c>
      <c r="X3" s="130" t="str">
        <f t="shared" si="0"/>
        <v>Ravindra</v>
      </c>
      <c r="Y3" s="130" t="str">
        <f t="shared" si="0"/>
        <v>Vishal</v>
      </c>
      <c r="Z3" s="130" t="str">
        <f t="shared" si="0"/>
        <v>Akash</v>
      </c>
      <c r="AA3" s="130" t="str">
        <f t="shared" si="0"/>
        <v>Kathiravan</v>
      </c>
      <c r="AB3" s="130">
        <f t="shared" si="0"/>
        <v>0</v>
      </c>
      <c r="AC3" s="130">
        <f t="shared" si="0"/>
        <v>0</v>
      </c>
      <c r="AD3" s="130">
        <f t="shared" si="0"/>
        <v>0</v>
      </c>
      <c r="AE3" s="134" t="s">
        <v>0</v>
      </c>
      <c r="AF3" s="134" t="s">
        <v>362</v>
      </c>
      <c r="AG3" s="134" t="s">
        <v>345</v>
      </c>
      <c r="AH3" s="134" t="s">
        <v>350</v>
      </c>
      <c r="AI3" s="134" t="s">
        <v>347</v>
      </c>
      <c r="AJ3" s="134" t="s">
        <v>348</v>
      </c>
    </row>
    <row r="4" spans="2:36" x14ac:dyDescent="0.35">
      <c r="B4" s="214" t="s">
        <v>298</v>
      </c>
      <c r="C4" s="142" t="s">
        <v>138</v>
      </c>
      <c r="D4" s="15"/>
      <c r="E4" s="16"/>
      <c r="F4" s="16"/>
      <c r="G4" s="15"/>
      <c r="H4" s="16"/>
      <c r="I4" s="17"/>
      <c r="J4" s="17"/>
      <c r="K4" s="17"/>
      <c r="L4" s="17"/>
      <c r="M4" s="17"/>
      <c r="N4" s="17"/>
      <c r="O4" s="17"/>
      <c r="Q4" s="19" t="s">
        <v>5</v>
      </c>
      <c r="R4" s="133" t="s">
        <v>6</v>
      </c>
      <c r="S4" s="21">
        <f>COUNTIF(D$4:D$18,4)</f>
        <v>0</v>
      </c>
      <c r="T4" s="21">
        <f t="shared" ref="T4:AD4" si="1">COUNTIF(E$4:E$18,4)</f>
        <v>0</v>
      </c>
      <c r="U4" s="21">
        <f t="shared" si="1"/>
        <v>0</v>
      </c>
      <c r="V4" s="21">
        <f t="shared" si="1"/>
        <v>0</v>
      </c>
      <c r="W4" s="21">
        <f t="shared" si="1"/>
        <v>0</v>
      </c>
      <c r="X4" s="21">
        <f t="shared" si="1"/>
        <v>0</v>
      </c>
      <c r="Y4" s="21">
        <f t="shared" si="1"/>
        <v>0</v>
      </c>
      <c r="Z4" s="21">
        <f t="shared" si="1"/>
        <v>0</v>
      </c>
      <c r="AA4" s="21">
        <f t="shared" si="1"/>
        <v>0</v>
      </c>
      <c r="AB4" s="21">
        <f t="shared" si="1"/>
        <v>0</v>
      </c>
      <c r="AC4" s="21">
        <f t="shared" si="1"/>
        <v>0</v>
      </c>
      <c r="AD4" s="21">
        <f t="shared" si="1"/>
        <v>0</v>
      </c>
      <c r="AE4" s="21">
        <v>0</v>
      </c>
      <c r="AF4" s="21">
        <v>0</v>
      </c>
      <c r="AG4" s="152">
        <v>0</v>
      </c>
      <c r="AH4" s="21"/>
      <c r="AI4" s="22">
        <v>0</v>
      </c>
      <c r="AJ4" s="21"/>
    </row>
    <row r="5" spans="2:36" x14ac:dyDescent="0.35">
      <c r="B5" s="215"/>
      <c r="C5" s="142" t="s">
        <v>139</v>
      </c>
      <c r="D5" s="15"/>
      <c r="E5" s="26"/>
      <c r="F5" s="26"/>
      <c r="G5" s="15"/>
      <c r="H5" s="16"/>
      <c r="I5" s="17"/>
      <c r="J5" s="17"/>
      <c r="K5" s="17"/>
      <c r="L5" s="17"/>
      <c r="M5" s="17"/>
      <c r="N5" s="17"/>
      <c r="O5" s="17"/>
      <c r="Q5" s="19" t="s">
        <v>7</v>
      </c>
      <c r="R5" s="133" t="s">
        <v>8</v>
      </c>
      <c r="S5" s="15">
        <f>COUNTIF(D$4:D$18,3)</f>
        <v>0</v>
      </c>
      <c r="T5" s="15">
        <f t="shared" ref="T5:AD5" si="2">COUNTIF(E$4:E$18,3)</f>
        <v>0</v>
      </c>
      <c r="U5" s="15">
        <f t="shared" si="2"/>
        <v>0</v>
      </c>
      <c r="V5" s="15">
        <f t="shared" si="2"/>
        <v>0</v>
      </c>
      <c r="W5" s="15">
        <f t="shared" si="2"/>
        <v>0</v>
      </c>
      <c r="X5" s="15">
        <f t="shared" si="2"/>
        <v>0</v>
      </c>
      <c r="Y5" s="15">
        <f t="shared" si="2"/>
        <v>0</v>
      </c>
      <c r="Z5" s="15">
        <f t="shared" si="2"/>
        <v>0</v>
      </c>
      <c r="AA5" s="15">
        <f t="shared" si="2"/>
        <v>0</v>
      </c>
      <c r="AB5" s="15">
        <f t="shared" si="2"/>
        <v>0</v>
      </c>
      <c r="AC5" s="15">
        <f t="shared" si="2"/>
        <v>0</v>
      </c>
      <c r="AD5" s="15">
        <f t="shared" si="2"/>
        <v>0</v>
      </c>
      <c r="AE5" s="15">
        <v>6</v>
      </c>
      <c r="AF5" s="15">
        <v>4</v>
      </c>
      <c r="AG5" s="15">
        <v>6</v>
      </c>
      <c r="AH5" s="15"/>
      <c r="AI5" s="15">
        <v>7</v>
      </c>
      <c r="AJ5" s="15"/>
    </row>
    <row r="6" spans="2:36" x14ac:dyDescent="0.35">
      <c r="B6" s="215"/>
      <c r="C6" s="142" t="s">
        <v>140</v>
      </c>
      <c r="D6" s="15"/>
      <c r="E6" s="16"/>
      <c r="F6" s="16"/>
      <c r="G6" s="15"/>
      <c r="H6" s="16"/>
      <c r="I6" s="17"/>
      <c r="J6" s="17"/>
      <c r="K6" s="17"/>
      <c r="L6" s="17"/>
      <c r="M6" s="17"/>
      <c r="N6" s="17"/>
      <c r="O6" s="17"/>
      <c r="Q6" s="19" t="s">
        <v>9</v>
      </c>
      <c r="R6" s="133" t="s">
        <v>10</v>
      </c>
      <c r="S6" s="16">
        <f>COUNTIF(D$4:D$18,2)</f>
        <v>0</v>
      </c>
      <c r="T6" s="16">
        <f t="shared" ref="T6:AD6" si="3">COUNTIF(E$4:E$18,2)</f>
        <v>0</v>
      </c>
      <c r="U6" s="16">
        <f t="shared" si="3"/>
        <v>0</v>
      </c>
      <c r="V6" s="16">
        <f t="shared" si="3"/>
        <v>0</v>
      </c>
      <c r="W6" s="16">
        <f t="shared" si="3"/>
        <v>0</v>
      </c>
      <c r="X6" s="16">
        <f t="shared" si="3"/>
        <v>0</v>
      </c>
      <c r="Y6" s="16">
        <f t="shared" si="3"/>
        <v>0</v>
      </c>
      <c r="Z6" s="16">
        <f t="shared" si="3"/>
        <v>0</v>
      </c>
      <c r="AA6" s="16">
        <f t="shared" si="3"/>
        <v>0</v>
      </c>
      <c r="AB6" s="16">
        <f t="shared" si="3"/>
        <v>0</v>
      </c>
      <c r="AC6" s="16">
        <f t="shared" si="3"/>
        <v>0</v>
      </c>
      <c r="AD6" s="16">
        <f t="shared" si="3"/>
        <v>0</v>
      </c>
      <c r="AE6" s="16">
        <v>31</v>
      </c>
      <c r="AF6" s="16">
        <v>52</v>
      </c>
      <c r="AG6" s="16">
        <v>62</v>
      </c>
      <c r="AH6" s="16"/>
      <c r="AI6" s="16">
        <v>65</v>
      </c>
      <c r="AJ6" s="16"/>
    </row>
    <row r="7" spans="2:36" x14ac:dyDescent="0.35">
      <c r="B7" s="215"/>
      <c r="C7" s="142" t="s">
        <v>141</v>
      </c>
      <c r="D7" s="16"/>
      <c r="E7" s="16"/>
      <c r="F7" s="16"/>
      <c r="G7" s="15"/>
      <c r="H7" s="26"/>
      <c r="I7" s="17"/>
      <c r="J7" s="17"/>
      <c r="K7" s="129"/>
      <c r="L7" s="129"/>
      <c r="M7" s="129"/>
      <c r="N7" s="129"/>
      <c r="O7" s="129"/>
      <c r="Q7" s="19" t="s">
        <v>11</v>
      </c>
      <c r="R7" s="133" t="s">
        <v>12</v>
      </c>
      <c r="S7" s="26">
        <f>COUNTIF(D$4:D$18,1)</f>
        <v>0</v>
      </c>
      <c r="T7" s="26">
        <f t="shared" ref="T7:AD7" si="4">COUNTIF(E$4:E$18,1)</f>
        <v>0</v>
      </c>
      <c r="U7" s="26">
        <f t="shared" si="4"/>
        <v>0</v>
      </c>
      <c r="V7" s="26">
        <f t="shared" si="4"/>
        <v>0</v>
      </c>
      <c r="W7" s="26">
        <f t="shared" si="4"/>
        <v>0</v>
      </c>
      <c r="X7" s="26">
        <f t="shared" si="4"/>
        <v>0</v>
      </c>
      <c r="Y7" s="26">
        <f t="shared" si="4"/>
        <v>0</v>
      </c>
      <c r="Z7" s="26">
        <f t="shared" si="4"/>
        <v>0</v>
      </c>
      <c r="AA7" s="26">
        <f t="shared" si="4"/>
        <v>0</v>
      </c>
      <c r="AB7" s="26">
        <f t="shared" si="4"/>
        <v>0</v>
      </c>
      <c r="AC7" s="26">
        <f t="shared" si="4"/>
        <v>0</v>
      </c>
      <c r="AD7" s="26">
        <f t="shared" si="4"/>
        <v>0</v>
      </c>
      <c r="AE7" s="26">
        <v>32</v>
      </c>
      <c r="AF7" s="26">
        <v>34</v>
      </c>
      <c r="AG7" s="26">
        <v>32</v>
      </c>
      <c r="AH7" s="26"/>
      <c r="AI7" s="26">
        <v>30</v>
      </c>
      <c r="AJ7" s="26"/>
    </row>
    <row r="8" spans="2:36" x14ac:dyDescent="0.35">
      <c r="B8" s="215"/>
      <c r="C8" s="142" t="s">
        <v>142</v>
      </c>
      <c r="D8" s="16"/>
      <c r="E8" s="26"/>
      <c r="F8" s="26"/>
      <c r="G8" s="16"/>
      <c r="H8" s="17"/>
      <c r="I8" s="17"/>
      <c r="J8" s="31"/>
      <c r="K8" s="31"/>
      <c r="L8" s="31"/>
      <c r="M8" s="31"/>
      <c r="N8" s="31"/>
      <c r="O8" s="31"/>
      <c r="Q8" s="19" t="s">
        <v>13</v>
      </c>
      <c r="R8" s="133" t="s">
        <v>14</v>
      </c>
      <c r="S8" s="56">
        <f t="shared" ref="S8:AD8" si="5">COUNTIF(D$4:D$18,0)</f>
        <v>0</v>
      </c>
      <c r="T8" s="56">
        <f t="shared" si="5"/>
        <v>0</v>
      </c>
      <c r="U8" s="56">
        <f t="shared" si="5"/>
        <v>0</v>
      </c>
      <c r="V8" s="56">
        <f t="shared" si="5"/>
        <v>0</v>
      </c>
      <c r="W8" s="56">
        <f t="shared" si="5"/>
        <v>0</v>
      </c>
      <c r="X8" s="56">
        <f t="shared" si="5"/>
        <v>0</v>
      </c>
      <c r="Y8" s="56">
        <f t="shared" si="5"/>
        <v>0</v>
      </c>
      <c r="Z8" s="56">
        <f t="shared" si="5"/>
        <v>0</v>
      </c>
      <c r="AA8" s="56">
        <f t="shared" si="5"/>
        <v>0</v>
      </c>
      <c r="AB8" s="56">
        <f t="shared" si="5"/>
        <v>0</v>
      </c>
      <c r="AC8" s="56">
        <f t="shared" si="5"/>
        <v>0</v>
      </c>
      <c r="AD8" s="56">
        <f t="shared" si="5"/>
        <v>0</v>
      </c>
      <c r="AE8" s="56">
        <v>3</v>
      </c>
      <c r="AF8" s="56">
        <v>15</v>
      </c>
      <c r="AG8" s="149">
        <v>8</v>
      </c>
      <c r="AH8" s="56"/>
      <c r="AI8" s="56">
        <v>6</v>
      </c>
      <c r="AJ8" s="56"/>
    </row>
    <row r="9" spans="2:36" ht="15" customHeight="1" x14ac:dyDescent="0.35">
      <c r="B9" s="215"/>
      <c r="C9" s="142" t="s">
        <v>143</v>
      </c>
      <c r="D9" s="16"/>
      <c r="E9" s="26"/>
      <c r="F9" s="26"/>
      <c r="G9" s="16"/>
      <c r="H9" s="17"/>
      <c r="I9" s="17"/>
      <c r="J9" s="31"/>
      <c r="K9" s="31"/>
      <c r="L9" s="31"/>
      <c r="M9" s="31"/>
      <c r="N9" s="31"/>
      <c r="O9" s="31"/>
      <c r="Q9" s="2"/>
      <c r="R9" s="2"/>
      <c r="S9" s="130">
        <f>SUM(S4:S8)</f>
        <v>0</v>
      </c>
      <c r="T9" s="130">
        <f t="shared" ref="T9:AE9" si="6">SUM(T4:T8)</f>
        <v>0</v>
      </c>
      <c r="U9" s="130">
        <f t="shared" si="6"/>
        <v>0</v>
      </c>
      <c r="V9" s="130">
        <f t="shared" si="6"/>
        <v>0</v>
      </c>
      <c r="W9" s="130">
        <f t="shared" si="6"/>
        <v>0</v>
      </c>
      <c r="X9" s="130">
        <f t="shared" si="6"/>
        <v>0</v>
      </c>
      <c r="Y9" s="130">
        <f t="shared" si="6"/>
        <v>0</v>
      </c>
      <c r="Z9" s="130">
        <f t="shared" si="6"/>
        <v>0</v>
      </c>
      <c r="AA9" s="130">
        <f t="shared" si="6"/>
        <v>0</v>
      </c>
      <c r="AB9" s="130">
        <f t="shared" si="6"/>
        <v>0</v>
      </c>
      <c r="AC9" s="130">
        <f t="shared" si="6"/>
        <v>0</v>
      </c>
      <c r="AD9" s="130">
        <f t="shared" si="6"/>
        <v>0</v>
      </c>
      <c r="AE9" s="130">
        <f t="shared" si="6"/>
        <v>72</v>
      </c>
      <c r="AF9" s="130">
        <f>SUM(AF4:AF8)</f>
        <v>105</v>
      </c>
      <c r="AG9" s="159">
        <f>SUM(AG4:AG8)</f>
        <v>108</v>
      </c>
      <c r="AH9" s="130">
        <v>108</v>
      </c>
      <c r="AI9" s="130">
        <f>SUM(AI4:AI8)</f>
        <v>108</v>
      </c>
      <c r="AJ9" s="130">
        <v>108</v>
      </c>
    </row>
    <row r="10" spans="2:36" x14ac:dyDescent="0.35">
      <c r="B10" s="215"/>
      <c r="C10" s="142" t="s">
        <v>300</v>
      </c>
      <c r="D10" s="15"/>
      <c r="E10" s="26"/>
      <c r="F10" s="26"/>
      <c r="G10" s="15"/>
      <c r="H10" s="16"/>
      <c r="I10" s="17"/>
      <c r="J10" s="17"/>
      <c r="K10" s="17"/>
      <c r="L10" s="17"/>
      <c r="M10" s="17"/>
      <c r="N10" s="17"/>
      <c r="O10" s="17"/>
      <c r="Q10" s="2"/>
      <c r="R10" s="2"/>
    </row>
    <row r="11" spans="2:36" x14ac:dyDescent="0.35">
      <c r="B11" s="215"/>
      <c r="C11" s="142" t="s">
        <v>145</v>
      </c>
      <c r="D11" s="15"/>
      <c r="E11" s="16"/>
      <c r="F11" s="16"/>
      <c r="G11" s="15"/>
      <c r="H11" s="17"/>
      <c r="I11" s="17"/>
      <c r="J11" s="17"/>
      <c r="K11" s="17"/>
      <c r="L11" s="17"/>
      <c r="M11" s="17"/>
      <c r="N11" s="17"/>
      <c r="O11" s="17"/>
      <c r="Q11" s="2"/>
      <c r="AB11" s="139" t="s">
        <v>364</v>
      </c>
      <c r="AC11" s="178" t="s">
        <v>365</v>
      </c>
      <c r="AD11" s="178"/>
      <c r="AE11" s="140">
        <f>SUM(AE12:AE14)</f>
        <v>0.51388888888888895</v>
      </c>
      <c r="AF11" s="140">
        <f t="shared" ref="AF11:AJ11" si="7">SUM(AF12:AF14)</f>
        <v>0.53333333333333333</v>
      </c>
      <c r="AG11" s="140">
        <f t="shared" si="7"/>
        <v>0.62962962962962965</v>
      </c>
      <c r="AH11" s="140">
        <f t="shared" si="7"/>
        <v>0</v>
      </c>
      <c r="AI11" s="140">
        <f t="shared" si="7"/>
        <v>0.66666666666666663</v>
      </c>
      <c r="AJ11" s="140">
        <f t="shared" si="7"/>
        <v>0</v>
      </c>
    </row>
    <row r="12" spans="2:36" x14ac:dyDescent="0.35">
      <c r="B12" s="215"/>
      <c r="C12" s="142" t="s">
        <v>146</v>
      </c>
      <c r="D12" s="31"/>
      <c r="E12" s="17"/>
      <c r="F12" s="17"/>
      <c r="G12" s="31"/>
      <c r="H12" s="17"/>
      <c r="I12" s="17"/>
      <c r="J12" s="17"/>
      <c r="K12" s="17"/>
      <c r="L12" s="17"/>
      <c r="M12" s="17"/>
      <c r="N12" s="17"/>
      <c r="O12" s="17"/>
      <c r="AB12" s="19" t="s">
        <v>5</v>
      </c>
      <c r="AC12" s="170" t="s">
        <v>6</v>
      </c>
      <c r="AD12" s="170"/>
      <c r="AE12" s="36">
        <f t="shared" ref="AE12:AE17" si="8">AE4/$AE$9</f>
        <v>0</v>
      </c>
      <c r="AF12" s="36">
        <f>AF4/$AF$9</f>
        <v>0</v>
      </c>
      <c r="AG12" s="36">
        <f>AG4/$AG$9</f>
        <v>0</v>
      </c>
      <c r="AH12" s="36">
        <f>AH4/$AH$9</f>
        <v>0</v>
      </c>
      <c r="AI12" s="36">
        <f>AI4/$AI$9</f>
        <v>0</v>
      </c>
      <c r="AJ12" s="36">
        <f>AJ4/$AJ$9</f>
        <v>0</v>
      </c>
    </row>
    <row r="13" spans="2:36" x14ac:dyDescent="0.35">
      <c r="B13" s="215"/>
      <c r="C13" s="142" t="s">
        <v>147</v>
      </c>
      <c r="D13" s="26"/>
      <c r="E13" s="26"/>
      <c r="F13" s="26"/>
      <c r="G13" s="16"/>
      <c r="H13" s="26"/>
      <c r="I13" s="17"/>
      <c r="J13" s="17"/>
      <c r="K13" s="17"/>
      <c r="L13" s="17"/>
      <c r="M13" s="17"/>
      <c r="N13" s="17"/>
      <c r="O13" s="17"/>
      <c r="AB13" s="19" t="s">
        <v>7</v>
      </c>
      <c r="AC13" s="170" t="s">
        <v>8</v>
      </c>
      <c r="AD13" s="170"/>
      <c r="AE13" s="57">
        <f t="shared" si="8"/>
        <v>8.3333333333333329E-2</v>
      </c>
      <c r="AF13" s="57">
        <f t="shared" ref="AF13:AF17" si="9">AF5/$AF$9</f>
        <v>3.8095238095238099E-2</v>
      </c>
      <c r="AG13" s="57">
        <f t="shared" ref="AG13:AG16" si="10">AG5/$AG$9</f>
        <v>5.5555555555555552E-2</v>
      </c>
      <c r="AH13" s="57">
        <f t="shared" ref="AH13:AH17" si="11">AH5/$AH$9</f>
        <v>0</v>
      </c>
      <c r="AI13" s="57">
        <f t="shared" ref="AI13:AI17" si="12">AI5/$AI$9</f>
        <v>6.4814814814814811E-2</v>
      </c>
      <c r="AJ13" s="57">
        <f t="shared" ref="AJ13:AJ17" si="13">AJ5/$AJ$9</f>
        <v>0</v>
      </c>
    </row>
    <row r="14" spans="2:36" x14ac:dyDescent="0.35">
      <c r="B14" s="216"/>
      <c r="C14" s="142" t="s">
        <v>148</v>
      </c>
      <c r="D14" s="17"/>
      <c r="E14" s="17"/>
      <c r="F14" s="17"/>
      <c r="G14" s="17"/>
      <c r="H14" s="17"/>
      <c r="I14" s="17"/>
      <c r="J14" s="31"/>
      <c r="K14" s="31"/>
      <c r="L14" s="31"/>
      <c r="M14" s="31"/>
      <c r="N14" s="31"/>
      <c r="O14" s="31"/>
      <c r="AB14" s="19" t="s">
        <v>9</v>
      </c>
      <c r="AC14" s="170" t="s">
        <v>10</v>
      </c>
      <c r="AD14" s="170"/>
      <c r="AE14" s="58">
        <f t="shared" si="8"/>
        <v>0.43055555555555558</v>
      </c>
      <c r="AF14" s="58">
        <f t="shared" si="9"/>
        <v>0.49523809523809526</v>
      </c>
      <c r="AG14" s="58">
        <f t="shared" si="10"/>
        <v>0.57407407407407407</v>
      </c>
      <c r="AH14" s="58">
        <f t="shared" si="11"/>
        <v>0</v>
      </c>
      <c r="AI14" s="58">
        <f t="shared" si="12"/>
        <v>0.60185185185185186</v>
      </c>
      <c r="AJ14" s="58">
        <f t="shared" si="13"/>
        <v>0</v>
      </c>
    </row>
    <row r="15" spans="2:36" ht="24" x14ac:dyDescent="0.35">
      <c r="B15" s="214" t="s">
        <v>301</v>
      </c>
      <c r="C15" s="143" t="s">
        <v>302</v>
      </c>
      <c r="D15" s="31"/>
      <c r="E15" s="17"/>
      <c r="F15" s="17"/>
      <c r="G15" s="31"/>
      <c r="H15" s="31"/>
      <c r="I15" s="17"/>
      <c r="J15" s="31"/>
      <c r="K15" s="31"/>
      <c r="L15" s="31"/>
      <c r="M15" s="31"/>
      <c r="N15" s="31"/>
      <c r="O15" s="31"/>
      <c r="AB15" s="19" t="s">
        <v>11</v>
      </c>
      <c r="AC15" s="170" t="s">
        <v>12</v>
      </c>
      <c r="AD15" s="170"/>
      <c r="AE15" s="59">
        <f t="shared" si="8"/>
        <v>0.44444444444444442</v>
      </c>
      <c r="AF15" s="59">
        <f t="shared" si="9"/>
        <v>0.32380952380952382</v>
      </c>
      <c r="AG15" s="59">
        <f t="shared" si="10"/>
        <v>0.29629629629629628</v>
      </c>
      <c r="AH15" s="59">
        <f t="shared" si="11"/>
        <v>0</v>
      </c>
      <c r="AI15" s="59">
        <f t="shared" si="12"/>
        <v>0.27777777777777779</v>
      </c>
      <c r="AJ15" s="59">
        <f t="shared" si="13"/>
        <v>0</v>
      </c>
    </row>
    <row r="16" spans="2:36" ht="24" x14ac:dyDescent="0.35">
      <c r="B16" s="215"/>
      <c r="C16" s="143" t="s">
        <v>133</v>
      </c>
      <c r="D16" s="31"/>
      <c r="E16" s="17"/>
      <c r="F16" s="17"/>
      <c r="G16" s="31"/>
      <c r="H16" s="31"/>
      <c r="I16" s="17"/>
      <c r="J16" s="31"/>
      <c r="K16" s="31"/>
      <c r="L16" s="31"/>
      <c r="M16" s="31"/>
      <c r="N16" s="31"/>
      <c r="O16" s="31"/>
      <c r="AB16" s="19" t="s">
        <v>13</v>
      </c>
      <c r="AC16" s="170" t="s">
        <v>14</v>
      </c>
      <c r="AD16" s="170"/>
      <c r="AE16" s="60">
        <f t="shared" si="8"/>
        <v>4.1666666666666664E-2</v>
      </c>
      <c r="AF16" s="60">
        <f t="shared" si="9"/>
        <v>0.14285714285714285</v>
      </c>
      <c r="AG16" s="60">
        <f t="shared" si="10"/>
        <v>7.407407407407407E-2</v>
      </c>
      <c r="AH16" s="60">
        <f t="shared" si="11"/>
        <v>0</v>
      </c>
      <c r="AI16" s="60">
        <f t="shared" si="12"/>
        <v>5.5555555555555552E-2</v>
      </c>
      <c r="AJ16" s="60">
        <f t="shared" si="13"/>
        <v>0</v>
      </c>
    </row>
    <row r="17" spans="2:36" ht="24" x14ac:dyDescent="0.35">
      <c r="B17" s="215"/>
      <c r="C17" s="143" t="s">
        <v>303</v>
      </c>
      <c r="D17" s="31"/>
      <c r="E17" s="17"/>
      <c r="F17" s="17"/>
      <c r="G17" s="31"/>
      <c r="H17" s="31"/>
      <c r="I17" s="17"/>
      <c r="J17" s="31"/>
      <c r="K17" s="31"/>
      <c r="L17" s="31"/>
      <c r="M17" s="31"/>
      <c r="N17" s="31"/>
      <c r="O17" s="31"/>
      <c r="AB17" s="165" t="s">
        <v>210</v>
      </c>
      <c r="AC17" s="165"/>
      <c r="AD17" s="165"/>
      <c r="AE17" s="64">
        <f t="shared" si="8"/>
        <v>1</v>
      </c>
      <c r="AF17" s="64">
        <f t="shared" si="9"/>
        <v>1</v>
      </c>
      <c r="AG17" s="64">
        <f>AG9/$AG$9</f>
        <v>1</v>
      </c>
      <c r="AH17" s="64">
        <f t="shared" si="11"/>
        <v>1</v>
      </c>
      <c r="AI17" s="64">
        <f t="shared" si="12"/>
        <v>1</v>
      </c>
      <c r="AJ17" s="64">
        <f t="shared" si="13"/>
        <v>1</v>
      </c>
    </row>
    <row r="18" spans="2:36" x14ac:dyDescent="0.35">
      <c r="B18" s="216"/>
      <c r="C18" s="143" t="s">
        <v>304</v>
      </c>
      <c r="D18" s="31"/>
      <c r="E18" s="17"/>
      <c r="F18" s="17"/>
      <c r="G18" s="31"/>
      <c r="H18" s="31"/>
      <c r="I18" s="17"/>
      <c r="J18" s="31"/>
      <c r="K18" s="31"/>
      <c r="L18" s="31"/>
      <c r="M18" s="31"/>
      <c r="N18" s="31"/>
      <c r="O18" s="31"/>
      <c r="AB18" s="160" t="s">
        <v>241</v>
      </c>
      <c r="AC18" s="160"/>
      <c r="AD18" s="160"/>
      <c r="AE18" s="166">
        <v>0.7</v>
      </c>
      <c r="AF18" s="167"/>
      <c r="AG18" s="168"/>
      <c r="AH18" s="168"/>
      <c r="AI18" s="168"/>
      <c r="AJ18" s="169"/>
    </row>
    <row r="19" spans="2:36" x14ac:dyDescent="0.35">
      <c r="D19" s="132" t="e">
        <f>AVERAGE(D4:D18)</f>
        <v>#DIV/0!</v>
      </c>
      <c r="E19" s="132" t="e">
        <f t="shared" ref="E19:L19" si="14">AVERAGE(E4:E18)</f>
        <v>#DIV/0!</v>
      </c>
      <c r="F19" s="132" t="e">
        <f t="shared" si="14"/>
        <v>#DIV/0!</v>
      </c>
      <c r="G19" s="132" t="e">
        <f t="shared" si="14"/>
        <v>#DIV/0!</v>
      </c>
      <c r="H19" s="132" t="e">
        <f t="shared" si="14"/>
        <v>#DIV/0!</v>
      </c>
      <c r="I19" s="132" t="e">
        <f t="shared" si="14"/>
        <v>#DIV/0!</v>
      </c>
      <c r="J19" s="132" t="e">
        <f t="shared" si="14"/>
        <v>#DIV/0!</v>
      </c>
      <c r="K19" s="132" t="e">
        <f t="shared" si="14"/>
        <v>#DIV/0!</v>
      </c>
      <c r="L19" s="132" t="e">
        <f t="shared" si="14"/>
        <v>#DIV/0!</v>
      </c>
      <c r="M19" s="132"/>
      <c r="N19" s="132"/>
      <c r="O19" s="132"/>
      <c r="AB19" s="160" t="s">
        <v>16</v>
      </c>
      <c r="AC19" s="160"/>
      <c r="AD19" s="160"/>
      <c r="AE19" s="166"/>
      <c r="AF19" s="167"/>
      <c r="AG19" s="168"/>
      <c r="AH19" s="168"/>
      <c r="AI19" s="168"/>
      <c r="AJ19" s="169"/>
    </row>
    <row r="20" spans="2:36" ht="12.5" thickBot="1" x14ac:dyDescent="0.4">
      <c r="B20" s="45"/>
      <c r="C20" s="45"/>
      <c r="D20" s="46"/>
      <c r="E20" s="46"/>
      <c r="F20" s="46"/>
      <c r="G20" s="46"/>
      <c r="H20" s="46"/>
      <c r="I20" s="46"/>
      <c r="J20" s="46"/>
      <c r="K20" s="46"/>
      <c r="L20" s="46"/>
      <c r="M20" s="46"/>
      <c r="N20" s="46"/>
      <c r="O20" s="46"/>
      <c r="AB20" s="160" t="s">
        <v>360</v>
      </c>
      <c r="AC20" s="160"/>
      <c r="AD20" s="160"/>
      <c r="AE20" s="166">
        <f>SUM(AG12:AG14)</f>
        <v>0.62962962962962965</v>
      </c>
      <c r="AF20" s="167"/>
      <c r="AG20" s="168"/>
      <c r="AH20" s="168"/>
      <c r="AI20" s="168"/>
      <c r="AJ20" s="169"/>
    </row>
    <row r="21" spans="2:36" x14ac:dyDescent="0.35">
      <c r="B21" s="47" t="s">
        <v>211</v>
      </c>
      <c r="C21" s="48" t="s">
        <v>299</v>
      </c>
      <c r="D21" s="49"/>
      <c r="E21" s="50"/>
      <c r="F21" s="50"/>
      <c r="G21" s="45"/>
      <c r="AB21" s="160" t="s">
        <v>363</v>
      </c>
      <c r="AC21" s="160"/>
      <c r="AD21" s="160"/>
      <c r="AE21" s="161">
        <f>AE18-AE20</f>
        <v>7.0370370370370305E-2</v>
      </c>
      <c r="AF21" s="162"/>
      <c r="AG21" s="163"/>
      <c r="AH21" s="163"/>
      <c r="AI21" s="163"/>
      <c r="AJ21" s="164"/>
    </row>
    <row r="22" spans="2:36" ht="12.5" thickBot="1" x14ac:dyDescent="0.4">
      <c r="B22" s="51" t="s">
        <v>213</v>
      </c>
      <c r="C22" s="52" t="s">
        <v>305</v>
      </c>
      <c r="D22" s="49"/>
      <c r="E22" s="50"/>
      <c r="F22" s="50"/>
      <c r="G22" s="45"/>
    </row>
    <row r="23" spans="2:36" x14ac:dyDescent="0.35">
      <c r="B23" s="45"/>
      <c r="C23" s="45"/>
      <c r="D23" s="45"/>
      <c r="E23" s="50"/>
      <c r="F23" s="50"/>
      <c r="G23" s="45"/>
    </row>
    <row r="24" spans="2:36" x14ac:dyDescent="0.35">
      <c r="B24" s="45"/>
      <c r="C24" s="45"/>
      <c r="D24" s="45"/>
      <c r="E24" s="50"/>
      <c r="F24" s="50"/>
      <c r="G24" s="45"/>
    </row>
    <row r="25" spans="2:36" x14ac:dyDescent="0.35">
      <c r="B25" s="45"/>
      <c r="C25" s="45"/>
      <c r="D25" s="45"/>
      <c r="E25" s="50"/>
      <c r="F25" s="50"/>
      <c r="G25" s="45"/>
    </row>
    <row r="26" spans="2:36" x14ac:dyDescent="0.35">
      <c r="B26" s="45"/>
      <c r="C26" s="45"/>
      <c r="D26" s="45"/>
      <c r="E26" s="50"/>
      <c r="F26" s="50"/>
      <c r="G26" s="45"/>
    </row>
  </sheetData>
  <mergeCells count="19">
    <mergeCell ref="B2:C2"/>
    <mergeCell ref="D2:O2"/>
    <mergeCell ref="AC11:AD11"/>
    <mergeCell ref="AC12:AD12"/>
    <mergeCell ref="AC13:AD13"/>
    <mergeCell ref="AB21:AD21"/>
    <mergeCell ref="AE21:AJ21"/>
    <mergeCell ref="B4:B14"/>
    <mergeCell ref="B15:B18"/>
    <mergeCell ref="AB17:AD17"/>
    <mergeCell ref="AB18:AD18"/>
    <mergeCell ref="AE18:AJ18"/>
    <mergeCell ref="AB19:AD19"/>
    <mergeCell ref="AE19:AJ19"/>
    <mergeCell ref="AB20:AD20"/>
    <mergeCell ref="AE20:AJ20"/>
    <mergeCell ref="AC14:AD14"/>
    <mergeCell ref="AC15:AD15"/>
    <mergeCell ref="AC16:AD16"/>
  </mergeCells>
  <conditionalFormatting sqref="D4:O18">
    <cfRule type="cellIs" dxfId="17" priority="1" operator="equal">
      <formula>4</formula>
    </cfRule>
    <cfRule type="cellIs" dxfId="16" priority="2" operator="equal">
      <formula>3</formula>
    </cfRule>
    <cfRule type="cellIs" dxfId="15" priority="3" operator="equal">
      <formula>2</formula>
    </cfRule>
    <cfRule type="cellIs" dxfId="14" priority="4" operator="equal">
      <formula>1</formula>
    </cfRule>
    <cfRule type="cellIs" dxfId="13" priority="5" operator="equal">
      <formula>0</formula>
    </cfRule>
  </conditionalFormatting>
  <conditionalFormatting sqref="AE20:AJ21">
    <cfRule type="cellIs" dxfId="12" priority="11" operator="greaterThanOrEqual">
      <formula>1</formula>
    </cfRule>
  </conditionalFormatting>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45210-1A54-466B-82AA-01F77F7BEFB6}">
  <dimension ref="B1:V42"/>
  <sheetViews>
    <sheetView showGridLines="0" zoomScaleNormal="100" workbookViewId="0">
      <selection activeCell="E32" sqref="E32"/>
    </sheetView>
  </sheetViews>
  <sheetFormatPr defaultColWidth="8.81640625" defaultRowHeight="12" x14ac:dyDescent="0.35"/>
  <cols>
    <col min="1" max="1" width="2.54296875" style="1" customWidth="1"/>
    <col min="2" max="2" width="13" style="1" bestFit="1" customWidth="1"/>
    <col min="3" max="3" width="45.1796875" style="1" customWidth="1"/>
    <col min="4" max="4" width="9" style="1" customWidth="1"/>
    <col min="5" max="6" width="9" style="2" customWidth="1"/>
    <col min="7" max="7" width="3.1796875" style="2" customWidth="1"/>
    <col min="8" max="8" width="6.54296875" style="1" bestFit="1" customWidth="1"/>
    <col min="9" max="9" width="9.54296875" style="1" customWidth="1"/>
    <col min="10" max="17" width="8.453125" style="2" customWidth="1"/>
    <col min="18" max="18" width="6.54296875" style="1" customWidth="1"/>
    <col min="19" max="19" width="3.453125" style="2" bestFit="1" customWidth="1"/>
    <col min="20" max="20" width="7.54296875" style="2" bestFit="1" customWidth="1"/>
    <col min="21" max="21" width="37" style="3" customWidth="1"/>
    <col min="22" max="22" width="10.81640625" style="1" bestFit="1" customWidth="1"/>
    <col min="23" max="16384" width="8.81640625" style="1"/>
  </cols>
  <sheetData>
    <row r="1" spans="2:22" ht="12.5" thickBot="1" x14ac:dyDescent="0.4"/>
    <row r="2" spans="2:22" s="4" customFormat="1" x14ac:dyDescent="0.35">
      <c r="B2" s="220" t="s">
        <v>175</v>
      </c>
      <c r="C2" s="221"/>
      <c r="D2" s="221" t="s">
        <v>317</v>
      </c>
      <c r="E2" s="221"/>
      <c r="F2" s="221"/>
      <c r="G2" s="86"/>
      <c r="J2" s="5"/>
      <c r="K2" s="5"/>
      <c r="L2" s="5"/>
      <c r="M2" s="5"/>
      <c r="N2" s="5"/>
      <c r="O2" s="5"/>
      <c r="P2" s="5"/>
      <c r="Q2" s="5"/>
      <c r="S2" s="5"/>
      <c r="T2" s="5"/>
      <c r="U2" s="6"/>
    </row>
    <row r="3" spans="2:22" x14ac:dyDescent="0.35">
      <c r="B3" s="96" t="s">
        <v>179</v>
      </c>
      <c r="C3" s="95" t="s">
        <v>318</v>
      </c>
      <c r="D3" s="98" t="s">
        <v>325</v>
      </c>
      <c r="E3" s="98" t="s">
        <v>326</v>
      </c>
      <c r="F3" s="98" t="s">
        <v>327</v>
      </c>
      <c r="G3" s="93"/>
      <c r="J3" s="2">
        <f>SUM(J4:J8)</f>
        <v>29</v>
      </c>
      <c r="K3" s="2">
        <f t="shared" ref="K3:Q3" si="0">SUM(K4:K8)</f>
        <v>29</v>
      </c>
      <c r="L3" s="2">
        <f t="shared" si="0"/>
        <v>29</v>
      </c>
      <c r="M3" s="2">
        <f t="shared" si="0"/>
        <v>0</v>
      </c>
      <c r="N3" s="2">
        <f t="shared" si="0"/>
        <v>87</v>
      </c>
      <c r="O3" s="2">
        <f t="shared" si="0"/>
        <v>87</v>
      </c>
      <c r="P3" s="2">
        <f t="shared" si="0"/>
        <v>87</v>
      </c>
      <c r="Q3" s="2">
        <f t="shared" si="0"/>
        <v>0</v>
      </c>
      <c r="S3" s="11" t="s">
        <v>191</v>
      </c>
      <c r="T3" s="11" t="s">
        <v>192</v>
      </c>
      <c r="U3" s="12" t="s">
        <v>22</v>
      </c>
      <c r="V3" s="13" t="s">
        <v>193</v>
      </c>
    </row>
    <row r="4" spans="2:22" x14ac:dyDescent="0.35">
      <c r="B4" s="217" t="s">
        <v>328</v>
      </c>
      <c r="C4" s="88" t="s">
        <v>24</v>
      </c>
      <c r="D4" s="85">
        <v>2</v>
      </c>
      <c r="E4" s="85">
        <v>1</v>
      </c>
      <c r="F4" s="85">
        <v>0</v>
      </c>
      <c r="G4" s="87"/>
      <c r="H4" s="19" t="s">
        <v>5</v>
      </c>
      <c r="I4" s="20" t="s">
        <v>6</v>
      </c>
      <c r="J4" s="80">
        <f>COUNTIF(D$4:D$34,4)</f>
        <v>0</v>
      </c>
      <c r="K4" s="80">
        <f>COUNTIF(E$4:E$34,4)</f>
        <v>0</v>
      </c>
      <c r="L4" s="80">
        <f>COUNTIF(F$4:F$34,4)</f>
        <v>0</v>
      </c>
      <c r="M4" s="80">
        <v>0</v>
      </c>
      <c r="N4" s="80">
        <v>0</v>
      </c>
      <c r="O4" s="80">
        <v>0</v>
      </c>
      <c r="P4" s="80">
        <v>0</v>
      </c>
      <c r="Q4" s="80">
        <v>0</v>
      </c>
      <c r="S4" s="23">
        <v>1</v>
      </c>
      <c r="T4" s="28">
        <v>45845</v>
      </c>
      <c r="U4" s="24" t="s">
        <v>197</v>
      </c>
      <c r="V4" s="25" t="s">
        <v>207</v>
      </c>
    </row>
    <row r="5" spans="2:22" x14ac:dyDescent="0.35">
      <c r="B5" s="218"/>
      <c r="C5" s="88" t="s">
        <v>26</v>
      </c>
      <c r="D5" s="85">
        <v>2</v>
      </c>
      <c r="E5" s="85">
        <v>1</v>
      </c>
      <c r="F5" s="85">
        <v>0</v>
      </c>
      <c r="G5" s="87"/>
      <c r="H5" s="19" t="s">
        <v>7</v>
      </c>
      <c r="I5" s="20" t="s">
        <v>8</v>
      </c>
      <c r="J5" s="15">
        <f>COUNTIF(D$4:D$34,3)</f>
        <v>3</v>
      </c>
      <c r="K5" s="15">
        <f>COUNTIF(E$4:E$34,3)</f>
        <v>0</v>
      </c>
      <c r="L5" s="15">
        <f>COUNTIF(F$4:F$34,3)</f>
        <v>0</v>
      </c>
      <c r="M5" s="15">
        <v>0</v>
      </c>
      <c r="N5" s="15">
        <v>0</v>
      </c>
      <c r="O5" s="15">
        <v>3</v>
      </c>
      <c r="P5" s="15">
        <v>3</v>
      </c>
      <c r="Q5" s="15"/>
      <c r="S5" s="23"/>
      <c r="T5" s="28"/>
      <c r="U5" s="89"/>
      <c r="V5" s="25"/>
    </row>
    <row r="6" spans="2:22" x14ac:dyDescent="0.35">
      <c r="B6" s="218"/>
      <c r="C6" s="88" t="s">
        <v>28</v>
      </c>
      <c r="D6" s="85">
        <v>2</v>
      </c>
      <c r="E6" s="85">
        <v>1</v>
      </c>
      <c r="F6" s="85">
        <v>0</v>
      </c>
      <c r="G6" s="87"/>
      <c r="H6" s="19" t="s">
        <v>9</v>
      </c>
      <c r="I6" s="20" t="s">
        <v>10</v>
      </c>
      <c r="J6" s="16">
        <f>COUNTIF(D$4:D$34,2)</f>
        <v>18</v>
      </c>
      <c r="K6" s="16">
        <f>COUNTIF(E$4:E$34,2)</f>
        <v>6</v>
      </c>
      <c r="L6" s="16">
        <f>COUNTIF(F$4:F$34,2)</f>
        <v>0</v>
      </c>
      <c r="M6" s="16">
        <v>0</v>
      </c>
      <c r="N6" s="16">
        <v>26</v>
      </c>
      <c r="O6" s="16">
        <v>26</v>
      </c>
      <c r="P6" s="16">
        <v>40</v>
      </c>
      <c r="Q6" s="16"/>
      <c r="S6" s="23"/>
      <c r="T6" s="28"/>
      <c r="U6" s="24"/>
      <c r="V6" s="25"/>
    </row>
    <row r="7" spans="2:22" x14ac:dyDescent="0.35">
      <c r="B7" s="218"/>
      <c r="C7" s="90" t="s">
        <v>30</v>
      </c>
      <c r="D7" s="85">
        <v>2</v>
      </c>
      <c r="E7" s="85">
        <v>1</v>
      </c>
      <c r="F7" s="85">
        <v>0</v>
      </c>
      <c r="G7" s="87"/>
      <c r="H7" s="19" t="s">
        <v>11</v>
      </c>
      <c r="I7" s="20" t="s">
        <v>12</v>
      </c>
      <c r="J7" s="100">
        <f>COUNTIF(D$4:D$34,1)</f>
        <v>7</v>
      </c>
      <c r="K7" s="100">
        <f>COUNTIF(E$4:E$34,1)</f>
        <v>18</v>
      </c>
      <c r="L7" s="100">
        <f>COUNTIF(F$4:F$34,1)</f>
        <v>0</v>
      </c>
      <c r="M7" s="100">
        <v>0</v>
      </c>
      <c r="N7" s="100">
        <v>26</v>
      </c>
      <c r="O7" s="100">
        <v>23</v>
      </c>
      <c r="P7" s="100">
        <v>30</v>
      </c>
      <c r="Q7" s="100"/>
      <c r="S7" s="23"/>
      <c r="T7" s="28"/>
      <c r="U7" s="24"/>
      <c r="V7" s="25"/>
    </row>
    <row r="8" spans="2:22" x14ac:dyDescent="0.35">
      <c r="B8" s="218"/>
      <c r="C8" s="90" t="s">
        <v>32</v>
      </c>
      <c r="D8" s="85">
        <v>1</v>
      </c>
      <c r="E8" s="85">
        <v>1</v>
      </c>
      <c r="F8" s="85">
        <v>0</v>
      </c>
      <c r="G8" s="87"/>
      <c r="H8" s="19" t="s">
        <v>13</v>
      </c>
      <c r="I8" s="20" t="s">
        <v>14</v>
      </c>
      <c r="J8" s="56">
        <f>COUNTIF(D$4:D$34,0)</f>
        <v>1</v>
      </c>
      <c r="K8" s="56">
        <f>COUNTIF(E$4:E$34,0)</f>
        <v>5</v>
      </c>
      <c r="L8" s="56">
        <f>COUNTIF(F$4:F$34,0)</f>
        <v>29</v>
      </c>
      <c r="M8" s="56">
        <v>0</v>
      </c>
      <c r="N8" s="56">
        <v>35</v>
      </c>
      <c r="O8" s="56">
        <v>35</v>
      </c>
      <c r="P8" s="56">
        <v>14</v>
      </c>
      <c r="Q8" s="56"/>
      <c r="S8" s="23"/>
      <c r="T8" s="28"/>
      <c r="U8" s="24"/>
      <c r="V8" s="25"/>
    </row>
    <row r="9" spans="2:22" x14ac:dyDescent="0.35">
      <c r="B9" s="218"/>
      <c r="C9" s="90" t="s">
        <v>34</v>
      </c>
      <c r="D9" s="85">
        <v>1</v>
      </c>
      <c r="E9" s="85">
        <v>1</v>
      </c>
      <c r="F9" s="85">
        <v>0</v>
      </c>
      <c r="G9" s="87"/>
      <c r="H9" s="2"/>
      <c r="I9" s="19" t="s">
        <v>195</v>
      </c>
      <c r="J9" s="101">
        <v>2</v>
      </c>
      <c r="K9" s="101">
        <v>2</v>
      </c>
      <c r="L9" s="101">
        <v>2</v>
      </c>
      <c r="M9" s="101">
        <v>0</v>
      </c>
      <c r="N9" s="101">
        <v>6</v>
      </c>
      <c r="O9" s="101">
        <v>6</v>
      </c>
      <c r="P9" s="101">
        <v>6</v>
      </c>
      <c r="Q9" s="101">
        <v>6</v>
      </c>
      <c r="S9" s="3"/>
      <c r="T9" s="3"/>
      <c r="V9" s="3"/>
    </row>
    <row r="10" spans="2:22" ht="24" x14ac:dyDescent="0.35">
      <c r="B10" s="218"/>
      <c r="C10" s="90" t="s">
        <v>36</v>
      </c>
      <c r="D10" s="85">
        <v>2</v>
      </c>
      <c r="E10" s="85">
        <v>1</v>
      </c>
      <c r="F10" s="85">
        <v>0</v>
      </c>
      <c r="G10" s="87"/>
      <c r="H10" s="2"/>
      <c r="I10" s="2"/>
      <c r="J10" s="99" t="str">
        <f>D3</f>
        <v>Binesh</v>
      </c>
      <c r="K10" s="99" t="str">
        <f>E3</f>
        <v>Marivel</v>
      </c>
      <c r="L10" s="99" t="str">
        <f>F3</f>
        <v>Prakash</v>
      </c>
      <c r="M10" s="33" t="s">
        <v>0</v>
      </c>
      <c r="N10" s="33" t="s">
        <v>1</v>
      </c>
      <c r="O10" s="33" t="s">
        <v>2</v>
      </c>
      <c r="P10" s="33" t="s">
        <v>3</v>
      </c>
      <c r="Q10" s="33" t="s">
        <v>4</v>
      </c>
      <c r="S10" s="3"/>
      <c r="T10" s="3"/>
      <c r="V10" s="3"/>
    </row>
    <row r="11" spans="2:22" x14ac:dyDescent="0.35">
      <c r="B11" s="218"/>
      <c r="C11" s="90" t="s">
        <v>38</v>
      </c>
      <c r="D11" s="85">
        <v>1</v>
      </c>
      <c r="E11" s="85">
        <v>1</v>
      </c>
      <c r="F11" s="85">
        <v>0</v>
      </c>
      <c r="G11" s="87"/>
      <c r="H11" s="2"/>
      <c r="I11" s="2"/>
      <c r="J11" s="91"/>
      <c r="K11" s="91"/>
      <c r="L11" s="91"/>
    </row>
    <row r="12" spans="2:22" x14ac:dyDescent="0.35">
      <c r="B12" s="218"/>
      <c r="C12" s="90" t="s">
        <v>40</v>
      </c>
      <c r="D12" s="85">
        <v>3</v>
      </c>
      <c r="E12" s="85">
        <v>0</v>
      </c>
      <c r="F12" s="85">
        <v>0</v>
      </c>
      <c r="G12" s="87"/>
      <c r="K12" s="19" t="s">
        <v>5</v>
      </c>
      <c r="L12" s="84" t="s">
        <v>6</v>
      </c>
      <c r="M12" s="82"/>
      <c r="N12" s="82">
        <f>N4/$N$3</f>
        <v>0</v>
      </c>
      <c r="O12" s="82">
        <f>O4/$O$3</f>
        <v>0</v>
      </c>
      <c r="P12" s="82">
        <f>P4/$P$3</f>
        <v>0</v>
      </c>
      <c r="Q12" s="82" t="e">
        <f>Q4/$Q$3</f>
        <v>#DIV/0!</v>
      </c>
    </row>
    <row r="13" spans="2:22" x14ac:dyDescent="0.35">
      <c r="B13" s="219"/>
      <c r="C13" s="90" t="s">
        <v>42</v>
      </c>
      <c r="D13" s="85" t="s">
        <v>195</v>
      </c>
      <c r="E13" s="85" t="s">
        <v>195</v>
      </c>
      <c r="F13" s="85" t="s">
        <v>195</v>
      </c>
      <c r="G13" s="87"/>
      <c r="K13" s="19" t="s">
        <v>7</v>
      </c>
      <c r="L13" s="84" t="s">
        <v>8</v>
      </c>
      <c r="M13" s="57"/>
      <c r="N13" s="57">
        <f>N5/$N$3</f>
        <v>0</v>
      </c>
      <c r="O13" s="57">
        <f>O5/$O$3</f>
        <v>3.4482758620689655E-2</v>
      </c>
      <c r="P13" s="57">
        <f>P5/$P$3</f>
        <v>3.4482758620689655E-2</v>
      </c>
      <c r="Q13" s="57" t="e">
        <f>Q5/$Q$3</f>
        <v>#DIV/0!</v>
      </c>
    </row>
    <row r="14" spans="2:22" x14ac:dyDescent="0.35">
      <c r="B14" s="217" t="s">
        <v>329</v>
      </c>
      <c r="C14" s="90" t="s">
        <v>45</v>
      </c>
      <c r="D14" s="85">
        <v>3</v>
      </c>
      <c r="E14" s="85">
        <v>1</v>
      </c>
      <c r="F14" s="85">
        <v>0</v>
      </c>
      <c r="G14" s="87"/>
      <c r="K14" s="19" t="s">
        <v>9</v>
      </c>
      <c r="L14" s="84" t="s">
        <v>10</v>
      </c>
      <c r="M14" s="58"/>
      <c r="N14" s="58">
        <f>N6/$N$3</f>
        <v>0.2988505747126437</v>
      </c>
      <c r="O14" s="58">
        <f>O6/$O$3</f>
        <v>0.2988505747126437</v>
      </c>
      <c r="P14" s="58">
        <f>P6/$P$3</f>
        <v>0.45977011494252873</v>
      </c>
      <c r="Q14" s="58" t="e">
        <f>Q6/$Q$3</f>
        <v>#DIV/0!</v>
      </c>
    </row>
    <row r="15" spans="2:22" x14ac:dyDescent="0.35">
      <c r="B15" s="218"/>
      <c r="C15" s="90" t="s">
        <v>47</v>
      </c>
      <c r="D15" s="85">
        <v>2</v>
      </c>
      <c r="E15" s="85">
        <v>1</v>
      </c>
      <c r="F15" s="85">
        <v>0</v>
      </c>
      <c r="G15" s="87"/>
      <c r="K15" s="19" t="s">
        <v>11</v>
      </c>
      <c r="L15" s="84" t="s">
        <v>12</v>
      </c>
      <c r="M15" s="59"/>
      <c r="N15" s="59">
        <f>N7/$N$3</f>
        <v>0.2988505747126437</v>
      </c>
      <c r="O15" s="59">
        <f>O7/$O$3</f>
        <v>0.26436781609195403</v>
      </c>
      <c r="P15" s="59">
        <f>P7/$P$3</f>
        <v>0.34482758620689657</v>
      </c>
      <c r="Q15" s="59" t="e">
        <f>Q7/$Q$3</f>
        <v>#DIV/0!</v>
      </c>
    </row>
    <row r="16" spans="2:22" x14ac:dyDescent="0.35">
      <c r="B16" s="218"/>
      <c r="C16" s="90" t="s">
        <v>49</v>
      </c>
      <c r="D16" s="85">
        <v>2</v>
      </c>
      <c r="E16" s="85">
        <v>2</v>
      </c>
      <c r="F16" s="85">
        <v>0</v>
      </c>
      <c r="G16" s="87"/>
      <c r="K16" s="19" t="s">
        <v>13</v>
      </c>
      <c r="L16" s="84" t="s">
        <v>14</v>
      </c>
      <c r="M16" s="60"/>
      <c r="N16" s="60">
        <f>N8/$N$3</f>
        <v>0.40229885057471265</v>
      </c>
      <c r="O16" s="60">
        <f>O8/$O$3</f>
        <v>0.40229885057471265</v>
      </c>
      <c r="P16" s="60">
        <f>P8/$P$3</f>
        <v>0.16091954022988506</v>
      </c>
      <c r="Q16" s="60" t="e">
        <f>Q8/$Q$3</f>
        <v>#DIV/0!</v>
      </c>
    </row>
    <row r="17" spans="2:22" ht="14.5" x14ac:dyDescent="0.35">
      <c r="B17" s="218"/>
      <c r="C17" s="90" t="s">
        <v>51</v>
      </c>
      <c r="D17" s="85">
        <v>2</v>
      </c>
      <c r="E17" s="85">
        <v>1</v>
      </c>
      <c r="F17" s="85">
        <v>0</v>
      </c>
      <c r="G17" s="87"/>
      <c r="J17" s="94"/>
      <c r="K17" s="165" t="s">
        <v>210</v>
      </c>
      <c r="L17" s="165"/>
      <c r="M17" s="64"/>
      <c r="N17" s="64">
        <f>SUM(N12:N16)</f>
        <v>1</v>
      </c>
      <c r="O17" s="64">
        <f t="shared" ref="O17:P17" si="1">SUM(O12:O16)</f>
        <v>1</v>
      </c>
      <c r="P17" s="64">
        <f t="shared" si="1"/>
        <v>1</v>
      </c>
      <c r="Q17" s="64" t="e">
        <f>SUM(Q12:Q16)</f>
        <v>#DIV/0!</v>
      </c>
    </row>
    <row r="18" spans="2:22" x14ac:dyDescent="0.35">
      <c r="B18" s="218"/>
      <c r="C18" s="90" t="s">
        <v>53</v>
      </c>
      <c r="D18" s="85">
        <v>3</v>
      </c>
      <c r="E18" s="85">
        <v>2</v>
      </c>
      <c r="F18" s="85">
        <v>0</v>
      </c>
      <c r="G18" s="87"/>
      <c r="K18" s="160" t="s">
        <v>15</v>
      </c>
      <c r="L18" s="160"/>
      <c r="M18" s="166">
        <v>0.65</v>
      </c>
      <c r="N18" s="168"/>
      <c r="O18" s="168"/>
      <c r="P18" s="168"/>
      <c r="Q18" s="169"/>
    </row>
    <row r="19" spans="2:22" x14ac:dyDescent="0.35">
      <c r="B19" s="218"/>
      <c r="C19" s="90" t="s">
        <v>55</v>
      </c>
      <c r="D19" s="85">
        <v>1</v>
      </c>
      <c r="E19" s="85">
        <v>1</v>
      </c>
      <c r="F19" s="85">
        <v>0</v>
      </c>
      <c r="G19" s="87"/>
      <c r="H19" s="3"/>
      <c r="I19" s="92"/>
      <c r="K19" s="160" t="s">
        <v>16</v>
      </c>
      <c r="L19" s="160"/>
      <c r="M19" s="166">
        <f>O12+O13+O14</f>
        <v>0.33333333333333337</v>
      </c>
      <c r="N19" s="168"/>
      <c r="O19" s="168"/>
      <c r="P19" s="168"/>
      <c r="Q19" s="169"/>
    </row>
    <row r="20" spans="2:22" x14ac:dyDescent="0.35">
      <c r="B20" s="218"/>
      <c r="C20" s="90" t="s">
        <v>57</v>
      </c>
      <c r="D20" s="85">
        <v>1</v>
      </c>
      <c r="E20" s="85">
        <v>0</v>
      </c>
      <c r="F20" s="85">
        <v>0</v>
      </c>
      <c r="G20" s="87"/>
      <c r="H20" s="3"/>
      <c r="I20" s="92"/>
      <c r="K20" s="160" t="s">
        <v>17</v>
      </c>
      <c r="L20" s="160"/>
      <c r="M20" s="166">
        <f>SUM(P12:P14)</f>
        <v>0.4942528735632184</v>
      </c>
      <c r="N20" s="168"/>
      <c r="O20" s="168"/>
      <c r="P20" s="168"/>
      <c r="Q20" s="169"/>
    </row>
    <row r="21" spans="2:22" s="2" customFormat="1" x14ac:dyDescent="0.35">
      <c r="B21" s="218"/>
      <c r="C21" s="90" t="s">
        <v>59</v>
      </c>
      <c r="D21" s="85">
        <v>2</v>
      </c>
      <c r="E21" s="85">
        <v>0</v>
      </c>
      <c r="F21" s="85">
        <v>0</v>
      </c>
      <c r="G21" s="87"/>
      <c r="H21" s="3"/>
      <c r="I21" s="92"/>
      <c r="K21" s="160" t="s">
        <v>18</v>
      </c>
      <c r="L21" s="160"/>
      <c r="M21" s="161">
        <f>M20-M18</f>
        <v>-0.15574712643678162</v>
      </c>
      <c r="N21" s="163"/>
      <c r="O21" s="163"/>
      <c r="P21" s="163"/>
      <c r="Q21" s="164"/>
      <c r="R21" s="1"/>
      <c r="U21" s="3"/>
      <c r="V21" s="1"/>
    </row>
    <row r="22" spans="2:22" s="2" customFormat="1" x14ac:dyDescent="0.35">
      <c r="B22" s="218"/>
      <c r="C22" s="90" t="s">
        <v>61</v>
      </c>
      <c r="D22" s="85">
        <v>1</v>
      </c>
      <c r="E22" s="85">
        <v>1</v>
      </c>
      <c r="F22" s="85">
        <v>0</v>
      </c>
      <c r="G22" s="87"/>
      <c r="H22" s="3"/>
      <c r="I22" s="92"/>
      <c r="R22" s="1"/>
      <c r="U22" s="3"/>
      <c r="V22" s="1"/>
    </row>
    <row r="23" spans="2:22" s="2" customFormat="1" x14ac:dyDescent="0.35">
      <c r="B23" s="218"/>
      <c r="C23" s="90" t="s">
        <v>330</v>
      </c>
      <c r="D23" s="85">
        <v>0</v>
      </c>
      <c r="E23" s="85">
        <v>0</v>
      </c>
      <c r="F23" s="85">
        <v>0</v>
      </c>
      <c r="G23" s="87"/>
      <c r="H23" s="3"/>
      <c r="I23" s="92"/>
      <c r="R23" s="1"/>
      <c r="U23" s="3"/>
      <c r="V23" s="1"/>
    </row>
    <row r="24" spans="2:22" s="2" customFormat="1" x14ac:dyDescent="0.35">
      <c r="B24" s="218"/>
      <c r="C24" s="90" t="s">
        <v>65</v>
      </c>
      <c r="D24" s="85">
        <v>1</v>
      </c>
      <c r="E24" s="85">
        <v>0</v>
      </c>
      <c r="F24" s="85">
        <v>0</v>
      </c>
      <c r="G24" s="46"/>
      <c r="H24" s="1"/>
      <c r="I24" s="1"/>
      <c r="R24" s="1"/>
      <c r="U24" s="3"/>
      <c r="V24" s="1"/>
    </row>
    <row r="25" spans="2:22" s="2" customFormat="1" x14ac:dyDescent="0.35">
      <c r="B25" s="219"/>
      <c r="C25" s="90" t="s">
        <v>67</v>
      </c>
      <c r="D25" s="85" t="s">
        <v>195</v>
      </c>
      <c r="E25" s="85" t="s">
        <v>195</v>
      </c>
      <c r="F25" s="85" t="s">
        <v>195</v>
      </c>
      <c r="H25" s="1"/>
      <c r="I25" s="1"/>
      <c r="R25" s="1"/>
      <c r="U25" s="3"/>
      <c r="V25" s="1"/>
    </row>
    <row r="26" spans="2:22" s="2" customFormat="1" x14ac:dyDescent="0.35">
      <c r="B26" s="217" t="s">
        <v>331</v>
      </c>
      <c r="C26" s="90" t="s">
        <v>70</v>
      </c>
      <c r="D26" s="85">
        <v>2</v>
      </c>
      <c r="E26" s="85">
        <v>2</v>
      </c>
      <c r="F26" s="85">
        <v>0</v>
      </c>
      <c r="H26" s="1"/>
      <c r="I26" s="1"/>
      <c r="R26" s="1"/>
      <c r="U26" s="3"/>
      <c r="V26" s="1"/>
    </row>
    <row r="27" spans="2:22" s="2" customFormat="1" x14ac:dyDescent="0.35">
      <c r="B27" s="218"/>
      <c r="C27" s="90" t="s">
        <v>72</v>
      </c>
      <c r="D27" s="85">
        <v>2</v>
      </c>
      <c r="E27" s="85">
        <v>2</v>
      </c>
      <c r="F27" s="85">
        <v>0</v>
      </c>
      <c r="H27" s="1"/>
      <c r="I27" s="1"/>
      <c r="R27" s="1"/>
      <c r="U27" s="3"/>
      <c r="V27" s="1"/>
    </row>
    <row r="28" spans="2:22" s="2" customFormat="1" x14ac:dyDescent="0.35">
      <c r="B28" s="218"/>
      <c r="C28" s="90" t="s">
        <v>74</v>
      </c>
      <c r="D28" s="85">
        <v>2</v>
      </c>
      <c r="E28" s="85">
        <v>1</v>
      </c>
      <c r="F28" s="85">
        <v>0</v>
      </c>
      <c r="H28" s="1"/>
      <c r="I28" s="1"/>
      <c r="R28" s="1"/>
      <c r="U28" s="3"/>
      <c r="V28" s="1"/>
    </row>
    <row r="29" spans="2:22" s="2" customFormat="1" x14ac:dyDescent="0.35">
      <c r="B29" s="218"/>
      <c r="C29" s="90" t="s">
        <v>76</v>
      </c>
      <c r="D29" s="85">
        <v>2</v>
      </c>
      <c r="E29" s="85">
        <v>2</v>
      </c>
      <c r="F29" s="85">
        <v>0</v>
      </c>
      <c r="H29" s="1"/>
      <c r="I29" s="1"/>
      <c r="R29" s="1"/>
      <c r="U29" s="3"/>
      <c r="V29" s="1"/>
    </row>
    <row r="30" spans="2:22" s="2" customFormat="1" x14ac:dyDescent="0.35">
      <c r="B30" s="218"/>
      <c r="C30" s="90" t="s">
        <v>78</v>
      </c>
      <c r="D30" s="85">
        <v>2</v>
      </c>
      <c r="E30" s="85">
        <v>2</v>
      </c>
      <c r="F30" s="85">
        <v>0</v>
      </c>
      <c r="H30" s="1"/>
      <c r="I30" s="1"/>
      <c r="R30" s="1"/>
      <c r="U30" s="3"/>
      <c r="V30" s="1"/>
    </row>
    <row r="31" spans="2:22" x14ac:dyDescent="0.35">
      <c r="B31" s="218"/>
      <c r="C31" s="90" t="s">
        <v>80</v>
      </c>
      <c r="D31" s="85">
        <v>2</v>
      </c>
      <c r="E31" s="85">
        <v>1</v>
      </c>
      <c r="F31" s="85">
        <v>0</v>
      </c>
    </row>
    <row r="32" spans="2:22" x14ac:dyDescent="0.35">
      <c r="B32" s="218"/>
      <c r="C32" s="90" t="s">
        <v>82</v>
      </c>
      <c r="D32" s="85">
        <v>2</v>
      </c>
      <c r="E32" s="85">
        <v>1</v>
      </c>
      <c r="F32" s="85">
        <v>0</v>
      </c>
    </row>
    <row r="33" spans="2:6" x14ac:dyDescent="0.35">
      <c r="B33" s="219"/>
      <c r="C33" s="90" t="s">
        <v>84</v>
      </c>
      <c r="D33" s="85">
        <v>2</v>
      </c>
      <c r="E33" s="85">
        <v>1</v>
      </c>
      <c r="F33" s="85">
        <v>0</v>
      </c>
    </row>
    <row r="34" spans="2:6" x14ac:dyDescent="0.35">
      <c r="B34" s="97" t="s">
        <v>332</v>
      </c>
      <c r="C34" s="90" t="s">
        <v>87</v>
      </c>
      <c r="D34" s="85">
        <v>2</v>
      </c>
      <c r="E34" s="85">
        <v>1</v>
      </c>
      <c r="F34" s="85">
        <v>0</v>
      </c>
    </row>
    <row r="35" spans="2:6" x14ac:dyDescent="0.35">
      <c r="B35" s="102"/>
      <c r="C35" s="103"/>
      <c r="D35" s="104">
        <f>AVERAGE(D4:D34)</f>
        <v>1.7931034482758621</v>
      </c>
      <c r="E35" s="104">
        <f t="shared" ref="E35:F35" si="2">AVERAGE(E4:E34)</f>
        <v>1.0344827586206897</v>
      </c>
      <c r="F35" s="104">
        <f t="shared" si="2"/>
        <v>0</v>
      </c>
    </row>
    <row r="36" spans="2:6" ht="12.5" thickBot="1" x14ac:dyDescent="0.4">
      <c r="B36" s="45"/>
      <c r="C36" s="45"/>
      <c r="D36" s="46"/>
      <c r="E36" s="46"/>
      <c r="F36" s="46"/>
    </row>
    <row r="37" spans="2:6" x14ac:dyDescent="0.35">
      <c r="B37" s="47" t="s">
        <v>211</v>
      </c>
      <c r="C37" s="48" t="s">
        <v>207</v>
      </c>
      <c r="D37" s="45"/>
    </row>
    <row r="38" spans="2:6" ht="12.5" thickBot="1" x14ac:dyDescent="0.4">
      <c r="B38" s="51" t="s">
        <v>213</v>
      </c>
      <c r="C38" s="52" t="s">
        <v>333</v>
      </c>
      <c r="D38" s="45"/>
    </row>
    <row r="39" spans="2:6" x14ac:dyDescent="0.35">
      <c r="B39" s="45"/>
      <c r="C39" s="45"/>
      <c r="D39" s="45"/>
    </row>
    <row r="40" spans="2:6" x14ac:dyDescent="0.35">
      <c r="B40" s="45"/>
      <c r="C40" s="45"/>
      <c r="D40" s="45"/>
    </row>
    <row r="41" spans="2:6" x14ac:dyDescent="0.35">
      <c r="B41" s="45"/>
      <c r="C41" s="45"/>
      <c r="D41" s="45"/>
    </row>
    <row r="42" spans="2:6" x14ac:dyDescent="0.35">
      <c r="B42" s="45"/>
      <c r="C42" s="45"/>
      <c r="D42" s="45"/>
    </row>
  </sheetData>
  <mergeCells count="14">
    <mergeCell ref="M21:Q21"/>
    <mergeCell ref="B26:B33"/>
    <mergeCell ref="B2:C2"/>
    <mergeCell ref="D2:F2"/>
    <mergeCell ref="K17:L17"/>
    <mergeCell ref="B4:B13"/>
    <mergeCell ref="B14:B25"/>
    <mergeCell ref="K18:L18"/>
    <mergeCell ref="K21:L21"/>
    <mergeCell ref="M18:Q18"/>
    <mergeCell ref="K19:L19"/>
    <mergeCell ref="M19:Q19"/>
    <mergeCell ref="K20:L20"/>
    <mergeCell ref="M20:Q20"/>
  </mergeCells>
  <conditionalFormatting sqref="D4:F34">
    <cfRule type="cellIs" priority="3" operator="equal">
      <formula>"NA"</formula>
    </cfRule>
    <cfRule type="cellIs" dxfId="11" priority="4" operator="equal">
      <formula>4</formula>
    </cfRule>
    <cfRule type="cellIs" dxfId="10" priority="5" operator="equal">
      <formula>3</formula>
    </cfRule>
    <cfRule type="cellIs" dxfId="9" priority="6" operator="equal">
      <formula>2</formula>
    </cfRule>
    <cfRule type="cellIs" dxfId="8" priority="7" operator="equal">
      <formula>1</formula>
    </cfRule>
    <cfRule type="cellIs" dxfId="7" priority="8" operator="equal">
      <formula>0</formula>
    </cfRule>
  </conditionalFormatting>
  <conditionalFormatting sqref="M20:Q21">
    <cfRule type="cellIs" dxfId="6" priority="1" operator="greaterThanOrEqual">
      <formula>1</formula>
    </cfRule>
  </conditionalFormatting>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64E89-0B3F-45A0-86F9-BEB0EFFF92C4}">
  <dimension ref="B2:AJ42"/>
  <sheetViews>
    <sheetView showGridLines="0" zoomScaleNormal="100" workbookViewId="0">
      <selection activeCell="D4" sqref="D4:F34"/>
    </sheetView>
  </sheetViews>
  <sheetFormatPr defaultColWidth="8.81640625" defaultRowHeight="12" x14ac:dyDescent="0.35"/>
  <cols>
    <col min="1" max="1" width="2.90625" style="1" customWidth="1"/>
    <col min="2" max="2" width="13" style="1" bestFit="1" customWidth="1"/>
    <col min="3" max="3" width="27.453125" style="1" bestFit="1" customWidth="1"/>
    <col min="4" max="4" width="7.81640625" style="1" customWidth="1"/>
    <col min="5" max="6" width="7.81640625" style="2" customWidth="1"/>
    <col min="7" max="7" width="7.81640625" style="1" customWidth="1"/>
    <col min="8" max="15" width="7.81640625" style="2" customWidth="1"/>
    <col min="16" max="16" width="2.453125" style="1" customWidth="1"/>
    <col min="17" max="17" width="6.54296875" style="1" bestFit="1" customWidth="1"/>
    <col min="18" max="18" width="9.36328125" style="1" bestFit="1" customWidth="1"/>
    <col min="19" max="36" width="7.54296875" style="2" customWidth="1"/>
    <col min="37" max="16384" width="8.81640625" style="1"/>
  </cols>
  <sheetData>
    <row r="2" spans="2:36" s="4" customFormat="1" x14ac:dyDescent="0.35">
      <c r="B2" s="171" t="s">
        <v>234</v>
      </c>
      <c r="C2" s="171"/>
      <c r="D2" s="165" t="s">
        <v>375</v>
      </c>
      <c r="E2" s="165"/>
      <c r="F2" s="165"/>
      <c r="G2" s="165"/>
      <c r="H2" s="165"/>
      <c r="I2" s="165"/>
      <c r="J2" s="165"/>
      <c r="K2" s="165"/>
      <c r="L2" s="165"/>
      <c r="M2" s="165"/>
      <c r="N2" s="165"/>
      <c r="O2" s="165"/>
      <c r="S2" s="5"/>
      <c r="T2" s="5"/>
      <c r="U2" s="5"/>
      <c r="V2" s="5"/>
      <c r="W2" s="5"/>
      <c r="X2" s="5"/>
      <c r="Y2" s="5"/>
      <c r="Z2" s="5"/>
      <c r="AA2" s="5"/>
      <c r="AB2" s="5"/>
      <c r="AC2" s="5"/>
      <c r="AD2" s="5"/>
      <c r="AE2" s="5"/>
      <c r="AF2" s="5"/>
      <c r="AG2" s="5"/>
      <c r="AH2" s="5"/>
      <c r="AI2" s="5"/>
      <c r="AJ2" s="5"/>
    </row>
    <row r="3" spans="2:36" ht="24" x14ac:dyDescent="0.35">
      <c r="B3" s="145"/>
      <c r="C3" s="145"/>
      <c r="D3" s="130" t="s">
        <v>325</v>
      </c>
      <c r="E3" s="130" t="s">
        <v>326</v>
      </c>
      <c r="F3" s="130" t="s">
        <v>334</v>
      </c>
      <c r="G3" s="130"/>
      <c r="H3" s="130"/>
      <c r="I3" s="130"/>
      <c r="J3" s="130"/>
      <c r="K3" s="130"/>
      <c r="L3" s="130"/>
      <c r="M3" s="130"/>
      <c r="N3" s="130"/>
      <c r="O3" s="130"/>
      <c r="S3" s="130" t="str">
        <f>D3</f>
        <v>Binesh</v>
      </c>
      <c r="T3" s="130" t="str">
        <f t="shared" ref="T3:AD3" si="0">E3</f>
        <v>Marivel</v>
      </c>
      <c r="U3" s="130" t="str">
        <f t="shared" si="0"/>
        <v>Raj</v>
      </c>
      <c r="V3" s="130">
        <f t="shared" si="0"/>
        <v>0</v>
      </c>
      <c r="W3" s="130">
        <f t="shared" si="0"/>
        <v>0</v>
      </c>
      <c r="X3" s="130">
        <f t="shared" si="0"/>
        <v>0</v>
      </c>
      <c r="Y3" s="130">
        <f t="shared" si="0"/>
        <v>0</v>
      </c>
      <c r="Z3" s="130">
        <f t="shared" si="0"/>
        <v>0</v>
      </c>
      <c r="AA3" s="130">
        <f t="shared" si="0"/>
        <v>0</v>
      </c>
      <c r="AB3" s="130">
        <f t="shared" si="0"/>
        <v>0</v>
      </c>
      <c r="AC3" s="130">
        <f t="shared" si="0"/>
        <v>0</v>
      </c>
      <c r="AD3" s="130">
        <f t="shared" si="0"/>
        <v>0</v>
      </c>
      <c r="AE3" s="134" t="s">
        <v>0</v>
      </c>
      <c r="AF3" s="134" t="s">
        <v>362</v>
      </c>
      <c r="AG3" s="134" t="s">
        <v>345</v>
      </c>
      <c r="AH3" s="134" t="s">
        <v>350</v>
      </c>
      <c r="AI3" s="134" t="s">
        <v>347</v>
      </c>
      <c r="AJ3" s="134" t="s">
        <v>348</v>
      </c>
    </row>
    <row r="4" spans="2:36" x14ac:dyDescent="0.35">
      <c r="B4" s="170" t="s">
        <v>328</v>
      </c>
      <c r="C4" s="141" t="s">
        <v>24</v>
      </c>
      <c r="D4" s="15"/>
      <c r="E4" s="16"/>
      <c r="F4" s="16"/>
      <c r="G4" s="15"/>
      <c r="H4" s="16"/>
      <c r="I4" s="17"/>
      <c r="J4" s="17"/>
      <c r="K4" s="17"/>
      <c r="L4" s="17"/>
      <c r="M4" s="17"/>
      <c r="N4" s="17"/>
      <c r="O4" s="17"/>
      <c r="Q4" s="19" t="s">
        <v>5</v>
      </c>
      <c r="R4" s="133" t="s">
        <v>6</v>
      </c>
      <c r="S4" s="21">
        <f t="shared" ref="S4:AD4" si="1">COUNTIF(D$4:D$34,4)</f>
        <v>0</v>
      </c>
      <c r="T4" s="21">
        <f t="shared" si="1"/>
        <v>0</v>
      </c>
      <c r="U4" s="21">
        <f t="shared" si="1"/>
        <v>0</v>
      </c>
      <c r="V4" s="21">
        <f t="shared" si="1"/>
        <v>0</v>
      </c>
      <c r="W4" s="21">
        <f t="shared" si="1"/>
        <v>0</v>
      </c>
      <c r="X4" s="21">
        <f t="shared" si="1"/>
        <v>0</v>
      </c>
      <c r="Y4" s="21">
        <f t="shared" si="1"/>
        <v>0</v>
      </c>
      <c r="Z4" s="21">
        <f t="shared" si="1"/>
        <v>0</v>
      </c>
      <c r="AA4" s="21">
        <f t="shared" si="1"/>
        <v>0</v>
      </c>
      <c r="AB4" s="21">
        <f t="shared" si="1"/>
        <v>0</v>
      </c>
      <c r="AC4" s="21">
        <f t="shared" si="1"/>
        <v>0</v>
      </c>
      <c r="AD4" s="21">
        <f t="shared" si="1"/>
        <v>0</v>
      </c>
      <c r="AE4" s="21">
        <v>0</v>
      </c>
      <c r="AF4" s="21">
        <v>0</v>
      </c>
      <c r="AG4" s="21">
        <f>SUM(S4:U4)</f>
        <v>0</v>
      </c>
      <c r="AH4" s="21"/>
      <c r="AI4" s="22">
        <v>0</v>
      </c>
      <c r="AJ4" s="21"/>
    </row>
    <row r="5" spans="2:36" x14ac:dyDescent="0.35">
      <c r="B5" s="170"/>
      <c r="C5" s="141" t="s">
        <v>26</v>
      </c>
      <c r="D5" s="15"/>
      <c r="E5" s="26"/>
      <c r="F5" s="26"/>
      <c r="G5" s="15"/>
      <c r="H5" s="16"/>
      <c r="I5" s="17"/>
      <c r="J5" s="17"/>
      <c r="K5" s="17"/>
      <c r="L5" s="17"/>
      <c r="M5" s="17"/>
      <c r="N5" s="17"/>
      <c r="O5" s="17"/>
      <c r="Q5" s="19" t="s">
        <v>7</v>
      </c>
      <c r="R5" s="133" t="s">
        <v>8</v>
      </c>
      <c r="S5" s="15">
        <f t="shared" ref="S5:AD5" si="2">COUNTIF(D$4:D$34,3)</f>
        <v>0</v>
      </c>
      <c r="T5" s="15">
        <f t="shared" si="2"/>
        <v>0</v>
      </c>
      <c r="U5" s="15">
        <f t="shared" si="2"/>
        <v>0</v>
      </c>
      <c r="V5" s="15">
        <f t="shared" si="2"/>
        <v>0</v>
      </c>
      <c r="W5" s="15">
        <f t="shared" si="2"/>
        <v>0</v>
      </c>
      <c r="X5" s="15">
        <f t="shared" si="2"/>
        <v>0</v>
      </c>
      <c r="Y5" s="15">
        <f t="shared" si="2"/>
        <v>0</v>
      </c>
      <c r="Z5" s="15">
        <f t="shared" si="2"/>
        <v>0</v>
      </c>
      <c r="AA5" s="15">
        <f t="shared" si="2"/>
        <v>0</v>
      </c>
      <c r="AB5" s="15">
        <f t="shared" si="2"/>
        <v>0</v>
      </c>
      <c r="AC5" s="15">
        <f t="shared" si="2"/>
        <v>0</v>
      </c>
      <c r="AD5" s="15">
        <f t="shared" si="2"/>
        <v>0</v>
      </c>
      <c r="AE5" s="15">
        <v>0</v>
      </c>
      <c r="AF5" s="15">
        <v>9</v>
      </c>
      <c r="AG5" s="15">
        <f t="shared" ref="AG5:AG8" si="3">SUM(S5:U5)</f>
        <v>0</v>
      </c>
      <c r="AH5" s="15"/>
      <c r="AI5" s="15">
        <v>12</v>
      </c>
      <c r="AJ5" s="15"/>
    </row>
    <row r="6" spans="2:36" x14ac:dyDescent="0.35">
      <c r="B6" s="170"/>
      <c r="C6" s="141" t="s">
        <v>28</v>
      </c>
      <c r="D6" s="15"/>
      <c r="E6" s="16"/>
      <c r="F6" s="16"/>
      <c r="G6" s="15"/>
      <c r="H6" s="16"/>
      <c r="I6" s="17"/>
      <c r="J6" s="17"/>
      <c r="K6" s="17"/>
      <c r="L6" s="17"/>
      <c r="M6" s="17"/>
      <c r="N6" s="17"/>
      <c r="O6" s="17"/>
      <c r="Q6" s="19" t="s">
        <v>9</v>
      </c>
      <c r="R6" s="133" t="s">
        <v>10</v>
      </c>
      <c r="S6" s="16">
        <f t="shared" ref="S6:AD6" si="4">COUNTIF(D$4:D$34,2)</f>
        <v>0</v>
      </c>
      <c r="T6" s="16">
        <f t="shared" si="4"/>
        <v>0</v>
      </c>
      <c r="U6" s="16">
        <f t="shared" si="4"/>
        <v>0</v>
      </c>
      <c r="V6" s="16">
        <f t="shared" si="4"/>
        <v>0</v>
      </c>
      <c r="W6" s="16">
        <f t="shared" si="4"/>
        <v>0</v>
      </c>
      <c r="X6" s="16">
        <f t="shared" si="4"/>
        <v>0</v>
      </c>
      <c r="Y6" s="16">
        <f t="shared" si="4"/>
        <v>0</v>
      </c>
      <c r="Z6" s="16">
        <f t="shared" si="4"/>
        <v>0</v>
      </c>
      <c r="AA6" s="16">
        <f t="shared" si="4"/>
        <v>0</v>
      </c>
      <c r="AB6" s="16">
        <f t="shared" si="4"/>
        <v>0</v>
      </c>
      <c r="AC6" s="16">
        <f t="shared" si="4"/>
        <v>0</v>
      </c>
      <c r="AD6" s="16">
        <f t="shared" si="4"/>
        <v>0</v>
      </c>
      <c r="AE6" s="16">
        <v>0</v>
      </c>
      <c r="AF6" s="16">
        <v>34</v>
      </c>
      <c r="AG6" s="16">
        <f t="shared" si="3"/>
        <v>0</v>
      </c>
      <c r="AH6" s="16"/>
      <c r="AI6" s="16">
        <v>50</v>
      </c>
      <c r="AJ6" s="16"/>
    </row>
    <row r="7" spans="2:36" x14ac:dyDescent="0.35">
      <c r="B7" s="170"/>
      <c r="C7" s="141" t="s">
        <v>30</v>
      </c>
      <c r="D7" s="16"/>
      <c r="E7" s="16"/>
      <c r="F7" s="16"/>
      <c r="G7" s="15"/>
      <c r="H7" s="26"/>
      <c r="I7" s="17"/>
      <c r="J7" s="17"/>
      <c r="K7" s="17"/>
      <c r="L7" s="17"/>
      <c r="M7" s="17"/>
      <c r="N7" s="17"/>
      <c r="O7" s="17"/>
      <c r="Q7" s="19" t="s">
        <v>11</v>
      </c>
      <c r="R7" s="133" t="s">
        <v>12</v>
      </c>
      <c r="S7" s="26">
        <f t="shared" ref="S7:AD7" si="5">COUNTIF(D$4:D$34,1)</f>
        <v>0</v>
      </c>
      <c r="T7" s="26">
        <f t="shared" si="5"/>
        <v>0</v>
      </c>
      <c r="U7" s="26">
        <f t="shared" si="5"/>
        <v>0</v>
      </c>
      <c r="V7" s="26">
        <f t="shared" si="5"/>
        <v>0</v>
      </c>
      <c r="W7" s="26">
        <f t="shared" si="5"/>
        <v>0</v>
      </c>
      <c r="X7" s="26">
        <f t="shared" si="5"/>
        <v>0</v>
      </c>
      <c r="Y7" s="26">
        <f t="shared" si="5"/>
        <v>0</v>
      </c>
      <c r="Z7" s="26">
        <f t="shared" si="5"/>
        <v>0</v>
      </c>
      <c r="AA7" s="26">
        <f t="shared" si="5"/>
        <v>0</v>
      </c>
      <c r="AB7" s="26">
        <f t="shared" si="5"/>
        <v>0</v>
      </c>
      <c r="AC7" s="26">
        <f t="shared" si="5"/>
        <v>0</v>
      </c>
      <c r="AD7" s="26">
        <f t="shared" si="5"/>
        <v>0</v>
      </c>
      <c r="AE7" s="26">
        <v>0</v>
      </c>
      <c r="AF7" s="26">
        <v>10</v>
      </c>
      <c r="AG7" s="26">
        <f t="shared" si="3"/>
        <v>0</v>
      </c>
      <c r="AH7" s="26"/>
      <c r="AI7" s="26">
        <v>18</v>
      </c>
      <c r="AJ7" s="26"/>
    </row>
    <row r="8" spans="2:36" x14ac:dyDescent="0.35">
      <c r="B8" s="170"/>
      <c r="C8" s="142" t="s">
        <v>32</v>
      </c>
      <c r="D8" s="16"/>
      <c r="E8" s="26"/>
      <c r="F8" s="26"/>
      <c r="G8" s="16"/>
      <c r="H8" s="26"/>
      <c r="I8" s="17"/>
      <c r="J8" s="31"/>
      <c r="K8" s="31"/>
      <c r="L8" s="31"/>
      <c r="M8" s="31"/>
      <c r="N8" s="31"/>
      <c r="O8" s="31"/>
      <c r="Q8" s="19" t="s">
        <v>13</v>
      </c>
      <c r="R8" s="133" t="s">
        <v>14</v>
      </c>
      <c r="S8" s="56">
        <f t="shared" ref="S8:AD8" si="6">COUNTIF(D$4:D$34,0)</f>
        <v>0</v>
      </c>
      <c r="T8" s="56">
        <f t="shared" si="6"/>
        <v>0</v>
      </c>
      <c r="U8" s="56">
        <f t="shared" si="6"/>
        <v>0</v>
      </c>
      <c r="V8" s="56">
        <f t="shared" si="6"/>
        <v>0</v>
      </c>
      <c r="W8" s="56">
        <f t="shared" si="6"/>
        <v>0</v>
      </c>
      <c r="X8" s="56">
        <f t="shared" si="6"/>
        <v>0</v>
      </c>
      <c r="Y8" s="56">
        <f t="shared" si="6"/>
        <v>0</v>
      </c>
      <c r="Z8" s="56">
        <f t="shared" si="6"/>
        <v>0</v>
      </c>
      <c r="AA8" s="56">
        <f t="shared" si="6"/>
        <v>0</v>
      </c>
      <c r="AB8" s="56">
        <f t="shared" si="6"/>
        <v>0</v>
      </c>
      <c r="AC8" s="56">
        <f t="shared" si="6"/>
        <v>0</v>
      </c>
      <c r="AD8" s="56">
        <f t="shared" si="6"/>
        <v>0</v>
      </c>
      <c r="AE8" s="56">
        <v>0</v>
      </c>
      <c r="AF8" s="56">
        <v>5</v>
      </c>
      <c r="AG8" s="56">
        <f t="shared" si="3"/>
        <v>0</v>
      </c>
      <c r="AH8" s="56"/>
      <c r="AI8" s="56">
        <v>7</v>
      </c>
      <c r="AJ8" s="56"/>
    </row>
    <row r="9" spans="2:36" ht="15" customHeight="1" x14ac:dyDescent="0.35">
      <c r="B9" s="170"/>
      <c r="C9" s="141" t="s">
        <v>34</v>
      </c>
      <c r="D9" s="16"/>
      <c r="E9" s="26"/>
      <c r="F9" s="26"/>
      <c r="G9" s="16"/>
      <c r="H9" s="26"/>
      <c r="I9" s="17"/>
      <c r="J9" s="31"/>
      <c r="K9" s="31"/>
      <c r="L9" s="31"/>
      <c r="M9" s="31"/>
      <c r="N9" s="31"/>
      <c r="O9" s="31"/>
      <c r="Q9" s="2"/>
      <c r="R9" s="2"/>
      <c r="S9" s="130">
        <f>SUM(S4:S8)</f>
        <v>0</v>
      </c>
      <c r="T9" s="130">
        <f t="shared" ref="T9:AI9" si="7">SUM(T4:T8)</f>
        <v>0</v>
      </c>
      <c r="U9" s="130">
        <f t="shared" si="7"/>
        <v>0</v>
      </c>
      <c r="V9" s="130">
        <f t="shared" si="7"/>
        <v>0</v>
      </c>
      <c r="W9" s="130">
        <f t="shared" si="7"/>
        <v>0</v>
      </c>
      <c r="X9" s="130">
        <f t="shared" si="7"/>
        <v>0</v>
      </c>
      <c r="Y9" s="130">
        <f t="shared" si="7"/>
        <v>0</v>
      </c>
      <c r="Z9" s="130">
        <f t="shared" si="7"/>
        <v>0</v>
      </c>
      <c r="AA9" s="130">
        <f t="shared" si="7"/>
        <v>0</v>
      </c>
      <c r="AB9" s="130">
        <f t="shared" si="7"/>
        <v>0</v>
      </c>
      <c r="AC9" s="130">
        <f t="shared" si="7"/>
        <v>0</v>
      </c>
      <c r="AD9" s="130">
        <f t="shared" si="7"/>
        <v>0</v>
      </c>
      <c r="AE9" s="130">
        <f t="shared" si="7"/>
        <v>0</v>
      </c>
      <c r="AF9" s="130">
        <f>SUM(AF4:AF8)</f>
        <v>58</v>
      </c>
      <c r="AG9" s="130">
        <f t="shared" si="7"/>
        <v>0</v>
      </c>
      <c r="AH9" s="130">
        <v>87</v>
      </c>
      <c r="AI9" s="130">
        <f t="shared" si="7"/>
        <v>87</v>
      </c>
      <c r="AJ9" s="130">
        <v>87</v>
      </c>
    </row>
    <row r="10" spans="2:36" x14ac:dyDescent="0.35">
      <c r="B10" s="170"/>
      <c r="C10" s="141" t="s">
        <v>36</v>
      </c>
      <c r="D10" s="16"/>
      <c r="E10" s="26"/>
      <c r="F10" s="26"/>
      <c r="G10" s="16"/>
      <c r="H10" s="26"/>
      <c r="I10" s="17"/>
      <c r="J10" s="31"/>
      <c r="K10" s="31"/>
      <c r="L10" s="31"/>
      <c r="M10" s="31"/>
      <c r="N10" s="31"/>
      <c r="O10" s="31"/>
      <c r="Q10" s="2"/>
      <c r="R10" s="2"/>
    </row>
    <row r="11" spans="2:36" x14ac:dyDescent="0.35">
      <c r="B11" s="170"/>
      <c r="C11" s="141" t="s">
        <v>38</v>
      </c>
      <c r="D11" s="16"/>
      <c r="E11" s="26"/>
      <c r="F11" s="26"/>
      <c r="G11" s="16"/>
      <c r="H11" s="26"/>
      <c r="I11" s="17"/>
      <c r="J11" s="31"/>
      <c r="K11" s="31"/>
      <c r="L11" s="31"/>
      <c r="M11" s="31"/>
      <c r="N11" s="31"/>
      <c r="O11" s="31"/>
      <c r="Q11" s="2"/>
      <c r="AB11" s="139" t="s">
        <v>364</v>
      </c>
      <c r="AC11" s="178" t="s">
        <v>365</v>
      </c>
      <c r="AD11" s="178"/>
      <c r="AE11" s="140">
        <f>SUM(AE12:AE14)</f>
        <v>0</v>
      </c>
      <c r="AF11" s="140">
        <f t="shared" ref="AF11:AJ11" si="8">SUM(AF12:AF14)</f>
        <v>0.74137931034482751</v>
      </c>
      <c r="AG11" s="140" t="e">
        <f t="shared" si="8"/>
        <v>#DIV/0!</v>
      </c>
      <c r="AH11" s="140">
        <f t="shared" si="8"/>
        <v>0</v>
      </c>
      <c r="AI11" s="140">
        <f t="shared" si="8"/>
        <v>0.71264367816091956</v>
      </c>
      <c r="AJ11" s="140">
        <f t="shared" si="8"/>
        <v>0</v>
      </c>
    </row>
    <row r="12" spans="2:36" x14ac:dyDescent="0.35">
      <c r="B12" s="170"/>
      <c r="C12" s="141" t="s">
        <v>40</v>
      </c>
      <c r="D12" s="16"/>
      <c r="E12" s="26"/>
      <c r="F12" s="26"/>
      <c r="G12" s="16"/>
      <c r="H12" s="26"/>
      <c r="I12" s="17"/>
      <c r="J12" s="31"/>
      <c r="K12" s="31"/>
      <c r="L12" s="31"/>
      <c r="M12" s="31"/>
      <c r="N12" s="31"/>
      <c r="O12" s="31"/>
      <c r="AB12" s="19" t="s">
        <v>5</v>
      </c>
      <c r="AC12" s="170" t="s">
        <v>6</v>
      </c>
      <c r="AD12" s="170"/>
      <c r="AE12" s="36">
        <v>0</v>
      </c>
      <c r="AF12" s="36">
        <f>AF4/$AF$9</f>
        <v>0</v>
      </c>
      <c r="AG12" s="36" t="e">
        <f>AG4/$AG$9</f>
        <v>#DIV/0!</v>
      </c>
      <c r="AH12" s="36">
        <f>AH4/$AH$9</f>
        <v>0</v>
      </c>
      <c r="AI12" s="36">
        <f>AI4/$AI$9</f>
        <v>0</v>
      </c>
      <c r="AJ12" s="36">
        <f>AJ4/$AJ$9</f>
        <v>0</v>
      </c>
    </row>
    <row r="13" spans="2:36" x14ac:dyDescent="0.35">
      <c r="B13" s="170"/>
      <c r="C13" s="141" t="s">
        <v>42</v>
      </c>
      <c r="D13" s="37"/>
      <c r="E13" s="37"/>
      <c r="F13" s="37"/>
      <c r="G13" s="16"/>
      <c r="H13" s="26"/>
      <c r="I13" s="17"/>
      <c r="J13" s="31"/>
      <c r="K13" s="31"/>
      <c r="L13" s="31"/>
      <c r="M13" s="31"/>
      <c r="N13" s="31"/>
      <c r="O13" s="31"/>
      <c r="AB13" s="19" t="s">
        <v>7</v>
      </c>
      <c r="AC13" s="170" t="s">
        <v>8</v>
      </c>
      <c r="AD13" s="170"/>
      <c r="AE13" s="57">
        <v>0</v>
      </c>
      <c r="AF13" s="57">
        <f t="shared" ref="AF13:AF17" si="9">AF5/$AF$9</f>
        <v>0.15517241379310345</v>
      </c>
      <c r="AG13" s="57" t="e">
        <f t="shared" ref="AG13:AG16" si="10">AG5/$AG$9</f>
        <v>#DIV/0!</v>
      </c>
      <c r="AH13" s="57">
        <f t="shared" ref="AH13:AH17" si="11">AH5/$AH$9</f>
        <v>0</v>
      </c>
      <c r="AI13" s="57">
        <f t="shared" ref="AI13:AI17" si="12">AI5/$AI$9</f>
        <v>0.13793103448275862</v>
      </c>
      <c r="AJ13" s="57">
        <f t="shared" ref="AJ13:AJ17" si="13">AJ5/$AJ$9</f>
        <v>0</v>
      </c>
    </row>
    <row r="14" spans="2:36" x14ac:dyDescent="0.35">
      <c r="B14" s="170" t="s">
        <v>329</v>
      </c>
      <c r="C14" s="141" t="s">
        <v>45</v>
      </c>
      <c r="D14" s="16"/>
      <c r="E14" s="26"/>
      <c r="F14" s="26"/>
      <c r="G14" s="16"/>
      <c r="H14" s="26"/>
      <c r="I14" s="17"/>
      <c r="J14" s="31"/>
      <c r="K14" s="31"/>
      <c r="L14" s="31"/>
      <c r="M14" s="31"/>
      <c r="N14" s="31"/>
      <c r="O14" s="31"/>
      <c r="AB14" s="19" t="s">
        <v>9</v>
      </c>
      <c r="AC14" s="170" t="s">
        <v>10</v>
      </c>
      <c r="AD14" s="170"/>
      <c r="AE14" s="58">
        <v>0</v>
      </c>
      <c r="AF14" s="58">
        <f t="shared" si="9"/>
        <v>0.58620689655172409</v>
      </c>
      <c r="AG14" s="58" t="e">
        <f t="shared" si="10"/>
        <v>#DIV/0!</v>
      </c>
      <c r="AH14" s="58">
        <f t="shared" si="11"/>
        <v>0</v>
      </c>
      <c r="AI14" s="58">
        <f t="shared" si="12"/>
        <v>0.57471264367816088</v>
      </c>
      <c r="AJ14" s="58">
        <f t="shared" si="13"/>
        <v>0</v>
      </c>
    </row>
    <row r="15" spans="2:36" x14ac:dyDescent="0.35">
      <c r="B15" s="170"/>
      <c r="C15" s="141" t="s">
        <v>47</v>
      </c>
      <c r="D15" s="16"/>
      <c r="E15" s="26"/>
      <c r="F15" s="26"/>
      <c r="G15" s="16"/>
      <c r="H15" s="26"/>
      <c r="I15" s="17"/>
      <c r="J15" s="31"/>
      <c r="K15" s="31"/>
      <c r="L15" s="31"/>
      <c r="M15" s="31"/>
      <c r="N15" s="31"/>
      <c r="O15" s="31"/>
      <c r="AB15" s="19" t="s">
        <v>11</v>
      </c>
      <c r="AC15" s="170" t="s">
        <v>12</v>
      </c>
      <c r="AD15" s="170"/>
      <c r="AE15" s="59">
        <v>0</v>
      </c>
      <c r="AF15" s="59">
        <f t="shared" si="9"/>
        <v>0.17241379310344829</v>
      </c>
      <c r="AG15" s="59" t="e">
        <f t="shared" si="10"/>
        <v>#DIV/0!</v>
      </c>
      <c r="AH15" s="59">
        <f t="shared" si="11"/>
        <v>0</v>
      </c>
      <c r="AI15" s="59">
        <f t="shared" si="12"/>
        <v>0.20689655172413793</v>
      </c>
      <c r="AJ15" s="59">
        <f t="shared" si="13"/>
        <v>0</v>
      </c>
    </row>
    <row r="16" spans="2:36" x14ac:dyDescent="0.35">
      <c r="B16" s="170"/>
      <c r="C16" s="141" t="s">
        <v>49</v>
      </c>
      <c r="D16" s="16"/>
      <c r="E16" s="26"/>
      <c r="F16" s="26"/>
      <c r="G16" s="16"/>
      <c r="H16" s="26"/>
      <c r="I16" s="17"/>
      <c r="J16" s="31"/>
      <c r="K16" s="31"/>
      <c r="L16" s="31"/>
      <c r="M16" s="31"/>
      <c r="N16" s="31"/>
      <c r="O16" s="31"/>
      <c r="AB16" s="19" t="s">
        <v>13</v>
      </c>
      <c r="AC16" s="170" t="s">
        <v>14</v>
      </c>
      <c r="AD16" s="170"/>
      <c r="AE16" s="60">
        <v>0</v>
      </c>
      <c r="AF16" s="60">
        <f t="shared" si="9"/>
        <v>8.6206896551724144E-2</v>
      </c>
      <c r="AG16" s="60" t="e">
        <f t="shared" si="10"/>
        <v>#DIV/0!</v>
      </c>
      <c r="AH16" s="60">
        <f t="shared" si="11"/>
        <v>0</v>
      </c>
      <c r="AI16" s="60">
        <f t="shared" si="12"/>
        <v>8.0459770114942528E-2</v>
      </c>
      <c r="AJ16" s="60">
        <f t="shared" si="13"/>
        <v>0</v>
      </c>
    </row>
    <row r="17" spans="2:36" x14ac:dyDescent="0.35">
      <c r="B17" s="170"/>
      <c r="C17" s="141" t="s">
        <v>51</v>
      </c>
      <c r="D17" s="16"/>
      <c r="E17" s="26"/>
      <c r="F17" s="26"/>
      <c r="G17" s="16"/>
      <c r="H17" s="26"/>
      <c r="I17" s="17"/>
      <c r="J17" s="31"/>
      <c r="K17" s="31"/>
      <c r="L17" s="31"/>
      <c r="M17" s="31"/>
      <c r="N17" s="31"/>
      <c r="O17" s="31"/>
      <c r="AB17" s="165" t="s">
        <v>210</v>
      </c>
      <c r="AC17" s="165"/>
      <c r="AD17" s="165"/>
      <c r="AE17" s="64">
        <v>0</v>
      </c>
      <c r="AF17" s="64">
        <f t="shared" si="9"/>
        <v>1</v>
      </c>
      <c r="AG17" s="64" t="e">
        <f>AG9/$AG$9</f>
        <v>#DIV/0!</v>
      </c>
      <c r="AH17" s="64">
        <f t="shared" si="11"/>
        <v>1</v>
      </c>
      <c r="AI17" s="64">
        <f t="shared" si="12"/>
        <v>1</v>
      </c>
      <c r="AJ17" s="64">
        <f t="shared" si="13"/>
        <v>1</v>
      </c>
    </row>
    <row r="18" spans="2:36" x14ac:dyDescent="0.35">
      <c r="B18" s="170"/>
      <c r="C18" s="141" t="s">
        <v>53</v>
      </c>
      <c r="D18" s="16"/>
      <c r="E18" s="26"/>
      <c r="F18" s="26"/>
      <c r="G18" s="16"/>
      <c r="H18" s="26"/>
      <c r="I18" s="17"/>
      <c r="J18" s="31"/>
      <c r="K18" s="31"/>
      <c r="L18" s="31"/>
      <c r="M18" s="31"/>
      <c r="N18" s="31"/>
      <c r="O18" s="31"/>
      <c r="AB18" s="160" t="s">
        <v>241</v>
      </c>
      <c r="AC18" s="160"/>
      <c r="AD18" s="160"/>
      <c r="AE18" s="166">
        <v>0.75</v>
      </c>
      <c r="AF18" s="167"/>
      <c r="AG18" s="168"/>
      <c r="AH18" s="168"/>
      <c r="AI18" s="168"/>
      <c r="AJ18" s="169"/>
    </row>
    <row r="19" spans="2:36" x14ac:dyDescent="0.35">
      <c r="B19" s="170"/>
      <c r="C19" s="141" t="s">
        <v>55</v>
      </c>
      <c r="D19" s="16"/>
      <c r="E19" s="26"/>
      <c r="F19" s="26"/>
      <c r="G19" s="16"/>
      <c r="H19" s="26"/>
      <c r="I19" s="17"/>
      <c r="J19" s="31"/>
      <c r="K19" s="31"/>
      <c r="L19" s="31"/>
      <c r="M19" s="31"/>
      <c r="N19" s="31"/>
      <c r="O19" s="31"/>
      <c r="AB19" s="160" t="s">
        <v>16</v>
      </c>
      <c r="AC19" s="160"/>
      <c r="AD19" s="160"/>
      <c r="AE19" s="166"/>
      <c r="AF19" s="167"/>
      <c r="AG19" s="168"/>
      <c r="AH19" s="168"/>
      <c r="AI19" s="168"/>
      <c r="AJ19" s="169"/>
    </row>
    <row r="20" spans="2:36" x14ac:dyDescent="0.35">
      <c r="B20" s="170"/>
      <c r="C20" s="141" t="s">
        <v>57</v>
      </c>
      <c r="D20" s="16"/>
      <c r="E20" s="26"/>
      <c r="F20" s="26"/>
      <c r="G20" s="16"/>
      <c r="H20" s="26"/>
      <c r="I20" s="17"/>
      <c r="J20" s="31"/>
      <c r="K20" s="31"/>
      <c r="L20" s="31"/>
      <c r="M20" s="31"/>
      <c r="N20" s="31"/>
      <c r="O20" s="31"/>
      <c r="AB20" s="160" t="s">
        <v>360</v>
      </c>
      <c r="AC20" s="160"/>
      <c r="AD20" s="160"/>
      <c r="AE20" s="166" t="e">
        <f>SUM(AG12:AG14)</f>
        <v>#DIV/0!</v>
      </c>
      <c r="AF20" s="167"/>
      <c r="AG20" s="168"/>
      <c r="AH20" s="168"/>
      <c r="AI20" s="168"/>
      <c r="AJ20" s="169"/>
    </row>
    <row r="21" spans="2:36" x14ac:dyDescent="0.35">
      <c r="B21" s="170"/>
      <c r="C21" s="141" t="s">
        <v>59</v>
      </c>
      <c r="D21" s="16"/>
      <c r="E21" s="26"/>
      <c r="F21" s="26"/>
      <c r="G21" s="16"/>
      <c r="H21" s="26"/>
      <c r="I21" s="17"/>
      <c r="J21" s="31"/>
      <c r="K21" s="31"/>
      <c r="L21" s="31"/>
      <c r="M21" s="31"/>
      <c r="N21" s="31"/>
      <c r="O21" s="31"/>
      <c r="AB21" s="160" t="s">
        <v>363</v>
      </c>
      <c r="AC21" s="160"/>
      <c r="AD21" s="160"/>
      <c r="AE21" s="161" t="e">
        <f>AE18-AE20</f>
        <v>#DIV/0!</v>
      </c>
      <c r="AF21" s="162"/>
      <c r="AG21" s="163"/>
      <c r="AH21" s="163"/>
      <c r="AI21" s="163"/>
      <c r="AJ21" s="164"/>
    </row>
    <row r="22" spans="2:36" x14ac:dyDescent="0.35">
      <c r="B22" s="170"/>
      <c r="C22" s="141" t="s">
        <v>61</v>
      </c>
      <c r="D22" s="16"/>
      <c r="E22" s="26"/>
      <c r="F22" s="26"/>
      <c r="G22" s="16"/>
      <c r="H22" s="26"/>
      <c r="I22" s="17"/>
      <c r="J22" s="31"/>
      <c r="K22" s="31"/>
      <c r="L22" s="31"/>
      <c r="M22" s="31"/>
      <c r="N22" s="31"/>
      <c r="O22" s="31"/>
    </row>
    <row r="23" spans="2:36" x14ac:dyDescent="0.35">
      <c r="B23" s="170"/>
      <c r="C23" s="141" t="s">
        <v>330</v>
      </c>
      <c r="D23" s="16"/>
      <c r="E23" s="26"/>
      <c r="F23" s="26"/>
      <c r="G23" s="16"/>
      <c r="H23" s="26"/>
      <c r="I23" s="17"/>
      <c r="J23" s="31"/>
      <c r="K23" s="31"/>
      <c r="L23" s="31"/>
      <c r="M23" s="31"/>
      <c r="N23" s="31"/>
      <c r="O23" s="31"/>
    </row>
    <row r="24" spans="2:36" x14ac:dyDescent="0.35">
      <c r="B24" s="170"/>
      <c r="C24" s="141" t="s">
        <v>65</v>
      </c>
      <c r="D24" s="16"/>
      <c r="E24" s="26"/>
      <c r="F24" s="26"/>
      <c r="G24" s="16"/>
      <c r="H24" s="26"/>
      <c r="I24" s="17"/>
      <c r="J24" s="31"/>
      <c r="K24" s="31"/>
      <c r="L24" s="31"/>
      <c r="M24" s="31"/>
      <c r="N24" s="31"/>
      <c r="O24" s="31"/>
    </row>
    <row r="25" spans="2:36" x14ac:dyDescent="0.35">
      <c r="B25" s="170"/>
      <c r="C25" s="141" t="s">
        <v>67</v>
      </c>
      <c r="D25" s="37"/>
      <c r="E25" s="37"/>
      <c r="F25" s="37"/>
      <c r="G25" s="16"/>
      <c r="H25" s="26"/>
      <c r="I25" s="17"/>
      <c r="J25" s="31"/>
      <c r="K25" s="31"/>
      <c r="L25" s="31"/>
      <c r="M25" s="31"/>
      <c r="N25" s="31"/>
      <c r="O25" s="31"/>
    </row>
    <row r="26" spans="2:36" x14ac:dyDescent="0.35">
      <c r="B26" s="170" t="s">
        <v>331</v>
      </c>
      <c r="C26" s="141" t="s">
        <v>70</v>
      </c>
      <c r="D26" s="16"/>
      <c r="E26" s="26"/>
      <c r="F26" s="26"/>
      <c r="G26" s="16"/>
      <c r="H26" s="26"/>
      <c r="I26" s="17"/>
      <c r="J26" s="31"/>
      <c r="K26" s="31"/>
      <c r="L26" s="31"/>
      <c r="M26" s="31"/>
      <c r="N26" s="31"/>
      <c r="O26" s="31"/>
    </row>
    <row r="27" spans="2:36" x14ac:dyDescent="0.35">
      <c r="B27" s="170"/>
      <c r="C27" s="141" t="s">
        <v>72</v>
      </c>
      <c r="D27" s="16"/>
      <c r="E27" s="26"/>
      <c r="F27" s="26"/>
      <c r="G27" s="16"/>
      <c r="H27" s="26"/>
      <c r="I27" s="17"/>
      <c r="J27" s="31"/>
      <c r="K27" s="31"/>
      <c r="L27" s="31"/>
      <c r="M27" s="31"/>
      <c r="N27" s="31"/>
      <c r="O27" s="31"/>
    </row>
    <row r="28" spans="2:36" x14ac:dyDescent="0.35">
      <c r="B28" s="170"/>
      <c r="C28" s="141" t="s">
        <v>74</v>
      </c>
      <c r="D28" s="16"/>
      <c r="E28" s="26"/>
      <c r="F28" s="26"/>
      <c r="G28" s="16"/>
      <c r="H28" s="26"/>
      <c r="I28" s="17"/>
      <c r="J28" s="31"/>
      <c r="K28" s="31"/>
      <c r="L28" s="31"/>
      <c r="M28" s="31"/>
      <c r="N28" s="31"/>
      <c r="O28" s="31"/>
    </row>
    <row r="29" spans="2:36" x14ac:dyDescent="0.35">
      <c r="B29" s="170"/>
      <c r="C29" s="141" t="s">
        <v>76</v>
      </c>
      <c r="D29" s="16"/>
      <c r="E29" s="26"/>
      <c r="F29" s="26"/>
      <c r="G29" s="16"/>
      <c r="H29" s="26"/>
      <c r="I29" s="17"/>
      <c r="J29" s="31"/>
      <c r="K29" s="31"/>
      <c r="L29" s="31"/>
      <c r="M29" s="31"/>
      <c r="N29" s="31"/>
      <c r="O29" s="31"/>
    </row>
    <row r="30" spans="2:36" x14ac:dyDescent="0.35">
      <c r="B30" s="170"/>
      <c r="C30" s="141" t="s">
        <v>78</v>
      </c>
      <c r="D30" s="16"/>
      <c r="E30" s="26"/>
      <c r="F30" s="26"/>
      <c r="G30" s="16"/>
      <c r="H30" s="26"/>
      <c r="I30" s="17"/>
      <c r="J30" s="31"/>
      <c r="K30" s="31"/>
      <c r="L30" s="31"/>
      <c r="M30" s="31"/>
      <c r="N30" s="31"/>
      <c r="O30" s="31"/>
    </row>
    <row r="31" spans="2:36" x14ac:dyDescent="0.35">
      <c r="B31" s="170"/>
      <c r="C31" s="141" t="s">
        <v>80</v>
      </c>
      <c r="D31" s="16"/>
      <c r="E31" s="26"/>
      <c r="F31" s="26"/>
      <c r="G31" s="16"/>
      <c r="H31" s="26"/>
      <c r="I31" s="17"/>
      <c r="J31" s="31"/>
      <c r="K31" s="31"/>
      <c r="L31" s="31"/>
      <c r="M31" s="31"/>
      <c r="N31" s="31"/>
      <c r="O31" s="31"/>
    </row>
    <row r="32" spans="2:36" x14ac:dyDescent="0.35">
      <c r="B32" s="170"/>
      <c r="C32" s="141" t="s">
        <v>82</v>
      </c>
      <c r="D32" s="16"/>
      <c r="E32" s="26"/>
      <c r="F32" s="26"/>
      <c r="G32" s="16"/>
      <c r="H32" s="26"/>
      <c r="I32" s="17"/>
      <c r="J32" s="31"/>
      <c r="K32" s="31"/>
      <c r="L32" s="31"/>
      <c r="M32" s="31"/>
      <c r="N32" s="31"/>
      <c r="O32" s="31"/>
    </row>
    <row r="33" spans="2:15" x14ac:dyDescent="0.35">
      <c r="B33" s="170"/>
      <c r="C33" s="141" t="s">
        <v>84</v>
      </c>
      <c r="D33" s="16"/>
      <c r="E33" s="26"/>
      <c r="F33" s="26"/>
      <c r="G33" s="16"/>
      <c r="H33" s="26"/>
      <c r="I33" s="17"/>
      <c r="J33" s="31"/>
      <c r="K33" s="31"/>
      <c r="L33" s="31"/>
      <c r="M33" s="31"/>
      <c r="N33" s="31"/>
      <c r="O33" s="31"/>
    </row>
    <row r="34" spans="2:15" x14ac:dyDescent="0.35">
      <c r="B34" s="20" t="s">
        <v>332</v>
      </c>
      <c r="C34" s="141" t="s">
        <v>87</v>
      </c>
      <c r="D34" s="16"/>
      <c r="E34" s="26"/>
      <c r="F34" s="26"/>
      <c r="G34" s="16"/>
      <c r="H34" s="26"/>
      <c r="I34" s="17"/>
      <c r="J34" s="31"/>
      <c r="K34" s="31"/>
      <c r="L34" s="31"/>
      <c r="M34" s="31"/>
      <c r="N34" s="31"/>
      <c r="O34" s="31"/>
    </row>
    <row r="35" spans="2:15" x14ac:dyDescent="0.35">
      <c r="B35" s="131"/>
      <c r="C35" s="131"/>
      <c r="D35" s="132" t="e">
        <f>AVERAGE(D4:D34)</f>
        <v>#DIV/0!</v>
      </c>
      <c r="E35" s="132" t="e">
        <f t="shared" ref="E35:F35" si="14">AVERAGE(E4:E34)</f>
        <v>#DIV/0!</v>
      </c>
      <c r="F35" s="132" t="e">
        <f t="shared" si="14"/>
        <v>#DIV/0!</v>
      </c>
      <c r="G35" s="132"/>
      <c r="H35" s="132"/>
      <c r="I35" s="132"/>
      <c r="J35" s="132"/>
      <c r="K35" s="132"/>
      <c r="L35" s="132"/>
      <c r="M35" s="132"/>
      <c r="N35" s="132"/>
      <c r="O35" s="132"/>
    </row>
    <row r="36" spans="2:15" ht="12.5" thickBot="1" x14ac:dyDescent="0.4">
      <c r="B36" s="45"/>
      <c r="C36" s="45"/>
      <c r="D36" s="46"/>
      <c r="E36" s="46"/>
      <c r="F36" s="46"/>
      <c r="G36" s="46"/>
      <c r="H36" s="46"/>
      <c r="I36" s="46"/>
      <c r="J36" s="46"/>
      <c r="K36" s="46"/>
      <c r="L36" s="46"/>
      <c r="M36" s="46"/>
      <c r="N36" s="46"/>
      <c r="O36" s="46"/>
    </row>
    <row r="37" spans="2:15" x14ac:dyDescent="0.35">
      <c r="B37" s="47" t="s">
        <v>211</v>
      </c>
      <c r="C37" s="48" t="s">
        <v>207</v>
      </c>
      <c r="D37" s="49"/>
      <c r="E37" s="50"/>
      <c r="F37" s="50"/>
      <c r="G37" s="45"/>
    </row>
    <row r="38" spans="2:15" ht="12.5" thickBot="1" x14ac:dyDescent="0.4">
      <c r="B38" s="51" t="s">
        <v>213</v>
      </c>
      <c r="C38" s="52" t="s">
        <v>376</v>
      </c>
      <c r="D38" s="49"/>
      <c r="E38" s="50"/>
      <c r="F38" s="50"/>
      <c r="G38" s="45"/>
    </row>
    <row r="39" spans="2:15" x14ac:dyDescent="0.35">
      <c r="B39" s="45"/>
      <c r="C39" s="45"/>
      <c r="D39" s="45"/>
      <c r="E39" s="50"/>
      <c r="F39" s="50"/>
      <c r="G39" s="45"/>
    </row>
    <row r="40" spans="2:15" x14ac:dyDescent="0.35">
      <c r="B40" s="45"/>
      <c r="C40" s="45"/>
      <c r="D40" s="45"/>
      <c r="E40" s="50"/>
      <c r="F40" s="50"/>
      <c r="G40" s="45"/>
    </row>
    <row r="41" spans="2:15" x14ac:dyDescent="0.35">
      <c r="B41" s="45"/>
      <c r="C41" s="45"/>
      <c r="D41" s="45"/>
      <c r="E41" s="50"/>
      <c r="F41" s="50"/>
      <c r="G41" s="45"/>
    </row>
    <row r="42" spans="2:15" x14ac:dyDescent="0.35">
      <c r="B42" s="45"/>
      <c r="C42" s="45"/>
      <c r="D42" s="45"/>
      <c r="E42" s="50"/>
      <c r="F42" s="50"/>
      <c r="G42" s="45"/>
    </row>
  </sheetData>
  <mergeCells count="20">
    <mergeCell ref="B2:C2"/>
    <mergeCell ref="D2:O2"/>
    <mergeCell ref="AC11:AD11"/>
    <mergeCell ref="AC12:AD12"/>
    <mergeCell ref="AC13:AD13"/>
    <mergeCell ref="AB21:AD21"/>
    <mergeCell ref="AE21:AJ21"/>
    <mergeCell ref="B4:B13"/>
    <mergeCell ref="B14:B25"/>
    <mergeCell ref="B26:B33"/>
    <mergeCell ref="AB17:AD17"/>
    <mergeCell ref="AB18:AD18"/>
    <mergeCell ref="AE18:AJ18"/>
    <mergeCell ref="AB19:AD19"/>
    <mergeCell ref="AE19:AJ19"/>
    <mergeCell ref="AB20:AD20"/>
    <mergeCell ref="AE20:AJ20"/>
    <mergeCell ref="AC14:AD14"/>
    <mergeCell ref="AC15:AD15"/>
    <mergeCell ref="AC16:AD16"/>
  </mergeCells>
  <conditionalFormatting sqref="D4:O34">
    <cfRule type="cellIs" dxfId="5" priority="1" operator="equal">
      <formula>4</formula>
    </cfRule>
    <cfRule type="cellIs" dxfId="4" priority="2" operator="equal">
      <formula>3</formula>
    </cfRule>
    <cfRule type="cellIs" dxfId="3" priority="3" operator="equal">
      <formula>2</formula>
    </cfRule>
    <cfRule type="cellIs" dxfId="2" priority="4" operator="equal">
      <formula>1</formula>
    </cfRule>
    <cfRule type="cellIs" dxfId="1" priority="5" operator="equal">
      <formula>0</formula>
    </cfRule>
  </conditionalFormatting>
  <conditionalFormatting sqref="AE20:AJ21">
    <cfRule type="cellIs" dxfId="0" priority="11" operator="greaterThanOrEqual">
      <formula>1</formula>
    </cfRule>
  </conditionalFormatting>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8A2E28C34F7043AC634FCFD483F30F" ma:contentTypeVersion="4" ma:contentTypeDescription="Create a new document." ma:contentTypeScope="" ma:versionID="6743d7fdc9c9392dd94905340f83a5fc">
  <xsd:schema xmlns:xsd="http://www.w3.org/2001/XMLSchema" xmlns:xs="http://www.w3.org/2001/XMLSchema" xmlns:p="http://schemas.microsoft.com/office/2006/metadata/properties" xmlns:ns2="5d53ada0-d9d3-4805-b4de-3c0acf9f04a6" targetNamespace="http://schemas.microsoft.com/office/2006/metadata/properties" ma:root="true" ma:fieldsID="60c7a4dfd111352489e51f50cac813af" ns2:_="">
    <xsd:import namespace="5d53ada0-d9d3-4805-b4de-3c0acf9f04a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53ada0-d9d3-4805-b4de-3c0acf9f04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7B9FF6-90ED-4AF4-84B0-82F9610A7B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53ada0-d9d3-4805-b4de-3c0acf9f04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A6279C1-4854-497C-AF58-E0D4AAD59554}">
  <ds:schemaRefs>
    <ds:schemaRef ds:uri="http://schemas.microsoft.com/office/2006/documentManagement/types"/>
    <ds:schemaRef ds:uri="http://schemas.microsoft.com/office/2006/metadata/properties"/>
    <ds:schemaRef ds:uri="http://schemas.microsoft.com/office/infopath/2007/PartnerControls"/>
    <ds:schemaRef ds:uri="http://purl.org/dc/elements/1.1/"/>
    <ds:schemaRef ds:uri="http://purl.org/dc/terms/"/>
    <ds:schemaRef ds:uri="5d53ada0-d9d3-4805-b4de-3c0acf9f04a6"/>
    <ds:schemaRef ds:uri="http://schemas.openxmlformats.org/package/2006/metadata/core-properties"/>
    <ds:schemaRef ds:uri="http://purl.org/dc/dcmitype/"/>
    <ds:schemaRef ds:uri="http://www.w3.org/XML/1998/namespace"/>
  </ds:schemaRefs>
</ds:datastoreItem>
</file>

<file path=customXml/itemProps3.xml><?xml version="1.0" encoding="utf-8"?>
<ds:datastoreItem xmlns:ds="http://schemas.openxmlformats.org/officeDocument/2006/customXml" ds:itemID="{8A6D5EF4-257F-4569-927D-BC78B25D43AB}">
  <ds:schemaRefs>
    <ds:schemaRef ds:uri="http://schemas.microsoft.com/sharepoint/v3/contenttype/forms"/>
  </ds:schemaRefs>
</ds:datastoreItem>
</file>

<file path=docMetadata/LabelInfo.xml><?xml version="1.0" encoding="utf-8"?>
<clbl:labelList xmlns:clbl="http://schemas.microsoft.com/office/2020/mipLabelMetadata">
  <clbl:label id="{1a407a2d-7675-4d17-8692-b3ac285306e4}" enabled="0" method="" siteId="{1a407a2d-7675-4d17-8692-b3ac285306e4}"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STET_GB_2026 Competency Ratings</vt:lpstr>
      <vt:lpstr>Competence definitions</vt:lpstr>
      <vt:lpstr>PL-H1</vt:lpstr>
      <vt:lpstr>PL</vt:lpstr>
      <vt:lpstr>ME-H1</vt:lpstr>
      <vt:lpstr>PE-H1</vt:lpstr>
      <vt:lpstr>ME</vt:lpstr>
      <vt:lpstr>PE</vt:lpstr>
      <vt:lpstr>EE-H1</vt:lpstr>
      <vt:lpstr>EE</vt:lpstr>
      <vt:lpstr>QPL</vt:lpstr>
      <vt:lpstr>SE</vt:lpstr>
      <vt:lpstr>TPD</vt:lpstr>
      <vt:lpstr>T&amp;V-H1</vt:lpstr>
      <vt:lpstr>T&amp;V</vt:lpstr>
    </vt:vector>
  </TitlesOfParts>
  <Manager/>
  <Company>Philips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Gupta, Ishan</dc:creator>
  <cp:keywords/>
  <dc:description/>
  <cp:lastModifiedBy>Singh, Kamal</cp:lastModifiedBy>
  <cp:revision/>
  <dcterms:created xsi:type="dcterms:W3CDTF">2025-03-13T12:59:59Z</dcterms:created>
  <dcterms:modified xsi:type="dcterms:W3CDTF">2026-09-16T04:36:12Z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0x010100618A2E28C34F7043AC634FCFD483F30F</vt:lpwstr>
  </property>
</Properties>
</file>